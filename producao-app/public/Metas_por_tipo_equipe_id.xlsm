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redeforteconstrutora-my.sharepoint.com/personal/powerbi_redeforte_dbmachado_com/Documents/Planejamento GO/Sistema Produção/producao-app/public/"/>
    </mc:Choice>
  </mc:AlternateContent>
  <xr:revisionPtr revIDLastSave="3375" documentId="13_ncr:1_{12B41E98-18F8-472E-998D-EC837F7A52A9}" xr6:coauthVersionLast="47" xr6:coauthVersionMax="47" xr10:uidLastSave="{1CBF0252-7F82-449C-B8C2-E36510AA00A9}"/>
  <bookViews>
    <workbookView xWindow="-108" yWindow="-108" windowWidth="23256" windowHeight="12456" tabRatio="846" xr2:uid="{00000000-000D-0000-FFFF-FFFF00000000}"/>
  </bookViews>
  <sheets>
    <sheet name="Metas" sheetId="10" r:id="rId1"/>
    <sheet name="Auxiliar" sheetId="6" r:id="rId2"/>
    <sheet name="Dias úteis" sheetId="4" r:id="rId3"/>
  </sheets>
  <definedNames>
    <definedName name="_xleta.DATE" hidden="1" xlm="1">#NAME?</definedName>
    <definedName name="_xleta.SEQUENCE" hidden="1" xlm="1">#NAME?</definedName>
    <definedName name="_xleta.SUM" hidden="1" xlm="1">#NAME?</definedName>
    <definedName name="_xlpm.A6data" hidden="1" xlm="1">#NAME?</definedName>
    <definedName name="_xlpm.acumulador" hidden="1" xlm="1">#NAME?</definedName>
    <definedName name="_xlpm.D" hidden="1" xlm="1">#NAME?</definedName>
    <definedName name="_xlpm.Da" hidden="1" xlm="1">#NAME?</definedName>
    <definedName name="_xlpm.dados" hidden="1" xlm="1">#NAME?</definedName>
    <definedName name="_xlpm.Dat" hidden="1" xlm="1">#NAME?</definedName>
    <definedName name="_xlpm.Data" hidden="1" xlm="1">#NAME?</definedName>
    <definedName name="_xlpm.data_fim" hidden="1" xlm="1">#NAME?</definedName>
    <definedName name="_xlpm.data_inicio" hidden="1" xlm="1">#NAME?</definedName>
    <definedName name="_xlpm.DataCorrespodente" hidden="1" xlm="1">#NAME?</definedName>
    <definedName name="_xlpm.dataFim" hidden="1" xlm="1">#NAME?</definedName>
    <definedName name="_xlpm.dataInicio" hidden="1" xlm="1">#NAME?</definedName>
    <definedName name="_xlpm.Datas" hidden="1" xlm="1">#NAME?</definedName>
    <definedName name="_xlpm.DatasC" hidden="1" xlm="1">#NAME?</definedName>
    <definedName name="_xlpm.DatasCo" hidden="1" xlm="1">#NAME?</definedName>
    <definedName name="_xlpm.DatasCor" hidden="1" xlm="1">#NAME?</definedName>
    <definedName name="_xlpm.DatasCorr" hidden="1" xlm="1">#NAME?</definedName>
    <definedName name="_xlpm.DatasCorre" hidden="1" xlm="1">#NAME?</definedName>
    <definedName name="_xlpm.DatasCorres" hidden="1" xlm="1">#NAME?</definedName>
    <definedName name="_xlpm.DatasCorresp" hidden="1" xlm="1">#NAME?</definedName>
    <definedName name="_xlpm.DatasCorrespo" hidden="1" xlm="1">#NAME?</definedName>
    <definedName name="_xlpm.DatasCorrespod" hidden="1" xlm="1">#NAME?</definedName>
    <definedName name="_xlpm.DatasCorrespode" hidden="1" xlm="1">#NAME?</definedName>
    <definedName name="_xlpm.DatasCorrespoden" hidden="1" xlm="1">#NAME?</definedName>
    <definedName name="_xlpm.DatasCorrespodent" hidden="1" xlm="1">#NAME?</definedName>
    <definedName name="_xlpm.DatasCorrespodente" hidden="1" xlm="1">#NAME?</definedName>
    <definedName name="_xlpm.DatasCorrespodentes" hidden="1" xlm="1">#NAME?</definedName>
    <definedName name="_xlpm.dia" hidden="1" xlm="1">#NAME?</definedName>
    <definedName name="_xlpm.dias" hidden="1" xlm="1">#NAME?</definedName>
    <definedName name="_xlpm.dias_equipe" hidden="1" xlm="1">#NAME?</definedName>
    <definedName name="_xlpm.Dt" hidden="1" xlm="1">#NAME?</definedName>
    <definedName name="_xlpm.equipe" hidden="1" xlm="1">#NAME?</definedName>
    <definedName name="_xlpm.equipe_col" hidden="1" xlm="1">#NAME?</definedName>
    <definedName name="_xlpm.equipe_coluna" hidden="1" xlm="1">#NAME?</definedName>
    <definedName name="_xlpm.equipe_repetida" hidden="1" xlm="1">#NAME?</definedName>
    <definedName name="_xlpm.equipes" hidden="1" xlm="1">#NAME?</definedName>
    <definedName name="_xlpm.fim" hidden="1" xlm="1">#NAME?</definedName>
    <definedName name="_xlpm.i" hidden="1" xlm="1">#NAME?</definedName>
    <definedName name="_xlpm.indice" hidden="1" xlm="1">#NAME?</definedName>
    <definedName name="_xlpm.indices" hidden="1" xlm="1">#NAME?</definedName>
    <definedName name="_xlpm.inicio" hidden="1" xlm="1">#NAME?</definedName>
    <definedName name="_xlpm.item" hidden="1" xlm="1">#NAME?</definedName>
    <definedName name="_xlpm.linha" hidden="1" xlm="1">#NAME?</definedName>
    <definedName name="_xlpm.linhaOrigem" hidden="1" xlm="1">#NAME?</definedName>
    <definedName name="_xlpm.linhas" hidden="1" xlm="1">#NAME?</definedName>
    <definedName name="_xlpm.meta_mensal" hidden="1" xlm="1">#NAME?</definedName>
    <definedName name="_xlpm.metaMensal" hidden="1" xlm="1">#NAME?</definedName>
    <definedName name="_xlpm.resultado" hidden="1" xlm="1">#NAME?</definedName>
    <definedName name="_xlpm.sequencia" hidden="1" xlm="1">#NAME?</definedName>
    <definedName name="_xlpm.total_linhas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10" l="1" a="1"/>
  <c r="K4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K56" i="10" a="1"/>
  <c r="K56" i="10" s="1"/>
  <c r="K57" i="10" a="1"/>
  <c r="K57" i="10" s="1"/>
  <c r="K58" i="10" a="1"/>
  <c r="K58" i="10" s="1"/>
  <c r="K59" i="10" a="1"/>
  <c r="K59" i="10" s="1"/>
  <c r="K60" i="10" a="1"/>
  <c r="K60" i="10" s="1"/>
  <c r="K61" i="10" a="1"/>
  <c r="K61" i="10" s="1"/>
  <c r="K62" i="10" a="1"/>
  <c r="K62" i="10" s="1"/>
  <c r="K63" i="10" a="1"/>
  <c r="K63" i="10" s="1"/>
  <c r="K64" i="10" a="1"/>
  <c r="K64" i="10" s="1"/>
  <c r="K65" i="10" a="1"/>
  <c r="K65" i="10" s="1"/>
  <c r="K66" i="10" a="1"/>
  <c r="K66" i="10" s="1"/>
  <c r="K67" i="10" a="1"/>
  <c r="K67" i="10" s="1"/>
  <c r="K68" i="10" a="1"/>
  <c r="K68" i="10" s="1"/>
  <c r="K69" i="10" a="1"/>
  <c r="K69" i="10" s="1"/>
  <c r="K70" i="10" a="1"/>
  <c r="K70" i="10" s="1"/>
  <c r="K71" i="10" a="1"/>
  <c r="K71" i="10" s="1"/>
  <c r="K72" i="10" a="1"/>
  <c r="K72" i="10" s="1"/>
  <c r="K73" i="10" a="1"/>
  <c r="K73" i="10" s="1"/>
  <c r="K74" i="10" a="1"/>
  <c r="K74" i="10" s="1"/>
  <c r="K75" i="10" a="1"/>
  <c r="K75" i="10" s="1"/>
  <c r="K76" i="10" a="1"/>
  <c r="K76" i="10" s="1"/>
  <c r="K77" i="10" a="1"/>
  <c r="K77" i="10" s="1"/>
  <c r="K78" i="10" a="1"/>
  <c r="K78" i="10" s="1"/>
  <c r="K79" i="10" a="1"/>
  <c r="K79" i="10" s="1"/>
  <c r="K80" i="10" a="1"/>
  <c r="K80" i="10" s="1"/>
  <c r="K81" i="10" a="1"/>
  <c r="K81" i="10" s="1"/>
  <c r="K82" i="10" a="1"/>
  <c r="K82" i="10" s="1"/>
  <c r="K83" i="10" a="1"/>
  <c r="K83" i="10" s="1"/>
  <c r="K84" i="10" a="1"/>
  <c r="K84" i="10" s="1"/>
  <c r="K85" i="10" a="1"/>
  <c r="K85" i="10" s="1"/>
  <c r="K86" i="10" a="1"/>
  <c r="K86" i="10" s="1"/>
  <c r="K87" i="10" a="1"/>
  <c r="K87" i="10" s="1"/>
  <c r="K88" i="10" a="1"/>
  <c r="K88" i="10" s="1"/>
  <c r="K89" i="10" a="1"/>
  <c r="K89" i="10" s="1"/>
  <c r="K90" i="10" a="1"/>
  <c r="K90" i="10" s="1"/>
  <c r="K91" i="10" a="1"/>
  <c r="K91" i="10" s="1"/>
  <c r="K92" i="10" a="1"/>
  <c r="K92" i="10" s="1"/>
  <c r="K93" i="10" a="1"/>
  <c r="K93" i="10" s="1"/>
  <c r="K94" i="10" a="1"/>
  <c r="K94" i="10" s="1"/>
  <c r="K95" i="10" a="1"/>
  <c r="K95" i="10" s="1"/>
  <c r="K96" i="10" a="1"/>
  <c r="K96" i="10" s="1"/>
  <c r="K97" i="10" a="1"/>
  <c r="K97" i="10" s="1"/>
  <c r="K98" i="10" a="1"/>
  <c r="K98" i="10" s="1"/>
  <c r="K99" i="10" a="1"/>
  <c r="K99" i="10" s="1"/>
  <c r="K100" i="10" a="1"/>
  <c r="K100" i="10" s="1"/>
  <c r="K101" i="10" a="1"/>
  <c r="K101" i="10" s="1"/>
  <c r="K102" i="10" a="1"/>
  <c r="K102" i="10" s="1"/>
  <c r="K103" i="10" a="1"/>
  <c r="K103" i="10" s="1"/>
  <c r="K104" i="10" a="1"/>
  <c r="K104" i="10" s="1"/>
  <c r="K105" i="10" a="1"/>
  <c r="K105" i="10" s="1"/>
  <c r="K106" i="10" a="1"/>
  <c r="K106" i="10" s="1"/>
  <c r="K107" i="10" a="1"/>
  <c r="K107" i="10" s="1"/>
  <c r="K108" i="10" a="1"/>
  <c r="K108" i="10" s="1"/>
  <c r="K109" i="10" a="1"/>
  <c r="K109" i="10" s="1"/>
  <c r="K110" i="10" a="1"/>
  <c r="K110" i="10" s="1"/>
  <c r="K111" i="10" a="1"/>
  <c r="K111" i="10" s="1"/>
  <c r="K112" i="10" a="1"/>
  <c r="K112" i="10" s="1"/>
  <c r="K113" i="10" a="1"/>
  <c r="K113" i="10" s="1"/>
  <c r="K114" i="10" a="1"/>
  <c r="K114" i="10" s="1"/>
  <c r="K115" i="10" a="1"/>
  <c r="K115" i="10" s="1"/>
  <c r="K116" i="10" a="1"/>
  <c r="K116" i="10" s="1"/>
  <c r="K117" i="10" a="1"/>
  <c r="K117" i="10" s="1"/>
  <c r="K118" i="10" a="1"/>
  <c r="K118" i="10" s="1"/>
  <c r="K119" i="10" a="1"/>
  <c r="K119" i="10" s="1"/>
  <c r="K120" i="10" a="1"/>
  <c r="K120" i="10" s="1"/>
  <c r="K121" i="10" a="1"/>
  <c r="K121" i="10" s="1"/>
  <c r="K122" i="10" a="1"/>
  <c r="K122" i="10" s="1"/>
  <c r="K123" i="10" a="1"/>
  <c r="K123" i="10" s="1"/>
  <c r="K124" i="10" a="1"/>
  <c r="K124" i="10" s="1"/>
  <c r="K125" i="10" a="1"/>
  <c r="K125" i="10" s="1"/>
  <c r="K126" i="10" a="1"/>
  <c r="K126" i="10" s="1"/>
  <c r="K127" i="10" a="1"/>
  <c r="K127" i="10" s="1"/>
  <c r="K128" i="10" a="1"/>
  <c r="K128" i="10" s="1"/>
  <c r="K129" i="10" a="1"/>
  <c r="K129" i="10" s="1"/>
  <c r="K130" i="10" a="1"/>
  <c r="K130" i="10" s="1"/>
  <c r="K131" i="10" a="1"/>
  <c r="K131" i="10" s="1"/>
  <c r="K132" i="10" a="1"/>
  <c r="K132" i="10" s="1"/>
  <c r="K133" i="10" a="1"/>
  <c r="K133" i="10" s="1"/>
  <c r="K134" i="10" a="1"/>
  <c r="K134" i="10" s="1"/>
  <c r="K135" i="10" a="1"/>
  <c r="K135" i="10" s="1"/>
  <c r="K136" i="10" a="1"/>
  <c r="K136" i="10" s="1"/>
  <c r="K137" i="10" a="1"/>
  <c r="K137" i="10" s="1"/>
  <c r="K138" i="10" a="1"/>
  <c r="K138" i="10" s="1"/>
  <c r="K139" i="10" a="1"/>
  <c r="K139" i="10" s="1"/>
  <c r="K140" i="10" a="1"/>
  <c r="K140" i="10" s="1"/>
  <c r="K141" i="10" a="1"/>
  <c r="K141" i="10" s="1"/>
  <c r="K142" i="10" a="1"/>
  <c r="K142" i="10" s="1"/>
  <c r="K143" i="10" a="1"/>
  <c r="K143" i="10" s="1"/>
  <c r="K144" i="10" a="1"/>
  <c r="K144" i="10" s="1"/>
  <c r="K145" i="10" a="1"/>
  <c r="K145" i="10" s="1"/>
  <c r="K146" i="10" a="1"/>
  <c r="K146" i="10" s="1"/>
  <c r="K147" i="10" a="1"/>
  <c r="K147" i="10" s="1"/>
  <c r="K148" i="10" a="1"/>
  <c r="K148" i="10" s="1"/>
  <c r="K149" i="10" a="1"/>
  <c r="K149" i="10" s="1"/>
  <c r="K150" i="10" a="1"/>
  <c r="K150" i="10" s="1"/>
  <c r="K151" i="10" a="1"/>
  <c r="K151" i="10" s="1"/>
  <c r="K152" i="10" a="1"/>
  <c r="K152" i="10" s="1"/>
  <c r="K153" i="10" a="1"/>
  <c r="K153" i="10" s="1"/>
  <c r="K154" i="10" a="1"/>
  <c r="K154" i="10" s="1"/>
  <c r="K155" i="10" a="1"/>
  <c r="K155" i="10" s="1"/>
  <c r="K156" i="10" a="1"/>
  <c r="K156" i="10" s="1"/>
  <c r="K157" i="10" a="1"/>
  <c r="K157" i="10" s="1"/>
  <c r="K158" i="10" a="1"/>
  <c r="K158" i="10" s="1"/>
  <c r="K159" i="10" a="1"/>
  <c r="K159" i="10" s="1"/>
  <c r="K160" i="10" a="1"/>
  <c r="K160" i="10" s="1"/>
  <c r="K161" i="10" a="1"/>
  <c r="K161" i="10" s="1"/>
  <c r="K162" i="10" a="1"/>
  <c r="K162" i="10" s="1"/>
  <c r="K163" i="10" a="1"/>
  <c r="K163" i="10" s="1"/>
  <c r="K164" i="10" a="1"/>
  <c r="K164" i="10" s="1"/>
  <c r="K165" i="10" a="1"/>
  <c r="K165" i="10" s="1"/>
  <c r="K166" i="10" a="1"/>
  <c r="K166" i="10" s="1"/>
  <c r="K167" i="10" a="1"/>
  <c r="K167" i="10" s="1"/>
  <c r="K168" i="10" a="1"/>
  <c r="K168" i="10" s="1"/>
  <c r="K169" i="10" a="1"/>
  <c r="K169" i="10" s="1"/>
  <c r="K170" i="10" a="1"/>
  <c r="K170" i="10" s="1"/>
  <c r="K171" i="10" a="1"/>
  <c r="K171" i="10" s="1"/>
  <c r="K172" i="10" a="1"/>
  <c r="K172" i="10" s="1"/>
  <c r="K173" i="10" a="1"/>
  <c r="K173" i="10" s="1"/>
  <c r="K174" i="10" a="1"/>
  <c r="K174" i="10" s="1"/>
  <c r="K175" i="10" a="1"/>
  <c r="K175" i="10" s="1"/>
  <c r="K176" i="10" a="1"/>
  <c r="K176" i="10" s="1"/>
  <c r="K177" i="10" a="1"/>
  <c r="K177" i="10" s="1"/>
  <c r="K178" i="10" a="1"/>
  <c r="K178" i="10" s="1"/>
  <c r="K179" i="10" a="1"/>
  <c r="K179" i="10" s="1"/>
  <c r="K180" i="10" a="1"/>
  <c r="K180" i="10" s="1"/>
  <c r="K181" i="10" a="1"/>
  <c r="K181" i="10" s="1"/>
  <c r="K182" i="10" a="1"/>
  <c r="K182" i="10" s="1"/>
  <c r="K183" i="10" a="1"/>
  <c r="K183" i="10" s="1"/>
  <c r="K184" i="10" a="1"/>
  <c r="K184" i="10" s="1"/>
  <c r="K185" i="10" a="1"/>
  <c r="K185" i="10" s="1"/>
  <c r="K186" i="10" a="1"/>
  <c r="K186" i="10" s="1"/>
  <c r="K187" i="10" a="1"/>
  <c r="K187" i="10" s="1"/>
  <c r="K188" i="10" a="1"/>
  <c r="K188" i="10" s="1"/>
  <c r="K189" i="10" a="1"/>
  <c r="K189" i="10" s="1"/>
  <c r="K190" i="10" a="1"/>
  <c r="K190" i="10" s="1"/>
  <c r="K191" i="10" a="1"/>
  <c r="K191" i="10" s="1"/>
  <c r="K192" i="10" a="1"/>
  <c r="K192" i="10" s="1"/>
  <c r="K193" i="10" a="1"/>
  <c r="K193" i="10" s="1"/>
  <c r="K194" i="10" a="1"/>
  <c r="K194" i="10" s="1"/>
  <c r="K195" i="10" a="1"/>
  <c r="K195" i="10" s="1"/>
  <c r="K196" i="10" a="1"/>
  <c r="K196" i="10" s="1"/>
  <c r="K197" i="10" a="1"/>
  <c r="K197" i="10" s="1"/>
  <c r="K198" i="10" a="1"/>
  <c r="K198" i="10" s="1"/>
  <c r="K199" i="10" a="1"/>
  <c r="K199" i="10" s="1"/>
  <c r="K200" i="10" a="1"/>
  <c r="K200" i="10" s="1"/>
  <c r="K201" i="10" a="1"/>
  <c r="K201" i="10" s="1"/>
  <c r="K202" i="10" a="1"/>
  <c r="K202" i="10" s="1"/>
  <c r="K203" i="10" a="1"/>
  <c r="K203" i="10" s="1"/>
  <c r="K204" i="10" a="1"/>
  <c r="K204" i="10" s="1"/>
  <c r="K205" i="10" a="1"/>
  <c r="K205" i="10" s="1"/>
  <c r="K206" i="10" a="1"/>
  <c r="K206" i="10" s="1"/>
  <c r="K207" i="10" a="1"/>
  <c r="K207" i="10" s="1"/>
  <c r="K208" i="10" a="1"/>
  <c r="K208" i="10" s="1"/>
  <c r="K209" i="10" a="1"/>
  <c r="K209" i="10" s="1"/>
  <c r="K210" i="10" a="1"/>
  <c r="K210" i="10" s="1"/>
  <c r="K211" i="10" a="1"/>
  <c r="K211" i="10" s="1"/>
  <c r="K212" i="10" a="1"/>
  <c r="K212" i="10" s="1"/>
  <c r="K213" i="10" a="1"/>
  <c r="K213" i="10" s="1"/>
  <c r="K214" i="10" a="1"/>
  <c r="K214" i="10" s="1"/>
  <c r="K215" i="10" a="1"/>
  <c r="K215" i="10" s="1"/>
  <c r="K216" i="10" a="1"/>
  <c r="K216" i="10" s="1"/>
  <c r="K217" i="10" a="1"/>
  <c r="K217" i="10" s="1"/>
  <c r="K218" i="10" a="1"/>
  <c r="K218" i="10" s="1"/>
  <c r="K219" i="10" a="1"/>
  <c r="K219" i="10" s="1"/>
  <c r="K220" i="10" a="1"/>
  <c r="K220" i="10" s="1"/>
  <c r="K221" i="10" a="1"/>
  <c r="K221" i="10" s="1"/>
  <c r="K222" i="10" a="1"/>
  <c r="K222" i="10" s="1"/>
  <c r="K223" i="10" a="1"/>
  <c r="K223" i="10" s="1"/>
  <c r="K224" i="10" a="1"/>
  <c r="K224" i="10" s="1"/>
  <c r="K225" i="10" a="1"/>
  <c r="K225" i="10" s="1"/>
  <c r="K226" i="10" a="1"/>
  <c r="K226" i="10" s="1"/>
  <c r="K227" i="10" a="1"/>
  <c r="K227" i="10" s="1"/>
  <c r="K228" i="10" a="1"/>
  <c r="K228" i="10" s="1"/>
  <c r="K229" i="10" a="1"/>
  <c r="K229" i="10" s="1"/>
  <c r="K230" i="10" a="1"/>
  <c r="K230" i="10" s="1"/>
  <c r="K231" i="10" a="1"/>
  <c r="K231" i="10" s="1"/>
  <c r="K232" i="10" a="1"/>
  <c r="K232" i="10" s="1"/>
  <c r="K233" i="10" a="1"/>
  <c r="K233" i="10" s="1"/>
  <c r="K234" i="10" a="1"/>
  <c r="K234" i="10" s="1"/>
  <c r="K235" i="10" a="1"/>
  <c r="K235" i="10" s="1"/>
  <c r="K236" i="10" a="1"/>
  <c r="K236" i="10" s="1"/>
  <c r="K237" i="10" a="1"/>
  <c r="K237" i="10" s="1"/>
  <c r="K238" i="10" a="1"/>
  <c r="K238" i="10" s="1"/>
  <c r="K239" i="10" a="1"/>
  <c r="K239" i="10" s="1"/>
  <c r="K240" i="10" a="1"/>
  <c r="K240" i="10" s="1"/>
  <c r="K241" i="10" a="1"/>
  <c r="K241" i="10" s="1"/>
  <c r="K242" i="10" a="1"/>
  <c r="K242" i="10" s="1"/>
  <c r="K243" i="10" a="1"/>
  <c r="K243" i="10" s="1"/>
  <c r="K244" i="10" a="1"/>
  <c r="K244" i="10" s="1"/>
  <c r="K245" i="10" a="1"/>
  <c r="K245" i="10" s="1"/>
  <c r="K246" i="10" a="1"/>
  <c r="K246" i="10" s="1"/>
  <c r="K247" i="10" a="1"/>
  <c r="K247" i="10" s="1"/>
  <c r="K248" i="10" a="1"/>
  <c r="K248" i="10" s="1"/>
  <c r="K249" i="10" a="1"/>
  <c r="K249" i="10" s="1"/>
  <c r="K250" i="10" a="1"/>
  <c r="K250" i="10" s="1"/>
  <c r="K251" i="10" a="1"/>
  <c r="K251" i="10" s="1"/>
  <c r="K252" i="10" a="1"/>
  <c r="K252" i="10" s="1"/>
  <c r="K253" i="10" a="1"/>
  <c r="K253" i="10" s="1"/>
  <c r="K254" i="10" a="1"/>
  <c r="K254" i="10" s="1"/>
  <c r="K255" i="10" a="1"/>
  <c r="K255" i="10" s="1"/>
  <c r="K256" i="10" a="1"/>
  <c r="K256" i="10" s="1"/>
  <c r="K257" i="10" a="1"/>
  <c r="K257" i="10" s="1"/>
  <c r="K258" i="10" a="1"/>
  <c r="K258" i="10" s="1"/>
  <c r="K259" i="10" a="1"/>
  <c r="K259" i="10" s="1"/>
  <c r="K260" i="10" a="1"/>
  <c r="K260" i="10" s="1"/>
  <c r="K261" i="10" a="1"/>
  <c r="K261" i="10" s="1"/>
  <c r="K262" i="10" a="1"/>
  <c r="K262" i="10" s="1"/>
  <c r="K263" i="10" a="1"/>
  <c r="K263" i="10" s="1"/>
  <c r="K264" i="10" a="1"/>
  <c r="K264" i="10" s="1"/>
  <c r="K265" i="10" a="1"/>
  <c r="K265" i="10" s="1"/>
  <c r="K266" i="10" a="1"/>
  <c r="K266" i="10" s="1"/>
  <c r="K267" i="10" a="1"/>
  <c r="K267" i="10" s="1"/>
  <c r="K268" i="10" a="1"/>
  <c r="K268" i="10" s="1"/>
  <c r="K269" i="10" a="1"/>
  <c r="K269" i="10" s="1"/>
  <c r="K270" i="10" a="1"/>
  <c r="K270" i="10" s="1"/>
  <c r="K271" i="10" a="1"/>
  <c r="K271" i="10" s="1"/>
  <c r="K272" i="10" a="1"/>
  <c r="K272" i="10" s="1"/>
  <c r="K273" i="10" a="1"/>
  <c r="K273" i="10" s="1"/>
  <c r="K274" i="10" a="1"/>
  <c r="K274" i="10" s="1"/>
  <c r="K275" i="10" a="1"/>
  <c r="K275" i="10" s="1"/>
  <c r="K276" i="10" a="1"/>
  <c r="K276" i="10" s="1"/>
  <c r="K277" i="10" a="1"/>
  <c r="K277" i="10" s="1"/>
  <c r="K278" i="10" a="1"/>
  <c r="K278" i="10" s="1"/>
  <c r="K279" i="10" a="1"/>
  <c r="K279" i="10" s="1"/>
  <c r="K280" i="10" a="1"/>
  <c r="K280" i="10" s="1"/>
  <c r="K281" i="10" a="1"/>
  <c r="K281" i="10" s="1"/>
  <c r="K282" i="10" a="1"/>
  <c r="K282" i="10" s="1"/>
  <c r="K283" i="10" a="1"/>
  <c r="K283" i="10" s="1"/>
  <c r="K284" i="10" a="1"/>
  <c r="K284" i="10" s="1"/>
  <c r="K285" i="10" a="1"/>
  <c r="K285" i="10" s="1"/>
  <c r="K286" i="10" a="1"/>
  <c r="K286" i="10" s="1"/>
  <c r="K287" i="10" a="1"/>
  <c r="K287" i="10" s="1"/>
  <c r="K288" i="10" a="1"/>
  <c r="K288" i="10" s="1"/>
  <c r="K289" i="10" a="1"/>
  <c r="K289" i="10" s="1"/>
  <c r="K290" i="10" a="1"/>
  <c r="K290" i="10" s="1"/>
  <c r="K291" i="10" a="1"/>
  <c r="K291" i="10" s="1"/>
  <c r="K292" i="10" a="1"/>
  <c r="K292" i="10" s="1"/>
  <c r="K293" i="10" a="1"/>
  <c r="K293" i="10" s="1"/>
  <c r="K294" i="10" a="1"/>
  <c r="K294" i="10" s="1"/>
  <c r="K295" i="10" a="1"/>
  <c r="K295" i="10" s="1"/>
  <c r="K296" i="10" a="1"/>
  <c r="K296" i="10" s="1"/>
  <c r="K297" i="10" a="1"/>
  <c r="K297" i="10" s="1"/>
  <c r="K298" i="10" a="1"/>
  <c r="K298" i="10" s="1"/>
  <c r="K299" i="10" a="1"/>
  <c r="K299" i="10" s="1"/>
  <c r="K300" i="10" a="1"/>
  <c r="K300" i="10" s="1"/>
  <c r="K301" i="10" a="1"/>
  <c r="K301" i="10" s="1"/>
  <c r="K302" i="10" a="1"/>
  <c r="K302" i="10" s="1"/>
  <c r="K303" i="10" a="1"/>
  <c r="K303" i="10" s="1"/>
  <c r="K304" i="10" a="1"/>
  <c r="K304" i="10" s="1"/>
  <c r="K305" i="10" a="1"/>
  <c r="K305" i="10" s="1"/>
  <c r="K306" i="10" a="1"/>
  <c r="K306" i="10" s="1"/>
  <c r="K307" i="10" a="1"/>
  <c r="K307" i="10" s="1"/>
  <c r="K308" i="10" a="1"/>
  <c r="K308" i="10" s="1"/>
  <c r="K309" i="10" a="1"/>
  <c r="K309" i="10" s="1"/>
  <c r="K310" i="10" a="1"/>
  <c r="K310" i="10" s="1"/>
  <c r="K311" i="10" a="1"/>
  <c r="K311" i="10" s="1"/>
  <c r="K312" i="10" a="1"/>
  <c r="K312" i="10" s="1"/>
  <c r="K313" i="10" a="1"/>
  <c r="K313" i="10" s="1"/>
  <c r="K314" i="10" a="1"/>
  <c r="K314" i="10" s="1"/>
  <c r="K315" i="10" a="1"/>
  <c r="K315" i="10" s="1"/>
  <c r="K316" i="10" a="1"/>
  <c r="K316" i="10" s="1"/>
  <c r="K317" i="10" a="1"/>
  <c r="K317" i="10" s="1"/>
  <c r="K318" i="10" a="1"/>
  <c r="K318" i="10" s="1"/>
  <c r="K319" i="10" a="1"/>
  <c r="K319" i="10" s="1"/>
  <c r="K320" i="10" a="1"/>
  <c r="K320" i="10" s="1"/>
  <c r="K321" i="10" a="1"/>
  <c r="K321" i="10" s="1"/>
  <c r="K322" i="10" a="1"/>
  <c r="K322" i="10" s="1"/>
  <c r="K323" i="10" a="1"/>
  <c r="K323" i="10" s="1"/>
  <c r="K324" i="10" a="1"/>
  <c r="K324" i="10" s="1"/>
  <c r="K325" i="10" a="1"/>
  <c r="K325" i="10" s="1"/>
  <c r="K326" i="10" a="1"/>
  <c r="K326" i="10" s="1"/>
  <c r="K327" i="10" a="1"/>
  <c r="K327" i="10" s="1"/>
  <c r="K328" i="10" a="1"/>
  <c r="K328" i="10" s="1"/>
  <c r="K329" i="10" a="1"/>
  <c r="K329" i="10" s="1"/>
  <c r="K330" i="10" a="1"/>
  <c r="K330" i="10" s="1"/>
  <c r="K331" i="10" a="1"/>
  <c r="K331" i="10" s="1"/>
  <c r="K332" i="10" a="1"/>
  <c r="K332" i="10" s="1"/>
  <c r="K333" i="10" a="1"/>
  <c r="K333" i="10" s="1"/>
  <c r="K334" i="10" a="1"/>
  <c r="K334" i="10" s="1"/>
  <c r="K335" i="10" a="1"/>
  <c r="K335" i="10" s="1"/>
  <c r="K336" i="10" a="1"/>
  <c r="K336" i="10" s="1"/>
  <c r="K337" i="10" a="1"/>
  <c r="K337" i="10" s="1"/>
  <c r="K338" i="10" a="1"/>
  <c r="K338" i="10" s="1"/>
  <c r="K339" i="10" a="1"/>
  <c r="K339" i="10" s="1"/>
  <c r="K340" i="10" a="1"/>
  <c r="K340" i="10" s="1"/>
  <c r="K341" i="10" a="1"/>
  <c r="K341" i="10" s="1"/>
  <c r="K342" i="10" a="1"/>
  <c r="K342" i="10" s="1"/>
  <c r="K343" i="10" a="1"/>
  <c r="K343" i="10" s="1"/>
  <c r="K344" i="10" a="1"/>
  <c r="K344" i="10" s="1"/>
  <c r="K345" i="10" a="1"/>
  <c r="K345" i="10" s="1"/>
  <c r="K346" i="10" a="1"/>
  <c r="K346" i="10" s="1"/>
  <c r="K347" i="10" a="1"/>
  <c r="K347" i="10" s="1"/>
  <c r="K348" i="10" a="1"/>
  <c r="K348" i="10" s="1"/>
  <c r="K349" i="10" a="1"/>
  <c r="K349" i="10" s="1"/>
  <c r="K350" i="10" a="1"/>
  <c r="K350" i="10" s="1"/>
  <c r="K351" i="10" a="1"/>
  <c r="K351" i="10" s="1"/>
  <c r="K352" i="10" a="1"/>
  <c r="K352" i="10" s="1"/>
  <c r="K353" i="10" a="1"/>
  <c r="K353" i="10" s="1"/>
  <c r="K354" i="10" a="1"/>
  <c r="K354" i="10" s="1"/>
  <c r="K355" i="10" a="1"/>
  <c r="K355" i="10" s="1"/>
  <c r="K356" i="10" a="1"/>
  <c r="K356" i="10" s="1"/>
  <c r="K357" i="10" a="1"/>
  <c r="K357" i="10" s="1"/>
  <c r="K358" i="10" a="1"/>
  <c r="K358" i="10" s="1"/>
  <c r="K359" i="10" a="1"/>
  <c r="K359" i="10" s="1"/>
  <c r="K360" i="10" a="1"/>
  <c r="K360" i="10" s="1"/>
  <c r="K361" i="10" a="1"/>
  <c r="K361" i="10" s="1"/>
  <c r="K362" i="10" a="1"/>
  <c r="K362" i="10" s="1"/>
  <c r="K363" i="10" a="1"/>
  <c r="K363" i="10" s="1"/>
  <c r="K364" i="10" a="1"/>
  <c r="K364" i="10" s="1"/>
  <c r="K365" i="10" a="1"/>
  <c r="K365" i="10" s="1"/>
  <c r="K366" i="10" a="1"/>
  <c r="K366" i="10" s="1"/>
  <c r="K367" i="10" a="1"/>
  <c r="K367" i="10" s="1"/>
  <c r="K368" i="10" a="1"/>
  <c r="K368" i="10" s="1"/>
  <c r="K369" i="10" a="1"/>
  <c r="K369" i="10" s="1"/>
  <c r="K370" i="10" a="1"/>
  <c r="K370" i="10" s="1"/>
  <c r="K371" i="10" a="1"/>
  <c r="K371" i="10" s="1"/>
  <c r="K372" i="10" a="1"/>
  <c r="K372" i="10" s="1"/>
  <c r="K373" i="10" a="1"/>
  <c r="K373" i="10" s="1"/>
  <c r="K374" i="10" a="1"/>
  <c r="K374" i="10" s="1"/>
  <c r="K375" i="10" a="1"/>
  <c r="K375" i="10" s="1"/>
  <c r="K376" i="10" a="1"/>
  <c r="K376" i="10" s="1"/>
  <c r="K377" i="10" a="1"/>
  <c r="K377" i="10" s="1"/>
  <c r="K378" i="10" a="1"/>
  <c r="K378" i="10" s="1"/>
  <c r="K379" i="10" a="1"/>
  <c r="K379" i="10" s="1"/>
  <c r="K380" i="10" a="1"/>
  <c r="K380" i="10" s="1"/>
  <c r="K381" i="10" a="1"/>
  <c r="K381" i="10" s="1"/>
  <c r="K382" i="10" a="1"/>
  <c r="K382" i="10" s="1"/>
  <c r="K383" i="10" a="1"/>
  <c r="K383" i="10" s="1"/>
  <c r="K384" i="10" a="1"/>
  <c r="K384" i="10" s="1"/>
  <c r="K385" i="10" a="1"/>
  <c r="K385" i="10" s="1"/>
  <c r="K386" i="10" a="1"/>
  <c r="K386" i="10" s="1"/>
  <c r="K387" i="10" a="1"/>
  <c r="K387" i="10" s="1"/>
  <c r="K388" i="10" a="1"/>
  <c r="K388" i="10" s="1"/>
  <c r="K389" i="10" a="1"/>
  <c r="K389" i="10" s="1"/>
  <c r="K390" i="10" a="1"/>
  <c r="K390" i="10" s="1"/>
  <c r="K391" i="10" a="1"/>
  <c r="K391" i="10" s="1"/>
  <c r="K392" i="10" a="1"/>
  <c r="K392" i="10" s="1"/>
  <c r="K393" i="10" a="1"/>
  <c r="K393" i="10" s="1"/>
  <c r="K394" i="10" a="1"/>
  <c r="K394" i="10" s="1"/>
  <c r="K395" i="10" a="1"/>
  <c r="K395" i="10" s="1"/>
  <c r="K396" i="10" a="1"/>
  <c r="K396" i="10" s="1"/>
  <c r="K397" i="10" a="1"/>
  <c r="K397" i="10" s="1"/>
  <c r="K398" i="10" a="1"/>
  <c r="K398" i="10" s="1"/>
  <c r="K399" i="10" a="1"/>
  <c r="K399" i="10" s="1"/>
  <c r="K400" i="10" a="1"/>
  <c r="K400" i="10" s="1"/>
  <c r="K401" i="10" a="1"/>
  <c r="K401" i="10" s="1"/>
  <c r="K402" i="10" a="1"/>
  <c r="K402" i="10" s="1"/>
  <c r="K403" i="10" a="1"/>
  <c r="K403" i="10" s="1"/>
  <c r="K404" i="10" a="1"/>
  <c r="K404" i="10" s="1"/>
  <c r="K405" i="10" a="1"/>
  <c r="K405" i="10" s="1"/>
  <c r="K406" i="10" a="1"/>
  <c r="K406" i="10" s="1"/>
  <c r="K407" i="10" a="1"/>
  <c r="K407" i="10" s="1"/>
  <c r="K408" i="10" a="1"/>
  <c r="K408" i="10" s="1"/>
  <c r="K409" i="10" a="1"/>
  <c r="K409" i="10" s="1"/>
  <c r="K410" i="10" a="1"/>
  <c r="K410" i="10" s="1"/>
  <c r="K411" i="10" a="1"/>
  <c r="K411" i="10" s="1"/>
  <c r="K412" i="10" a="1"/>
  <c r="K412" i="10" s="1"/>
  <c r="K413" i="10" a="1"/>
  <c r="K413" i="10" s="1"/>
  <c r="K414" i="10" a="1"/>
  <c r="K414" i="10" s="1"/>
  <c r="K415" i="10" a="1"/>
  <c r="K415" i="10" s="1"/>
  <c r="K416" i="10" a="1"/>
  <c r="K416" i="10" s="1"/>
  <c r="K417" i="10" a="1"/>
  <c r="K417" i="10" s="1"/>
  <c r="K418" i="10" a="1"/>
  <c r="K418" i="10" s="1"/>
  <c r="K419" i="10" a="1"/>
  <c r="K419" i="10" s="1"/>
  <c r="K420" i="10" a="1"/>
  <c r="K420" i="10" s="1"/>
  <c r="K421" i="10" a="1"/>
  <c r="K421" i="10" s="1"/>
  <c r="K422" i="10" a="1"/>
  <c r="K422" i="10" s="1"/>
  <c r="K423" i="10" a="1"/>
  <c r="K423" i="10" s="1"/>
  <c r="K424" i="10" a="1"/>
  <c r="K424" i="10" s="1"/>
  <c r="K425" i="10" a="1"/>
  <c r="K425" i="10" s="1"/>
  <c r="K426" i="10" a="1"/>
  <c r="K426" i="10" s="1"/>
  <c r="K427" i="10" a="1"/>
  <c r="K427" i="10" s="1"/>
  <c r="K428" i="10" a="1"/>
  <c r="K428" i="10" s="1"/>
  <c r="K429" i="10" a="1"/>
  <c r="K429" i="10" s="1"/>
  <c r="K430" i="10" a="1"/>
  <c r="K430" i="10" s="1"/>
  <c r="K431" i="10" a="1"/>
  <c r="K431" i="10" s="1"/>
  <c r="K432" i="10" a="1"/>
  <c r="K432" i="10" s="1"/>
  <c r="K433" i="10" a="1"/>
  <c r="K433" i="10" s="1"/>
  <c r="K434" i="10" a="1"/>
  <c r="K434" i="10" s="1"/>
  <c r="K435" i="10" a="1"/>
  <c r="K435" i="10" s="1"/>
  <c r="K436" i="10" a="1"/>
  <c r="K436" i="10" s="1"/>
  <c r="K437" i="10" a="1"/>
  <c r="K437" i="10" s="1"/>
  <c r="K438" i="10" a="1"/>
  <c r="K438" i="10" s="1"/>
  <c r="K439" i="10" a="1"/>
  <c r="K439" i="10" s="1"/>
  <c r="K440" i="10" a="1"/>
  <c r="K440" i="10" s="1"/>
  <c r="K441" i="10" a="1"/>
  <c r="K441" i="10" s="1"/>
  <c r="K442" i="10" a="1"/>
  <c r="K442" i="10" s="1"/>
  <c r="K443" i="10" a="1"/>
  <c r="K443" i="10" s="1"/>
  <c r="K444" i="10" a="1"/>
  <c r="K444" i="10" s="1"/>
  <c r="K445" i="10" a="1"/>
  <c r="K445" i="10" s="1"/>
  <c r="K446" i="10" a="1"/>
  <c r="K446" i="10" s="1"/>
  <c r="K447" i="10" a="1"/>
  <c r="K447" i="10" s="1"/>
  <c r="K448" i="10" a="1"/>
  <c r="K448" i="10" s="1"/>
  <c r="K449" i="10" a="1"/>
  <c r="K449" i="10" s="1"/>
  <c r="K450" i="10" a="1"/>
  <c r="K450" i="10" s="1"/>
  <c r="K451" i="10" a="1"/>
  <c r="K451" i="10" s="1"/>
  <c r="K452" i="10" a="1"/>
  <c r="K452" i="10" s="1"/>
  <c r="K453" i="10" a="1"/>
  <c r="K453" i="10" s="1"/>
  <c r="K454" i="10" a="1"/>
  <c r="K454" i="10" s="1"/>
  <c r="K455" i="10" a="1"/>
  <c r="K455" i="10" s="1"/>
  <c r="K456" i="10" a="1"/>
  <c r="K456" i="10" s="1"/>
  <c r="K457" i="10" a="1"/>
  <c r="K457" i="10" s="1"/>
  <c r="K458" i="10" a="1"/>
  <c r="K458" i="10" s="1"/>
  <c r="K459" i="10" a="1"/>
  <c r="K459" i="10" s="1"/>
  <c r="K460" i="10" a="1"/>
  <c r="K460" i="10" s="1"/>
  <c r="K461" i="10" a="1"/>
  <c r="K461" i="10" s="1"/>
  <c r="K462" i="10" a="1"/>
  <c r="K462" i="10" s="1"/>
  <c r="K463" i="10" a="1"/>
  <c r="K463" i="10" s="1"/>
  <c r="K464" i="10" a="1"/>
  <c r="K464" i="10" s="1"/>
  <c r="K465" i="10" a="1"/>
  <c r="K465" i="10" s="1"/>
  <c r="K466" i="10" a="1"/>
  <c r="K466" i="10" s="1"/>
  <c r="K467" i="10" a="1"/>
  <c r="K467" i="10" s="1"/>
  <c r="K468" i="10" a="1"/>
  <c r="K468" i="10" s="1"/>
  <c r="K469" i="10" a="1"/>
  <c r="K469" i="10" s="1"/>
  <c r="K470" i="10" a="1"/>
  <c r="K470" i="10" s="1"/>
  <c r="K471" i="10" a="1"/>
  <c r="K471" i="10" s="1"/>
  <c r="K472" i="10" a="1"/>
  <c r="K472" i="10" s="1"/>
  <c r="K473" i="10" a="1"/>
  <c r="K473" i="10" s="1"/>
  <c r="K474" i="10" a="1"/>
  <c r="K474" i="10" s="1"/>
  <c r="K475" i="10" a="1"/>
  <c r="K475" i="10" s="1"/>
  <c r="K476" i="10" a="1"/>
  <c r="K476" i="10" s="1"/>
  <c r="K477" i="10" a="1"/>
  <c r="K477" i="10" s="1"/>
  <c r="K478" i="10" a="1"/>
  <c r="K478" i="10" s="1"/>
  <c r="K479" i="10" a="1"/>
  <c r="K479" i="10" s="1"/>
  <c r="K480" i="10" a="1"/>
  <c r="K480" i="10" s="1"/>
  <c r="K481" i="10" a="1"/>
  <c r="K481" i="10" s="1"/>
  <c r="K482" i="10" a="1"/>
  <c r="K482" i="10" s="1"/>
  <c r="K483" i="10" a="1"/>
  <c r="K483" i="10" s="1"/>
  <c r="K484" i="10" a="1"/>
  <c r="K484" i="10" s="1"/>
  <c r="K485" i="10" a="1"/>
  <c r="K485" i="10" s="1"/>
  <c r="K486" i="10" a="1"/>
  <c r="K486" i="10" s="1"/>
  <c r="K487" i="10" a="1"/>
  <c r="K487" i="10" s="1"/>
  <c r="K488" i="10" a="1"/>
  <c r="K488" i="10" s="1"/>
  <c r="K489" i="10" a="1"/>
  <c r="K489" i="10" s="1"/>
  <c r="K490" i="10" a="1"/>
  <c r="K490" i="10" s="1"/>
  <c r="K491" i="10" a="1"/>
  <c r="K491" i="10" s="1"/>
  <c r="K492" i="10" a="1"/>
  <c r="K492" i="10" s="1"/>
  <c r="K493" i="10" a="1"/>
  <c r="K493" i="10" s="1"/>
  <c r="K494" i="10" a="1"/>
  <c r="K494" i="10" s="1"/>
  <c r="K495" i="10" a="1"/>
  <c r="K495" i="10" s="1"/>
  <c r="K496" i="10" a="1"/>
  <c r="K496" i="10" s="1"/>
  <c r="K497" i="10" a="1"/>
  <c r="K497" i="10" s="1"/>
  <c r="K498" i="10" a="1"/>
  <c r="K498" i="10" s="1"/>
  <c r="K499" i="10" a="1"/>
  <c r="K499" i="10" s="1"/>
  <c r="K500" i="10" a="1"/>
  <c r="K500" i="10" s="1"/>
  <c r="K501" i="10" a="1"/>
  <c r="K501" i="10" s="1"/>
  <c r="K502" i="10" a="1"/>
  <c r="K502" i="10" s="1"/>
  <c r="K503" i="10" a="1"/>
  <c r="K503" i="10" s="1"/>
  <c r="K504" i="10" a="1"/>
  <c r="K504" i="10" s="1"/>
  <c r="K505" i="10" a="1"/>
  <c r="K505" i="10" s="1"/>
  <c r="K506" i="10" a="1"/>
  <c r="K506" i="10" s="1"/>
  <c r="K507" i="10" a="1"/>
  <c r="K507" i="10" s="1"/>
  <c r="K508" i="10" a="1"/>
  <c r="K508" i="10" s="1"/>
  <c r="K509" i="10" a="1"/>
  <c r="K509" i="10" s="1"/>
  <c r="K510" i="10" a="1"/>
  <c r="K510" i="10" s="1"/>
  <c r="K511" i="10" a="1"/>
  <c r="K511" i="10" s="1"/>
  <c r="K512" i="10" a="1"/>
  <c r="K512" i="10" s="1"/>
  <c r="K513" i="10" a="1"/>
  <c r="K513" i="10" s="1"/>
  <c r="K514" i="10" a="1"/>
  <c r="K514" i="10" s="1"/>
  <c r="K515" i="10" a="1"/>
  <c r="K515" i="10" s="1"/>
  <c r="K516" i="10" a="1"/>
  <c r="K516" i="10" s="1"/>
  <c r="K517" i="10" a="1"/>
  <c r="K517" i="10" s="1"/>
  <c r="K518" i="10" a="1"/>
  <c r="K518" i="10" s="1"/>
  <c r="K519" i="10" a="1"/>
  <c r="K519" i="10" s="1"/>
  <c r="K520" i="10" a="1"/>
  <c r="K520" i="10" s="1"/>
  <c r="K521" i="10" a="1"/>
  <c r="K521" i="10" s="1"/>
  <c r="K522" i="10" a="1"/>
  <c r="K522" i="10" s="1"/>
  <c r="K523" i="10" a="1"/>
  <c r="K523" i="10" s="1"/>
  <c r="K524" i="10" a="1"/>
  <c r="K524" i="10" s="1"/>
  <c r="K525" i="10" a="1"/>
  <c r="K525" i="10" s="1"/>
  <c r="K526" i="10" a="1"/>
  <c r="K526" i="10" s="1"/>
  <c r="K527" i="10" a="1"/>
  <c r="K527" i="10" s="1"/>
  <c r="K528" i="10" a="1"/>
  <c r="K528" i="10" s="1"/>
  <c r="K529" i="10" a="1"/>
  <c r="K529" i="10" s="1"/>
  <c r="K530" i="10" a="1"/>
  <c r="K530" i="10" s="1"/>
  <c r="K531" i="10" a="1"/>
  <c r="K531" i="10" s="1"/>
  <c r="K532" i="10" a="1"/>
  <c r="K532" i="10" s="1"/>
  <c r="K533" i="10" a="1"/>
  <c r="K533" i="10" s="1"/>
  <c r="K534" i="10" a="1"/>
  <c r="K534" i="10" s="1"/>
  <c r="K535" i="10" a="1"/>
  <c r="K535" i="10" s="1"/>
  <c r="K536" i="10" a="1"/>
  <c r="K536" i="10" s="1"/>
  <c r="K537" i="10" a="1"/>
  <c r="K537" i="10" s="1"/>
  <c r="K538" i="10" a="1"/>
  <c r="K538" i="10" s="1"/>
  <c r="K539" i="10" a="1"/>
  <c r="K539" i="10" s="1"/>
  <c r="K540" i="10" a="1"/>
  <c r="K540" i="10" s="1"/>
  <c r="K541" i="10" a="1"/>
  <c r="K541" i="10" s="1"/>
  <c r="K542" i="10" a="1"/>
  <c r="K542" i="10" s="1"/>
  <c r="K543" i="10" a="1"/>
  <c r="K543" i="10" s="1"/>
  <c r="K544" i="10" a="1"/>
  <c r="K544" i="10" s="1"/>
  <c r="K545" i="10" a="1"/>
  <c r="K545" i="10" s="1"/>
  <c r="K546" i="10" a="1"/>
  <c r="K546" i="10" s="1"/>
  <c r="K547" i="10" a="1"/>
  <c r="K547" i="10" s="1"/>
  <c r="K548" i="10" a="1"/>
  <c r="K548" i="10" s="1"/>
  <c r="K549" i="10" a="1"/>
  <c r="K549" i="10" s="1"/>
  <c r="K550" i="10" a="1"/>
  <c r="K550" i="10" s="1"/>
  <c r="K551" i="10" a="1"/>
  <c r="K551" i="10" s="1"/>
  <c r="K552" i="10" a="1"/>
  <c r="K552" i="10" s="1"/>
  <c r="K553" i="10" a="1"/>
  <c r="K553" i="10" s="1"/>
  <c r="K554" i="10" a="1"/>
  <c r="K554" i="10" s="1"/>
  <c r="K555" i="10" a="1"/>
  <c r="K555" i="10" s="1"/>
  <c r="K556" i="10" a="1"/>
  <c r="K556" i="10" s="1"/>
  <c r="K557" i="10" a="1"/>
  <c r="K557" i="10" s="1"/>
  <c r="K558" i="10" a="1"/>
  <c r="K558" i="10" s="1"/>
  <c r="K559" i="10" a="1"/>
  <c r="K559" i="10" s="1"/>
  <c r="K560" i="10" a="1"/>
  <c r="K560" i="10" s="1"/>
  <c r="K561" i="10" a="1"/>
  <c r="K561" i="10" s="1"/>
  <c r="K562" i="10" a="1"/>
  <c r="K562" i="10" s="1"/>
  <c r="K563" i="10" a="1"/>
  <c r="K563" i="10" s="1"/>
  <c r="K564" i="10" a="1"/>
  <c r="K564" i="10" s="1"/>
  <c r="K565" i="10" a="1"/>
  <c r="K565" i="10" s="1"/>
  <c r="K566" i="10" a="1"/>
  <c r="K566" i="10" s="1"/>
  <c r="K567" i="10" a="1"/>
  <c r="K567" i="10" s="1"/>
  <c r="K568" i="10" a="1"/>
  <c r="K568" i="10" s="1"/>
  <c r="K569" i="10" a="1"/>
  <c r="K569" i="10" s="1"/>
  <c r="K570" i="10" a="1"/>
  <c r="K570" i="10" s="1"/>
  <c r="K571" i="10" a="1"/>
  <c r="K571" i="10" s="1"/>
  <c r="K572" i="10" a="1"/>
  <c r="K572" i="10" s="1"/>
  <c r="K573" i="10" a="1"/>
  <c r="K573" i="10" s="1"/>
  <c r="K574" i="10" a="1"/>
  <c r="K574" i="10" s="1"/>
  <c r="K575" i="10" a="1"/>
  <c r="K575" i="10" s="1"/>
  <c r="K576" i="10" a="1"/>
  <c r="K576" i="10" s="1"/>
  <c r="K577" i="10" a="1"/>
  <c r="K577" i="10" s="1"/>
  <c r="K578" i="10" a="1"/>
  <c r="K578" i="10" s="1"/>
  <c r="K579" i="10" a="1"/>
  <c r="K579" i="10" s="1"/>
  <c r="K580" i="10" a="1"/>
  <c r="K580" i="10" s="1"/>
  <c r="K581" i="10" a="1"/>
  <c r="K581" i="10" s="1"/>
  <c r="K582" i="10" a="1"/>
  <c r="K582" i="10" s="1"/>
  <c r="K583" i="10" a="1"/>
  <c r="K583" i="10" s="1"/>
  <c r="K584" i="10" a="1"/>
  <c r="K584" i="10" s="1"/>
  <c r="K585" i="10" a="1"/>
  <c r="K585" i="10" s="1"/>
  <c r="K586" i="10" a="1"/>
  <c r="K586" i="10" s="1"/>
  <c r="K587" i="10" a="1"/>
  <c r="K587" i="10" s="1"/>
  <c r="K588" i="10" a="1"/>
  <c r="K588" i="10" s="1"/>
  <c r="K589" i="10" a="1"/>
  <c r="K589" i="10" s="1"/>
  <c r="K590" i="10" a="1"/>
  <c r="K590" i="10" s="1"/>
  <c r="K591" i="10" a="1"/>
  <c r="K591" i="10" s="1"/>
  <c r="K592" i="10" a="1"/>
  <c r="K592" i="10" s="1"/>
  <c r="K593" i="10" a="1"/>
  <c r="K593" i="10" s="1"/>
  <c r="K594" i="10" a="1"/>
  <c r="K594" i="10" s="1"/>
  <c r="K595" i="10" a="1"/>
  <c r="K595" i="10" s="1"/>
  <c r="K596" i="10" a="1"/>
  <c r="K596" i="10" s="1"/>
  <c r="K597" i="10" a="1"/>
  <c r="K597" i="10" s="1"/>
  <c r="K598" i="10" a="1"/>
  <c r="K598" i="10" s="1"/>
  <c r="K599" i="10" a="1"/>
  <c r="K599" i="10" s="1"/>
  <c r="K600" i="10" a="1"/>
  <c r="K600" i="10" s="1"/>
  <c r="K601" i="10" a="1"/>
  <c r="K601" i="10" s="1"/>
  <c r="K602" i="10" a="1"/>
  <c r="K602" i="10" s="1"/>
  <c r="K603" i="10" a="1"/>
  <c r="K603" i="10" s="1"/>
  <c r="K604" i="10" a="1"/>
  <c r="K604" i="10" s="1"/>
  <c r="K605" i="10" a="1"/>
  <c r="K605" i="10" s="1"/>
  <c r="K606" i="10" a="1"/>
  <c r="K606" i="10" s="1"/>
  <c r="K607" i="10" a="1"/>
  <c r="K607" i="10" s="1"/>
  <c r="K608" i="10" a="1"/>
  <c r="K608" i="10" s="1"/>
  <c r="K609" i="10" a="1"/>
  <c r="K609" i="10" s="1"/>
  <c r="K610" i="10" a="1"/>
  <c r="K610" i="10" s="1"/>
  <c r="K611" i="10" a="1"/>
  <c r="K611" i="10" s="1"/>
  <c r="K612" i="10" a="1"/>
  <c r="K612" i="10" s="1"/>
  <c r="K613" i="10" a="1"/>
  <c r="K613" i="10" s="1"/>
  <c r="K614" i="10" a="1"/>
  <c r="K614" i="10" s="1"/>
  <c r="K615" i="10" a="1"/>
  <c r="K615" i="10" s="1"/>
  <c r="K616" i="10" a="1"/>
  <c r="K616" i="10" s="1"/>
  <c r="K617" i="10" a="1"/>
  <c r="K617" i="10" s="1"/>
  <c r="K618" i="10" a="1"/>
  <c r="K618" i="10" s="1"/>
  <c r="K619" i="10" a="1"/>
  <c r="K619" i="10" s="1"/>
  <c r="K620" i="10" a="1"/>
  <c r="K620" i="10" s="1"/>
  <c r="K621" i="10" a="1"/>
  <c r="K621" i="10" s="1"/>
  <c r="K622" i="10" a="1"/>
  <c r="K622" i="10" s="1"/>
  <c r="K623" i="10" a="1"/>
  <c r="K623" i="10" s="1"/>
  <c r="K624" i="10" a="1"/>
  <c r="K624" i="10" s="1"/>
  <c r="K625" i="10" a="1"/>
  <c r="K625" i="10" s="1"/>
  <c r="K626" i="10" a="1"/>
  <c r="K626" i="10" s="1"/>
  <c r="K627" i="10" a="1"/>
  <c r="K627" i="10" s="1"/>
  <c r="K628" i="10" a="1"/>
  <c r="K628" i="10" s="1"/>
  <c r="K629" i="10" a="1"/>
  <c r="K629" i="10" s="1"/>
  <c r="K630" i="10" a="1"/>
  <c r="K630" i="10" s="1"/>
  <c r="K631" i="10" a="1"/>
  <c r="K631" i="10" s="1"/>
  <c r="K632" i="10" a="1"/>
  <c r="K632" i="10" s="1"/>
  <c r="K633" i="10" a="1"/>
  <c r="K633" i="10" s="1"/>
  <c r="K634" i="10" a="1"/>
  <c r="K634" i="10" s="1"/>
  <c r="K635" i="10" a="1"/>
  <c r="K635" i="10" s="1"/>
  <c r="K636" i="10" a="1"/>
  <c r="K636" i="10" s="1"/>
  <c r="K637" i="10" a="1"/>
  <c r="K637" i="10" s="1"/>
  <c r="K638" i="10" a="1"/>
  <c r="K638" i="10" s="1"/>
  <c r="K639" i="10" a="1"/>
  <c r="K639" i="10" s="1"/>
  <c r="K640" i="10" a="1"/>
  <c r="K640" i="10" s="1"/>
  <c r="K641" i="10" a="1"/>
  <c r="K641" i="10" s="1"/>
  <c r="K642" i="10" a="1"/>
  <c r="K642" i="10" s="1"/>
  <c r="K643" i="10" a="1"/>
  <c r="K643" i="10" s="1"/>
  <c r="K644" i="10" a="1"/>
  <c r="K644" i="10" s="1"/>
  <c r="K645" i="10" a="1"/>
  <c r="K645" i="10" s="1"/>
  <c r="K646" i="10" a="1"/>
  <c r="K646" i="10" s="1"/>
  <c r="K647" i="10" a="1"/>
  <c r="K647" i="10" s="1"/>
  <c r="K648" i="10" a="1"/>
  <c r="K648" i="10" s="1"/>
  <c r="K649" i="10" a="1"/>
  <c r="K649" i="10" s="1"/>
  <c r="K650" i="10" a="1"/>
  <c r="K650" i="10" s="1"/>
  <c r="K651" i="10" a="1"/>
  <c r="K651" i="10" s="1"/>
  <c r="K652" i="10" a="1"/>
  <c r="K652" i="10" s="1"/>
  <c r="K653" i="10" a="1"/>
  <c r="K653" i="10" s="1"/>
  <c r="K654" i="10" a="1"/>
  <c r="K654" i="10" s="1"/>
  <c r="K655" i="10" a="1"/>
  <c r="K655" i="10" s="1"/>
  <c r="K656" i="10" a="1"/>
  <c r="K656" i="10" s="1"/>
  <c r="K657" i="10" a="1"/>
  <c r="K657" i="10" s="1"/>
  <c r="K658" i="10" a="1"/>
  <c r="K658" i="10" s="1"/>
  <c r="K659" i="10" a="1"/>
  <c r="K659" i="10" s="1"/>
  <c r="K660" i="10" a="1"/>
  <c r="K660" i="10" s="1"/>
  <c r="K661" i="10" a="1"/>
  <c r="K661" i="10" s="1"/>
  <c r="K662" i="10" a="1"/>
  <c r="K662" i="10" s="1"/>
  <c r="K663" i="10" a="1"/>
  <c r="K663" i="10" s="1"/>
  <c r="K664" i="10" a="1"/>
  <c r="K664" i="10" s="1"/>
  <c r="K665" i="10" a="1"/>
  <c r="K665" i="10" s="1"/>
  <c r="K666" i="10" a="1"/>
  <c r="K666" i="10" s="1"/>
  <c r="K667" i="10" a="1"/>
  <c r="K667" i="10" s="1"/>
  <c r="K668" i="10" a="1"/>
  <c r="K668" i="10" s="1"/>
  <c r="K669" i="10" a="1"/>
  <c r="K669" i="10" s="1"/>
  <c r="K670" i="10" a="1"/>
  <c r="K670" i="10" s="1"/>
  <c r="K671" i="10" a="1"/>
  <c r="K671" i="10" s="1"/>
  <c r="K672" i="10" a="1"/>
  <c r="K672" i="10" s="1"/>
  <c r="K673" i="10" a="1"/>
  <c r="K673" i="10" s="1"/>
  <c r="K674" i="10" a="1"/>
  <c r="K674" i="10" s="1"/>
  <c r="K675" i="10" a="1"/>
  <c r="K675" i="10" s="1"/>
  <c r="K676" i="10" a="1"/>
  <c r="K676" i="10" s="1"/>
  <c r="K677" i="10" a="1"/>
  <c r="K677" i="10" s="1"/>
  <c r="K678" i="10" a="1"/>
  <c r="K678" i="10" s="1"/>
  <c r="K679" i="10" a="1"/>
  <c r="K679" i="10" s="1"/>
  <c r="K680" i="10" a="1"/>
  <c r="K680" i="10" s="1"/>
  <c r="K681" i="10" a="1"/>
  <c r="K681" i="10" s="1"/>
  <c r="K682" i="10" a="1"/>
  <c r="K682" i="10" s="1"/>
  <c r="K683" i="10" a="1"/>
  <c r="K683" i="10" s="1"/>
  <c r="K684" i="10" a="1"/>
  <c r="K684" i="10" s="1"/>
  <c r="K685" i="10" a="1"/>
  <c r="K685" i="10" s="1"/>
  <c r="K686" i="10" a="1"/>
  <c r="K686" i="10" s="1"/>
  <c r="K687" i="10" a="1"/>
  <c r="K687" i="10" s="1"/>
  <c r="K688" i="10" a="1"/>
  <c r="K688" i="10" s="1"/>
  <c r="K689" i="10" a="1"/>
  <c r="K689" i="10" s="1"/>
  <c r="K690" i="10" a="1"/>
  <c r="K690" i="10" s="1"/>
  <c r="K691" i="10" a="1"/>
  <c r="K691" i="10" s="1"/>
  <c r="K692" i="10" a="1"/>
  <c r="K692" i="10" s="1"/>
  <c r="K693" i="10" a="1"/>
  <c r="K693" i="10" s="1"/>
  <c r="K694" i="10" a="1"/>
  <c r="K694" i="10" s="1"/>
  <c r="K695" i="10" a="1"/>
  <c r="K695" i="10" s="1"/>
  <c r="K696" i="10" a="1"/>
  <c r="K696" i="10" s="1"/>
  <c r="K697" i="10" a="1"/>
  <c r="K697" i="10" s="1"/>
  <c r="K698" i="10" a="1"/>
  <c r="K698" i="10" s="1"/>
  <c r="K699" i="10" a="1"/>
  <c r="K699" i="10" s="1"/>
  <c r="K700" i="10" a="1"/>
  <c r="K700" i="10" s="1"/>
  <c r="K701" i="10" a="1"/>
  <c r="K701" i="10" s="1"/>
  <c r="K702" i="10" a="1"/>
  <c r="K702" i="10" s="1"/>
  <c r="K703" i="10" a="1"/>
  <c r="K703" i="10" s="1"/>
  <c r="K704" i="10" a="1"/>
  <c r="K704" i="10" s="1"/>
  <c r="K705" i="10" a="1"/>
  <c r="K705" i="10" s="1"/>
  <c r="K706" i="10" a="1"/>
  <c r="K706" i="10" s="1"/>
  <c r="K707" i="10" a="1"/>
  <c r="K707" i="10" s="1"/>
  <c r="K708" i="10" a="1"/>
  <c r="K708" i="10" s="1"/>
  <c r="K709" i="10" a="1"/>
  <c r="K709" i="10" s="1"/>
  <c r="K710" i="10" a="1"/>
  <c r="K710" i="10" s="1"/>
  <c r="K711" i="10" a="1"/>
  <c r="K711" i="10" s="1"/>
  <c r="K712" i="10" a="1"/>
  <c r="K712" i="10" s="1"/>
  <c r="K713" i="10" a="1"/>
  <c r="K713" i="10" s="1"/>
  <c r="K714" i="10" a="1"/>
  <c r="K714" i="10" s="1"/>
  <c r="K715" i="10" a="1"/>
  <c r="K715" i="10" s="1"/>
  <c r="K716" i="10" a="1"/>
  <c r="K716" i="10" s="1"/>
  <c r="K717" i="10" a="1"/>
  <c r="K717" i="10" s="1"/>
  <c r="K718" i="10" a="1"/>
  <c r="K718" i="10" s="1"/>
  <c r="K719" i="10" a="1"/>
  <c r="K719" i="10" s="1"/>
  <c r="K720" i="10" a="1"/>
  <c r="K720" i="10" s="1"/>
  <c r="K721" i="10" a="1"/>
  <c r="K721" i="10" s="1"/>
  <c r="K722" i="10" a="1"/>
  <c r="K722" i="10" s="1"/>
  <c r="K723" i="10" a="1"/>
  <c r="K723" i="10" s="1"/>
  <c r="K724" i="10" a="1"/>
  <c r="K724" i="10" s="1"/>
  <c r="K725" i="10" a="1"/>
  <c r="K725" i="10" s="1"/>
  <c r="K726" i="10" a="1"/>
  <c r="K726" i="10" s="1"/>
  <c r="K727" i="10" a="1"/>
  <c r="K727" i="10" s="1"/>
  <c r="K728" i="10" a="1"/>
  <c r="K728" i="10" s="1"/>
  <c r="K729" i="10" a="1"/>
  <c r="K729" i="10" s="1"/>
  <c r="K730" i="10" a="1"/>
  <c r="K730" i="10" s="1"/>
  <c r="K731" i="10" a="1"/>
  <c r="K731" i="10" s="1"/>
  <c r="K732" i="10" a="1"/>
  <c r="K732" i="10" s="1"/>
  <c r="K733" i="10" a="1"/>
  <c r="K733" i="10" s="1"/>
  <c r="K734" i="10" a="1"/>
  <c r="K734" i="10" s="1"/>
  <c r="K735" i="10" a="1"/>
  <c r="K735" i="10" s="1"/>
  <c r="K736" i="10" a="1"/>
  <c r="K736" i="10" s="1"/>
  <c r="K737" i="10" a="1"/>
  <c r="K737" i="10" s="1"/>
  <c r="K738" i="10" a="1"/>
  <c r="K738" i="10" s="1"/>
  <c r="K739" i="10" a="1"/>
  <c r="K739" i="10" s="1"/>
  <c r="K740" i="10" a="1"/>
  <c r="K740" i="10" s="1"/>
  <c r="K741" i="10" a="1"/>
  <c r="K741" i="10" s="1"/>
  <c r="K742" i="10" a="1"/>
  <c r="K742" i="10" s="1"/>
  <c r="K743" i="10" a="1"/>
  <c r="K743" i="10" s="1"/>
  <c r="K744" i="10" a="1"/>
  <c r="K744" i="10" s="1"/>
  <c r="K745" i="10" a="1"/>
  <c r="K745" i="10" s="1"/>
  <c r="K746" i="10" a="1"/>
  <c r="K746" i="10" s="1"/>
  <c r="K747" i="10" a="1"/>
  <c r="K747" i="10" s="1"/>
  <c r="K748" i="10" a="1"/>
  <c r="K748" i="10" s="1"/>
  <c r="K749" i="10" a="1"/>
  <c r="K749" i="10" s="1"/>
  <c r="K750" i="10" a="1"/>
  <c r="K750" i="10" s="1"/>
  <c r="K751" i="10" a="1"/>
  <c r="K751" i="10" s="1"/>
  <c r="K752" i="10" a="1"/>
  <c r="K752" i="10" s="1"/>
  <c r="K753" i="10" a="1"/>
  <c r="K753" i="10" s="1"/>
  <c r="K754" i="10" a="1"/>
  <c r="K754" i="10" s="1"/>
  <c r="K755" i="10" a="1"/>
  <c r="K755" i="10" s="1"/>
  <c r="K756" i="10" a="1"/>
  <c r="K756" i="10" s="1"/>
  <c r="K757" i="10" a="1"/>
  <c r="K757" i="10" s="1"/>
  <c r="K758" i="10" a="1"/>
  <c r="K758" i="10" s="1"/>
  <c r="K759" i="10" a="1"/>
  <c r="K759" i="10" s="1"/>
  <c r="K760" i="10" a="1"/>
  <c r="K760" i="10" s="1"/>
  <c r="K761" i="10" a="1"/>
  <c r="K761" i="10" s="1"/>
  <c r="K762" i="10" a="1"/>
  <c r="K762" i="10" s="1"/>
  <c r="K763" i="10" a="1"/>
  <c r="K763" i="10" s="1"/>
  <c r="K764" i="10" a="1"/>
  <c r="K764" i="10" s="1"/>
  <c r="K765" i="10" a="1"/>
  <c r="K765" i="10" s="1"/>
  <c r="K766" i="10" a="1"/>
  <c r="K766" i="10" s="1"/>
  <c r="K767" i="10" a="1"/>
  <c r="K767" i="10" s="1"/>
  <c r="K768" i="10" a="1"/>
  <c r="K768" i="10" s="1"/>
  <c r="K769" i="10" a="1"/>
  <c r="K769" i="10" s="1"/>
  <c r="K770" i="10" a="1"/>
  <c r="K770" i="10" s="1"/>
  <c r="K771" i="10" a="1"/>
  <c r="K771" i="10" s="1"/>
  <c r="K772" i="10" a="1"/>
  <c r="K772" i="10" s="1"/>
  <c r="K773" i="10" a="1"/>
  <c r="K773" i="10" s="1"/>
  <c r="K774" i="10" a="1"/>
  <c r="K774" i="10" s="1"/>
  <c r="K775" i="10" a="1"/>
  <c r="K775" i="10" s="1"/>
  <c r="K776" i="10" a="1"/>
  <c r="K776" i="10" s="1"/>
  <c r="K777" i="10" a="1"/>
  <c r="K777" i="10" s="1"/>
  <c r="K778" i="10" a="1"/>
  <c r="K778" i="10" s="1"/>
  <c r="K779" i="10" a="1"/>
  <c r="K779" i="10" s="1"/>
  <c r="K780" i="10" a="1"/>
  <c r="K780" i="10" s="1"/>
  <c r="K781" i="10" a="1"/>
  <c r="K781" i="10" s="1"/>
  <c r="K782" i="10" a="1"/>
  <c r="K782" i="10" s="1"/>
  <c r="K783" i="10" a="1"/>
  <c r="K783" i="10" s="1"/>
  <c r="K784" i="10" a="1"/>
  <c r="K784" i="10" s="1"/>
  <c r="K785" i="10" a="1"/>
  <c r="K785" i="10" s="1"/>
  <c r="K786" i="10" a="1"/>
  <c r="K786" i="10" s="1"/>
  <c r="K787" i="10" a="1"/>
  <c r="K787" i="10" s="1"/>
  <c r="K788" i="10" a="1"/>
  <c r="K788" i="10" s="1"/>
  <c r="K789" i="10" a="1"/>
  <c r="K789" i="10" s="1"/>
  <c r="K790" i="10" a="1"/>
  <c r="K790" i="10" s="1"/>
  <c r="K791" i="10" a="1"/>
  <c r="K791" i="10" s="1"/>
  <c r="K792" i="10" a="1"/>
  <c r="K792" i="10"/>
  <c r="K793" i="10" a="1"/>
  <c r="K793" i="10"/>
  <c r="K794" i="10" a="1"/>
  <c r="K794" i="10"/>
  <c r="K795" i="10" a="1"/>
  <c r="K795" i="10"/>
  <c r="K796" i="10" a="1"/>
  <c r="K796" i="10"/>
  <c r="K797" i="10" a="1"/>
  <c r="K797" i="10"/>
  <c r="K798" i="10" a="1"/>
  <c r="K798" i="10"/>
  <c r="K799" i="10" a="1"/>
  <c r="K799" i="10"/>
  <c r="K800" i="10" a="1"/>
  <c r="K800" i="10"/>
  <c r="K801" i="10" a="1"/>
  <c r="K801" i="10"/>
  <c r="K802" i="10" a="1"/>
  <c r="K802" i="10"/>
  <c r="K803" i="10" a="1"/>
  <c r="K803" i="10"/>
  <c r="K804" i="10" a="1"/>
  <c r="K804" i="10"/>
  <c r="K805" i="10" a="1"/>
  <c r="K805" i="10"/>
  <c r="K806" i="10" a="1"/>
  <c r="K806" i="10"/>
  <c r="K807" i="10" a="1"/>
  <c r="K807" i="10"/>
  <c r="K808" i="10" a="1"/>
  <c r="K808" i="10"/>
  <c r="K809" i="10" a="1"/>
  <c r="K809" i="10"/>
  <c r="K810" i="10" a="1"/>
  <c r="K810" i="10"/>
  <c r="K811" i="10" a="1"/>
  <c r="K811" i="10"/>
  <c r="K812" i="10" a="1"/>
  <c r="K812" i="10"/>
  <c r="K813" i="10" a="1"/>
  <c r="K813" i="10"/>
  <c r="K814" i="10" a="1"/>
  <c r="K814" i="10"/>
  <c r="K815" i="10" a="1"/>
  <c r="K815" i="10"/>
  <c r="K816" i="10" a="1"/>
  <c r="K816" i="10"/>
  <c r="K817" i="10" a="1"/>
  <c r="K817" i="10"/>
  <c r="K818" i="10" a="1"/>
  <c r="K818" i="10"/>
  <c r="K819" i="10" a="1"/>
  <c r="K819" i="10"/>
  <c r="K820" i="10" a="1"/>
  <c r="K820" i="10"/>
  <c r="K821" i="10" a="1"/>
  <c r="K821" i="10"/>
  <c r="K822" i="10" a="1"/>
  <c r="K822" i="10"/>
  <c r="K823" i="10" a="1"/>
  <c r="K823" i="10"/>
  <c r="K824" i="10" a="1"/>
  <c r="K824" i="10"/>
  <c r="K825" i="10" a="1"/>
  <c r="K825" i="10"/>
  <c r="K826" i="10" a="1"/>
  <c r="K826" i="10"/>
  <c r="K827" i="10" a="1"/>
  <c r="K827" i="10"/>
  <c r="K828" i="10" a="1"/>
  <c r="K828" i="10"/>
  <c r="K829" i="10" a="1"/>
  <c r="K829" i="10"/>
  <c r="K830" i="10" a="1"/>
  <c r="K830" i="10"/>
  <c r="K831" i="10" a="1"/>
  <c r="K831" i="10"/>
  <c r="K832" i="10" a="1"/>
  <c r="K832" i="10"/>
  <c r="K833" i="10" a="1"/>
  <c r="K833" i="10"/>
  <c r="K834" i="10" a="1"/>
  <c r="K834" i="10"/>
  <c r="K835" i="10" a="1"/>
  <c r="K835" i="10"/>
  <c r="K836" i="10" a="1"/>
  <c r="K836" i="10"/>
  <c r="K837" i="10" a="1"/>
  <c r="K837" i="10"/>
  <c r="K838" i="10" a="1"/>
  <c r="K838" i="10"/>
  <c r="K839" i="10" a="1"/>
  <c r="K839" i="10"/>
  <c r="K840" i="10" a="1"/>
  <c r="K840" i="10"/>
  <c r="K841" i="10" a="1"/>
  <c r="K841" i="10"/>
  <c r="K842" i="10" a="1"/>
  <c r="K842" i="10"/>
  <c r="K843" i="10" a="1"/>
  <c r="K843" i="10"/>
  <c r="K844" i="10" a="1"/>
  <c r="K844" i="10"/>
  <c r="K845" i="10" a="1"/>
  <c r="K845" i="10"/>
  <c r="K846" i="10" a="1"/>
  <c r="K846" i="10"/>
  <c r="K847" i="10" a="1"/>
  <c r="K847" i="10"/>
  <c r="K848" i="10" a="1"/>
  <c r="K848" i="10"/>
  <c r="K849" i="10" a="1"/>
  <c r="K849" i="10"/>
  <c r="K850" i="10" a="1"/>
  <c r="K850" i="10"/>
  <c r="K851" i="10" a="1"/>
  <c r="K851" i="10"/>
  <c r="K852" i="10" a="1"/>
  <c r="K852" i="10"/>
  <c r="K853" i="10" a="1"/>
  <c r="K853" i="10"/>
  <c r="K854" i="10" a="1"/>
  <c r="K854" i="10"/>
  <c r="K855" i="10" a="1"/>
  <c r="K855" i="10"/>
  <c r="K856" i="10" a="1"/>
  <c r="K856" i="10"/>
  <c r="K857" i="10" a="1"/>
  <c r="K857" i="10"/>
  <c r="K858" i="10" a="1"/>
  <c r="K858" i="10"/>
  <c r="K859" i="10" a="1"/>
  <c r="K859" i="10"/>
  <c r="K860" i="10" a="1"/>
  <c r="K860" i="10"/>
  <c r="K861" i="10" a="1"/>
  <c r="K861" i="10"/>
  <c r="K862" i="10" a="1"/>
  <c r="K862" i="10"/>
  <c r="K863" i="10" a="1"/>
  <c r="K863" i="10"/>
  <c r="K864" i="10" a="1"/>
  <c r="K864" i="10"/>
  <c r="K865" i="10" a="1"/>
  <c r="K865" i="10"/>
  <c r="K866" i="10" a="1"/>
  <c r="K866" i="10"/>
  <c r="K867" i="10" a="1"/>
  <c r="K867" i="10"/>
  <c r="K868" i="10" a="1"/>
  <c r="K868" i="10"/>
  <c r="K869" i="10" a="1"/>
  <c r="K869" i="10"/>
  <c r="K870" i="10" a="1"/>
  <c r="K870" i="10" s="1"/>
  <c r="K871" i="10" a="1"/>
  <c r="K871" i="10" s="1"/>
  <c r="K872" i="10" a="1"/>
  <c r="K872" i="10" s="1"/>
  <c r="K873" i="10" a="1"/>
  <c r="K873" i="10" s="1"/>
  <c r="K874" i="10" a="1"/>
  <c r="K874" i="10" s="1"/>
  <c r="K875" i="10" a="1"/>
  <c r="K875" i="10" s="1"/>
  <c r="K876" i="10" a="1"/>
  <c r="K876" i="10" s="1"/>
  <c r="K877" i="10" a="1"/>
  <c r="K877" i="10" s="1"/>
  <c r="K878" i="10" a="1"/>
  <c r="K878" i="10" s="1"/>
  <c r="K879" i="10" a="1"/>
  <c r="K879" i="10" s="1"/>
  <c r="K880" i="10" a="1"/>
  <c r="K880" i="10" s="1"/>
  <c r="K881" i="10" a="1"/>
  <c r="K881" i="10" s="1"/>
  <c r="K882" i="10" a="1"/>
  <c r="K882" i="10" s="1"/>
  <c r="K883" i="10" a="1"/>
  <c r="K883" i="10" s="1"/>
  <c r="K884" i="10" a="1"/>
  <c r="K884" i="10" s="1"/>
  <c r="K885" i="10" a="1"/>
  <c r="K885" i="10" s="1"/>
  <c r="K886" i="10" a="1"/>
  <c r="K886" i="10" s="1"/>
  <c r="K887" i="10" a="1"/>
  <c r="K887" i="10" s="1"/>
  <c r="K888" i="10" a="1"/>
  <c r="K888" i="10" s="1"/>
  <c r="K889" i="10" a="1"/>
  <c r="K889" i="10" s="1"/>
  <c r="K890" i="10" a="1"/>
  <c r="K890" i="10" s="1"/>
  <c r="K891" i="10" a="1"/>
  <c r="K891" i="10" s="1"/>
  <c r="K892" i="10" a="1"/>
  <c r="K892" i="10" s="1"/>
  <c r="K893" i="10" a="1"/>
  <c r="K893" i="10" s="1"/>
  <c r="K894" i="10" a="1"/>
  <c r="K894" i="10" s="1"/>
  <c r="K895" i="10" a="1"/>
  <c r="K895" i="10" s="1"/>
  <c r="K896" i="10" a="1"/>
  <c r="K896" i="10" s="1"/>
  <c r="K897" i="10" a="1"/>
  <c r="K897" i="10" s="1"/>
  <c r="K898" i="10" a="1"/>
  <c r="K898" i="10" s="1"/>
  <c r="K899" i="10" a="1"/>
  <c r="K899" i="10" s="1"/>
  <c r="K900" i="10" a="1"/>
  <c r="K900" i="10" s="1"/>
  <c r="K901" i="10" a="1"/>
  <c r="K901" i="10" s="1"/>
  <c r="K902" i="10" a="1"/>
  <c r="K902" i="10" s="1"/>
  <c r="K903" i="10" a="1"/>
  <c r="K903" i="10" s="1"/>
  <c r="K904" i="10" a="1"/>
  <c r="K904" i="10" s="1"/>
  <c r="K905" i="10" a="1"/>
  <c r="K905" i="10" s="1"/>
  <c r="K906" i="10" a="1"/>
  <c r="K906" i="10" s="1"/>
  <c r="K907" i="10" a="1"/>
  <c r="K907" i="10" s="1"/>
  <c r="K908" i="10" a="1"/>
  <c r="K908" i="10" s="1"/>
  <c r="K909" i="10" a="1"/>
  <c r="K909" i="10" s="1"/>
  <c r="K910" i="10" a="1"/>
  <c r="K910" i="10" s="1"/>
  <c r="K911" i="10" a="1"/>
  <c r="K911" i="10" s="1"/>
  <c r="K912" i="10" a="1"/>
  <c r="K912" i="10" s="1"/>
  <c r="K913" i="10" a="1"/>
  <c r="K913" i="10" s="1"/>
  <c r="K914" i="10" a="1"/>
  <c r="K914" i="10" s="1"/>
  <c r="K915" i="10" a="1"/>
  <c r="K915" i="10" s="1"/>
  <c r="K916" i="10" a="1"/>
  <c r="K916" i="10" s="1"/>
  <c r="K917" i="10" a="1"/>
  <c r="K917" i="10" s="1"/>
  <c r="K918" i="10" a="1"/>
  <c r="K918" i="10" s="1"/>
  <c r="K919" i="10" a="1"/>
  <c r="K919" i="10" s="1"/>
  <c r="K920" i="10" a="1"/>
  <c r="K920" i="10" s="1"/>
  <c r="K921" i="10" a="1"/>
  <c r="K921" i="10" s="1"/>
  <c r="K922" i="10" a="1"/>
  <c r="K922" i="10" s="1"/>
  <c r="K923" i="10" a="1"/>
  <c r="K923" i="10" s="1"/>
  <c r="K924" i="10" a="1"/>
  <c r="K924" i="10" s="1"/>
  <c r="K925" i="10" a="1"/>
  <c r="K925" i="10" s="1"/>
  <c r="K926" i="10" a="1"/>
  <c r="K926" i="10" s="1"/>
  <c r="K927" i="10" a="1"/>
  <c r="K927" i="10" s="1"/>
  <c r="K928" i="10" a="1"/>
  <c r="K928" i="10" s="1"/>
  <c r="K929" i="10" a="1"/>
  <c r="K929" i="10" s="1"/>
  <c r="K930" i="10" a="1"/>
  <c r="K930" i="10" s="1"/>
  <c r="K931" i="10" a="1"/>
  <c r="K931" i="10" s="1"/>
  <c r="K932" i="10" a="1"/>
  <c r="K932" i="10" s="1"/>
  <c r="K933" i="10" a="1"/>
  <c r="K933" i="10" s="1"/>
  <c r="K934" i="10" a="1"/>
  <c r="K934" i="10" s="1"/>
  <c r="K935" i="10" a="1"/>
  <c r="K935" i="10" s="1"/>
  <c r="K936" i="10" a="1"/>
  <c r="K936" i="10" s="1"/>
  <c r="K937" i="10" a="1"/>
  <c r="K937" i="10" s="1"/>
  <c r="K938" i="10" a="1"/>
  <c r="K938" i="10" s="1"/>
  <c r="K939" i="10" a="1"/>
  <c r="K939" i="10" s="1"/>
  <c r="K940" i="10" a="1"/>
  <c r="K940" i="10" s="1"/>
  <c r="K941" i="10" a="1"/>
  <c r="K941" i="10" s="1"/>
  <c r="K942" i="10" a="1"/>
  <c r="K942" i="10" s="1"/>
  <c r="K943" i="10" a="1"/>
  <c r="K943" i="10" s="1"/>
  <c r="K944" i="10" a="1"/>
  <c r="K944" i="10" s="1"/>
  <c r="K945" i="10" a="1"/>
  <c r="K945" i="10" s="1"/>
  <c r="K946" i="10" a="1"/>
  <c r="K946" i="10" s="1"/>
  <c r="K947" i="10" a="1"/>
  <c r="K947" i="10" s="1"/>
  <c r="K948" i="10" a="1"/>
  <c r="K948" i="10" s="1"/>
  <c r="K949" i="10" a="1"/>
  <c r="K949" i="10" s="1"/>
  <c r="K950" i="10" a="1"/>
  <c r="K950" i="10" s="1"/>
  <c r="K951" i="10" a="1"/>
  <c r="K951" i="10" s="1"/>
  <c r="K952" i="10" a="1"/>
  <c r="K952" i="10" s="1"/>
  <c r="K953" i="10" a="1"/>
  <c r="K953" i="10" s="1"/>
  <c r="K954" i="10" a="1"/>
  <c r="K954" i="10" s="1"/>
  <c r="K955" i="10" a="1"/>
  <c r="K955" i="10" s="1"/>
  <c r="K956" i="10" a="1"/>
  <c r="K956" i="10" s="1"/>
  <c r="K957" i="10" a="1"/>
  <c r="K957" i="10" s="1"/>
  <c r="K958" i="10" a="1"/>
  <c r="K958" i="10" s="1"/>
  <c r="K959" i="10" a="1"/>
  <c r="K959" i="10" s="1"/>
  <c r="K960" i="10" a="1"/>
  <c r="K960" i="10" s="1"/>
  <c r="K961" i="10" a="1"/>
  <c r="K961" i="10" s="1"/>
  <c r="K962" i="10" a="1"/>
  <c r="K962" i="10" s="1"/>
  <c r="K963" i="10" a="1"/>
  <c r="K963" i="10" s="1"/>
  <c r="K964" i="10" a="1"/>
  <c r="K964" i="10" s="1"/>
  <c r="K965" i="10" a="1"/>
  <c r="K965" i="10" s="1"/>
  <c r="K966" i="10" a="1"/>
  <c r="K966" i="10" s="1"/>
  <c r="K967" i="10" a="1"/>
  <c r="K967" i="10" s="1"/>
  <c r="K968" i="10" a="1"/>
  <c r="K968" i="10" s="1"/>
  <c r="K969" i="10" a="1"/>
  <c r="K969" i="10" s="1"/>
  <c r="K970" i="10" a="1"/>
  <c r="K970" i="10" s="1"/>
  <c r="K971" i="10" a="1"/>
  <c r="K971" i="10" s="1"/>
  <c r="K972" i="10" a="1"/>
  <c r="K972" i="10" s="1"/>
  <c r="K973" i="10" a="1"/>
  <c r="K973" i="10" s="1"/>
  <c r="K974" i="10" a="1"/>
  <c r="K974" i="10" s="1"/>
  <c r="K975" i="10" a="1"/>
  <c r="K975" i="10" s="1"/>
  <c r="K976" i="10" a="1"/>
  <c r="K976" i="10" s="1"/>
  <c r="K977" i="10" a="1"/>
  <c r="K977" i="10" s="1"/>
  <c r="K978" i="10" a="1"/>
  <c r="K978" i="10" s="1"/>
  <c r="K979" i="10" a="1"/>
  <c r="K979" i="10" s="1"/>
  <c r="K980" i="10" a="1"/>
  <c r="K980" i="10" s="1"/>
  <c r="K981" i="10" a="1"/>
  <c r="K981" i="10" s="1"/>
  <c r="K982" i="10" a="1"/>
  <c r="K982" i="10" s="1"/>
  <c r="K983" i="10" a="1"/>
  <c r="K983" i="10" s="1"/>
  <c r="K984" i="10" a="1"/>
  <c r="K984" i="10" s="1"/>
  <c r="K985" i="10" a="1"/>
  <c r="K985" i="10" s="1"/>
  <c r="K986" i="10" a="1"/>
  <c r="K986" i="10" s="1"/>
  <c r="K987" i="10" a="1"/>
  <c r="K987" i="10" s="1"/>
  <c r="K988" i="10" a="1"/>
  <c r="K988" i="10" s="1"/>
  <c r="K989" i="10" a="1"/>
  <c r="K989" i="10" s="1"/>
  <c r="K990" i="10" a="1"/>
  <c r="K990" i="10" s="1"/>
  <c r="K991" i="10" a="1"/>
  <c r="K991" i="10" s="1"/>
  <c r="K992" i="10" a="1"/>
  <c r="K992" i="10" s="1"/>
  <c r="K993" i="10" a="1"/>
  <c r="K993" i="10" s="1"/>
  <c r="K994" i="10" a="1"/>
  <c r="K994" i="10" s="1"/>
  <c r="K995" i="10" a="1"/>
  <c r="K995" i="10" s="1"/>
  <c r="K996" i="10" a="1"/>
  <c r="K996" i="10" s="1"/>
  <c r="K997" i="10" a="1"/>
  <c r="K997" i="10" s="1"/>
  <c r="K998" i="10" a="1"/>
  <c r="K998" i="10" s="1"/>
  <c r="K999" i="10" a="1"/>
  <c r="K999" i="10" s="1"/>
  <c r="K1000" i="10" a="1"/>
  <c r="K1000" i="10" s="1"/>
  <c r="K1001" i="10" a="1"/>
  <c r="K1001" i="10" s="1"/>
  <c r="K1002" i="10" a="1"/>
  <c r="K1002" i="10" s="1"/>
  <c r="K1003" i="10" a="1"/>
  <c r="K1003" i="10" s="1"/>
  <c r="K1004" i="10" a="1"/>
  <c r="K1004" i="10" s="1"/>
  <c r="K1005" i="10" a="1"/>
  <c r="K1005" i="10" s="1"/>
  <c r="K1006" i="10" a="1"/>
  <c r="K1006" i="10" s="1"/>
  <c r="K1007" i="10" a="1"/>
  <c r="K1007" i="10" s="1"/>
  <c r="K1008" i="10" a="1"/>
  <c r="K1008" i="10" s="1"/>
  <c r="K1009" i="10" a="1"/>
  <c r="K1009" i="10" s="1"/>
  <c r="K1010" i="10" a="1"/>
  <c r="K1010" i="10" s="1"/>
  <c r="K1011" i="10" a="1"/>
  <c r="K1011" i="10" s="1"/>
  <c r="K1012" i="10" a="1"/>
  <c r="K1012" i="10" s="1"/>
  <c r="K1013" i="10" a="1"/>
  <c r="K1013" i="10" s="1"/>
  <c r="K1014" i="10" a="1"/>
  <c r="K1014" i="10" s="1"/>
  <c r="K1015" i="10" a="1"/>
  <c r="K1015" i="10" s="1"/>
  <c r="K1016" i="10" a="1"/>
  <c r="K1016" i="10" s="1"/>
  <c r="K1017" i="10" a="1"/>
  <c r="K1017" i="10" s="1"/>
  <c r="K1018" i="10" a="1"/>
  <c r="K1018" i="10" s="1"/>
  <c r="K1019" i="10" a="1"/>
  <c r="K1019" i="10" s="1"/>
  <c r="K1020" i="10" a="1"/>
  <c r="K1020" i="10" s="1"/>
  <c r="K1021" i="10" a="1"/>
  <c r="K1021" i="10" s="1"/>
  <c r="K1022" i="10" a="1"/>
  <c r="K1022" i="10" s="1"/>
  <c r="K1023" i="10" a="1"/>
  <c r="K1023" i="10" s="1"/>
  <c r="K1024" i="10" a="1"/>
  <c r="K1024" i="10" s="1"/>
  <c r="K1025" i="10" a="1"/>
  <c r="K1025" i="10" s="1"/>
  <c r="K1026" i="10" a="1"/>
  <c r="K1026" i="10" s="1"/>
  <c r="K1027" i="10" a="1"/>
  <c r="K1027" i="10" s="1"/>
  <c r="K1028" i="10" a="1"/>
  <c r="K1028" i="10" s="1"/>
  <c r="K1029" i="10" a="1"/>
  <c r="K1029" i="10" s="1"/>
  <c r="K1030" i="10" a="1"/>
  <c r="K1030" i="10" s="1"/>
  <c r="K1031" i="10" a="1"/>
  <c r="K1031" i="10" s="1"/>
  <c r="K1032" i="10" a="1"/>
  <c r="K1032" i="10" s="1"/>
  <c r="K1033" i="10" a="1"/>
  <c r="K1033" i="10" s="1"/>
  <c r="K1034" i="10" a="1"/>
  <c r="K1034" i="10" s="1"/>
  <c r="K1035" i="10" a="1"/>
  <c r="K1035" i="10" s="1"/>
  <c r="K1036" i="10" a="1"/>
  <c r="K1036" i="10" s="1"/>
  <c r="K1037" i="10" a="1"/>
  <c r="K1037" i="10" s="1"/>
  <c r="K1038" i="10" a="1"/>
  <c r="K1038" i="10" s="1"/>
  <c r="K1039" i="10" a="1"/>
  <c r="K1039" i="10" s="1"/>
  <c r="K1040" i="10" a="1"/>
  <c r="K1040" i="10" s="1"/>
  <c r="K1041" i="10" a="1"/>
  <c r="K1041" i="10" s="1"/>
  <c r="K1042" i="10" a="1"/>
  <c r="K1042" i="10" s="1"/>
  <c r="K1043" i="10" a="1"/>
  <c r="K1043" i="10" s="1"/>
  <c r="K1044" i="10" a="1"/>
  <c r="K1044" i="10" s="1"/>
  <c r="K1045" i="10" a="1"/>
  <c r="K1045" i="10" s="1"/>
  <c r="K1046" i="10" a="1"/>
  <c r="K1046" i="10" s="1"/>
  <c r="K1047" i="10" a="1"/>
  <c r="K1047" i="10" s="1"/>
  <c r="K1048" i="10" a="1"/>
  <c r="K1048" i="10" s="1"/>
  <c r="K1049" i="10" a="1"/>
  <c r="K1049" i="10" s="1"/>
  <c r="K1050" i="10" a="1"/>
  <c r="K1050" i="10" s="1"/>
  <c r="K1051" i="10" a="1"/>
  <c r="K1051" i="10" s="1"/>
  <c r="K1052" i="10" a="1"/>
  <c r="K1052" i="10" s="1"/>
  <c r="K1053" i="10" a="1"/>
  <c r="K1053" i="10" s="1"/>
  <c r="K1054" i="10" a="1"/>
  <c r="K1054" i="10" s="1"/>
  <c r="K1055" i="10" a="1"/>
  <c r="K1055" i="10" s="1"/>
  <c r="K1056" i="10" a="1"/>
  <c r="K1056" i="10" s="1"/>
  <c r="K1057" i="10" a="1"/>
  <c r="K1057" i="10" s="1"/>
  <c r="K1058" i="10" a="1"/>
  <c r="K1058" i="10" s="1"/>
  <c r="K1059" i="10" a="1"/>
  <c r="K1059" i="10" s="1"/>
  <c r="K1060" i="10" a="1"/>
  <c r="K1060" i="10" s="1"/>
  <c r="K1061" i="10" a="1"/>
  <c r="K1061" i="10" s="1"/>
  <c r="K1062" i="10" a="1"/>
  <c r="K1062" i="10" s="1"/>
  <c r="K1063" i="10" a="1"/>
  <c r="K1063" i="10" s="1"/>
  <c r="K1064" i="10" a="1"/>
  <c r="K1064" i="10" s="1"/>
  <c r="K1065" i="10" a="1"/>
  <c r="K1065" i="10" s="1"/>
  <c r="K1066" i="10" a="1"/>
  <c r="K1066" i="10" s="1"/>
  <c r="K1067" i="10" a="1"/>
  <c r="K1067" i="10" s="1"/>
  <c r="K1068" i="10" a="1"/>
  <c r="K1068" i="10" s="1"/>
  <c r="K1069" i="10" a="1"/>
  <c r="K1069" i="10" s="1"/>
  <c r="K1070" i="10" a="1"/>
  <c r="K1070" i="10" s="1"/>
  <c r="K1071" i="10" a="1"/>
  <c r="K1071" i="10" s="1"/>
  <c r="K1072" i="10" a="1"/>
  <c r="K1072" i="10" s="1"/>
  <c r="K1073" i="10" a="1"/>
  <c r="K1073" i="10" s="1"/>
  <c r="K1074" i="10" a="1"/>
  <c r="K1074" i="10" s="1"/>
  <c r="K1075" i="10" a="1"/>
  <c r="K1075" i="10" s="1"/>
  <c r="K1076" i="10" a="1"/>
  <c r="K1076" i="10" s="1"/>
  <c r="K1077" i="10" a="1"/>
  <c r="K1077" i="10" s="1"/>
  <c r="K1078" i="10" a="1"/>
  <c r="K1078" i="10" s="1"/>
  <c r="K1079" i="10" a="1"/>
  <c r="K1079" i="10" s="1"/>
  <c r="K1080" i="10" a="1"/>
  <c r="K1080" i="10" s="1"/>
  <c r="K1081" i="10" a="1"/>
  <c r="K1081" i="10" s="1"/>
  <c r="K1082" i="10" a="1"/>
  <c r="K1082" i="10" s="1"/>
  <c r="K1083" i="10" a="1"/>
  <c r="K1083" i="10" s="1"/>
  <c r="K1084" i="10" a="1"/>
  <c r="K1084" i="10" s="1"/>
  <c r="K1085" i="10" a="1"/>
  <c r="K1085" i="10" s="1"/>
  <c r="K1086" i="10" a="1"/>
  <c r="K1086" i="10" s="1"/>
  <c r="K1087" i="10" a="1"/>
  <c r="K1087" i="10" s="1"/>
  <c r="K1088" i="10" a="1"/>
  <c r="K1088" i="10" s="1"/>
  <c r="K1089" i="10" a="1"/>
  <c r="K1089" i="10" s="1"/>
  <c r="K1090" i="10" a="1"/>
  <c r="K1090" i="10" s="1"/>
  <c r="K1091" i="10" a="1"/>
  <c r="K1091" i="10" s="1"/>
  <c r="K1092" i="10" a="1"/>
  <c r="K1092" i="10" s="1"/>
  <c r="K1093" i="10" a="1"/>
  <c r="K1093" i="10" s="1"/>
  <c r="K1094" i="10" a="1"/>
  <c r="K1094" i="10" s="1"/>
  <c r="K1095" i="10" a="1"/>
  <c r="K1095" i="10" s="1"/>
  <c r="K1096" i="10" a="1"/>
  <c r="K1096" i="10" s="1"/>
  <c r="K1097" i="10" a="1"/>
  <c r="K1097" i="10" s="1"/>
  <c r="K1098" i="10" a="1"/>
  <c r="K1098" i="10" s="1"/>
  <c r="K1099" i="10" a="1"/>
  <c r="K1099" i="10" s="1"/>
  <c r="K1100" i="10" a="1"/>
  <c r="K1100" i="10" s="1"/>
  <c r="K1101" i="10" a="1"/>
  <c r="K1101" i="10" s="1"/>
  <c r="K1102" i="10" a="1"/>
  <c r="K1102" i="10" s="1"/>
  <c r="K1103" i="10" a="1"/>
  <c r="K1103" i="10" s="1"/>
  <c r="K1104" i="10" a="1"/>
  <c r="K1104" i="10" s="1"/>
  <c r="K1105" i="10" a="1"/>
  <c r="K1105" i="10" s="1"/>
  <c r="K1106" i="10" a="1"/>
  <c r="K1106" i="10" s="1"/>
  <c r="K1107" i="10" a="1"/>
  <c r="K1107" i="10" s="1"/>
  <c r="K1108" i="10" a="1"/>
  <c r="K1108" i="10" s="1"/>
  <c r="K1109" i="10" a="1"/>
  <c r="K1109" i="10" s="1"/>
  <c r="K1110" i="10" a="1"/>
  <c r="K1110" i="10" s="1"/>
  <c r="K1111" i="10" a="1"/>
  <c r="K1111" i="10" s="1"/>
  <c r="K1112" i="10" a="1"/>
  <c r="K1112" i="10" s="1"/>
  <c r="K1113" i="10" a="1"/>
  <c r="K1113" i="10" s="1"/>
  <c r="K1114" i="10" a="1"/>
  <c r="K1114" i="10" s="1"/>
  <c r="K1115" i="10" a="1"/>
  <c r="K1115" i="10" s="1"/>
  <c r="K1116" i="10" a="1"/>
  <c r="K1116" i="10" s="1"/>
  <c r="K1117" i="10" a="1"/>
  <c r="K1117" i="10" s="1"/>
  <c r="K1118" i="10" a="1"/>
  <c r="K1118" i="10" s="1"/>
  <c r="K1119" i="10" a="1"/>
  <c r="K1119" i="10" s="1"/>
  <c r="K1120" i="10" a="1"/>
  <c r="K1120" i="10" s="1"/>
  <c r="K1121" i="10" a="1"/>
  <c r="K1121" i="10" s="1"/>
  <c r="K1122" i="10" a="1"/>
  <c r="K1122" i="10" s="1"/>
  <c r="K1123" i="10" a="1"/>
  <c r="K1123" i="10" s="1"/>
  <c r="K1124" i="10" a="1"/>
  <c r="K1124" i="10" s="1"/>
  <c r="K1125" i="10" a="1"/>
  <c r="K1125" i="10" s="1"/>
  <c r="K1126" i="10" a="1"/>
  <c r="K1126" i="10" s="1"/>
  <c r="K1127" i="10" a="1"/>
  <c r="K1127" i="10" s="1"/>
  <c r="K1128" i="10" a="1"/>
  <c r="K1128" i="10" s="1"/>
  <c r="K1129" i="10" a="1"/>
  <c r="K1129" i="10" s="1"/>
  <c r="K1130" i="10" a="1"/>
  <c r="K1130" i="10" s="1"/>
  <c r="K1131" i="10" a="1"/>
  <c r="K1131" i="10" s="1"/>
  <c r="K1132" i="10" a="1"/>
  <c r="K1132" i="10" s="1"/>
  <c r="K1133" i="10" a="1"/>
  <c r="K1133" i="10" s="1"/>
  <c r="K1134" i="10" a="1"/>
  <c r="K1134" i="10" s="1"/>
  <c r="K1135" i="10" a="1"/>
  <c r="K1135" i="10" s="1"/>
  <c r="K1136" i="10" a="1"/>
  <c r="K1136" i="10" s="1"/>
  <c r="K1137" i="10" a="1"/>
  <c r="K1137" i="10" s="1"/>
  <c r="K1138" i="10" a="1"/>
  <c r="K1138" i="10" s="1"/>
  <c r="K1139" i="10" a="1"/>
  <c r="K1139" i="10" s="1"/>
  <c r="K1140" i="10" a="1"/>
  <c r="K1140" i="10" s="1"/>
  <c r="K1141" i="10" a="1"/>
  <c r="K1141" i="10" s="1"/>
  <c r="K1142" i="10" a="1"/>
  <c r="K1142" i="10" s="1"/>
  <c r="K1143" i="10" a="1"/>
  <c r="K1143" i="10" s="1"/>
  <c r="K1144" i="10" a="1"/>
  <c r="K1144" i="10" s="1"/>
  <c r="K1145" i="10" a="1"/>
  <c r="K1145" i="10" s="1"/>
  <c r="K1146" i="10" a="1"/>
  <c r="K1146" i="10" s="1"/>
  <c r="K1147" i="10" a="1"/>
  <c r="K1147" i="10" s="1"/>
  <c r="K1148" i="10" a="1"/>
  <c r="K1148" i="10" s="1"/>
  <c r="K1149" i="10" a="1"/>
  <c r="K1149" i="10" s="1"/>
  <c r="K1150" i="10" a="1"/>
  <c r="K1150" i="10" s="1"/>
  <c r="K1151" i="10" a="1"/>
  <c r="K1151" i="10" s="1"/>
  <c r="K1152" i="10" a="1"/>
  <c r="K1152" i="10" s="1"/>
  <c r="K1153" i="10" a="1"/>
  <c r="K1153" i="10" s="1"/>
  <c r="K1154" i="10" a="1"/>
  <c r="K1154" i="10" s="1"/>
  <c r="K1155" i="10" a="1"/>
  <c r="K1155" i="10" s="1"/>
  <c r="K1156" i="10" a="1"/>
  <c r="K1156" i="10" s="1"/>
  <c r="K1157" i="10" a="1"/>
  <c r="K1157" i="10" s="1"/>
  <c r="K1158" i="10" a="1"/>
  <c r="K1158" i="10" s="1"/>
  <c r="K1159" i="10" a="1"/>
  <c r="K1159" i="10" s="1"/>
  <c r="K1160" i="10" a="1"/>
  <c r="K1160" i="10" s="1"/>
  <c r="K1161" i="10" a="1"/>
  <c r="K1161" i="10" s="1"/>
  <c r="K1162" i="10" a="1"/>
  <c r="K1162" i="10" s="1"/>
  <c r="K1163" i="10" a="1"/>
  <c r="K1163" i="10" s="1"/>
  <c r="K1164" i="10" a="1"/>
  <c r="K1164" i="10" s="1"/>
  <c r="K1165" i="10" a="1"/>
  <c r="K1165" i="10" s="1"/>
  <c r="K1166" i="10" a="1"/>
  <c r="K1166" i="10" s="1"/>
  <c r="K1167" i="10" a="1"/>
  <c r="K1167" i="10" s="1"/>
  <c r="K1168" i="10" a="1"/>
  <c r="K1168" i="10" s="1"/>
  <c r="K1169" i="10" a="1"/>
  <c r="K1169" i="10" s="1"/>
  <c r="K1170" i="10" a="1"/>
  <c r="K1170" i="10" s="1"/>
  <c r="K1171" i="10" a="1"/>
  <c r="K1171" i="10" s="1"/>
  <c r="K1172" i="10" a="1"/>
  <c r="K1172" i="10" s="1"/>
  <c r="K1173" i="10" a="1"/>
  <c r="K1173" i="10" s="1"/>
  <c r="K1174" i="10" a="1"/>
  <c r="K1174" i="10" s="1"/>
  <c r="K1175" i="10" a="1"/>
  <c r="K1175" i="10" s="1"/>
  <c r="K1176" i="10" a="1"/>
  <c r="K1176" i="10" s="1"/>
  <c r="K1177" i="10" a="1"/>
  <c r="K1177" i="10" s="1"/>
  <c r="K1178" i="10" a="1"/>
  <c r="K1178" i="10" s="1"/>
  <c r="K1179" i="10" a="1"/>
  <c r="K1179" i="10" s="1"/>
  <c r="K1180" i="10" a="1"/>
  <c r="K1180" i="10" s="1"/>
  <c r="K1181" i="10" a="1"/>
  <c r="K1181" i="10" s="1"/>
  <c r="K1182" i="10" a="1"/>
  <c r="K1182" i="10" s="1"/>
  <c r="K1183" i="10" a="1"/>
  <c r="K1183" i="10" s="1"/>
  <c r="K1184" i="10" a="1"/>
  <c r="K1184" i="10" s="1"/>
  <c r="K1185" i="10" a="1"/>
  <c r="K1185" i="10" s="1"/>
  <c r="K1186" i="10" a="1"/>
  <c r="K1186" i="10" s="1"/>
  <c r="K1187" i="10" a="1"/>
  <c r="K1187" i="10" s="1"/>
  <c r="K1188" i="10" a="1"/>
  <c r="K1188" i="10" s="1"/>
  <c r="K1189" i="10" a="1"/>
  <c r="K1189" i="10" s="1"/>
  <c r="K1190" i="10" a="1"/>
  <c r="K1190" i="10" s="1"/>
  <c r="K1191" i="10" a="1"/>
  <c r="K1191" i="10" s="1"/>
  <c r="K1192" i="10" a="1"/>
  <c r="K1192" i="10" s="1"/>
  <c r="K1193" i="10" a="1"/>
  <c r="K1193" i="10" s="1"/>
  <c r="K1194" i="10" a="1"/>
  <c r="K1194" i="10" s="1"/>
  <c r="K1195" i="10" a="1"/>
  <c r="K1195" i="10" s="1"/>
  <c r="K1196" i="10" a="1"/>
  <c r="K1196" i="10" s="1"/>
  <c r="K1197" i="10" a="1"/>
  <c r="K1197" i="10" s="1"/>
  <c r="K1198" i="10" a="1"/>
  <c r="K1198" i="10" s="1"/>
  <c r="K1199" i="10" a="1"/>
  <c r="K1199" i="10" s="1"/>
  <c r="K1200" i="10" a="1"/>
  <c r="K1200" i="10" s="1"/>
  <c r="K1201" i="10" a="1"/>
  <c r="K1201" i="10" s="1"/>
  <c r="K1202" i="10" a="1"/>
  <c r="K1202" i="10" s="1"/>
  <c r="K1203" i="10" a="1"/>
  <c r="K1203" i="10" s="1"/>
  <c r="K1204" i="10" a="1"/>
  <c r="K1204" i="10" s="1"/>
  <c r="K1205" i="10" a="1"/>
  <c r="K1205" i="10" s="1"/>
  <c r="K1206" i="10" a="1"/>
  <c r="K1206" i="10" s="1"/>
  <c r="K1207" i="10" a="1"/>
  <c r="K1207" i="10" s="1"/>
  <c r="K1208" i="10" a="1"/>
  <c r="K1208" i="10" s="1"/>
  <c r="K1209" i="10" a="1"/>
  <c r="K1209" i="10" s="1"/>
  <c r="K1210" i="10" a="1"/>
  <c r="K1210" i="10" s="1"/>
  <c r="K1211" i="10" a="1"/>
  <c r="K1211" i="10" s="1"/>
  <c r="K1212" i="10" a="1"/>
  <c r="K1212" i="10" s="1"/>
  <c r="K1213" i="10" a="1"/>
  <c r="K1213" i="10" s="1"/>
  <c r="K1214" i="10" a="1"/>
  <c r="K1214" i="10" s="1"/>
  <c r="K1215" i="10" a="1"/>
  <c r="K1215" i="10" s="1"/>
  <c r="K1216" i="10" a="1"/>
  <c r="K1216" i="10" s="1"/>
  <c r="K1217" i="10" a="1"/>
  <c r="K1217" i="10" s="1"/>
  <c r="K1218" i="10" a="1"/>
  <c r="K1218" i="10" s="1"/>
  <c r="K1219" i="10" a="1"/>
  <c r="K1219" i="10" s="1"/>
  <c r="K1220" i="10" a="1"/>
  <c r="K1220" i="10" s="1"/>
  <c r="K1221" i="10" a="1"/>
  <c r="K1221" i="10" s="1"/>
  <c r="K1222" i="10" a="1"/>
  <c r="K1222" i="10" s="1"/>
  <c r="K1223" i="10" a="1"/>
  <c r="K1223" i="10" s="1"/>
  <c r="K1224" i="10" a="1"/>
  <c r="K1224" i="10" s="1"/>
  <c r="K1225" i="10" a="1"/>
  <c r="K1225" i="10" s="1"/>
  <c r="K1226" i="10" a="1"/>
  <c r="K1226" i="10" s="1"/>
  <c r="K1227" i="10" a="1"/>
  <c r="K1227" i="10" s="1"/>
  <c r="K1228" i="10" a="1"/>
  <c r="K1228" i="10" s="1"/>
  <c r="K1229" i="10" a="1"/>
  <c r="K1229" i="10" s="1"/>
  <c r="K1230" i="10" a="1"/>
  <c r="K1230" i="10" s="1"/>
  <c r="K1231" i="10" a="1"/>
  <c r="K1231" i="10" s="1"/>
  <c r="K1232" i="10" a="1"/>
  <c r="K1232" i="10" s="1"/>
  <c r="K1233" i="10" a="1"/>
  <c r="K1233" i="10" s="1"/>
  <c r="K1234" i="10" a="1"/>
  <c r="K1234" i="10" s="1"/>
  <c r="K1235" i="10" a="1"/>
  <c r="K1235" i="10" s="1"/>
  <c r="K1236" i="10" a="1"/>
  <c r="K1236" i="10" s="1"/>
  <c r="K1237" i="10" a="1"/>
  <c r="K1237" i="10" s="1"/>
  <c r="K1238" i="10" a="1"/>
  <c r="K1238" i="10" s="1"/>
  <c r="K1239" i="10" a="1"/>
  <c r="K1239" i="10" s="1"/>
  <c r="K1240" i="10" a="1"/>
  <c r="K1240" i="10" s="1"/>
  <c r="K1241" i="10" a="1"/>
  <c r="K1241" i="10" s="1"/>
  <c r="K1242" i="10" a="1"/>
  <c r="K1242" i="10" s="1"/>
  <c r="K1243" i="10" a="1"/>
  <c r="K1243" i="10" s="1"/>
  <c r="K1244" i="10" a="1"/>
  <c r="K1244" i="10" s="1"/>
  <c r="K1245" i="10" a="1"/>
  <c r="K1245" i="10" s="1"/>
  <c r="K1246" i="10" a="1"/>
  <c r="K1246" i="10" s="1"/>
  <c r="K1247" i="10" a="1"/>
  <c r="K1247" i="10" s="1"/>
  <c r="K1248" i="10" a="1"/>
  <c r="K1248" i="10" s="1"/>
  <c r="K1249" i="10" a="1"/>
  <c r="K1249" i="10" s="1"/>
  <c r="K1250" i="10" a="1"/>
  <c r="K1250" i="10" s="1"/>
  <c r="K1251" i="10" a="1"/>
  <c r="K1251" i="10" s="1"/>
  <c r="K1252" i="10" a="1"/>
  <c r="K1252" i="10" s="1"/>
  <c r="K1253" i="10" a="1"/>
  <c r="K1253" i="10" s="1"/>
  <c r="K1254" i="10" a="1"/>
  <c r="K1254" i="10" s="1"/>
  <c r="K1255" i="10" a="1"/>
  <c r="K1255" i="10" s="1"/>
  <c r="K1256" i="10" a="1"/>
  <c r="K1256" i="10" s="1"/>
  <c r="K1257" i="10" a="1"/>
  <c r="K1257" i="10" s="1"/>
  <c r="K1258" i="10" a="1"/>
  <c r="K1258" i="10" s="1"/>
  <c r="K1259" i="10" a="1"/>
  <c r="K1259" i="10" s="1"/>
  <c r="K1260" i="10" a="1"/>
  <c r="K1260" i="10" s="1"/>
  <c r="K1261" i="10" a="1"/>
  <c r="K1261" i="10" s="1"/>
  <c r="K1262" i="10" a="1"/>
  <c r="K1262" i="10" s="1"/>
  <c r="K1263" i="10" a="1"/>
  <c r="K1263" i="10" s="1"/>
  <c r="K1264" i="10" a="1"/>
  <c r="K1264" i="10" s="1"/>
  <c r="K1265" i="10" a="1"/>
  <c r="K1265" i="10" s="1"/>
  <c r="K1266" i="10" a="1"/>
  <c r="K1266" i="10" s="1"/>
  <c r="K1267" i="10" a="1"/>
  <c r="K1267" i="10" s="1"/>
  <c r="K1268" i="10" a="1"/>
  <c r="K1268" i="10" s="1"/>
  <c r="K1269" i="10" a="1"/>
  <c r="K1269" i="10" s="1"/>
  <c r="K1270" i="10" a="1"/>
  <c r="K1270" i="10" s="1"/>
  <c r="K1271" i="10" a="1"/>
  <c r="K1271" i="10" s="1"/>
  <c r="K1272" i="10" a="1"/>
  <c r="K1272" i="10" s="1"/>
  <c r="K1273" i="10" a="1"/>
  <c r="K1273" i="10" s="1"/>
  <c r="K1274" i="10" a="1"/>
  <c r="K1274" i="10" s="1"/>
  <c r="K1275" i="10" a="1"/>
  <c r="K1275" i="10" s="1"/>
  <c r="K1276" i="10" a="1"/>
  <c r="K1276" i="10" s="1"/>
  <c r="K1277" i="10" a="1"/>
  <c r="K1277" i="10" s="1"/>
  <c r="K1278" i="10" a="1"/>
  <c r="K1278" i="10" s="1"/>
  <c r="K1279" i="10" a="1"/>
  <c r="K1279" i="10" s="1"/>
  <c r="K1280" i="10" a="1"/>
  <c r="K1280" i="10" s="1"/>
  <c r="K1281" i="10" a="1"/>
  <c r="K1281" i="10" s="1"/>
  <c r="K1282" i="10" a="1"/>
  <c r="K1282" i="10" s="1"/>
  <c r="K1283" i="10" a="1"/>
  <c r="K1283" i="10" s="1"/>
  <c r="K1284" i="10" a="1"/>
  <c r="K1284" i="10" s="1"/>
  <c r="K1285" i="10" a="1"/>
  <c r="K1285" i="10" s="1"/>
  <c r="K1286" i="10" a="1"/>
  <c r="K1286" i="10" s="1"/>
  <c r="K1287" i="10" a="1"/>
  <c r="K1287" i="10" s="1"/>
  <c r="K1288" i="10" a="1"/>
  <c r="K1288" i="10" s="1"/>
  <c r="K1289" i="10" a="1"/>
  <c r="K1289" i="10" s="1"/>
  <c r="K1290" i="10" a="1"/>
  <c r="K1290" i="10" s="1"/>
  <c r="K1291" i="10" a="1"/>
  <c r="K1291" i="10" s="1"/>
  <c r="K1292" i="10" a="1"/>
  <c r="K1292" i="10" s="1"/>
  <c r="K1293" i="10" a="1"/>
  <c r="K1293" i="10" s="1"/>
  <c r="K1294" i="10" a="1"/>
  <c r="K1294" i="10" s="1"/>
  <c r="K1295" i="10" a="1"/>
  <c r="K1295" i="10" s="1"/>
  <c r="K1296" i="10" a="1"/>
  <c r="K1296" i="10" s="1"/>
  <c r="K1297" i="10" a="1"/>
  <c r="K1297" i="10" s="1"/>
  <c r="K1298" i="10" a="1"/>
  <c r="K1298" i="10" s="1"/>
  <c r="K1299" i="10" a="1"/>
  <c r="K1299" i="10" s="1"/>
  <c r="K1300" i="10" a="1"/>
  <c r="K1300" i="10" s="1"/>
  <c r="K1301" i="10" a="1"/>
  <c r="K1301" i="10" s="1"/>
  <c r="K1302" i="10" a="1"/>
  <c r="K1302" i="10" s="1"/>
  <c r="K1303" i="10" a="1"/>
  <c r="K1303" i="10" s="1"/>
  <c r="K1304" i="10" a="1"/>
  <c r="K1304" i="10" s="1"/>
  <c r="K1305" i="10" a="1"/>
  <c r="K1305" i="10" s="1"/>
  <c r="K1306" i="10" a="1"/>
  <c r="K1306" i="10" s="1"/>
  <c r="K1307" i="10" a="1"/>
  <c r="K1307" i="10" s="1"/>
  <c r="K1308" i="10" a="1"/>
  <c r="K1308" i="10" s="1"/>
  <c r="K1309" i="10" a="1"/>
  <c r="K1309" i="10" s="1"/>
  <c r="K1310" i="10" a="1"/>
  <c r="K1310" i="10" s="1"/>
  <c r="K1311" i="10" a="1"/>
  <c r="K1311" i="10" s="1"/>
  <c r="K1312" i="10" a="1"/>
  <c r="K1312" i="10" s="1"/>
  <c r="K1313" i="10" a="1"/>
  <c r="K1313" i="10" s="1"/>
  <c r="K1314" i="10" a="1"/>
  <c r="K1314" i="10" s="1"/>
  <c r="K1315" i="10" a="1"/>
  <c r="K1315" i="10" s="1"/>
  <c r="K1316" i="10" a="1"/>
  <c r="K1316" i="10" s="1"/>
  <c r="K1317" i="10" a="1"/>
  <c r="K1317" i="10" s="1"/>
  <c r="K1318" i="10" a="1"/>
  <c r="K1318" i="10" s="1"/>
  <c r="K1319" i="10" a="1"/>
  <c r="K1319" i="10" s="1"/>
  <c r="K1320" i="10" a="1"/>
  <c r="K1320" i="10" s="1"/>
  <c r="K1321" i="10" a="1"/>
  <c r="K1321" i="10" s="1"/>
  <c r="K1322" i="10" a="1"/>
  <c r="K1322" i="10" s="1"/>
  <c r="K1323" i="10" a="1"/>
  <c r="K1323" i="10" s="1"/>
  <c r="K1324" i="10" a="1"/>
  <c r="K1324" i="10" s="1"/>
  <c r="K1325" i="10" a="1"/>
  <c r="K1325" i="10" s="1"/>
  <c r="K1326" i="10" a="1"/>
  <c r="K1326" i="10" s="1"/>
  <c r="K1327" i="10" a="1"/>
  <c r="K1327" i="10" s="1"/>
  <c r="K1328" i="10" a="1"/>
  <c r="K1328" i="10" s="1"/>
  <c r="K1329" i="10" a="1"/>
  <c r="K1329" i="10" s="1"/>
  <c r="K1330" i="10" a="1"/>
  <c r="K1330" i="10" s="1"/>
  <c r="K1331" i="10" a="1"/>
  <c r="K1331" i="10" s="1"/>
  <c r="K1332" i="10" a="1"/>
  <c r="K1332" i="10" s="1"/>
  <c r="K1333" i="10" a="1"/>
  <c r="K1333" i="10" s="1"/>
  <c r="K1334" i="10" a="1"/>
  <c r="K1334" i="10" s="1"/>
  <c r="K1335" i="10" a="1"/>
  <c r="K1335" i="10" s="1"/>
  <c r="K1336" i="10" a="1"/>
  <c r="K1336" i="10" s="1"/>
  <c r="K1337" i="10" a="1"/>
  <c r="K1337" i="10" s="1"/>
  <c r="K1338" i="10" a="1"/>
  <c r="K1338" i="10" s="1"/>
  <c r="K1339" i="10" a="1"/>
  <c r="K1339" i="10" s="1"/>
  <c r="K1340" i="10" a="1"/>
  <c r="K1340" i="10" s="1"/>
  <c r="K1341" i="10" a="1"/>
  <c r="K1341" i="10" s="1"/>
  <c r="K1342" i="10" a="1"/>
  <c r="K1342" i="10" s="1"/>
  <c r="K1343" i="10" a="1"/>
  <c r="K1343" i="10" s="1"/>
  <c r="K1344" i="10" a="1"/>
  <c r="K1344" i="10" s="1"/>
  <c r="K1345" i="10" a="1"/>
  <c r="K1345" i="10" s="1"/>
  <c r="K1346" i="10" a="1"/>
  <c r="K1346" i="10" s="1"/>
  <c r="K1347" i="10" a="1"/>
  <c r="K1347" i="10" s="1"/>
  <c r="K1348" i="10" a="1"/>
  <c r="K1348" i="10" s="1"/>
  <c r="K1349" i="10" a="1"/>
  <c r="K1349" i="10" s="1"/>
  <c r="K1350" i="10" a="1"/>
  <c r="K1350" i="10" s="1"/>
  <c r="K1351" i="10" a="1"/>
  <c r="K1351" i="10" s="1"/>
  <c r="K1352" i="10" a="1"/>
  <c r="K1352" i="10" s="1"/>
  <c r="K1353" i="10" a="1"/>
  <c r="K1353" i="10" s="1"/>
  <c r="K1354" i="10" a="1"/>
  <c r="K1354" i="10" s="1"/>
  <c r="K1355" i="10" a="1"/>
  <c r="K1355" i="10" s="1"/>
  <c r="K1356" i="10" a="1"/>
  <c r="K1356" i="10" s="1"/>
  <c r="K1357" i="10" a="1"/>
  <c r="K1357" i="10" s="1"/>
  <c r="K1358" i="10" a="1"/>
  <c r="K1358" i="10" s="1"/>
  <c r="K1359" i="10" a="1"/>
  <c r="K1359" i="10" s="1"/>
  <c r="K1360" i="10" a="1"/>
  <c r="K1360" i="10" s="1"/>
  <c r="K1361" i="10" a="1"/>
  <c r="K1361" i="10" s="1"/>
  <c r="K1362" i="10" a="1"/>
  <c r="K1362" i="10" s="1"/>
  <c r="K1363" i="10" a="1"/>
  <c r="K1363" i="10" s="1"/>
  <c r="K1364" i="10" a="1"/>
  <c r="K1364" i="10" s="1"/>
  <c r="K1365" i="10" a="1"/>
  <c r="K1365" i="10" s="1"/>
  <c r="K1366" i="10" a="1"/>
  <c r="K1366" i="10" s="1"/>
  <c r="K1367" i="10" a="1"/>
  <c r="K1367" i="10" s="1"/>
  <c r="K1368" i="10" a="1"/>
  <c r="K1368" i="10" s="1"/>
  <c r="K1369" i="10" a="1"/>
  <c r="K1369" i="10" s="1"/>
  <c r="K1370" i="10" a="1"/>
  <c r="K1370" i="10" s="1"/>
  <c r="K1371" i="10" a="1"/>
  <c r="K1371" i="10" s="1"/>
  <c r="K1372" i="10" a="1"/>
  <c r="K1372" i="10" s="1"/>
  <c r="K1373" i="10" a="1"/>
  <c r="K1373" i="10" s="1"/>
  <c r="K1374" i="10" a="1"/>
  <c r="K1374" i="10" s="1"/>
  <c r="K1375" i="10" a="1"/>
  <c r="K1375" i="10" s="1"/>
  <c r="K1376" i="10" a="1"/>
  <c r="K1376" i="10" s="1"/>
  <c r="K1377" i="10" a="1"/>
  <c r="K1377" i="10" s="1"/>
  <c r="K1378" i="10" a="1"/>
  <c r="K1378" i="10" s="1"/>
  <c r="K1379" i="10" a="1"/>
  <c r="K1379" i="10" s="1"/>
  <c r="K1380" i="10" a="1"/>
  <c r="K1380" i="10" s="1"/>
  <c r="K1381" i="10" a="1"/>
  <c r="K1381" i="10" s="1"/>
  <c r="K1382" i="10" a="1"/>
  <c r="K1382" i="10" s="1"/>
  <c r="K1383" i="10" a="1"/>
  <c r="K1383" i="10" s="1"/>
  <c r="K1384" i="10" a="1"/>
  <c r="K1384" i="10" s="1"/>
  <c r="K1385" i="10" a="1"/>
  <c r="K1385" i="10" s="1"/>
  <c r="K1386" i="10" a="1"/>
  <c r="K1386" i="10" s="1"/>
  <c r="K1387" i="10" a="1"/>
  <c r="K1387" i="10" s="1"/>
  <c r="K1388" i="10" a="1"/>
  <c r="K1388" i="10" s="1"/>
  <c r="K1389" i="10" a="1"/>
  <c r="K1389" i="10" s="1"/>
  <c r="K1390" i="10" a="1"/>
  <c r="K1390" i="10" s="1"/>
  <c r="K1391" i="10" a="1"/>
  <c r="K1391" i="10" s="1"/>
  <c r="K1392" i="10" a="1"/>
  <c r="K1392" i="10" s="1"/>
  <c r="K1393" i="10" a="1"/>
  <c r="K1393" i="10" s="1"/>
  <c r="K1394" i="10" a="1"/>
  <c r="K1394" i="10" s="1"/>
  <c r="K1395" i="10" a="1"/>
  <c r="K1395" i="10" s="1"/>
  <c r="K1396" i="10" a="1"/>
  <c r="K1396" i="10" s="1"/>
  <c r="K1397" i="10" a="1"/>
  <c r="K1397" i="10" s="1"/>
  <c r="K1398" i="10" a="1"/>
  <c r="K1398" i="10" s="1"/>
  <c r="K1399" i="10" a="1"/>
  <c r="K1399" i="10" s="1"/>
  <c r="K1400" i="10" a="1"/>
  <c r="K1400" i="10" s="1"/>
  <c r="K1401" i="10" a="1"/>
  <c r="K1401" i="10" s="1"/>
  <c r="K1402" i="10" a="1"/>
  <c r="K1402" i="10" s="1"/>
  <c r="K1403" i="10" a="1"/>
  <c r="K1403" i="10" s="1"/>
  <c r="K1404" i="10" a="1"/>
  <c r="K1404" i="10" s="1"/>
  <c r="K1405" i="10" a="1"/>
  <c r="K1405" i="10" s="1"/>
  <c r="K1406" i="10" a="1"/>
  <c r="K1406" i="10" s="1"/>
  <c r="K1407" i="10" a="1"/>
  <c r="K1407" i="10" s="1"/>
  <c r="K1408" i="10" a="1"/>
  <c r="K1408" i="10" s="1"/>
  <c r="K1409" i="10" a="1"/>
  <c r="K1409" i="10" s="1"/>
  <c r="K1410" i="10" a="1"/>
  <c r="K1410" i="10" s="1"/>
  <c r="K1411" i="10" a="1"/>
  <c r="K1411" i="10" s="1"/>
  <c r="K1412" i="10" a="1"/>
  <c r="K1412" i="10" s="1"/>
  <c r="K1413" i="10" a="1"/>
  <c r="K1413" i="10" s="1"/>
  <c r="K1414" i="10" a="1"/>
  <c r="K1414" i="10" s="1"/>
  <c r="K1415" i="10" a="1"/>
  <c r="K1415" i="10" s="1"/>
  <c r="K1416" i="10" a="1"/>
  <c r="K1416" i="10" s="1"/>
  <c r="K1417" i="10" a="1"/>
  <c r="K1417" i="10" s="1"/>
  <c r="K1418" i="10" a="1"/>
  <c r="K1418" i="10" s="1"/>
  <c r="K1419" i="10" a="1"/>
  <c r="K1419" i="10" s="1"/>
  <c r="K1420" i="10" a="1"/>
  <c r="K1420" i="10" s="1"/>
  <c r="K1421" i="10" a="1"/>
  <c r="K1421" i="10" s="1"/>
  <c r="K1422" i="10" a="1"/>
  <c r="K1422" i="10" s="1"/>
  <c r="K1423" i="10" a="1"/>
  <c r="K1423" i="10" s="1"/>
  <c r="K1424" i="10" a="1"/>
  <c r="K1424" i="10" s="1"/>
  <c r="K1425" i="10" a="1"/>
  <c r="K1425" i="10" s="1"/>
  <c r="K1426" i="10" a="1"/>
  <c r="K1426" i="10" s="1"/>
  <c r="K1427" i="10" a="1"/>
  <c r="K1427" i="10" s="1"/>
  <c r="K1428" i="10" a="1"/>
  <c r="K1428" i="10" s="1"/>
  <c r="K1429" i="10" a="1"/>
  <c r="K1429" i="10" s="1"/>
  <c r="K1430" i="10" a="1"/>
  <c r="K1430" i="10" s="1"/>
  <c r="K1431" i="10" a="1"/>
  <c r="K1431" i="10" s="1"/>
  <c r="K1432" i="10" a="1"/>
  <c r="K1432" i="10" s="1"/>
  <c r="K1433" i="10" a="1"/>
  <c r="K1433" i="10" s="1"/>
  <c r="K1434" i="10" a="1"/>
  <c r="K1434" i="10" s="1"/>
  <c r="K1435" i="10" a="1"/>
  <c r="K1435" i="10" s="1"/>
  <c r="K1436" i="10" a="1"/>
  <c r="K1436" i="10" s="1"/>
  <c r="K1437" i="10" a="1"/>
  <c r="K1437" i="10" s="1"/>
  <c r="K1438" i="10" a="1"/>
  <c r="K1438" i="10" s="1"/>
  <c r="K1439" i="10" a="1"/>
  <c r="K1439" i="10" s="1"/>
  <c r="K1440" i="10" a="1"/>
  <c r="K1440" i="10" s="1"/>
  <c r="K1441" i="10" a="1"/>
  <c r="K1441" i="10" s="1"/>
  <c r="K1442" i="10" a="1"/>
  <c r="K1442" i="10" s="1"/>
  <c r="K1443" i="10" a="1"/>
  <c r="K1443" i="10" s="1"/>
  <c r="K1444" i="10" a="1"/>
  <c r="K1444" i="10" s="1"/>
  <c r="K1445" i="10" a="1"/>
  <c r="K1445" i="10" s="1"/>
  <c r="K1446" i="10" a="1"/>
  <c r="K1446" i="10" s="1"/>
  <c r="K1447" i="10" a="1"/>
  <c r="K1447" i="10" s="1"/>
  <c r="K1448" i="10" a="1"/>
  <c r="K1448" i="10" s="1"/>
  <c r="K1449" i="10" a="1"/>
  <c r="K1449" i="10" s="1"/>
  <c r="K1450" i="10" a="1"/>
  <c r="K1450" i="10" s="1"/>
  <c r="K1451" i="10" a="1"/>
  <c r="K1451" i="10" s="1"/>
  <c r="K1452" i="10" a="1"/>
  <c r="K1452" i="10" s="1"/>
  <c r="K1453" i="10" a="1"/>
  <c r="K1453" i="10" s="1"/>
  <c r="K1454" i="10" a="1"/>
  <c r="K1454" i="10" s="1"/>
  <c r="K1455" i="10" a="1"/>
  <c r="K1455" i="10" s="1"/>
  <c r="K1456" i="10" a="1"/>
  <c r="K1456" i="10" s="1"/>
  <c r="K1457" i="10" a="1"/>
  <c r="K1457" i="10" s="1"/>
  <c r="K1458" i="10" a="1"/>
  <c r="K1458" i="10" s="1"/>
  <c r="K1459" i="10" a="1"/>
  <c r="K1459" i="10" s="1"/>
  <c r="K1460" i="10" a="1"/>
  <c r="K1460" i="10" s="1"/>
  <c r="K1461" i="10" a="1"/>
  <c r="K1461" i="10" s="1"/>
  <c r="K1462" i="10" a="1"/>
  <c r="K1462" i="10" s="1"/>
  <c r="K1463" i="10" a="1"/>
  <c r="K1463" i="10" s="1"/>
  <c r="K1464" i="10" a="1"/>
  <c r="K1464" i="10" s="1"/>
  <c r="K1465" i="10" a="1"/>
  <c r="K1465" i="10" s="1"/>
  <c r="K1466" i="10" a="1"/>
  <c r="K1466" i="10" s="1"/>
  <c r="K1467" i="10" a="1"/>
  <c r="K1467" i="10" s="1"/>
  <c r="K1468" i="10" a="1"/>
  <c r="K1468" i="10" s="1"/>
  <c r="K1469" i="10" a="1"/>
  <c r="K1469" i="10" s="1"/>
  <c r="K1470" i="10" a="1"/>
  <c r="K1470" i="10" s="1"/>
  <c r="K1471" i="10" a="1"/>
  <c r="K1471" i="10" s="1"/>
  <c r="K1472" i="10" a="1"/>
  <c r="K1472" i="10" s="1"/>
  <c r="K1473" i="10" a="1"/>
  <c r="K1473" i="10" s="1"/>
  <c r="K1474" i="10" a="1"/>
  <c r="K1474" i="10" s="1"/>
  <c r="K1475" i="10" a="1"/>
  <c r="K1475" i="10" s="1"/>
  <c r="K1476" i="10" a="1"/>
  <c r="K1476" i="10" s="1"/>
  <c r="K1477" i="10" a="1"/>
  <c r="K1477" i="10" s="1"/>
  <c r="K1478" i="10" a="1"/>
  <c r="K1478" i="10" s="1"/>
  <c r="K1479" i="10" a="1"/>
  <c r="K1479" i="10" s="1"/>
  <c r="K1480" i="10" a="1"/>
  <c r="K1480" i="10" s="1"/>
  <c r="K1481" i="10" a="1"/>
  <c r="K1481" i="10" s="1"/>
  <c r="K1482" i="10" a="1"/>
  <c r="K1482" i="10" s="1"/>
  <c r="K1483" i="10" a="1"/>
  <c r="K1483" i="10" s="1"/>
  <c r="K1484" i="10" a="1"/>
  <c r="K1484" i="10" s="1"/>
  <c r="K1485" i="10" a="1"/>
  <c r="K1485" i="10" s="1"/>
  <c r="K1486" i="10" a="1"/>
  <c r="K1486" i="10" s="1"/>
  <c r="K1487" i="10" a="1"/>
  <c r="K1487" i="10" s="1"/>
  <c r="K1488" i="10" a="1"/>
  <c r="K1488" i="10" s="1"/>
  <c r="K1489" i="10" a="1"/>
  <c r="K1489" i="10" s="1"/>
  <c r="K1490" i="10" a="1"/>
  <c r="K1490" i="10" s="1"/>
  <c r="K1491" i="10" a="1"/>
  <c r="K1491" i="10" s="1"/>
  <c r="K1492" i="10" a="1"/>
  <c r="K1492" i="10" s="1"/>
  <c r="K1493" i="10" a="1"/>
  <c r="K1493" i="10" s="1"/>
  <c r="K1494" i="10" a="1"/>
  <c r="K1494" i="10" s="1"/>
  <c r="K1495" i="10" a="1"/>
  <c r="K1495" i="10" s="1"/>
  <c r="K1496" i="10" a="1"/>
  <c r="K1496" i="10" s="1"/>
  <c r="K1497" i="10" a="1"/>
  <c r="K1497" i="10" s="1"/>
  <c r="K1498" i="10" a="1"/>
  <c r="K1498" i="10" s="1"/>
  <c r="K1499" i="10" a="1"/>
  <c r="K1499" i="10" s="1"/>
  <c r="K1500" i="10" a="1"/>
  <c r="K1500" i="10" s="1"/>
  <c r="K1501" i="10" a="1"/>
  <c r="K1501" i="10" s="1"/>
  <c r="K1502" i="10" a="1"/>
  <c r="K1502" i="10" s="1"/>
  <c r="K1503" i="10" a="1"/>
  <c r="K1503" i="10" s="1"/>
  <c r="K1504" i="10" a="1"/>
  <c r="K1504" i="10" s="1"/>
  <c r="K1505" i="10" a="1"/>
  <c r="K1505" i="10" s="1"/>
  <c r="K1506" i="10" a="1"/>
  <c r="K1506" i="10" s="1"/>
  <c r="K1507" i="10" a="1"/>
  <c r="K1507" i="10" s="1"/>
  <c r="K1508" i="10" a="1"/>
  <c r="K1508" i="10" s="1"/>
  <c r="K1509" i="10" a="1"/>
  <c r="K1509" i="10" s="1"/>
  <c r="K1510" i="10" a="1"/>
  <c r="K1510" i="10" s="1"/>
  <c r="K1511" i="10" a="1"/>
  <c r="K1511" i="10" s="1"/>
  <c r="K1512" i="10" a="1"/>
  <c r="K1512" i="10" s="1"/>
  <c r="K1513" i="10" a="1"/>
  <c r="K1513" i="10" s="1"/>
  <c r="K1514" i="10" a="1"/>
  <c r="K1514" i="10" s="1"/>
  <c r="K1515" i="10" a="1"/>
  <c r="K1515" i="10" s="1"/>
  <c r="K1516" i="10" a="1"/>
  <c r="K1516" i="10" s="1"/>
  <c r="K1517" i="10" a="1"/>
  <c r="K1517" i="10" s="1"/>
  <c r="K1518" i="10" a="1"/>
  <c r="K1518" i="10" s="1"/>
  <c r="K1519" i="10" a="1"/>
  <c r="K1519" i="10" s="1"/>
  <c r="K1520" i="10" a="1"/>
  <c r="K1520" i="10" s="1"/>
  <c r="K1521" i="10" a="1"/>
  <c r="K1521" i="10" s="1"/>
  <c r="K1522" i="10" a="1"/>
  <c r="K1522" i="10" s="1"/>
  <c r="K1523" i="10" a="1"/>
  <c r="K1523" i="10" s="1"/>
  <c r="K1524" i="10" a="1"/>
  <c r="K1524" i="10" s="1"/>
  <c r="K1525" i="10" a="1"/>
  <c r="K1525" i="10" s="1"/>
  <c r="K1526" i="10" a="1"/>
  <c r="K1526" i="10" s="1"/>
  <c r="K1527" i="10" a="1"/>
  <c r="K1527" i="10" s="1"/>
  <c r="K1528" i="10" a="1"/>
  <c r="K1528" i="10" s="1"/>
  <c r="K1529" i="10" a="1"/>
  <c r="K1529" i="10" s="1"/>
  <c r="K1530" i="10" a="1"/>
  <c r="K1530" i="10" s="1"/>
  <c r="K1531" i="10" a="1"/>
  <c r="K1531" i="10" s="1"/>
  <c r="K1532" i="10" a="1"/>
  <c r="K1532" i="10" s="1"/>
  <c r="K1533" i="10" a="1"/>
  <c r="K1533" i="10" s="1"/>
  <c r="K1534" i="10" a="1"/>
  <c r="K1534" i="10" s="1"/>
  <c r="K1535" i="10" a="1"/>
  <c r="K1535" i="10" s="1"/>
  <c r="K1536" i="10" a="1"/>
  <c r="K1536" i="10" s="1"/>
  <c r="K1537" i="10" a="1"/>
  <c r="K1537" i="10" s="1"/>
  <c r="K1538" i="10" a="1"/>
  <c r="K1538" i="10" s="1"/>
  <c r="K1539" i="10" a="1"/>
  <c r="K1539" i="10" s="1"/>
  <c r="K1540" i="10" a="1"/>
  <c r="K1540" i="10" s="1"/>
  <c r="K1541" i="10" a="1"/>
  <c r="K1541" i="10" s="1"/>
  <c r="K1542" i="10" a="1"/>
  <c r="K1542" i="10" s="1"/>
  <c r="K1543" i="10" a="1"/>
  <c r="K1543" i="10" s="1"/>
  <c r="K1544" i="10" a="1"/>
  <c r="K1544" i="10" s="1"/>
  <c r="K1545" i="10" a="1"/>
  <c r="K1545" i="10" s="1"/>
  <c r="K1546" i="10" a="1"/>
  <c r="K1546" i="10" s="1"/>
  <c r="K1547" i="10" a="1"/>
  <c r="K1547" i="10" s="1"/>
  <c r="K1548" i="10" a="1"/>
  <c r="K1548" i="10" s="1"/>
  <c r="K1549" i="10" a="1"/>
  <c r="K1549" i="10" s="1"/>
  <c r="K1550" i="10" a="1"/>
  <c r="K1550" i="10" s="1"/>
  <c r="K1551" i="10" a="1"/>
  <c r="K1551" i="10" s="1"/>
  <c r="K1552" i="10" a="1"/>
  <c r="K1552" i="10" s="1"/>
  <c r="K1553" i="10" a="1"/>
  <c r="K1553" i="10" s="1"/>
  <c r="K1554" i="10" a="1"/>
  <c r="K1554" i="10" s="1"/>
  <c r="K1555" i="10" a="1"/>
  <c r="K1555" i="10" s="1"/>
  <c r="K1556" i="10" a="1"/>
  <c r="K1556" i="10" s="1"/>
  <c r="K1557" i="10" a="1"/>
  <c r="K1557" i="10" s="1"/>
  <c r="K1558" i="10" a="1"/>
  <c r="K1558" i="10" s="1"/>
  <c r="K1559" i="10" a="1"/>
  <c r="K1559" i="10" s="1"/>
  <c r="K1560" i="10" a="1"/>
  <c r="K1560" i="10" s="1"/>
  <c r="K1561" i="10" a="1"/>
  <c r="K1561" i="10" s="1"/>
  <c r="K1562" i="10" a="1"/>
  <c r="K1562" i="10" s="1"/>
  <c r="K1563" i="10" a="1"/>
  <c r="K1563" i="10" s="1"/>
  <c r="K1564" i="10" a="1"/>
  <c r="K1564" i="10" s="1"/>
  <c r="K1565" i="10" a="1"/>
  <c r="K1565" i="10" s="1"/>
  <c r="K1566" i="10" a="1"/>
  <c r="K1566" i="10" s="1"/>
  <c r="K1567" i="10" a="1"/>
  <c r="K1567" i="10" s="1"/>
  <c r="K1568" i="10" a="1"/>
  <c r="K1568" i="10" s="1"/>
  <c r="K1569" i="10" a="1"/>
  <c r="K1569" i="10" s="1"/>
  <c r="K1570" i="10" a="1"/>
  <c r="K1570" i="10" s="1"/>
  <c r="K1571" i="10" a="1"/>
  <c r="K1571" i="10" s="1"/>
  <c r="K1572" i="10" a="1"/>
  <c r="K1572" i="10" s="1"/>
  <c r="K1573" i="10" a="1"/>
  <c r="K1573" i="10" s="1"/>
  <c r="K1574" i="10" a="1"/>
  <c r="K1574" i="10" s="1"/>
  <c r="K1575" i="10" a="1"/>
  <c r="K1575" i="10" s="1"/>
  <c r="K1576" i="10" a="1"/>
  <c r="K1576" i="10" s="1"/>
  <c r="K1577" i="10" a="1"/>
  <c r="K1577" i="10" s="1"/>
  <c r="K1578" i="10" a="1"/>
  <c r="K1578" i="10" s="1"/>
  <c r="K1579" i="10" a="1"/>
  <c r="K1579" i="10"/>
  <c r="K1580" i="10" a="1"/>
  <c r="K1580" i="10"/>
  <c r="K1581" i="10" a="1"/>
  <c r="K1581" i="10"/>
  <c r="K1582" i="10" a="1"/>
  <c r="K1582" i="10"/>
  <c r="K1583" i="10" a="1"/>
  <c r="K1583" i="10"/>
  <c r="K1584" i="10" a="1"/>
  <c r="K1584" i="10"/>
  <c r="K1585" i="10" a="1"/>
  <c r="K1585" i="10"/>
  <c r="K1586" i="10" a="1"/>
  <c r="K1586" i="10"/>
  <c r="K1587" i="10" a="1"/>
  <c r="K1587" i="10"/>
  <c r="K1588" i="10" a="1"/>
  <c r="K1588" i="10"/>
  <c r="K1589" i="10" a="1"/>
  <c r="K1589" i="10"/>
  <c r="K1590" i="10" a="1"/>
  <c r="K1590" i="10"/>
  <c r="K1591" i="10" a="1"/>
  <c r="K1591" i="10"/>
  <c r="K1592" i="10" a="1"/>
  <c r="K1592" i="10"/>
  <c r="K1593" i="10" a="1"/>
  <c r="K1593" i="10"/>
  <c r="K1594" i="10" a="1"/>
  <c r="K1594" i="10"/>
  <c r="K1595" i="10" a="1"/>
  <c r="K1595" i="10"/>
  <c r="K1596" i="10" a="1"/>
  <c r="K1596" i="10"/>
  <c r="K1597" i="10" a="1"/>
  <c r="K1597" i="10"/>
  <c r="K1598" i="10" a="1"/>
  <c r="K1598" i="10"/>
  <c r="K1599" i="10" a="1"/>
  <c r="K1599" i="10"/>
  <c r="K1600" i="10" a="1"/>
  <c r="K1600" i="10"/>
  <c r="K1601" i="10" a="1"/>
  <c r="K1601" i="10"/>
  <c r="K1602" i="10" a="1"/>
  <c r="K1602" i="10"/>
  <c r="K1603" i="10" a="1"/>
  <c r="K1603" i="10"/>
  <c r="K1604" i="10" a="1"/>
  <c r="K1604" i="10"/>
  <c r="K1605" i="10" a="1"/>
  <c r="K1605" i="10"/>
  <c r="K1606" i="10" a="1"/>
  <c r="K1606" i="10"/>
  <c r="K1607" i="10" a="1"/>
  <c r="K1607" i="10"/>
  <c r="K1608" i="10" a="1"/>
  <c r="K1608" i="10"/>
  <c r="K1609" i="10" a="1"/>
  <c r="K1609" i="10"/>
  <c r="K1610" i="10" a="1"/>
  <c r="K1610" i="10"/>
  <c r="K1611" i="10" a="1"/>
  <c r="K1611" i="10"/>
  <c r="K1612" i="10" a="1"/>
  <c r="K1612" i="10"/>
  <c r="K1613" i="10" a="1"/>
  <c r="K1613" i="10"/>
  <c r="K1614" i="10" a="1"/>
  <c r="K1614" i="10"/>
  <c r="K1615" i="10" a="1"/>
  <c r="K1615" i="10"/>
  <c r="K1616" i="10" a="1"/>
  <c r="K1616" i="10"/>
  <c r="K1617" i="10" a="1"/>
  <c r="K1617" i="10"/>
  <c r="K1618" i="10" a="1"/>
  <c r="K1618" i="10"/>
  <c r="K1619" i="10" a="1"/>
  <c r="K1619" i="10"/>
  <c r="K1620" i="10" a="1"/>
  <c r="K1620" i="10"/>
  <c r="K1621" i="10" a="1"/>
  <c r="K1621" i="10"/>
  <c r="K1622" i="10" a="1"/>
  <c r="K1622" i="10"/>
  <c r="K1623" i="10" a="1"/>
  <c r="K1623" i="10"/>
  <c r="K1624" i="10" a="1"/>
  <c r="K1624" i="10"/>
  <c r="K1625" i="10" a="1"/>
  <c r="K1625" i="10"/>
  <c r="K1626" i="10" a="1"/>
  <c r="K1626" i="10"/>
  <c r="K1627" i="10" a="1"/>
  <c r="K1627" i="10"/>
  <c r="K1628" i="10" a="1"/>
  <c r="K1628" i="10"/>
  <c r="K1629" i="10" a="1"/>
  <c r="K1629" i="10"/>
  <c r="K1630" i="10" a="1"/>
  <c r="K1630" i="10"/>
  <c r="K1631" i="10" a="1"/>
  <c r="K1631" i="10"/>
  <c r="K1632" i="10" a="1"/>
  <c r="K1632" i="10"/>
  <c r="K1633" i="10" a="1"/>
  <c r="K1633" i="10"/>
  <c r="K1634" i="10" a="1"/>
  <c r="K1634" i="10"/>
  <c r="K1635" i="10" a="1"/>
  <c r="K1635" i="10"/>
  <c r="K1636" i="10" a="1"/>
  <c r="K1636" i="10"/>
  <c r="K1637" i="10" a="1"/>
  <c r="K1637" i="10"/>
  <c r="K1638" i="10" a="1"/>
  <c r="K1638" i="10"/>
  <c r="K1639" i="10" a="1"/>
  <c r="K1639" i="10"/>
  <c r="K1640" i="10" a="1"/>
  <c r="K1640" i="10"/>
  <c r="K1641" i="10" a="1"/>
  <c r="K1641" i="10"/>
  <c r="K1642" i="10" a="1"/>
  <c r="K1642" i="10"/>
  <c r="K1643" i="10" a="1"/>
  <c r="K1643" i="10"/>
  <c r="K1644" i="10" a="1"/>
  <c r="K1644" i="10"/>
  <c r="K1645" i="10" a="1"/>
  <c r="K1645" i="10"/>
  <c r="K1646" i="10" a="1"/>
  <c r="K1646" i="10"/>
  <c r="K1647" i="10" a="1"/>
  <c r="K1647" i="10"/>
  <c r="K1648" i="10" a="1"/>
  <c r="K1648" i="10"/>
  <c r="K1649" i="10" a="1"/>
  <c r="K1649" i="10"/>
  <c r="K1650" i="10" a="1"/>
  <c r="K1650" i="10"/>
  <c r="K1651" i="10" a="1"/>
  <c r="K1651" i="10"/>
  <c r="K1652" i="10" a="1"/>
  <c r="K1652" i="10"/>
  <c r="K1653" i="10" a="1"/>
  <c r="K1653" i="10"/>
  <c r="K1654" i="10" a="1"/>
  <c r="K1654" i="10"/>
  <c r="K1655" i="10" a="1"/>
  <c r="K1655" i="10"/>
  <c r="K1656" i="10" a="1"/>
  <c r="K1656" i="10"/>
  <c r="K1657" i="10" a="1"/>
  <c r="K1657" i="10"/>
  <c r="K1658" i="10" a="1"/>
  <c r="K1658" i="10"/>
  <c r="K1659" i="10" a="1"/>
  <c r="K1659" i="10"/>
  <c r="K1660" i="10" a="1"/>
  <c r="K1660" i="10"/>
  <c r="K1661" i="10" a="1"/>
  <c r="K1661" i="10"/>
  <c r="K1662" i="10" a="1"/>
  <c r="K1662" i="10"/>
  <c r="K1663" i="10" a="1"/>
  <c r="K1663" i="10"/>
  <c r="K1664" i="10" a="1"/>
  <c r="K1664" i="10"/>
  <c r="K1665" i="10" a="1"/>
  <c r="K1665" i="10"/>
  <c r="K1666" i="10" a="1"/>
  <c r="K1666" i="10"/>
  <c r="K1667" i="10" a="1"/>
  <c r="K1667" i="10"/>
  <c r="K1668" i="10" a="1"/>
  <c r="K1668" i="10"/>
  <c r="K1669" i="10" a="1"/>
  <c r="K1669" i="10"/>
  <c r="K1670" i="10" a="1"/>
  <c r="K1670" i="10"/>
  <c r="K1671" i="10" a="1"/>
  <c r="K1671" i="10"/>
  <c r="K1672" i="10" a="1"/>
  <c r="K1672" i="10"/>
  <c r="K1673" i="10" a="1"/>
  <c r="K1673" i="10"/>
  <c r="K1674" i="10" a="1"/>
  <c r="K1674" i="10"/>
  <c r="K1675" i="10" a="1"/>
  <c r="K1675" i="10"/>
  <c r="K1676" i="10" a="1"/>
  <c r="K1676" i="10"/>
  <c r="K1677" i="10" a="1"/>
  <c r="K1677" i="10"/>
  <c r="K1678" i="10" a="1"/>
  <c r="K1678" i="10"/>
  <c r="K1679" i="10" a="1"/>
  <c r="K1679" i="10"/>
  <c r="K1680" i="10" a="1"/>
  <c r="K1680" i="10"/>
  <c r="K1681" i="10" a="1"/>
  <c r="K1681" i="10"/>
  <c r="K1682" i="10" a="1"/>
  <c r="K1682" i="10"/>
  <c r="K1683" i="10" a="1"/>
  <c r="K1683" i="10"/>
  <c r="K1684" i="10" a="1"/>
  <c r="K1684" i="10"/>
  <c r="K1685" i="10" a="1"/>
  <c r="K1685" i="10"/>
  <c r="K1686" i="10" a="1"/>
  <c r="K1686" i="10"/>
  <c r="K1687" i="10" a="1"/>
  <c r="K1687" i="10"/>
  <c r="K1688" i="10" a="1"/>
  <c r="K1688" i="10"/>
  <c r="K1689" i="10" a="1"/>
  <c r="K1689" i="10"/>
  <c r="K1690" i="10" a="1"/>
  <c r="K1690" i="10"/>
  <c r="K1691" i="10" a="1"/>
  <c r="K1691" i="10"/>
  <c r="K1692" i="10" a="1"/>
  <c r="K1692" i="10"/>
  <c r="K1693" i="10" a="1"/>
  <c r="K1693" i="10"/>
  <c r="K1694" i="10" a="1"/>
  <c r="K1694" i="10"/>
  <c r="K1695" i="10" a="1"/>
  <c r="K1695" i="10"/>
  <c r="K1696" i="10" a="1"/>
  <c r="K1696" i="10"/>
  <c r="K1697" i="10" a="1"/>
  <c r="K1697" i="10"/>
  <c r="K1698" i="10" a="1"/>
  <c r="K1698" i="10"/>
  <c r="K1699" i="10" a="1"/>
  <c r="K1699" i="10"/>
  <c r="K1700" i="10" a="1"/>
  <c r="K1700" i="10"/>
  <c r="K1701" i="10" a="1"/>
  <c r="K1701" i="10"/>
  <c r="K1702" i="10" a="1"/>
  <c r="K1702" i="10"/>
  <c r="K1703" i="10" a="1"/>
  <c r="K1703" i="10"/>
  <c r="K1704" i="10" a="1"/>
  <c r="K1704" i="10"/>
  <c r="K1705" i="10" a="1"/>
  <c r="K1705" i="10"/>
  <c r="K1706" i="10" a="1"/>
  <c r="K1706" i="10"/>
  <c r="K1707" i="10" a="1"/>
  <c r="K1707" i="10"/>
  <c r="K1708" i="10" a="1"/>
  <c r="K1708" i="10"/>
  <c r="K1709" i="10" a="1"/>
  <c r="K1709" i="10"/>
  <c r="K1710" i="10" a="1"/>
  <c r="K1710" i="10"/>
  <c r="K1711" i="10" a="1"/>
  <c r="K1711" i="10"/>
  <c r="K1712" i="10" a="1"/>
  <c r="K1712" i="10" s="1"/>
  <c r="K1713" i="10" a="1"/>
  <c r="K1713" i="10" s="1"/>
  <c r="K1714" i="10" a="1"/>
  <c r="K1714" i="10" s="1"/>
  <c r="K1715" i="10" a="1"/>
  <c r="K1715" i="10" s="1"/>
  <c r="K1716" i="10" a="1"/>
  <c r="K1716" i="10" s="1"/>
  <c r="K1717" i="10" a="1"/>
  <c r="K1717" i="10" s="1"/>
  <c r="K1718" i="10" a="1"/>
  <c r="K1718" i="10" s="1"/>
  <c r="K1719" i="10" a="1"/>
  <c r="K1719" i="10" s="1"/>
  <c r="K1720" i="10" a="1"/>
  <c r="K1720" i="10" s="1"/>
  <c r="K1721" i="10" a="1"/>
  <c r="K1721" i="10" s="1"/>
  <c r="K1722" i="10" a="1"/>
  <c r="K1722" i="10" s="1"/>
  <c r="K1723" i="10" a="1"/>
  <c r="K1723" i="10" s="1"/>
  <c r="K1724" i="10" a="1"/>
  <c r="K1724" i="10" s="1"/>
  <c r="K1725" i="10" a="1"/>
  <c r="K1725" i="10" s="1"/>
  <c r="K1726" i="10" a="1"/>
  <c r="K1726" i="10" s="1"/>
  <c r="K1727" i="10" a="1"/>
  <c r="K1727" i="10" s="1"/>
  <c r="K1728" i="10" a="1"/>
  <c r="K1728" i="10" s="1"/>
  <c r="K1729" i="10" a="1"/>
  <c r="K1729" i="10" s="1"/>
  <c r="K1730" i="10" a="1"/>
  <c r="K1730" i="10" s="1"/>
  <c r="K1731" i="10" a="1"/>
  <c r="K1731" i="10" s="1"/>
  <c r="K1732" i="10" a="1"/>
  <c r="K1732" i="10" s="1"/>
  <c r="K1733" i="10" a="1"/>
  <c r="K1733" i="10" s="1"/>
  <c r="K1734" i="10" a="1"/>
  <c r="K1734" i="10" s="1"/>
  <c r="K1735" i="10" a="1"/>
  <c r="K1735" i="10" s="1"/>
  <c r="K1736" i="10" a="1"/>
  <c r="K1736" i="10" s="1"/>
  <c r="K1737" i="10" a="1"/>
  <c r="K1737" i="10" s="1"/>
  <c r="K1738" i="10" a="1"/>
  <c r="K1738" i="10" s="1"/>
  <c r="K1739" i="10" a="1"/>
  <c r="K1739" i="10" s="1"/>
  <c r="K1740" i="10" a="1"/>
  <c r="K1740" i="10" s="1"/>
  <c r="K1741" i="10" a="1"/>
  <c r="K1741" i="10" s="1"/>
  <c r="K1742" i="10" a="1"/>
  <c r="K1742" i="10" s="1"/>
  <c r="K1743" i="10" a="1"/>
  <c r="K1743" i="10" s="1"/>
  <c r="K1744" i="10" a="1"/>
  <c r="K1744" i="10" s="1"/>
  <c r="K1745" i="10" a="1"/>
  <c r="K1745" i="10" s="1"/>
  <c r="K1746" i="10" a="1"/>
  <c r="K1746" i="10" s="1"/>
  <c r="K1747" i="10" a="1"/>
  <c r="K1747" i="10" s="1"/>
  <c r="K1748" i="10" a="1"/>
  <c r="K1748" i="10" s="1"/>
  <c r="K1749" i="10" a="1"/>
  <c r="K1749" i="10" s="1"/>
  <c r="K1750" i="10" a="1"/>
  <c r="K1750" i="10" s="1"/>
  <c r="K1751" i="10" a="1"/>
  <c r="K1751" i="10" s="1"/>
  <c r="K1752" i="10" a="1"/>
  <c r="K1752" i="10" s="1"/>
  <c r="K1753" i="10" a="1"/>
  <c r="K1753" i="10" s="1"/>
  <c r="K1754" i="10" a="1"/>
  <c r="K1754" i="10" s="1"/>
  <c r="K1755" i="10" a="1"/>
  <c r="K1755" i="10" s="1"/>
  <c r="K1756" i="10" a="1"/>
  <c r="K1756" i="10" s="1"/>
  <c r="K1757" i="10" a="1"/>
  <c r="K1757" i="10" s="1"/>
  <c r="K1758" i="10" a="1"/>
  <c r="K1758" i="10" s="1"/>
  <c r="K1759" i="10" a="1"/>
  <c r="K1759" i="10" s="1"/>
  <c r="K1760" i="10" a="1"/>
  <c r="K1760" i="10" s="1"/>
  <c r="K1761" i="10" a="1"/>
  <c r="K1761" i="10" s="1"/>
  <c r="K1762" i="10" a="1"/>
  <c r="K1762" i="10" s="1"/>
  <c r="K1763" i="10" a="1"/>
  <c r="K1763" i="10" s="1"/>
  <c r="K1764" i="10" a="1"/>
  <c r="K1764" i="10" s="1"/>
  <c r="K1765" i="10" a="1"/>
  <c r="K1765" i="10" s="1"/>
  <c r="K1766" i="10" a="1"/>
  <c r="K1766" i="10" s="1"/>
  <c r="K1767" i="10" a="1"/>
  <c r="K1767" i="10" s="1"/>
  <c r="K1768" i="10" a="1"/>
  <c r="K1768" i="10" s="1"/>
  <c r="K1769" i="10" a="1"/>
  <c r="K1769" i="10" s="1"/>
  <c r="K1770" i="10" a="1"/>
  <c r="K1770" i="10" s="1"/>
  <c r="K1771" i="10" a="1"/>
  <c r="K1771" i="10" s="1"/>
  <c r="K1772" i="10" a="1"/>
  <c r="K1772" i="10" s="1"/>
  <c r="K1773" i="10" a="1"/>
  <c r="K1773" i="10" s="1"/>
  <c r="K1774" i="10" a="1"/>
  <c r="K1774" i="10" s="1"/>
  <c r="K1775" i="10" a="1"/>
  <c r="K1775" i="10" s="1"/>
  <c r="K1776" i="10" a="1"/>
  <c r="K1776" i="10" s="1"/>
  <c r="K1777" i="10" a="1"/>
  <c r="K1777" i="10" s="1"/>
  <c r="K1778" i="10" a="1"/>
  <c r="K1778" i="10" s="1"/>
  <c r="K1779" i="10" a="1"/>
  <c r="K1779" i="10" s="1"/>
  <c r="K1780" i="10" a="1"/>
  <c r="K1780" i="10" s="1"/>
  <c r="K1781" i="10" a="1"/>
  <c r="K1781" i="10" s="1"/>
  <c r="K1782" i="10" a="1"/>
  <c r="K1782" i="10" s="1"/>
  <c r="K1783" i="10" a="1"/>
  <c r="K1783" i="10" s="1"/>
  <c r="K1784" i="10" a="1"/>
  <c r="K1784" i="10" s="1"/>
  <c r="K1785" i="10" a="1"/>
  <c r="K1785" i="10" s="1"/>
  <c r="K1786" i="10" a="1"/>
  <c r="K1786" i="10" s="1"/>
  <c r="K1787" i="10" a="1"/>
  <c r="K1787" i="10" s="1"/>
  <c r="K1788" i="10" a="1"/>
  <c r="K1788" i="10" s="1"/>
  <c r="K1789" i="10" a="1"/>
  <c r="K1789" i="10" s="1"/>
  <c r="K1790" i="10" a="1"/>
  <c r="K1790" i="10" s="1"/>
  <c r="K1791" i="10" a="1"/>
  <c r="K1791" i="10" s="1"/>
  <c r="K1792" i="10" a="1"/>
  <c r="K1792" i="10" s="1"/>
  <c r="K1793" i="10" a="1"/>
  <c r="K1793" i="10" s="1"/>
  <c r="K1794" i="10" a="1"/>
  <c r="K1794" i="10" s="1"/>
  <c r="K1795" i="10" a="1"/>
  <c r="K1795" i="10" s="1"/>
  <c r="K1796" i="10" a="1"/>
  <c r="K1796" i="10" s="1"/>
  <c r="K1797" i="10" a="1"/>
  <c r="K1797" i="10" s="1"/>
  <c r="K1798" i="10" a="1"/>
  <c r="K1798" i="10" s="1"/>
  <c r="K1799" i="10" a="1"/>
  <c r="K1799" i="10" s="1"/>
  <c r="K1800" i="10" a="1"/>
  <c r="K1800" i="10" s="1"/>
  <c r="K1801" i="10" a="1"/>
  <c r="K1801" i="10" s="1"/>
  <c r="K1802" i="10" a="1"/>
  <c r="K1802" i="10" s="1"/>
  <c r="K1803" i="10" a="1"/>
  <c r="K1803" i="10" s="1"/>
  <c r="K1804" i="10" a="1"/>
  <c r="K1804" i="10" s="1"/>
  <c r="K1805" i="10" a="1"/>
  <c r="K1805" i="10" s="1"/>
  <c r="K1806" i="10" a="1"/>
  <c r="K1806" i="10" s="1"/>
  <c r="K1807" i="10" a="1"/>
  <c r="K1807" i="10" s="1"/>
  <c r="K1808" i="10" a="1"/>
  <c r="K1808" i="10" s="1"/>
  <c r="K1809" i="10" a="1"/>
  <c r="K1809" i="10" s="1"/>
  <c r="K1810" i="10" a="1"/>
  <c r="K1810" i="10" s="1"/>
  <c r="K1811" i="10" a="1"/>
  <c r="K1811" i="10" s="1"/>
  <c r="K1812" i="10" a="1"/>
  <c r="K1812" i="10" s="1"/>
  <c r="K1813" i="10" a="1"/>
  <c r="K1813" i="10" s="1"/>
  <c r="K1814" i="10" a="1"/>
  <c r="K1814" i="10" s="1"/>
  <c r="K1815" i="10" a="1"/>
  <c r="K1815" i="10" s="1"/>
  <c r="K1816" i="10" a="1"/>
  <c r="K1816" i="10" s="1"/>
  <c r="K1817" i="10" a="1"/>
  <c r="K1817" i="10" s="1"/>
  <c r="K1818" i="10" a="1"/>
  <c r="K1818" i="10" s="1"/>
  <c r="K1819" i="10" a="1"/>
  <c r="K1819" i="10" s="1"/>
  <c r="K1820" i="10" a="1"/>
  <c r="K1820" i="10" s="1"/>
  <c r="K1821" i="10" a="1"/>
  <c r="K1821" i="10" s="1"/>
  <c r="K1822" i="10" a="1"/>
  <c r="K1822" i="10" s="1"/>
  <c r="K1823" i="10" a="1"/>
  <c r="K1823" i="10" s="1"/>
  <c r="K1824" i="10" a="1"/>
  <c r="K1824" i="10" s="1"/>
  <c r="K1825" i="10" a="1"/>
  <c r="K1825" i="10" s="1"/>
  <c r="K1826" i="10" a="1"/>
  <c r="K1826" i="10" s="1"/>
  <c r="K1827" i="10" a="1"/>
  <c r="K1827" i="10" s="1"/>
  <c r="K1828" i="10" a="1"/>
  <c r="K1828" i="10" s="1"/>
  <c r="K1829" i="10" a="1"/>
  <c r="K1829" i="10" s="1"/>
  <c r="K1830" i="10" a="1"/>
  <c r="K1830" i="10" s="1"/>
  <c r="K1831" i="10" a="1"/>
  <c r="K1831" i="10" s="1"/>
  <c r="K1832" i="10" a="1"/>
  <c r="K1832" i="10" s="1"/>
  <c r="K1833" i="10" a="1"/>
  <c r="K1833" i="10" s="1"/>
  <c r="K1834" i="10" a="1"/>
  <c r="K1834" i="10" s="1"/>
  <c r="K1835" i="10" a="1"/>
  <c r="K1835" i="10" s="1"/>
  <c r="K1836" i="10" a="1"/>
  <c r="K1836" i="10" s="1"/>
  <c r="K1837" i="10" a="1"/>
  <c r="K1837" i="10" s="1"/>
  <c r="K1838" i="10" a="1"/>
  <c r="K1838" i="10" s="1"/>
  <c r="K1839" i="10" a="1"/>
  <c r="K1839" i="10" s="1"/>
  <c r="K1840" i="10" a="1"/>
  <c r="K1840" i="10" s="1"/>
  <c r="K1841" i="10" a="1"/>
  <c r="K1841" i="10" s="1"/>
  <c r="K1842" i="10" a="1"/>
  <c r="K1842" i="10" s="1"/>
  <c r="K1843" i="10" a="1"/>
  <c r="K1843" i="10" s="1"/>
  <c r="K1844" i="10" a="1"/>
  <c r="K1844" i="10" s="1"/>
  <c r="K1845" i="10" a="1"/>
  <c r="K1845" i="10" s="1"/>
  <c r="K1846" i="10" a="1"/>
  <c r="K1846" i="10" s="1"/>
  <c r="K1847" i="10" a="1"/>
  <c r="K1847" i="10" s="1"/>
  <c r="K1848" i="10" a="1"/>
  <c r="K1848" i="10" s="1"/>
  <c r="K1849" i="10" a="1"/>
  <c r="K1849" i="10" s="1"/>
  <c r="K1850" i="10" a="1"/>
  <c r="K1850" i="10" s="1"/>
  <c r="K1851" i="10" a="1"/>
  <c r="K1851" i="10" s="1"/>
  <c r="K1852" i="10" a="1"/>
  <c r="K1852" i="10" s="1"/>
  <c r="K1853" i="10" a="1"/>
  <c r="K1853" i="10" s="1"/>
  <c r="K1854" i="10" a="1"/>
  <c r="K1854" i="10" s="1"/>
  <c r="K1855" i="10" a="1"/>
  <c r="K1855" i="10" s="1"/>
  <c r="K1856" i="10" a="1"/>
  <c r="K1856" i="10" s="1"/>
  <c r="K1857" i="10" a="1"/>
  <c r="K1857" i="10" s="1"/>
  <c r="K1858" i="10" a="1"/>
  <c r="K1858" i="10" s="1"/>
  <c r="K1859" i="10" a="1"/>
  <c r="K1859" i="10" s="1"/>
  <c r="K1860" i="10" a="1"/>
  <c r="K1860" i="10" s="1"/>
  <c r="K1861" i="10" a="1"/>
  <c r="K1861" i="10" s="1"/>
  <c r="K1862" i="10" a="1"/>
  <c r="K1862" i="10" s="1"/>
  <c r="K1863" i="10" a="1"/>
  <c r="K1863" i="10" s="1"/>
  <c r="K1864" i="10" a="1"/>
  <c r="K1864" i="10" s="1"/>
  <c r="K1865" i="10" a="1"/>
  <c r="K1865" i="10" s="1"/>
  <c r="K1866" i="10" a="1"/>
  <c r="K1866" i="10" s="1"/>
  <c r="K1867" i="10" a="1"/>
  <c r="K1867" i="10" s="1"/>
  <c r="K1868" i="10" a="1"/>
  <c r="K1868" i="10" s="1"/>
  <c r="K1869" i="10" a="1"/>
  <c r="K1869" i="10" s="1"/>
  <c r="K1870" i="10" a="1"/>
  <c r="K1870" i="10" s="1"/>
  <c r="K1871" i="10" a="1"/>
  <c r="K1871" i="10" s="1"/>
  <c r="K1872" i="10" a="1"/>
  <c r="K1872" i="10" s="1"/>
  <c r="K1873" i="10" a="1"/>
  <c r="K1873" i="10" s="1"/>
  <c r="K1874" i="10" a="1"/>
  <c r="K1874" i="10" s="1"/>
  <c r="K1875" i="10" a="1"/>
  <c r="K1875" i="10" s="1"/>
  <c r="K1876" i="10" a="1"/>
  <c r="K1876" i="10" s="1"/>
  <c r="K1877" i="10" a="1"/>
  <c r="K1877" i="10" s="1"/>
  <c r="K1878" i="10" a="1"/>
  <c r="K1878" i="10" s="1"/>
  <c r="K1879" i="10" a="1"/>
  <c r="K1879" i="10" s="1"/>
  <c r="K1880" i="10" a="1"/>
  <c r="K1880" i="10" s="1"/>
  <c r="K1881" i="10" a="1"/>
  <c r="K1881" i="10" s="1"/>
  <c r="K1882" i="10" a="1"/>
  <c r="K1882" i="10" s="1"/>
  <c r="K1883" i="10" a="1"/>
  <c r="K1883" i="10" s="1"/>
  <c r="K1884" i="10" a="1"/>
  <c r="K1884" i="10" s="1"/>
  <c r="K1885" i="10" a="1"/>
  <c r="K1885" i="10" s="1"/>
  <c r="K1886" i="10" a="1"/>
  <c r="K1886" i="10" s="1"/>
  <c r="K1887" i="10" a="1"/>
  <c r="K1887" i="10" s="1"/>
  <c r="K1888" i="10" a="1"/>
  <c r="K1888" i="10" s="1"/>
  <c r="K1889" i="10" a="1"/>
  <c r="K1889" i="10" s="1"/>
  <c r="K1890" i="10" a="1"/>
  <c r="K1890" i="10" s="1"/>
  <c r="K1891" i="10" a="1"/>
  <c r="K1891" i="10" s="1"/>
  <c r="K1892" i="10" a="1"/>
  <c r="K1892" i="10" s="1"/>
  <c r="K1893" i="10" a="1"/>
  <c r="K1893" i="10" s="1"/>
  <c r="K1894" i="10" a="1"/>
  <c r="K1894" i="10" s="1"/>
  <c r="K1895" i="10" a="1"/>
  <c r="K1895" i="10" s="1"/>
  <c r="K1896" i="10" a="1"/>
  <c r="K1896" i="10" s="1"/>
  <c r="K1897" i="10" a="1"/>
  <c r="K1897" i="10" s="1"/>
  <c r="K1898" i="10" a="1"/>
  <c r="K1898" i="10" s="1"/>
  <c r="K1899" i="10" a="1"/>
  <c r="K1899" i="10" s="1"/>
  <c r="K1900" i="10" a="1"/>
  <c r="K1900" i="10" s="1"/>
  <c r="K1901" i="10" a="1"/>
  <c r="K1901" i="10" s="1"/>
  <c r="K1902" i="10" a="1"/>
  <c r="K1902" i="10" s="1"/>
  <c r="K1903" i="10" a="1"/>
  <c r="K1903" i="10" s="1"/>
  <c r="K1904" i="10" a="1"/>
  <c r="K1904" i="10" s="1"/>
  <c r="K1905" i="10" a="1"/>
  <c r="K1905" i="10" s="1"/>
  <c r="K1906" i="10" a="1"/>
  <c r="K1906" i="10" s="1"/>
  <c r="K1907" i="10" a="1"/>
  <c r="K1907" i="10" s="1"/>
  <c r="K1908" i="10" a="1"/>
  <c r="K1908" i="10" s="1"/>
  <c r="K1909" i="10" a="1"/>
  <c r="K1909" i="10" s="1"/>
  <c r="K1910" i="10" a="1"/>
  <c r="K1910" i="10" s="1"/>
  <c r="K1911" i="10" a="1"/>
  <c r="K1911" i="10" s="1"/>
  <c r="K1912" i="10" a="1"/>
  <c r="K1912" i="10" s="1"/>
  <c r="K1913" i="10" a="1"/>
  <c r="K1913" i="10" s="1"/>
  <c r="K1914" i="10" a="1"/>
  <c r="K1914" i="10" s="1"/>
  <c r="K1915" i="10" a="1"/>
  <c r="K1915" i="10" s="1"/>
  <c r="K1916" i="10" a="1"/>
  <c r="K1916" i="10" s="1"/>
  <c r="K1917" i="10" a="1"/>
  <c r="K1917" i="10" s="1"/>
  <c r="K1918" i="10" a="1"/>
  <c r="K1918" i="10" s="1"/>
  <c r="K1919" i="10" a="1"/>
  <c r="K1919" i="10" s="1"/>
  <c r="K1920" i="10" a="1"/>
  <c r="K1920" i="10" s="1"/>
  <c r="K1921" i="10" a="1"/>
  <c r="K1921" i="10" s="1"/>
  <c r="K1922" i="10" a="1"/>
  <c r="K1922" i="10" s="1"/>
  <c r="K1923" i="10" a="1"/>
  <c r="K1923" i="10" s="1"/>
  <c r="K1924" i="10" a="1"/>
  <c r="K1924" i="10" s="1"/>
  <c r="K1925" i="10" a="1"/>
  <c r="K1925" i="10" s="1"/>
  <c r="K1926" i="10" a="1"/>
  <c r="K1926" i="10" s="1"/>
  <c r="K1927" i="10" a="1"/>
  <c r="K1927" i="10" s="1"/>
  <c r="K1928" i="10" a="1"/>
  <c r="K1928" i="10" s="1"/>
  <c r="K1929" i="10" a="1"/>
  <c r="K1929" i="10" s="1"/>
  <c r="K1930" i="10" a="1"/>
  <c r="K1930" i="10" s="1"/>
  <c r="K1931" i="10" a="1"/>
  <c r="K1931" i="10" s="1"/>
  <c r="K1932" i="10" a="1"/>
  <c r="K1932" i="10" s="1"/>
  <c r="K1933" i="10" a="1"/>
  <c r="K1933" i="10" s="1"/>
  <c r="K1934" i="10" a="1"/>
  <c r="K1934" i="10" s="1"/>
  <c r="K1935" i="10" a="1"/>
  <c r="K1935" i="10" s="1"/>
  <c r="K1936" i="10" a="1"/>
  <c r="K1936" i="10" s="1"/>
  <c r="K1937" i="10" a="1"/>
  <c r="K1937" i="10" s="1"/>
  <c r="K1938" i="10" a="1"/>
  <c r="K1938" i="10" s="1"/>
  <c r="K1939" i="10" a="1"/>
  <c r="K1939" i="10" s="1"/>
  <c r="K1940" i="10" a="1"/>
  <c r="K1940" i="10" s="1"/>
  <c r="K1941" i="10" a="1"/>
  <c r="K1941" i="10" s="1"/>
  <c r="K1942" i="10" a="1"/>
  <c r="K1942" i="10" s="1"/>
  <c r="K1943" i="10" a="1"/>
  <c r="K1943" i="10" s="1"/>
  <c r="K1944" i="10" a="1"/>
  <c r="K1944" i="10" s="1"/>
  <c r="K1945" i="10" a="1"/>
  <c r="K1945" i="10" s="1"/>
  <c r="K1946" i="10" a="1"/>
  <c r="K1946" i="10" s="1"/>
  <c r="K1947" i="10" a="1"/>
  <c r="K1947" i="10" s="1"/>
  <c r="K1948" i="10" a="1"/>
  <c r="K1948" i="10" s="1"/>
  <c r="K1949" i="10" a="1"/>
  <c r="K1949" i="10" s="1"/>
  <c r="K1950" i="10" a="1"/>
  <c r="K1950" i="10" s="1"/>
  <c r="K1951" i="10" a="1"/>
  <c r="K1951" i="10" s="1"/>
  <c r="K1952" i="10" a="1"/>
  <c r="K1952" i="10" s="1"/>
  <c r="K1953" i="10" a="1"/>
  <c r="K1953" i="10" s="1"/>
  <c r="K1954" i="10" a="1"/>
  <c r="K1954" i="10" s="1"/>
  <c r="K1955" i="10" a="1"/>
  <c r="K1955" i="10" s="1"/>
  <c r="K1956" i="10" a="1"/>
  <c r="K1956" i="10" s="1"/>
  <c r="K1957" i="10" a="1"/>
  <c r="K1957" i="10" s="1"/>
  <c r="K1958" i="10" a="1"/>
  <c r="K1958" i="10" s="1"/>
  <c r="K1959" i="10" a="1"/>
  <c r="K1959" i="10" s="1"/>
  <c r="K1960" i="10" a="1"/>
  <c r="K1960" i="10" s="1"/>
  <c r="K1961" i="10" a="1"/>
  <c r="K1961" i="10" s="1"/>
  <c r="K1962" i="10" a="1"/>
  <c r="K1962" i="10" s="1"/>
  <c r="K1963" i="10" a="1"/>
  <c r="K1963" i="10" s="1"/>
  <c r="K1964" i="10" a="1"/>
  <c r="K1964" i="10" s="1"/>
  <c r="K1965" i="10" a="1"/>
  <c r="K1965" i="10" s="1"/>
  <c r="K1966" i="10" a="1"/>
  <c r="K1966" i="10" s="1"/>
  <c r="K1967" i="10" a="1"/>
  <c r="K1967" i="10" s="1"/>
  <c r="K1968" i="10" a="1"/>
  <c r="K1968" i="10" s="1"/>
  <c r="K1969" i="10" a="1"/>
  <c r="K1969" i="10" s="1"/>
  <c r="K1970" i="10" a="1"/>
  <c r="K1970" i="10" s="1"/>
  <c r="K1971" i="10" a="1"/>
  <c r="K1971" i="10" s="1"/>
  <c r="K1972" i="10" a="1"/>
  <c r="K1972" i="10" s="1"/>
  <c r="K1973" i="10" a="1"/>
  <c r="K1973" i="10" s="1"/>
  <c r="K1974" i="10" a="1"/>
  <c r="K1974" i="10" s="1"/>
  <c r="K1975" i="10" a="1"/>
  <c r="K1975" i="10" s="1"/>
  <c r="K1976" i="10" a="1"/>
  <c r="K1976" i="10" s="1"/>
  <c r="K1977" i="10" a="1"/>
  <c r="K1977" i="10" s="1"/>
  <c r="K1978" i="10" a="1"/>
  <c r="K1978" i="10" s="1"/>
  <c r="K1979" i="10" a="1"/>
  <c r="K1979" i="10" s="1"/>
  <c r="K1980" i="10" a="1"/>
  <c r="K1980" i="10" s="1"/>
  <c r="K1981" i="10" a="1"/>
  <c r="K1981" i="10" s="1"/>
  <c r="K1982" i="10" a="1"/>
  <c r="K1982" i="10" s="1"/>
  <c r="K1983" i="10" a="1"/>
  <c r="K1983" i="10" s="1"/>
  <c r="K1984" i="10" a="1"/>
  <c r="K1984" i="10" s="1"/>
  <c r="K1985" i="10" a="1"/>
  <c r="K1985" i="10" s="1"/>
  <c r="K1986" i="10" a="1"/>
  <c r="K1986" i="10" s="1"/>
  <c r="K1987" i="10" a="1"/>
  <c r="K1987" i="10" s="1"/>
  <c r="K1988" i="10" a="1"/>
  <c r="K1988" i="10" s="1"/>
  <c r="K1989" i="10" a="1"/>
  <c r="K1989" i="10" s="1"/>
  <c r="K1990" i="10" a="1"/>
  <c r="K1990" i="10" s="1"/>
  <c r="K1991" i="10" a="1"/>
  <c r="K1991" i="10" s="1"/>
  <c r="K1992" i="10" a="1"/>
  <c r="K1992" i="10" s="1"/>
  <c r="K1993" i="10" a="1"/>
  <c r="K1993" i="10" s="1"/>
  <c r="K1994" i="10" a="1"/>
  <c r="K1994" i="10" s="1"/>
  <c r="K1995" i="10" a="1"/>
  <c r="K1995" i="10" s="1"/>
  <c r="K1996" i="10" a="1"/>
  <c r="K1996" i="10" s="1"/>
  <c r="K1997" i="10" a="1"/>
  <c r="K1997" i="10" s="1"/>
  <c r="K1998" i="10" a="1"/>
  <c r="K1998" i="10" s="1"/>
  <c r="K1999" i="10" a="1"/>
  <c r="K1999" i="10" s="1"/>
  <c r="K2000" i="10" a="1"/>
  <c r="K2000" i="10" s="1"/>
  <c r="K2001" i="10" a="1"/>
  <c r="K2001" i="10" s="1"/>
  <c r="K2002" i="10" a="1"/>
  <c r="K2002" i="10" s="1"/>
  <c r="K2003" i="10" a="1"/>
  <c r="K2003" i="10" s="1"/>
  <c r="K2004" i="10" a="1"/>
  <c r="K2004" i="10" s="1"/>
  <c r="K2005" i="10" a="1"/>
  <c r="K2005" i="10" s="1"/>
  <c r="K2006" i="10" a="1"/>
  <c r="K2006" i="10" s="1"/>
  <c r="K2007" i="10" a="1"/>
  <c r="K2007" i="10" s="1"/>
  <c r="K2008" i="10" a="1"/>
  <c r="K2008" i="10" s="1"/>
  <c r="K2009" i="10" a="1"/>
  <c r="K2009" i="10" s="1"/>
  <c r="K2010" i="10" a="1"/>
  <c r="K2010" i="10" s="1"/>
  <c r="K2011" i="10" a="1"/>
  <c r="K2011" i="10" s="1"/>
  <c r="K2012" i="10" a="1"/>
  <c r="K2012" i="10" s="1"/>
  <c r="K2013" i="10" a="1"/>
  <c r="K2013" i="10" s="1"/>
  <c r="K2014" i="10" a="1"/>
  <c r="K2014" i="10" s="1"/>
  <c r="K2015" i="10" a="1"/>
  <c r="K2015" i="10" s="1"/>
  <c r="K2016" i="10" a="1"/>
  <c r="K2016" i="10" s="1"/>
  <c r="K2017" i="10" a="1"/>
  <c r="K2017" i="10" s="1"/>
  <c r="K2018" i="10" a="1"/>
  <c r="K2018" i="10" s="1"/>
  <c r="K2019" i="10" a="1"/>
  <c r="K2019" i="10" s="1"/>
  <c r="K2020" i="10" a="1"/>
  <c r="K2020" i="10" s="1"/>
  <c r="K2021" i="10" a="1"/>
  <c r="K2021" i="10" s="1"/>
  <c r="K2022" i="10" a="1"/>
  <c r="K2022" i="10" s="1"/>
  <c r="K2023" i="10" a="1"/>
  <c r="K2023" i="10" s="1"/>
  <c r="K2024" i="10" a="1"/>
  <c r="K2024" i="10" s="1"/>
  <c r="K2025" i="10" a="1"/>
  <c r="K2025" i="10" s="1"/>
  <c r="K2026" i="10" a="1"/>
  <c r="K2026" i="10" s="1"/>
  <c r="K2027" i="10" a="1"/>
  <c r="K2027" i="10" s="1"/>
  <c r="K2028" i="10" a="1"/>
  <c r="K2028" i="10" s="1"/>
  <c r="K2029" i="10" a="1"/>
  <c r="K2029" i="10" s="1"/>
  <c r="K2030" i="10" a="1"/>
  <c r="K2030" i="10" s="1"/>
  <c r="K2031" i="10" a="1"/>
  <c r="K2031" i="10" s="1"/>
  <c r="K2032" i="10" a="1"/>
  <c r="K2032" i="10" s="1"/>
  <c r="K2033" i="10" a="1"/>
  <c r="K2033" i="10" s="1"/>
  <c r="K2034" i="10" a="1"/>
  <c r="K2034" i="10" s="1"/>
  <c r="K2035" i="10" a="1"/>
  <c r="K2035" i="10" s="1"/>
  <c r="K2036" i="10" a="1"/>
  <c r="K2036" i="10" s="1"/>
  <c r="K2037" i="10" a="1"/>
  <c r="K2037" i="10" s="1"/>
  <c r="K2038" i="10" a="1"/>
  <c r="K2038" i="10" s="1"/>
  <c r="K2039" i="10" a="1"/>
  <c r="K2039" i="10" s="1"/>
  <c r="K2040" i="10" a="1"/>
  <c r="K2040" i="10" s="1"/>
  <c r="K2041" i="10" a="1"/>
  <c r="K2041" i="10" s="1"/>
  <c r="K2042" i="10" a="1"/>
  <c r="K2042" i="10" s="1"/>
  <c r="K2043" i="10" a="1"/>
  <c r="K2043" i="10" s="1"/>
  <c r="K2044" i="10" a="1"/>
  <c r="K2044" i="10" s="1"/>
  <c r="K2045" i="10" a="1"/>
  <c r="K2045" i="10" s="1"/>
  <c r="K2046" i="10" a="1"/>
  <c r="K2046" i="10" s="1"/>
  <c r="K2047" i="10" a="1"/>
  <c r="K2047" i="10" s="1"/>
  <c r="K2048" i="10" a="1"/>
  <c r="K2048" i="10" s="1"/>
  <c r="K2049" i="10" a="1"/>
  <c r="K2049" i="10" s="1"/>
  <c r="K2050" i="10" a="1"/>
  <c r="K2050" i="10" s="1"/>
  <c r="K2051" i="10" a="1"/>
  <c r="K2051" i="10" s="1"/>
  <c r="K2052" i="10" a="1"/>
  <c r="K2052" i="10" s="1"/>
  <c r="K2053" i="10" a="1"/>
  <c r="K2053" i="10" s="1"/>
  <c r="K2054" i="10" a="1"/>
  <c r="K2054" i="10" s="1"/>
  <c r="K2055" i="10" a="1"/>
  <c r="K2055" i="10" s="1"/>
  <c r="K2056" i="10" a="1"/>
  <c r="K2056" i="10" s="1"/>
  <c r="K2057" i="10" a="1"/>
  <c r="K2057" i="10" s="1"/>
  <c r="K2058" i="10" a="1"/>
  <c r="K2058" i="10" s="1"/>
  <c r="K2059" i="10" a="1"/>
  <c r="K2059" i="10" s="1"/>
  <c r="K2060" i="10" a="1"/>
  <c r="K2060" i="10" s="1"/>
  <c r="K2061" i="10" a="1"/>
  <c r="K2061" i="10" s="1"/>
  <c r="K2062" i="10" a="1"/>
  <c r="K2062" i="10" s="1"/>
  <c r="K2063" i="10" a="1"/>
  <c r="K2063" i="10" s="1"/>
  <c r="K2064" i="10" a="1"/>
  <c r="K2064" i="10" s="1"/>
  <c r="K2065" i="10" a="1"/>
  <c r="K2065" i="10" s="1"/>
  <c r="K2066" i="10" a="1"/>
  <c r="K2066" i="10" s="1"/>
  <c r="K2067" i="10" a="1"/>
  <c r="K2067" i="10" s="1"/>
  <c r="K2068" i="10" a="1"/>
  <c r="K2068" i="10" s="1"/>
  <c r="K2069" i="10" a="1"/>
  <c r="K2069" i="10" s="1"/>
  <c r="K2070" i="10" a="1"/>
  <c r="K2070" i="10" s="1"/>
  <c r="K2071" i="10" a="1"/>
  <c r="K2071" i="10" s="1"/>
  <c r="K2072" i="10" a="1"/>
  <c r="K2072" i="10" s="1"/>
  <c r="K2073" i="10" a="1"/>
  <c r="K2073" i="10" s="1"/>
  <c r="K2074" i="10" a="1"/>
  <c r="K2074" i="10" s="1"/>
  <c r="K2075" i="10" a="1"/>
  <c r="K2075" i="10" s="1"/>
  <c r="K2076" i="10" a="1"/>
  <c r="K2076" i="10" s="1"/>
  <c r="K2077" i="10" a="1"/>
  <c r="K2077" i="10" s="1"/>
  <c r="K2078" i="10" a="1"/>
  <c r="K2078" i="10" s="1"/>
  <c r="K2079" i="10" a="1"/>
  <c r="K2079" i="10" s="1"/>
  <c r="K2080" i="10" a="1"/>
  <c r="K2080" i="10" s="1"/>
  <c r="K2081" i="10" a="1"/>
  <c r="K2081" i="10" s="1"/>
  <c r="K2082" i="10" a="1"/>
  <c r="K2082" i="10" s="1"/>
  <c r="K2083" i="10" a="1"/>
  <c r="K2083" i="10" s="1"/>
  <c r="K2084" i="10" a="1"/>
  <c r="K2084" i="10" s="1"/>
  <c r="K2085" i="10" a="1"/>
  <c r="K2085" i="10" s="1"/>
  <c r="K2086" i="10" a="1"/>
  <c r="K2086" i="10" s="1"/>
  <c r="K2087" i="10" a="1"/>
  <c r="K2087" i="10" s="1"/>
  <c r="K2088" i="10" a="1"/>
  <c r="K2088" i="10" s="1"/>
  <c r="K2089" i="10" a="1"/>
  <c r="K2089" i="10" s="1"/>
  <c r="K2090" i="10" a="1"/>
  <c r="K2090" i="10" s="1"/>
  <c r="K2091" i="10" a="1"/>
  <c r="K2091" i="10" s="1"/>
  <c r="K2092" i="10" a="1"/>
  <c r="K2092" i="10" s="1"/>
  <c r="K2093" i="10" a="1"/>
  <c r="K2093" i="10" s="1"/>
  <c r="K2094" i="10" a="1"/>
  <c r="K2094" i="10" s="1"/>
  <c r="K2095" i="10" a="1"/>
  <c r="K2095" i="10" s="1"/>
  <c r="K2096" i="10" a="1"/>
  <c r="K2096" i="10" s="1"/>
  <c r="K2097" i="10" a="1"/>
  <c r="K2097" i="10" s="1"/>
  <c r="K2098" i="10" a="1"/>
  <c r="K2098" i="10" s="1"/>
  <c r="K2099" i="10" a="1"/>
  <c r="K2099" i="10" s="1"/>
  <c r="K2100" i="10" a="1"/>
  <c r="K2100" i="10" s="1"/>
  <c r="K2101" i="10" a="1"/>
  <c r="K2101" i="10" s="1"/>
  <c r="K2102" i="10" a="1"/>
  <c r="K2102" i="10" s="1"/>
  <c r="K2103" i="10" a="1"/>
  <c r="K2103" i="10" s="1"/>
  <c r="K2104" i="10" a="1"/>
  <c r="K2104" i="10" s="1"/>
  <c r="K2105" i="10" a="1"/>
  <c r="K2105" i="10" s="1"/>
  <c r="K2106" i="10" a="1"/>
  <c r="K2106" i="10" s="1"/>
  <c r="K2107" i="10" a="1"/>
  <c r="K2107" i="10" s="1"/>
  <c r="K2108" i="10" a="1"/>
  <c r="K2108" i="10" s="1"/>
  <c r="K2109" i="10" a="1"/>
  <c r="K2109" i="10" s="1"/>
  <c r="K2110" i="10" a="1"/>
  <c r="K2110" i="10" s="1"/>
  <c r="K2111" i="10" a="1"/>
  <c r="K2111" i="10" s="1"/>
  <c r="K2112" i="10" a="1"/>
  <c r="K2112" i="10" s="1"/>
  <c r="K2113" i="10" a="1"/>
  <c r="K2113" i="10" s="1"/>
  <c r="K2114" i="10" a="1"/>
  <c r="K2114" i="10" s="1"/>
  <c r="K2115" i="10" a="1"/>
  <c r="K2115" i="10" s="1"/>
  <c r="K2116" i="10" a="1"/>
  <c r="K2116" i="10" s="1"/>
  <c r="K2117" i="10" a="1"/>
  <c r="K2117" i="10" s="1"/>
  <c r="K2118" i="10" a="1"/>
  <c r="K2118" i="10" s="1"/>
  <c r="K2119" i="10" a="1"/>
  <c r="K2119" i="10" s="1"/>
  <c r="K2120" i="10" a="1"/>
  <c r="K2120" i="10" s="1"/>
  <c r="K2121" i="10" a="1"/>
  <c r="K2121" i="10" s="1"/>
  <c r="K2122" i="10" a="1"/>
  <c r="K2122" i="10" s="1"/>
  <c r="K2123" i="10" a="1"/>
  <c r="K2123" i="10" s="1"/>
  <c r="K2124" i="10" a="1"/>
  <c r="K2124" i="10" s="1"/>
  <c r="K2125" i="10" a="1"/>
  <c r="K2125" i="10" s="1"/>
  <c r="K2126" i="10" a="1"/>
  <c r="K2126" i="10" s="1"/>
  <c r="K2127" i="10" a="1"/>
  <c r="K2127" i="10" s="1"/>
  <c r="K2128" i="10" a="1"/>
  <c r="K2128" i="10" s="1"/>
  <c r="K2129" i="10" a="1"/>
  <c r="K2129" i="10" s="1"/>
  <c r="K2130" i="10" a="1"/>
  <c r="K2130" i="10" s="1"/>
  <c r="K2131" i="10" a="1"/>
  <c r="K2131" i="10" s="1"/>
  <c r="K2132" i="10" a="1"/>
  <c r="K2132" i="10" s="1"/>
  <c r="K2133" i="10" a="1"/>
  <c r="K2133" i="10" s="1"/>
  <c r="K2134" i="10" a="1"/>
  <c r="K2134" i="10" s="1"/>
  <c r="K2135" i="10" a="1"/>
  <c r="K2135" i="10" s="1"/>
  <c r="K2136" i="10" a="1"/>
  <c r="K2136" i="10" s="1"/>
  <c r="K2137" i="10" a="1"/>
  <c r="K2137" i="10" s="1"/>
  <c r="K2138" i="10" a="1"/>
  <c r="K2138" i="10" s="1"/>
  <c r="K2139" i="10" a="1"/>
  <c r="K2139" i="10" s="1"/>
  <c r="K2140" i="10" a="1"/>
  <c r="K2140" i="10" s="1"/>
  <c r="K2141" i="10" a="1"/>
  <c r="K2141" i="10" s="1"/>
  <c r="K2142" i="10" a="1"/>
  <c r="K2142" i="10" s="1"/>
  <c r="K2143" i="10" a="1"/>
  <c r="K2143" i="10" s="1"/>
  <c r="K2144" i="10" a="1"/>
  <c r="K2144" i="10" s="1"/>
  <c r="K2145" i="10" a="1"/>
  <c r="K2145" i="10" s="1"/>
  <c r="K2146" i="10" a="1"/>
  <c r="K2146" i="10" s="1"/>
  <c r="K2147" i="10" a="1"/>
  <c r="K2147" i="10" s="1"/>
  <c r="K2148" i="10" a="1"/>
  <c r="K2148" i="10" s="1"/>
  <c r="K2149" i="10" a="1"/>
  <c r="K2149" i="10" s="1"/>
  <c r="K2150" i="10" a="1"/>
  <c r="K2150" i="10" s="1"/>
  <c r="K2151" i="10" a="1"/>
  <c r="K2151" i="10" s="1"/>
  <c r="K2152" i="10" a="1"/>
  <c r="K2152" i="10" s="1"/>
  <c r="K2153" i="10" a="1"/>
  <c r="K2153" i="10" s="1"/>
  <c r="K2154" i="10" a="1"/>
  <c r="K2154" i="10" s="1"/>
  <c r="K2155" i="10" a="1"/>
  <c r="K2155" i="10" s="1"/>
  <c r="K2156" i="10" a="1"/>
  <c r="K2156" i="10" s="1"/>
  <c r="K2157" i="10" a="1"/>
  <c r="K2157" i="10" s="1"/>
  <c r="K2158" i="10" a="1"/>
  <c r="K2158" i="10" s="1"/>
  <c r="K2159" i="10" a="1"/>
  <c r="K2159" i="10" s="1"/>
  <c r="K2160" i="10" a="1"/>
  <c r="K2160" i="10" s="1"/>
  <c r="K2161" i="10" a="1"/>
  <c r="K2161" i="10" s="1"/>
  <c r="K2162" i="10" a="1"/>
  <c r="K2162" i="10" s="1"/>
  <c r="K2163" i="10" a="1"/>
  <c r="K2163" i="10" s="1"/>
  <c r="K2164" i="10" a="1"/>
  <c r="K2164" i="10" s="1"/>
  <c r="K2165" i="10" a="1"/>
  <c r="K2165" i="10" s="1"/>
  <c r="K2166" i="10" a="1"/>
  <c r="K2166" i="10" s="1"/>
  <c r="K2167" i="10" a="1"/>
  <c r="K2167" i="10" s="1"/>
  <c r="K2168" i="10" a="1"/>
  <c r="K2168" i="10" s="1"/>
  <c r="K2169" i="10" a="1"/>
  <c r="K2169" i="10" s="1"/>
  <c r="K2170" i="10" a="1"/>
  <c r="K2170" i="10" s="1"/>
  <c r="K2171" i="10" a="1"/>
  <c r="K2171" i="10" s="1"/>
  <c r="K2172" i="10" a="1"/>
  <c r="K2172" i="10" s="1"/>
  <c r="K2173" i="10" a="1"/>
  <c r="K2173" i="10" s="1"/>
  <c r="K2174" i="10" a="1"/>
  <c r="K2174" i="10" s="1"/>
  <c r="K2175" i="10" a="1"/>
  <c r="K2175" i="10" s="1"/>
  <c r="K2176" i="10" a="1"/>
  <c r="K2176" i="10" s="1"/>
  <c r="K2177" i="10" a="1"/>
  <c r="K2177" i="10" s="1"/>
  <c r="K2178" i="10" a="1"/>
  <c r="K2178" i="10" s="1"/>
  <c r="K2179" i="10" a="1"/>
  <c r="K2179" i="10" s="1"/>
  <c r="K2180" i="10" a="1"/>
  <c r="K2180" i="10" s="1"/>
  <c r="K2181" i="10" a="1"/>
  <c r="K2181" i="10" s="1"/>
  <c r="K2182" i="10" a="1"/>
  <c r="K2182" i="10" s="1"/>
  <c r="K2183" i="10" a="1"/>
  <c r="K2183" i="10" s="1"/>
  <c r="K2184" i="10" a="1"/>
  <c r="K2184" i="10" s="1"/>
  <c r="K2185" i="10" a="1"/>
  <c r="K2185" i="10" s="1"/>
  <c r="K2186" i="10" a="1"/>
  <c r="K2186" i="10" s="1"/>
  <c r="K2187" i="10" a="1"/>
  <c r="K2187" i="10" s="1"/>
  <c r="K2188" i="10" a="1"/>
  <c r="K2188" i="10" s="1"/>
  <c r="K2189" i="10" a="1"/>
  <c r="K2189" i="10" s="1"/>
  <c r="K2190" i="10" a="1"/>
  <c r="K2190" i="10" s="1"/>
  <c r="K2191" i="10" a="1"/>
  <c r="K2191" i="10" s="1"/>
  <c r="K2192" i="10" a="1"/>
  <c r="K2192" i="10" s="1"/>
  <c r="K2193" i="10" a="1"/>
  <c r="K2193" i="10" s="1"/>
  <c r="K2194" i="10" a="1"/>
  <c r="K2194" i="10" s="1"/>
  <c r="K2195" i="10" a="1"/>
  <c r="K2195" i="10" s="1"/>
  <c r="K2196" i="10" a="1"/>
  <c r="K2196" i="10" s="1"/>
  <c r="K2197" i="10" a="1"/>
  <c r="K2197" i="10" s="1"/>
  <c r="K2198" i="10" a="1"/>
  <c r="K2198" i="10" s="1"/>
  <c r="K2199" i="10" a="1"/>
  <c r="K2199" i="10" s="1"/>
  <c r="K2200" i="10" a="1"/>
  <c r="K2200" i="10" s="1"/>
  <c r="K2201" i="10" a="1"/>
  <c r="K2201" i="10" s="1"/>
  <c r="K2202" i="10" a="1"/>
  <c r="K2202" i="10" s="1"/>
  <c r="K2203" i="10" a="1"/>
  <c r="K2203" i="10" s="1"/>
  <c r="K2204" i="10" a="1"/>
  <c r="K2204" i="10" s="1"/>
  <c r="K2205" i="10" a="1"/>
  <c r="K2205" i="10" s="1"/>
  <c r="K2206" i="10" a="1"/>
  <c r="K2206" i="10" s="1"/>
  <c r="K2207" i="10" a="1"/>
  <c r="K2207" i="10" s="1"/>
  <c r="K2208" i="10" a="1"/>
  <c r="K2208" i="10" s="1"/>
  <c r="K2209" i="10" a="1"/>
  <c r="K2209" i="10" s="1"/>
  <c r="K2210" i="10" a="1"/>
  <c r="K2210" i="10" s="1"/>
  <c r="K2211" i="10" a="1"/>
  <c r="K2211" i="10" s="1"/>
  <c r="K2212" i="10" a="1"/>
  <c r="K2212" i="10" s="1"/>
  <c r="K2213" i="10" a="1"/>
  <c r="K2213" i="10" s="1"/>
  <c r="K2214" i="10" a="1"/>
  <c r="K2214" i="10" s="1"/>
  <c r="K2215" i="10" a="1"/>
  <c r="K2215" i="10" s="1"/>
  <c r="K2216" i="10" a="1"/>
  <c r="K2216" i="10" s="1"/>
  <c r="K2217" i="10" a="1"/>
  <c r="K2217" i="10" s="1"/>
  <c r="K2218" i="10" a="1"/>
  <c r="K2218" i="10" s="1"/>
  <c r="K2219" i="10" a="1"/>
  <c r="K2219" i="10" s="1"/>
  <c r="K2220" i="10" a="1"/>
  <c r="K2220" i="10" s="1"/>
  <c r="K2221" i="10" a="1"/>
  <c r="K2221" i="10" s="1"/>
  <c r="K2222" i="10" a="1"/>
  <c r="K2222" i="10" s="1"/>
  <c r="K2223" i="10" a="1"/>
  <c r="K2223" i="10" s="1"/>
  <c r="K2224" i="10" a="1"/>
  <c r="K2224" i="10" s="1"/>
  <c r="K2225" i="10" a="1"/>
  <c r="K2225" i="10" s="1"/>
  <c r="K2226" i="10" a="1"/>
  <c r="K2226" i="10" s="1"/>
  <c r="K2227" i="10" a="1"/>
  <c r="K2227" i="10" s="1"/>
  <c r="K2228" i="10" a="1"/>
  <c r="K2228" i="10" s="1"/>
  <c r="K2229" i="10" a="1"/>
  <c r="K2229" i="10" s="1"/>
  <c r="K2230" i="10" a="1"/>
  <c r="K2230" i="10" s="1"/>
  <c r="K2231" i="10" a="1"/>
  <c r="K2231" i="10" s="1"/>
  <c r="K2232" i="10" a="1"/>
  <c r="K2232" i="10" s="1"/>
  <c r="K2233" i="10" a="1"/>
  <c r="K2233" i="10" s="1"/>
  <c r="K2234" i="10" a="1"/>
  <c r="K2234" i="10" s="1"/>
  <c r="K2235" i="10" a="1"/>
  <c r="K2235" i="10" s="1"/>
  <c r="K2236" i="10" a="1"/>
  <c r="K2236" i="10" s="1"/>
  <c r="K2237" i="10" a="1"/>
  <c r="K2237" i="10" s="1"/>
  <c r="K2238" i="10" a="1"/>
  <c r="K2238" i="10" s="1"/>
  <c r="K2239" i="10" a="1"/>
  <c r="K2239" i="10" s="1"/>
  <c r="K2240" i="10" a="1"/>
  <c r="K2240" i="10" s="1"/>
  <c r="K2241" i="10" a="1"/>
  <c r="K2241" i="10" s="1"/>
  <c r="K2242" i="10" a="1"/>
  <c r="K2242" i="10" s="1"/>
  <c r="K2243" i="10" a="1"/>
  <c r="K2243" i="10" s="1"/>
  <c r="K2244" i="10" a="1"/>
  <c r="K2244" i="10" s="1"/>
  <c r="K2245" i="10" a="1"/>
  <c r="K2245" i="10" s="1"/>
  <c r="K2246" i="10" a="1"/>
  <c r="K2246" i="10" s="1"/>
  <c r="K2247" i="10" a="1"/>
  <c r="K2247" i="10" s="1"/>
  <c r="K2248" i="10" a="1"/>
  <c r="K2248" i="10" s="1"/>
  <c r="K2249" i="10" a="1"/>
  <c r="K2249" i="10" s="1"/>
  <c r="K2250" i="10" a="1"/>
  <c r="K2250" i="10" s="1"/>
  <c r="K2251" i="10" a="1"/>
  <c r="K2251" i="10" s="1"/>
  <c r="K2252" i="10" a="1"/>
  <c r="K2252" i="10" s="1"/>
  <c r="K2253" i="10" a="1"/>
  <c r="K2253" i="10" s="1"/>
  <c r="K2254" i="10" a="1"/>
  <c r="K2254" i="10" s="1"/>
  <c r="K2255" i="10" a="1"/>
  <c r="K2255" i="10" s="1"/>
  <c r="K2256" i="10" a="1"/>
  <c r="K2256" i="10" s="1"/>
  <c r="K2257" i="10" a="1"/>
  <c r="K2257" i="10" s="1"/>
  <c r="K2258" i="10" a="1"/>
  <c r="K2258" i="10" s="1"/>
  <c r="K2259" i="10" a="1"/>
  <c r="K2259" i="10" s="1"/>
  <c r="K2260" i="10" a="1"/>
  <c r="K2260" i="10" s="1"/>
  <c r="K2261" i="10" a="1"/>
  <c r="K2261" i="10" s="1"/>
  <c r="K2262" i="10" a="1"/>
  <c r="K2262" i="10" s="1"/>
  <c r="K2263" i="10" a="1"/>
  <c r="K2263" i="10" s="1"/>
  <c r="K2264" i="10" a="1"/>
  <c r="K2264" i="10" s="1"/>
  <c r="K2265" i="10" a="1"/>
  <c r="K2265" i="10" s="1"/>
  <c r="K2266" i="10" a="1"/>
  <c r="K2266" i="10" s="1"/>
  <c r="K2267" i="10" a="1"/>
  <c r="K2267" i="10" s="1"/>
  <c r="K2268" i="10" a="1"/>
  <c r="K2268" i="10" s="1"/>
  <c r="K2269" i="10" a="1"/>
  <c r="K2269" i="10" s="1"/>
  <c r="K2270" i="10" a="1"/>
  <c r="K2270" i="10" s="1"/>
  <c r="K2271" i="10" a="1"/>
  <c r="K2271" i="10" s="1"/>
  <c r="K2272" i="10" a="1"/>
  <c r="K2272" i="10" s="1"/>
  <c r="K2273" i="10" a="1"/>
  <c r="K2273" i="10" s="1"/>
  <c r="K2274" i="10" a="1"/>
  <c r="K2274" i="10" s="1"/>
  <c r="K2275" i="10" a="1"/>
  <c r="K2275" i="10" s="1"/>
  <c r="K2276" i="10" a="1"/>
  <c r="K2276" i="10" s="1"/>
  <c r="K2277" i="10" a="1"/>
  <c r="K2277" i="10" s="1"/>
  <c r="K2278" i="10" a="1"/>
  <c r="K2278" i="10" s="1"/>
  <c r="K2279" i="10" a="1"/>
  <c r="K2279" i="10" s="1"/>
  <c r="K2280" i="10" a="1"/>
  <c r="K2280" i="10" s="1"/>
  <c r="K2281" i="10" a="1"/>
  <c r="K2281" i="10" s="1"/>
  <c r="K2282" i="10" a="1"/>
  <c r="K2282" i="10" s="1"/>
  <c r="K2283" i="10" a="1"/>
  <c r="K2283" i="10" s="1"/>
  <c r="K2284" i="10" a="1"/>
  <c r="K2284" i="10" s="1"/>
  <c r="K2285" i="10" a="1"/>
  <c r="K2285" i="10" s="1"/>
  <c r="K2286" i="10" a="1"/>
  <c r="K2286" i="10" s="1"/>
  <c r="K2287" i="10" a="1"/>
  <c r="K2287" i="10" s="1"/>
  <c r="K2288" i="10" a="1"/>
  <c r="K2288" i="10" s="1"/>
  <c r="K2289" i="10" a="1"/>
  <c r="K2289" i="10" s="1"/>
  <c r="K2290" i="10" a="1"/>
  <c r="K2290" i="10" s="1"/>
  <c r="K2291" i="10" a="1"/>
  <c r="K2291" i="10" s="1"/>
  <c r="K2292" i="10" a="1"/>
  <c r="K2292" i="10" s="1"/>
  <c r="K2293" i="10" a="1"/>
  <c r="K2293" i="10" s="1"/>
  <c r="K2294" i="10" a="1"/>
  <c r="K2294" i="10" s="1"/>
  <c r="K2295" i="10" a="1"/>
  <c r="K2295" i="10" s="1"/>
  <c r="K2296" i="10" a="1"/>
  <c r="K2296" i="10" s="1"/>
  <c r="K2297" i="10" a="1"/>
  <c r="K2297" i="10" s="1"/>
  <c r="K2298" i="10" a="1"/>
  <c r="K2298" i="10" s="1"/>
  <c r="K2299" i="10" a="1"/>
  <c r="K2299" i="10" s="1"/>
  <c r="K2300" i="10" a="1"/>
  <c r="K2300" i="10" s="1"/>
  <c r="K2301" i="10" a="1"/>
  <c r="K2301" i="10" s="1"/>
  <c r="K2302" i="10" a="1"/>
  <c r="K2302" i="10" s="1"/>
  <c r="K2303" i="10" a="1"/>
  <c r="K2303" i="10" s="1"/>
  <c r="K2304" i="10" a="1"/>
  <c r="K2304" i="10" s="1"/>
  <c r="K2305" i="10" a="1"/>
  <c r="K2305" i="10" s="1"/>
  <c r="K2306" i="10" a="1"/>
  <c r="K2306" i="10" s="1"/>
  <c r="K2307" i="10" a="1"/>
  <c r="K2307" i="10" s="1"/>
  <c r="K2308" i="10" a="1"/>
  <c r="K2308" i="10" s="1"/>
  <c r="K2309" i="10" a="1"/>
  <c r="K2309" i="10" s="1"/>
  <c r="K2310" i="10" a="1"/>
  <c r="K2310" i="10" s="1"/>
  <c r="K2311" i="10" a="1"/>
  <c r="K2311" i="10" s="1"/>
  <c r="K2312" i="10" a="1"/>
  <c r="K2312" i="10" s="1"/>
  <c r="K2313" i="10" a="1"/>
  <c r="K2313" i="10" s="1"/>
  <c r="K2314" i="10" a="1"/>
  <c r="K2314" i="10" s="1"/>
  <c r="K2315" i="10" a="1"/>
  <c r="K2315" i="10" s="1"/>
  <c r="K2316" i="10" a="1"/>
  <c r="K2316" i="10" s="1"/>
  <c r="K2317" i="10" a="1"/>
  <c r="K2317" i="10" s="1"/>
  <c r="K2318" i="10" a="1"/>
  <c r="K2318" i="10" s="1"/>
  <c r="K2319" i="10" a="1"/>
  <c r="K2319" i="10" s="1"/>
  <c r="K2320" i="10" a="1"/>
  <c r="K2320" i="10" s="1"/>
  <c r="K2321" i="10" a="1"/>
  <c r="K2321" i="10" s="1"/>
  <c r="K2322" i="10" a="1"/>
  <c r="K2322" i="10" s="1"/>
  <c r="K2323" i="10" a="1"/>
  <c r="K2323" i="10" s="1"/>
  <c r="K2324" i="10" a="1"/>
  <c r="K2324" i="10" s="1"/>
  <c r="K2325" i="10" a="1"/>
  <c r="K2325" i="10" s="1"/>
  <c r="K2326" i="10" a="1"/>
  <c r="K2326" i="10" s="1"/>
  <c r="K2327" i="10" a="1"/>
  <c r="K2327" i="10" s="1"/>
  <c r="K2328" i="10" a="1"/>
  <c r="K2328" i="10" s="1"/>
  <c r="K2329" i="10" a="1"/>
  <c r="K2329" i="10" s="1"/>
  <c r="K2330" i="10" a="1"/>
  <c r="K2330" i="10" s="1"/>
  <c r="K2331" i="10" a="1"/>
  <c r="K2331" i="10" s="1"/>
  <c r="K2332" i="10" a="1"/>
  <c r="K2332" i="10" s="1"/>
  <c r="K2333" i="10" a="1"/>
  <c r="K2333" i="10" s="1"/>
  <c r="K2334" i="10" a="1"/>
  <c r="K2334" i="10" s="1"/>
  <c r="K2335" i="10" a="1"/>
  <c r="K2335" i="10" s="1"/>
  <c r="K2336" i="10" a="1"/>
  <c r="K2336" i="10" s="1"/>
  <c r="K2337" i="10" a="1"/>
  <c r="K2337" i="10" s="1"/>
  <c r="K2338" i="10" a="1"/>
  <c r="K2338" i="10" s="1"/>
  <c r="K2339" i="10" a="1"/>
  <c r="K2339" i="10" s="1"/>
  <c r="K2340" i="10" a="1"/>
  <c r="K2340" i="10" s="1"/>
  <c r="K2341" i="10" a="1"/>
  <c r="K2341" i="10" s="1"/>
  <c r="K2342" i="10" a="1"/>
  <c r="K2342" i="10" s="1"/>
  <c r="K2343" i="10" a="1"/>
  <c r="K2343" i="10" s="1"/>
  <c r="K2344" i="10" a="1"/>
  <c r="K2344" i="10" s="1"/>
  <c r="K2345" i="10" a="1"/>
  <c r="K2345" i="10" s="1"/>
  <c r="K2346" i="10" a="1"/>
  <c r="K2346" i="10" s="1"/>
  <c r="K2347" i="10" a="1"/>
  <c r="K2347" i="10" s="1"/>
  <c r="K2348" i="10" a="1"/>
  <c r="K2348" i="10" s="1"/>
  <c r="K2349" i="10" a="1"/>
  <c r="K2349" i="10" s="1"/>
  <c r="K2350" i="10" a="1"/>
  <c r="K2350" i="10" s="1"/>
  <c r="K2351" i="10" a="1"/>
  <c r="K2351" i="10" s="1"/>
  <c r="K2352" i="10" a="1"/>
  <c r="K2352" i="10" s="1"/>
  <c r="K2353" i="10" a="1"/>
  <c r="K2353" i="10" s="1"/>
  <c r="K2354" i="10" a="1"/>
  <c r="K2354" i="10" s="1"/>
  <c r="K2355" i="10" a="1"/>
  <c r="K2355" i="10" s="1"/>
  <c r="K2356" i="10" a="1"/>
  <c r="K2356" i="10" s="1"/>
  <c r="K2357" i="10" a="1"/>
  <c r="K2357" i="10" s="1"/>
  <c r="K2358" i="10" a="1"/>
  <c r="K2358" i="10" s="1"/>
  <c r="K2359" i="10" a="1"/>
  <c r="K2359" i="10" s="1"/>
  <c r="K2360" i="10" a="1"/>
  <c r="K2360" i="10" s="1"/>
  <c r="K2361" i="10" a="1"/>
  <c r="K2361" i="10" s="1"/>
  <c r="K2362" i="10" a="1"/>
  <c r="K2362" i="10" s="1"/>
  <c r="K2363" i="10" a="1"/>
  <c r="K2363" i="10" s="1"/>
  <c r="K2364" i="10" a="1"/>
  <c r="K2364" i="10" s="1"/>
  <c r="K2365" i="10" a="1"/>
  <c r="K2365" i="10" s="1"/>
  <c r="K2366" i="10" a="1"/>
  <c r="K2366" i="10" s="1"/>
  <c r="K2367" i="10" a="1"/>
  <c r="K2367" i="10"/>
  <c r="K2368" i="10" a="1"/>
  <c r="K2368" i="10"/>
  <c r="K2369" i="10" a="1"/>
  <c r="K2369" i="10"/>
  <c r="K2370" i="10" a="1"/>
  <c r="K2370" i="10"/>
  <c r="K2371" i="10" a="1"/>
  <c r="K2371" i="10"/>
  <c r="K2372" i="10" a="1"/>
  <c r="K2372" i="10"/>
  <c r="K2373" i="10" a="1"/>
  <c r="K2373" i="10"/>
  <c r="K2374" i="10" a="1"/>
  <c r="K2374" i="10"/>
  <c r="K2375" i="10" a="1"/>
  <c r="K2375" i="10"/>
  <c r="K2376" i="10" a="1"/>
  <c r="K2376" i="10"/>
  <c r="K2377" i="10" a="1"/>
  <c r="K2377" i="10"/>
  <c r="K2378" i="10" a="1"/>
  <c r="K2378" i="10"/>
  <c r="K2379" i="10" a="1"/>
  <c r="K2379" i="10"/>
  <c r="K2380" i="10" a="1"/>
  <c r="K2380" i="10"/>
  <c r="K2381" i="10" a="1"/>
  <c r="K2381" i="10"/>
  <c r="K2382" i="10" a="1"/>
  <c r="K2382" i="10"/>
  <c r="K2383" i="10" a="1"/>
  <c r="K2383" i="10"/>
  <c r="K2384" i="10" a="1"/>
  <c r="K2384" i="10"/>
  <c r="K2385" i="10" a="1"/>
  <c r="K2385" i="10"/>
  <c r="K2386" i="10" a="1"/>
  <c r="K2386" i="10"/>
  <c r="K2387" i="10" a="1"/>
  <c r="K2387" i="10"/>
  <c r="K2388" i="10" a="1"/>
  <c r="K2388" i="10"/>
  <c r="K2389" i="10" a="1"/>
  <c r="K2389" i="10"/>
  <c r="K2390" i="10" a="1"/>
  <c r="K2390" i="10"/>
  <c r="K2391" i="10" a="1"/>
  <c r="K2391" i="10"/>
  <c r="K2392" i="10" a="1"/>
  <c r="K2392" i="10"/>
  <c r="K2393" i="10" a="1"/>
  <c r="K2393" i="10"/>
  <c r="K2394" i="10" a="1"/>
  <c r="K2394" i="10"/>
  <c r="K2395" i="10" a="1"/>
  <c r="K2395" i="10"/>
  <c r="K2396" i="10" a="1"/>
  <c r="K2396" i="10"/>
  <c r="K2397" i="10" a="1"/>
  <c r="K2397" i="10"/>
  <c r="K2398" i="10" a="1"/>
  <c r="K2398" i="10"/>
  <c r="K2399" i="10" a="1"/>
  <c r="K2399" i="10"/>
  <c r="K2400" i="10" a="1"/>
  <c r="K2400" i="10"/>
  <c r="K2401" i="10" a="1"/>
  <c r="K2401" i="10"/>
  <c r="K2402" i="10" a="1"/>
  <c r="K2402" i="10"/>
  <c r="K2403" i="10" a="1"/>
  <c r="K2403" i="10"/>
  <c r="K2404" i="10" a="1"/>
  <c r="K2404" i="10"/>
  <c r="K2405" i="10" a="1"/>
  <c r="K2405" i="10"/>
  <c r="K2406" i="10" a="1"/>
  <c r="K2406" i="10"/>
  <c r="K2407" i="10" a="1"/>
  <c r="K2407" i="10"/>
  <c r="K2408" i="10" a="1"/>
  <c r="K2408" i="10"/>
  <c r="K2409" i="10" a="1"/>
  <c r="K2409" i="10"/>
  <c r="K2410" i="10" a="1"/>
  <c r="K2410" i="10"/>
  <c r="K2411" i="10" a="1"/>
  <c r="K2411" i="10"/>
  <c r="K2412" i="10" a="1"/>
  <c r="K2412" i="10"/>
  <c r="K2413" i="10" a="1"/>
  <c r="K2413" i="10"/>
  <c r="K2414" i="10" a="1"/>
  <c r="K2414" i="10"/>
  <c r="K2415" i="10" a="1"/>
  <c r="K2415" i="10"/>
  <c r="K2416" i="10" a="1"/>
  <c r="K2416" i="10"/>
  <c r="K2417" i="10" a="1"/>
  <c r="K2417" i="10"/>
  <c r="K2418" i="10" a="1"/>
  <c r="K2418" i="10"/>
  <c r="K2419" i="10" a="1"/>
  <c r="K2419" i="10"/>
  <c r="K2420" i="10" a="1"/>
  <c r="K2420" i="10"/>
  <c r="K2421" i="10" a="1"/>
  <c r="K2421" i="10"/>
  <c r="K2422" i="10" a="1"/>
  <c r="K2422" i="10"/>
  <c r="K2423" i="10" a="1"/>
  <c r="K2423" i="10"/>
  <c r="K2424" i="10" a="1"/>
  <c r="K2424" i="10"/>
  <c r="K2425" i="10" a="1"/>
  <c r="K2425" i="10"/>
  <c r="K2426" i="10" a="1"/>
  <c r="K2426" i="10"/>
  <c r="K2427" i="10" a="1"/>
  <c r="K2427" i="10"/>
  <c r="K2428" i="10" a="1"/>
  <c r="K2428" i="10"/>
  <c r="K2429" i="10" a="1"/>
  <c r="K2429" i="10"/>
  <c r="K2430" i="10" a="1"/>
  <c r="K2430" i="10"/>
  <c r="K2431" i="10" a="1"/>
  <c r="K2431" i="10"/>
  <c r="K2432" i="10" a="1"/>
  <c r="K2432" i="10"/>
  <c r="K2433" i="10" a="1"/>
  <c r="K2433" i="10"/>
  <c r="K2434" i="10" a="1"/>
  <c r="K2434" i="10"/>
  <c r="K2435" i="10" a="1"/>
  <c r="K2435" i="10"/>
  <c r="K2436" i="10" a="1"/>
  <c r="K2436" i="10"/>
  <c r="K2437" i="10" a="1"/>
  <c r="K2437" i="10"/>
  <c r="K2438" i="10" a="1"/>
  <c r="K2438" i="10"/>
  <c r="K2439" i="10" a="1"/>
  <c r="K2439" i="10"/>
  <c r="K2440" i="10" a="1"/>
  <c r="K2440" i="10"/>
  <c r="K2441" i="10" a="1"/>
  <c r="K2441" i="10"/>
  <c r="K2442" i="10" a="1"/>
  <c r="K2442" i="10"/>
  <c r="K2443" i="10" a="1"/>
  <c r="K2443" i="10"/>
  <c r="K2444" i="10" a="1"/>
  <c r="K2444" i="10"/>
  <c r="K2445" i="10" a="1"/>
  <c r="K2445" i="10"/>
  <c r="K2446" i="10" a="1"/>
  <c r="K2446" i="10"/>
  <c r="K2447" i="10" a="1"/>
  <c r="K2447" i="10"/>
  <c r="K2448" i="10" a="1"/>
  <c r="K2448" i="10"/>
  <c r="K2449" i="10" a="1"/>
  <c r="K2449" i="10"/>
  <c r="K2450" i="10" a="1"/>
  <c r="K2450" i="10"/>
  <c r="K2451" i="10" a="1"/>
  <c r="K2451" i="10"/>
  <c r="K2452" i="10" a="1"/>
  <c r="K2452" i="10"/>
  <c r="K2453" i="10" a="1"/>
  <c r="K2453" i="10"/>
  <c r="K2454" i="10" a="1"/>
  <c r="K2454" i="10"/>
  <c r="K2455" i="10" a="1"/>
  <c r="K2455" i="10"/>
  <c r="K2456" i="10" a="1"/>
  <c r="K2456" i="10"/>
  <c r="K2457" i="10" a="1"/>
  <c r="K2457" i="10"/>
  <c r="K2458" i="10" a="1"/>
  <c r="K2458" i="10"/>
  <c r="K2459" i="10" a="1"/>
  <c r="K2459" i="10"/>
  <c r="K2460" i="10" a="1"/>
  <c r="K2460" i="10"/>
  <c r="K2461" i="10" a="1"/>
  <c r="K2461" i="10"/>
  <c r="K2462" i="10" a="1"/>
  <c r="K2462" i="10"/>
  <c r="K2463" i="10" a="1"/>
  <c r="K2463" i="10"/>
  <c r="K2464" i="10" a="1"/>
  <c r="K2464" i="10"/>
  <c r="K2465" i="10" a="1"/>
  <c r="K2465" i="10"/>
  <c r="K2466" i="10" a="1"/>
  <c r="K2466" i="10"/>
  <c r="K2467" i="10" a="1"/>
  <c r="K2467" i="10"/>
  <c r="K2468" i="10" a="1"/>
  <c r="K2468" i="10"/>
  <c r="K2469" i="10" a="1"/>
  <c r="K2469" i="10"/>
  <c r="K2470" i="10" a="1"/>
  <c r="K2470" i="10"/>
  <c r="K2471" i="10" a="1"/>
  <c r="K2471" i="10"/>
  <c r="K2472" i="10" a="1"/>
  <c r="K2472" i="10"/>
  <c r="K2473" i="10" a="1"/>
  <c r="K2473" i="10"/>
  <c r="K2474" i="10" a="1"/>
  <c r="K2474" i="10"/>
  <c r="K2475" i="10" a="1"/>
  <c r="K2475" i="10"/>
  <c r="K2476" i="10" a="1"/>
  <c r="K2476" i="10"/>
  <c r="K2477" i="10" a="1"/>
  <c r="K2477" i="10"/>
  <c r="K2478" i="10" a="1"/>
  <c r="K2478" i="10"/>
  <c r="K2479" i="10" a="1"/>
  <c r="K2479" i="10"/>
  <c r="K2480" i="10" a="1"/>
  <c r="K2480" i="10"/>
  <c r="K2481" i="10" a="1"/>
  <c r="K2481" i="10"/>
  <c r="K2482" i="10" a="1"/>
  <c r="K2482" i="10"/>
  <c r="K2483" i="10" a="1"/>
  <c r="K2483" i="10"/>
  <c r="K2484" i="10" a="1"/>
  <c r="K2484" i="10"/>
  <c r="K2485" i="10" a="1"/>
  <c r="K2485" i="10"/>
  <c r="K2486" i="10" a="1"/>
  <c r="K2486" i="10"/>
  <c r="K2487" i="10" a="1"/>
  <c r="K2487" i="10"/>
  <c r="K2488" i="10" a="1"/>
  <c r="K2488" i="10"/>
  <c r="K2489" i="10" a="1"/>
  <c r="K2489" i="10"/>
  <c r="K2490" i="10" a="1"/>
  <c r="K2490" i="10"/>
  <c r="K2491" i="10" a="1"/>
  <c r="K2491" i="10"/>
  <c r="K2492" i="10" a="1"/>
  <c r="K2492" i="10"/>
  <c r="K2493" i="10" a="1"/>
  <c r="K2493" i="10"/>
  <c r="K2494" i="10" a="1"/>
  <c r="K2494" i="10"/>
  <c r="K2495" i="10" a="1"/>
  <c r="K2495" i="10"/>
  <c r="K2496" i="10" a="1"/>
  <c r="K2496" i="10"/>
  <c r="K2497" i="10" a="1"/>
  <c r="K2497" i="10"/>
  <c r="K2498" i="10" a="1"/>
  <c r="K2498" i="10"/>
  <c r="K2499" i="10" a="1"/>
  <c r="K2499" i="10"/>
  <c r="K2500" i="10" a="1"/>
  <c r="K2500" i="10"/>
  <c r="K2501" i="10" a="1"/>
  <c r="K2501" i="10"/>
  <c r="K2502" i="10" a="1"/>
  <c r="K2502" i="10"/>
  <c r="K2503" i="10" a="1"/>
  <c r="K2503" i="10"/>
  <c r="K2504" i="10" a="1"/>
  <c r="K2504" i="10"/>
  <c r="K2505" i="10" a="1"/>
  <c r="K2505" i="10"/>
  <c r="K2506" i="10" a="1"/>
  <c r="K2506" i="10"/>
  <c r="K2507" i="10" a="1"/>
  <c r="K2507" i="10"/>
  <c r="K2508" i="10" a="1"/>
  <c r="K2508" i="10"/>
  <c r="K2509" i="10" a="1"/>
  <c r="K2509" i="10"/>
  <c r="K2510" i="10" a="1"/>
  <c r="K2510" i="10"/>
  <c r="K2511" i="10" a="1"/>
  <c r="K2511" i="10"/>
  <c r="K2512" i="10" a="1"/>
  <c r="K2512" i="10"/>
  <c r="K2513" i="10" a="1"/>
  <c r="K2513" i="10"/>
  <c r="K2514" i="10" a="1"/>
  <c r="K2514" i="10"/>
  <c r="K2515" i="10" a="1"/>
  <c r="K2515" i="10"/>
  <c r="K2516" i="10" a="1"/>
  <c r="K2516" i="10"/>
  <c r="K2517" i="10" a="1"/>
  <c r="K2517" i="10"/>
  <c r="K2518" i="10" a="1"/>
  <c r="K2518" i="10"/>
  <c r="K2519" i="10" a="1"/>
  <c r="K2519" i="10"/>
  <c r="K2520" i="10" a="1"/>
  <c r="K2520" i="10"/>
  <c r="K2521" i="10" a="1"/>
  <c r="K2521" i="10"/>
  <c r="K2522" i="10" a="1"/>
  <c r="K2522" i="10"/>
  <c r="K2523" i="10" a="1"/>
  <c r="K2523" i="10"/>
  <c r="K2524" i="10" a="1"/>
  <c r="K2524" i="10"/>
  <c r="K2525" i="10" a="1"/>
  <c r="K2525" i="10"/>
  <c r="K2526" i="10" a="1"/>
  <c r="K2526" i="10"/>
  <c r="K2527" i="10" a="1"/>
  <c r="K2527" i="10"/>
  <c r="K2528" i="10" a="1"/>
  <c r="K2528" i="10"/>
  <c r="K2529" i="10" a="1"/>
  <c r="K2529" i="10"/>
  <c r="K2530" i="10" a="1"/>
  <c r="K2530" i="10"/>
  <c r="K2531" i="10" a="1"/>
  <c r="K2531" i="10"/>
  <c r="K2532" i="10" a="1"/>
  <c r="K2532" i="10"/>
  <c r="K2533" i="10" a="1"/>
  <c r="K2533" i="10"/>
  <c r="K2534" i="10" a="1"/>
  <c r="K2534" i="10"/>
  <c r="K2535" i="10" a="1"/>
  <c r="K2535" i="10"/>
  <c r="K2536" i="10" a="1"/>
  <c r="K2536" i="10"/>
  <c r="K2537" i="10" a="1"/>
  <c r="K2537" i="10"/>
  <c r="K2538" i="10" a="1"/>
  <c r="K2538" i="10"/>
  <c r="K2539" i="10" a="1"/>
  <c r="K2539" i="10"/>
  <c r="K2540" i="10" a="1"/>
  <c r="K2540" i="10"/>
  <c r="K2541" i="10" a="1"/>
  <c r="K2541" i="10"/>
  <c r="K2542" i="10" a="1"/>
  <c r="K2542" i="10"/>
  <c r="K2543" i="10" a="1"/>
  <c r="K2543" i="10"/>
  <c r="K2544" i="10" a="1"/>
  <c r="K2544" i="10"/>
  <c r="K2545" i="10" a="1"/>
  <c r="K2545" i="10"/>
  <c r="K2546" i="10" a="1"/>
  <c r="K2546" i="10"/>
  <c r="K2547" i="10" a="1"/>
  <c r="K2547" i="10"/>
  <c r="K2548" i="10" a="1"/>
  <c r="K2548" i="10"/>
  <c r="K2549" i="10" a="1"/>
  <c r="K2549" i="10"/>
  <c r="K2550" i="10" a="1"/>
  <c r="K2550" i="10"/>
  <c r="K2551" i="10" a="1"/>
  <c r="K2551" i="10"/>
  <c r="K2552" i="10" a="1"/>
  <c r="K2552" i="10"/>
  <c r="K2553" i="10" a="1"/>
  <c r="K2553" i="10"/>
  <c r="K2554" i="10" a="1"/>
  <c r="K2554" i="10"/>
  <c r="K2555" i="10" a="1"/>
  <c r="K2555" i="10"/>
  <c r="K2556" i="10" a="1"/>
  <c r="K2556" i="10"/>
  <c r="K2557" i="10" a="1"/>
  <c r="K2557" i="10"/>
  <c r="K2558" i="10" a="1"/>
  <c r="K2558" i="10"/>
  <c r="K2559" i="10" a="1"/>
  <c r="K2559" i="10"/>
  <c r="K2560" i="10" a="1"/>
  <c r="K2560" i="10"/>
  <c r="K2561" i="10" a="1"/>
  <c r="K2561" i="10"/>
  <c r="K2562" i="10" a="1"/>
  <c r="K2562" i="10"/>
  <c r="K2563" i="10" a="1"/>
  <c r="K2563" i="10"/>
  <c r="K2564" i="10" a="1"/>
  <c r="K2564" i="10"/>
  <c r="K2565" i="10" a="1"/>
  <c r="K2565" i="10"/>
  <c r="K2566" i="10" a="1"/>
  <c r="K2566" i="10"/>
  <c r="K2567" i="10" a="1"/>
  <c r="K2567" i="10"/>
  <c r="K2568" i="10" a="1"/>
  <c r="K2568" i="10"/>
  <c r="K2569" i="10" a="1"/>
  <c r="K2569" i="10" s="1"/>
  <c r="K2570" i="10" a="1"/>
  <c r="K2570" i="10" s="1"/>
  <c r="K2571" i="10" a="1"/>
  <c r="K2571" i="10" s="1"/>
  <c r="K2572" i="10" a="1"/>
  <c r="K2572" i="10" s="1"/>
  <c r="K2573" i="10" a="1"/>
  <c r="K2573" i="10" s="1"/>
  <c r="K2574" i="10" a="1"/>
  <c r="K2574" i="10" s="1"/>
  <c r="K2575" i="10" a="1"/>
  <c r="K2575" i="10" s="1"/>
  <c r="K2576" i="10" a="1"/>
  <c r="K2576" i="10" s="1"/>
  <c r="K2577" i="10" a="1"/>
  <c r="K2577" i="10" s="1"/>
  <c r="K2578" i="10" a="1"/>
  <c r="K2578" i="10" s="1"/>
  <c r="K2579" i="10" a="1"/>
  <c r="K2579" i="10" s="1"/>
  <c r="K2580" i="10" a="1"/>
  <c r="K2580" i="10" s="1"/>
  <c r="K2581" i="10" a="1"/>
  <c r="K2581" i="10" s="1"/>
  <c r="K2582" i="10" a="1"/>
  <c r="K2582" i="10" s="1"/>
  <c r="K2583" i="10" a="1"/>
  <c r="K2583" i="10" s="1"/>
  <c r="K2584" i="10" a="1"/>
  <c r="K2584" i="10" s="1"/>
  <c r="K2585" i="10" a="1"/>
  <c r="K2585" i="10" s="1"/>
  <c r="K2586" i="10" a="1"/>
  <c r="K2586" i="10" s="1"/>
  <c r="K2587" i="10" a="1"/>
  <c r="K2587" i="10" s="1"/>
  <c r="K2588" i="10" a="1"/>
  <c r="K2588" i="10" s="1"/>
  <c r="K2589" i="10" a="1"/>
  <c r="K2589" i="10" s="1"/>
  <c r="K2590" i="10" a="1"/>
  <c r="K2590" i="10" s="1"/>
  <c r="K2591" i="10" a="1"/>
  <c r="K2591" i="10" s="1"/>
  <c r="K2592" i="10" a="1"/>
  <c r="K2592" i="10" s="1"/>
  <c r="K2593" i="10" a="1"/>
  <c r="K2593" i="10" s="1"/>
  <c r="K2594" i="10" a="1"/>
  <c r="K2594" i="10" s="1"/>
  <c r="K2595" i="10" a="1"/>
  <c r="K2595" i="10" s="1"/>
  <c r="K2596" i="10" a="1"/>
  <c r="K2596" i="10" s="1"/>
  <c r="K2597" i="10" a="1"/>
  <c r="K2597" i="10" s="1"/>
  <c r="K2598" i="10" a="1"/>
  <c r="K2598" i="10" s="1"/>
  <c r="K2599" i="10" a="1"/>
  <c r="K2599" i="10" s="1"/>
  <c r="K2600" i="10" a="1"/>
  <c r="K2600" i="10" s="1"/>
  <c r="K2601" i="10" a="1"/>
  <c r="K2601" i="10" s="1"/>
  <c r="K2602" i="10" a="1"/>
  <c r="K2602" i="10" s="1"/>
  <c r="K2603" i="10" a="1"/>
  <c r="K2603" i="10" s="1"/>
  <c r="K2604" i="10" a="1"/>
  <c r="K2604" i="10" s="1"/>
  <c r="K2605" i="10" a="1"/>
  <c r="K2605" i="10" s="1"/>
  <c r="K2606" i="10" a="1"/>
  <c r="K2606" i="10" s="1"/>
  <c r="K2607" i="10" a="1"/>
  <c r="K2607" i="10" s="1"/>
  <c r="K2608" i="10" a="1"/>
  <c r="K2608" i="10" s="1"/>
  <c r="K2609" i="10" a="1"/>
  <c r="K2609" i="10" s="1"/>
  <c r="K2610" i="10" a="1"/>
  <c r="K2610" i="10" s="1"/>
  <c r="K2611" i="10" a="1"/>
  <c r="K2611" i="10" s="1"/>
  <c r="K2612" i="10" a="1"/>
  <c r="K2612" i="10" s="1"/>
  <c r="K2613" i="10" a="1"/>
  <c r="K2613" i="10" s="1"/>
  <c r="K2614" i="10" a="1"/>
  <c r="K2614" i="10" s="1"/>
  <c r="K2615" i="10" a="1"/>
  <c r="K2615" i="10" s="1"/>
  <c r="K2616" i="10" a="1"/>
  <c r="K2616" i="10" s="1"/>
  <c r="K2617" i="10" a="1"/>
  <c r="K2617" i="10" s="1"/>
  <c r="K2618" i="10" a="1"/>
  <c r="K2618" i="10" s="1"/>
  <c r="K2619" i="10" a="1"/>
  <c r="K2619" i="10" s="1"/>
  <c r="K2620" i="10" a="1"/>
  <c r="K2620" i="10" s="1"/>
  <c r="K2621" i="10" a="1"/>
  <c r="K2621" i="10" s="1"/>
  <c r="K2622" i="10" a="1"/>
  <c r="K2622" i="10" s="1"/>
  <c r="K2623" i="10" a="1"/>
  <c r="K2623" i="10" s="1"/>
  <c r="K2624" i="10" a="1"/>
  <c r="K2624" i="10" s="1"/>
  <c r="K2625" i="10" a="1"/>
  <c r="K2625" i="10" s="1"/>
  <c r="K2626" i="10" a="1"/>
  <c r="K2626" i="10" s="1"/>
  <c r="K2627" i="10" a="1"/>
  <c r="K2627" i="10" s="1"/>
  <c r="K2628" i="10" a="1"/>
  <c r="K2628" i="10" s="1"/>
  <c r="K2629" i="10" a="1"/>
  <c r="K2629" i="10" s="1"/>
  <c r="K2630" i="10" a="1"/>
  <c r="K2630" i="10" s="1"/>
  <c r="K2631" i="10" a="1"/>
  <c r="K2631" i="10" s="1"/>
  <c r="K2632" i="10" a="1"/>
  <c r="K2632" i="10" s="1"/>
  <c r="K2633" i="10" a="1"/>
  <c r="K2633" i="10" s="1"/>
  <c r="K2634" i="10" a="1"/>
  <c r="K2634" i="10" s="1"/>
  <c r="K2635" i="10" a="1"/>
  <c r="K2635" i="10" s="1"/>
  <c r="K2636" i="10" a="1"/>
  <c r="K2636" i="10" s="1"/>
  <c r="K2637" i="10" a="1"/>
  <c r="K2637" i="10" s="1"/>
  <c r="K2638" i="10" a="1"/>
  <c r="K2638" i="10" s="1"/>
  <c r="K2639" i="10" a="1"/>
  <c r="K2639" i="10" s="1"/>
  <c r="K2640" i="10" a="1"/>
  <c r="K2640" i="10" s="1"/>
  <c r="K2641" i="10" a="1"/>
  <c r="K2641" i="10" s="1"/>
  <c r="K2642" i="10" a="1"/>
  <c r="K2642" i="10" s="1"/>
  <c r="K2643" i="10" a="1"/>
  <c r="K2643" i="10" s="1"/>
  <c r="K2644" i="10" a="1"/>
  <c r="K2644" i="10" s="1"/>
  <c r="K2645" i="10" a="1"/>
  <c r="K2645" i="10" s="1"/>
  <c r="K2646" i="10" a="1"/>
  <c r="K2646" i="10" s="1"/>
  <c r="K2647" i="10" a="1"/>
  <c r="K2647" i="10" s="1"/>
  <c r="K2648" i="10" a="1"/>
  <c r="K2648" i="10" s="1"/>
  <c r="K2649" i="10" a="1"/>
  <c r="K2649" i="10" s="1"/>
  <c r="K2650" i="10" a="1"/>
  <c r="K2650" i="10" s="1"/>
  <c r="K2651" i="10" a="1"/>
  <c r="K2651" i="10" s="1"/>
  <c r="K2652" i="10" a="1"/>
  <c r="K2652" i="10" s="1"/>
  <c r="K2653" i="10" a="1"/>
  <c r="K2653" i="10" s="1"/>
  <c r="K2654" i="10" a="1"/>
  <c r="K2654" i="10" s="1"/>
  <c r="K2655" i="10" a="1"/>
  <c r="K2655" i="10" s="1"/>
  <c r="K2656" i="10" a="1"/>
  <c r="K2656" i="10" s="1"/>
  <c r="K2657" i="10" a="1"/>
  <c r="K2657" i="10" s="1"/>
  <c r="K2658" i="10" a="1"/>
  <c r="K2658" i="10" s="1"/>
  <c r="K2659" i="10" a="1"/>
  <c r="K2659" i="10" s="1"/>
  <c r="K2660" i="10" a="1"/>
  <c r="K2660" i="10" s="1"/>
  <c r="K2661" i="10" a="1"/>
  <c r="K2661" i="10" s="1"/>
  <c r="K2662" i="10" a="1"/>
  <c r="K2662" i="10" s="1"/>
  <c r="K2663" i="10" a="1"/>
  <c r="K2663" i="10" s="1"/>
  <c r="K2664" i="10" a="1"/>
  <c r="K2664" i="10" s="1"/>
  <c r="K2665" i="10" a="1"/>
  <c r="K2665" i="10" s="1"/>
  <c r="K2666" i="10" a="1"/>
  <c r="K2666" i="10" s="1"/>
  <c r="K2667" i="10" a="1"/>
  <c r="K2667" i="10" s="1"/>
  <c r="K2668" i="10" a="1"/>
  <c r="K2668" i="10" s="1"/>
  <c r="K2669" i="10" a="1"/>
  <c r="K2669" i="10" s="1"/>
  <c r="K2670" i="10" a="1"/>
  <c r="K2670" i="10" s="1"/>
  <c r="K2671" i="10" a="1"/>
  <c r="K2671" i="10" s="1"/>
  <c r="K2672" i="10" a="1"/>
  <c r="K2672" i="10" s="1"/>
  <c r="K2673" i="10" a="1"/>
  <c r="K2673" i="10" s="1"/>
  <c r="K2674" i="10" a="1"/>
  <c r="K2674" i="10" s="1"/>
  <c r="K2675" i="10" a="1"/>
  <c r="K2675" i="10" s="1"/>
  <c r="K2676" i="10" a="1"/>
  <c r="K2676" i="10" s="1"/>
  <c r="K2677" i="10" a="1"/>
  <c r="K2677" i="10" s="1"/>
  <c r="K2678" i="10" a="1"/>
  <c r="K2678" i="10" s="1"/>
  <c r="K2679" i="10" a="1"/>
  <c r="K2679" i="10" s="1"/>
  <c r="K2680" i="10" a="1"/>
  <c r="K2680" i="10" s="1"/>
  <c r="K2681" i="10" a="1"/>
  <c r="K2681" i="10" s="1"/>
  <c r="K2682" i="10" a="1"/>
  <c r="K2682" i="10" s="1"/>
  <c r="K2683" i="10" a="1"/>
  <c r="K2683" i="10" s="1"/>
  <c r="K2684" i="10" a="1"/>
  <c r="K2684" i="10" s="1"/>
  <c r="K2685" i="10" a="1"/>
  <c r="K2685" i="10" s="1"/>
  <c r="K2686" i="10" a="1"/>
  <c r="K2686" i="10" s="1"/>
  <c r="K2687" i="10" a="1"/>
  <c r="K2687" i="10" s="1"/>
  <c r="K2688" i="10" a="1"/>
  <c r="K2688" i="10" s="1"/>
  <c r="K2689" i="10" a="1"/>
  <c r="K2689" i="10" s="1"/>
  <c r="K2690" i="10" a="1"/>
  <c r="K2690" i="10" s="1"/>
  <c r="K2691" i="10" a="1"/>
  <c r="K2691" i="10" s="1"/>
  <c r="K2692" i="10" a="1"/>
  <c r="K2692" i="10" s="1"/>
  <c r="K2693" i="10" a="1"/>
  <c r="K2693" i="10" s="1"/>
  <c r="K2694" i="10" a="1"/>
  <c r="K2694" i="10" s="1"/>
  <c r="K2695" i="10" a="1"/>
  <c r="K2695" i="10" s="1"/>
  <c r="K2696" i="10" a="1"/>
  <c r="K2696" i="10" s="1"/>
  <c r="K2697" i="10" a="1"/>
  <c r="K2697" i="10" s="1"/>
  <c r="K2698" i="10" a="1"/>
  <c r="K2698" i="10" s="1"/>
  <c r="K2699" i="10" a="1"/>
  <c r="K2699" i="10" s="1"/>
  <c r="K2700" i="10" a="1"/>
  <c r="K2700" i="10" s="1"/>
  <c r="K2701" i="10" a="1"/>
  <c r="K2701" i="10" s="1"/>
  <c r="K2702" i="10" a="1"/>
  <c r="K2702" i="10" s="1"/>
  <c r="K2703" i="10" a="1"/>
  <c r="K2703" i="10" s="1"/>
  <c r="K2704" i="10" a="1"/>
  <c r="K2704" i="10" s="1"/>
  <c r="K2705" i="10" a="1"/>
  <c r="K2705" i="10" s="1"/>
  <c r="K2706" i="10" a="1"/>
  <c r="K2706" i="10" s="1"/>
  <c r="K2707" i="10" a="1"/>
  <c r="K2707" i="10" s="1"/>
  <c r="K2708" i="10" a="1"/>
  <c r="K2708" i="10" s="1"/>
  <c r="K2709" i="10" a="1"/>
  <c r="K2709" i="10" s="1"/>
  <c r="K2710" i="10" a="1"/>
  <c r="K2710" i="10" s="1"/>
  <c r="K2711" i="10" a="1"/>
  <c r="K2711" i="10" s="1"/>
  <c r="K2712" i="10" a="1"/>
  <c r="K2712" i="10" s="1"/>
  <c r="K2713" i="10" a="1"/>
  <c r="K2713" i="10" s="1"/>
  <c r="K2714" i="10" a="1"/>
  <c r="K2714" i="10" s="1"/>
  <c r="K2715" i="10" a="1"/>
  <c r="K2715" i="10" s="1"/>
  <c r="K2716" i="10" a="1"/>
  <c r="K2716" i="10" s="1"/>
  <c r="K2717" i="10" a="1"/>
  <c r="K2717" i="10" s="1"/>
  <c r="K2718" i="10" a="1"/>
  <c r="K2718" i="10" s="1"/>
  <c r="K2719" i="10" a="1"/>
  <c r="K2719" i="10" s="1"/>
  <c r="K2720" i="10" a="1"/>
  <c r="K2720" i="10" s="1"/>
  <c r="K2721" i="10" a="1"/>
  <c r="K2721" i="10" s="1"/>
  <c r="K2722" i="10" a="1"/>
  <c r="K2722" i="10" s="1"/>
  <c r="K2723" i="10" a="1"/>
  <c r="K2723" i="10" s="1"/>
  <c r="K2724" i="10" a="1"/>
  <c r="K2724" i="10" s="1"/>
  <c r="K2725" i="10" a="1"/>
  <c r="K2725" i="10" s="1"/>
  <c r="K2726" i="10" a="1"/>
  <c r="K2726" i="10" s="1"/>
  <c r="K2727" i="10" a="1"/>
  <c r="K2727" i="10" s="1"/>
  <c r="K2728" i="10" a="1"/>
  <c r="K2728" i="10" s="1"/>
  <c r="K2729" i="10" a="1"/>
  <c r="K2729" i="10" s="1"/>
  <c r="K2730" i="10" a="1"/>
  <c r="K2730" i="10" s="1"/>
  <c r="K2731" i="10" a="1"/>
  <c r="K2731" i="10" s="1"/>
  <c r="K2732" i="10" a="1"/>
  <c r="K2732" i="10" s="1"/>
  <c r="K2733" i="10" a="1"/>
  <c r="K2733" i="10" s="1"/>
  <c r="K2734" i="10" a="1"/>
  <c r="K2734" i="10" s="1"/>
  <c r="K2735" i="10" a="1"/>
  <c r="K2735" i="10" s="1"/>
  <c r="K2736" i="10" a="1"/>
  <c r="K2736" i="10" s="1"/>
  <c r="K2737" i="10" a="1"/>
  <c r="K2737" i="10" s="1"/>
  <c r="K2738" i="10" a="1"/>
  <c r="K2738" i="10" s="1"/>
  <c r="K2739" i="10" a="1"/>
  <c r="K2739" i="10" s="1"/>
  <c r="K2740" i="10" a="1"/>
  <c r="K2740" i="10" s="1"/>
  <c r="K2741" i="10" a="1"/>
  <c r="K2741" i="10" s="1"/>
  <c r="K2742" i="10" a="1"/>
  <c r="K2742" i="10" s="1"/>
  <c r="K2743" i="10" a="1"/>
  <c r="K2743" i="10" s="1"/>
  <c r="K2744" i="10" a="1"/>
  <c r="K2744" i="10" s="1"/>
  <c r="K2745" i="10" a="1"/>
  <c r="K2745" i="10" s="1"/>
  <c r="K2746" i="10" a="1"/>
  <c r="K2746" i="10" s="1"/>
  <c r="K2747" i="10" a="1"/>
  <c r="K2747" i="10" s="1"/>
  <c r="K2748" i="10" a="1"/>
  <c r="K2748" i="10" s="1"/>
  <c r="K2749" i="10" a="1"/>
  <c r="K2749" i="10" s="1"/>
  <c r="K2750" i="10" a="1"/>
  <c r="K2750" i="10" s="1"/>
  <c r="K2751" i="10" a="1"/>
  <c r="K2751" i="10" s="1"/>
  <c r="K2752" i="10" a="1"/>
  <c r="K2752" i="10" s="1"/>
  <c r="K2753" i="10" a="1"/>
  <c r="K2753" i="10" s="1"/>
  <c r="K2754" i="10" a="1"/>
  <c r="K2754" i="10" s="1"/>
  <c r="K2755" i="10" a="1"/>
  <c r="K2755" i="10" s="1"/>
  <c r="K2756" i="10" a="1"/>
  <c r="K2756" i="10" s="1"/>
  <c r="K2757" i="10" a="1"/>
  <c r="K2757" i="10" s="1"/>
  <c r="K2758" i="10" a="1"/>
  <c r="K2758" i="10" s="1"/>
  <c r="K2759" i="10" a="1"/>
  <c r="K2759" i="10" s="1"/>
  <c r="K2760" i="10" a="1"/>
  <c r="K2760" i="10" s="1"/>
  <c r="K2761" i="10" a="1"/>
  <c r="K2761" i="10" s="1"/>
  <c r="K2762" i="10" a="1"/>
  <c r="K2762" i="10" s="1"/>
  <c r="K2763" i="10" a="1"/>
  <c r="K2763" i="10" s="1"/>
  <c r="K2764" i="10" a="1"/>
  <c r="K2764" i="10" s="1"/>
  <c r="K2765" i="10" a="1"/>
  <c r="K2765" i="10" s="1"/>
  <c r="K2766" i="10" a="1"/>
  <c r="K2766" i="10" s="1"/>
  <c r="K2767" i="10" a="1"/>
  <c r="K2767" i="10" s="1"/>
  <c r="K2768" i="10" a="1"/>
  <c r="K2768" i="10" s="1"/>
  <c r="K2769" i="10" a="1"/>
  <c r="K2769" i="10" s="1"/>
  <c r="K2770" i="10" a="1"/>
  <c r="K2770" i="10" s="1"/>
  <c r="K2771" i="10" a="1"/>
  <c r="K2771" i="10" s="1"/>
  <c r="K2772" i="10" a="1"/>
  <c r="K2772" i="10" s="1"/>
  <c r="K2773" i="10" a="1"/>
  <c r="K2773" i="10" s="1"/>
  <c r="K2774" i="10" a="1"/>
  <c r="K2774" i="10" s="1"/>
  <c r="K2775" i="10" a="1"/>
  <c r="K2775" i="10" s="1"/>
  <c r="K2776" i="10" a="1"/>
  <c r="K2776" i="10" s="1"/>
  <c r="K2777" i="10" a="1"/>
  <c r="K2777" i="10" s="1"/>
  <c r="K2778" i="10" a="1"/>
  <c r="K2778" i="10" s="1"/>
  <c r="K2779" i="10" a="1"/>
  <c r="K2779" i="10" s="1"/>
  <c r="K2780" i="10" a="1"/>
  <c r="K2780" i="10" s="1"/>
  <c r="K2781" i="10" a="1"/>
  <c r="K2781" i="10" s="1"/>
  <c r="K2782" i="10" a="1"/>
  <c r="K2782" i="10" s="1"/>
  <c r="K2783" i="10" a="1"/>
  <c r="K2783" i="10" s="1"/>
  <c r="K2784" i="10" a="1"/>
  <c r="K2784" i="10" s="1"/>
  <c r="K2785" i="10" a="1"/>
  <c r="K2785" i="10" s="1"/>
  <c r="K2786" i="10" a="1"/>
  <c r="K2786" i="10" s="1"/>
  <c r="K2787" i="10" a="1"/>
  <c r="K2787" i="10" s="1"/>
  <c r="K2788" i="10" a="1"/>
  <c r="K2788" i="10" s="1"/>
  <c r="K2789" i="10" a="1"/>
  <c r="K2789" i="10" s="1"/>
  <c r="K2790" i="10" a="1"/>
  <c r="K2790" i="10" s="1"/>
  <c r="K2791" i="10" a="1"/>
  <c r="K2791" i="10" s="1"/>
  <c r="K2792" i="10" a="1"/>
  <c r="K2792" i="10" s="1"/>
  <c r="K2793" i="10" a="1"/>
  <c r="K2793" i="10" s="1"/>
  <c r="K2794" i="10" a="1"/>
  <c r="K2794" i="10" s="1"/>
  <c r="K2795" i="10" a="1"/>
  <c r="K2795" i="10" s="1"/>
  <c r="K2796" i="10" a="1"/>
  <c r="K2796" i="10" s="1"/>
  <c r="K2797" i="10" a="1"/>
  <c r="K2797" i="10" s="1"/>
  <c r="K2798" i="10" a="1"/>
  <c r="K2798" i="10" s="1"/>
  <c r="K2799" i="10" a="1"/>
  <c r="K2799" i="10" s="1"/>
  <c r="K2800" i="10" a="1"/>
  <c r="K2800" i="10" s="1"/>
  <c r="K2801" i="10" a="1"/>
  <c r="K2801" i="10" s="1"/>
  <c r="K2802" i="10" a="1"/>
  <c r="K2802" i="10" s="1"/>
  <c r="K2803" i="10" a="1"/>
  <c r="K2803" i="10" s="1"/>
  <c r="K2804" i="10" a="1"/>
  <c r="K2804" i="10" s="1"/>
  <c r="K2805" i="10" a="1"/>
  <c r="K2805" i="10" s="1"/>
  <c r="K2806" i="10" a="1"/>
  <c r="K2806" i="10" s="1"/>
  <c r="K2807" i="10" a="1"/>
  <c r="K2807" i="10" s="1"/>
  <c r="K2808" i="10" a="1"/>
  <c r="K2808" i="10" s="1"/>
  <c r="K2809" i="10" a="1"/>
  <c r="K2809" i="10" s="1"/>
  <c r="K2810" i="10" a="1"/>
  <c r="K2810" i="10" s="1"/>
  <c r="K2811" i="10" a="1"/>
  <c r="K2811" i="10" s="1"/>
  <c r="K2812" i="10" a="1"/>
  <c r="K2812" i="10" s="1"/>
  <c r="K2813" i="10" a="1"/>
  <c r="K2813" i="10" s="1"/>
  <c r="K2814" i="10" a="1"/>
  <c r="K2814" i="10" s="1"/>
  <c r="K2815" i="10" a="1"/>
  <c r="K2815" i="10" s="1"/>
  <c r="K2816" i="10" a="1"/>
  <c r="K2816" i="10" s="1"/>
  <c r="K2817" i="10" a="1"/>
  <c r="K2817" i="10" s="1"/>
  <c r="K2818" i="10" a="1"/>
  <c r="K2818" i="10" s="1"/>
  <c r="K2819" i="10" a="1"/>
  <c r="K2819" i="10" s="1"/>
  <c r="K2820" i="10" a="1"/>
  <c r="K2820" i="10" s="1"/>
  <c r="K2821" i="10" a="1"/>
  <c r="K2821" i="10" s="1"/>
  <c r="K2822" i="10" a="1"/>
  <c r="K2822" i="10" s="1"/>
  <c r="K2823" i="10" a="1"/>
  <c r="K2823" i="10" s="1"/>
  <c r="K2824" i="10" a="1"/>
  <c r="K2824" i="10" s="1"/>
  <c r="K2825" i="10" a="1"/>
  <c r="K2825" i="10" s="1"/>
  <c r="K2826" i="10" a="1"/>
  <c r="K2826" i="10" s="1"/>
  <c r="K2827" i="10" a="1"/>
  <c r="K2827" i="10" s="1"/>
  <c r="K2828" i="10" a="1"/>
  <c r="K2828" i="10" s="1"/>
  <c r="K2829" i="10" a="1"/>
  <c r="K2829" i="10" s="1"/>
  <c r="K2830" i="10" a="1"/>
  <c r="K2830" i="10" s="1"/>
  <c r="K2831" i="10" a="1"/>
  <c r="K2831" i="10" s="1"/>
  <c r="K2832" i="10" a="1"/>
  <c r="K2832" i="10" s="1"/>
  <c r="K2833" i="10" a="1"/>
  <c r="K2833" i="10" s="1"/>
  <c r="K2834" i="10" a="1"/>
  <c r="K2834" i="10" s="1"/>
  <c r="K2835" i="10" a="1"/>
  <c r="K2835" i="10" s="1"/>
  <c r="K2836" i="10" a="1"/>
  <c r="K2836" i="10" s="1"/>
  <c r="K2837" i="10" a="1"/>
  <c r="K2837" i="10" s="1"/>
  <c r="K2838" i="10" a="1"/>
  <c r="K2838" i="10" s="1"/>
  <c r="K2839" i="10" a="1"/>
  <c r="K2839" i="10" s="1"/>
  <c r="K2840" i="10" a="1"/>
  <c r="K2840" i="10" s="1"/>
  <c r="K2841" i="10" a="1"/>
  <c r="K2841" i="10" s="1"/>
  <c r="K2842" i="10" a="1"/>
  <c r="K2842" i="10" s="1"/>
  <c r="K2843" i="10" a="1"/>
  <c r="K2843" i="10" s="1"/>
  <c r="K2844" i="10" a="1"/>
  <c r="K2844" i="10" s="1"/>
  <c r="K2845" i="10" a="1"/>
  <c r="K2845" i="10" s="1"/>
  <c r="K2846" i="10" a="1"/>
  <c r="K2846" i="10" s="1"/>
  <c r="K2847" i="10" a="1"/>
  <c r="K2847" i="10" s="1"/>
  <c r="K2848" i="10" a="1"/>
  <c r="K2848" i="10" s="1"/>
  <c r="K2849" i="10" a="1"/>
  <c r="K2849" i="10" s="1"/>
  <c r="K2850" i="10" a="1"/>
  <c r="K2850" i="10" s="1"/>
  <c r="K2851" i="10" a="1"/>
  <c r="K2851" i="10" s="1"/>
  <c r="K2852" i="10" a="1"/>
  <c r="K2852" i="10" s="1"/>
  <c r="K2853" i="10" a="1"/>
  <c r="K2853" i="10" s="1"/>
  <c r="K2854" i="10" a="1"/>
  <c r="K2854" i="10" s="1"/>
  <c r="K2855" i="10" a="1"/>
  <c r="K2855" i="10" s="1"/>
  <c r="K2856" i="10" a="1"/>
  <c r="K2856" i="10" s="1"/>
  <c r="K2857" i="10" a="1"/>
  <c r="K2857" i="10" s="1"/>
  <c r="K2858" i="10" a="1"/>
  <c r="K2858" i="10" s="1"/>
  <c r="K2859" i="10" a="1"/>
  <c r="K2859" i="10" s="1"/>
  <c r="K2860" i="10" a="1"/>
  <c r="K2860" i="10" s="1"/>
  <c r="K2861" i="10" a="1"/>
  <c r="K2861" i="10" s="1"/>
  <c r="K2862" i="10" a="1"/>
  <c r="K2862" i="10" s="1"/>
  <c r="K2863" i="10" a="1"/>
  <c r="K2863" i="10" s="1"/>
  <c r="K2864" i="10" a="1"/>
  <c r="K2864" i="10" s="1"/>
  <c r="K2865" i="10" a="1"/>
  <c r="K2865" i="10" s="1"/>
  <c r="K2866" i="10" a="1"/>
  <c r="K2866" i="10" s="1"/>
  <c r="K2867" i="10" a="1"/>
  <c r="K2867" i="10" s="1"/>
  <c r="K2868" i="10" a="1"/>
  <c r="K2868" i="10" s="1"/>
  <c r="K2869" i="10" a="1"/>
  <c r="K2869" i="10" s="1"/>
  <c r="K2870" i="10" a="1"/>
  <c r="K2870" i="10" s="1"/>
  <c r="K2871" i="10" a="1"/>
  <c r="K2871" i="10" s="1"/>
  <c r="K2872" i="10" a="1"/>
  <c r="K2872" i="10" s="1"/>
  <c r="K2873" i="10" a="1"/>
  <c r="K2873" i="10" s="1"/>
  <c r="K2874" i="10" a="1"/>
  <c r="K2874" i="10" s="1"/>
  <c r="K2875" i="10" a="1"/>
  <c r="K2875" i="10" s="1"/>
  <c r="K2876" i="10" a="1"/>
  <c r="K2876" i="10" s="1"/>
  <c r="K2877" i="10" a="1"/>
  <c r="K2877" i="10" s="1"/>
  <c r="K2878" i="10" a="1"/>
  <c r="K2878" i="10" s="1"/>
  <c r="K2879" i="10" a="1"/>
  <c r="K2879" i="10" s="1"/>
  <c r="K2880" i="10" a="1"/>
  <c r="K2880" i="10" s="1"/>
  <c r="K2881" i="10" a="1"/>
  <c r="K2881" i="10" s="1"/>
  <c r="K2882" i="10" a="1"/>
  <c r="K2882" i="10" s="1"/>
  <c r="K2883" i="10" a="1"/>
  <c r="K2883" i="10" s="1"/>
  <c r="K2884" i="10" a="1"/>
  <c r="K2884" i="10" s="1"/>
  <c r="K2885" i="10" a="1"/>
  <c r="K2885" i="10" s="1"/>
  <c r="K2886" i="10" a="1"/>
  <c r="K2886" i="10" s="1"/>
  <c r="K2887" i="10" a="1"/>
  <c r="K2887" i="10" s="1"/>
  <c r="K2888" i="10" a="1"/>
  <c r="K2888" i="10" s="1"/>
  <c r="K2889" i="10" a="1"/>
  <c r="K2889" i="10" s="1"/>
  <c r="K2890" i="10" a="1"/>
  <c r="K2890" i="10" s="1"/>
  <c r="K2891" i="10" a="1"/>
  <c r="K2891" i="10" s="1"/>
  <c r="K2892" i="10" a="1"/>
  <c r="K2892" i="10" s="1"/>
  <c r="K2893" i="10" a="1"/>
  <c r="K2893" i="10" s="1"/>
  <c r="K2894" i="10" a="1"/>
  <c r="K2894" i="10" s="1"/>
  <c r="K2895" i="10" a="1"/>
  <c r="K2895" i="10" s="1"/>
  <c r="K2896" i="10" a="1"/>
  <c r="K2896" i="10" s="1"/>
  <c r="K2897" i="10" a="1"/>
  <c r="K2897" i="10" s="1"/>
  <c r="K2898" i="10" a="1"/>
  <c r="K2898" i="10" s="1"/>
  <c r="K2899" i="10" a="1"/>
  <c r="K2899" i="10" s="1"/>
  <c r="K2900" i="10" a="1"/>
  <c r="K2900" i="10" s="1"/>
  <c r="K2901" i="10" a="1"/>
  <c r="K2901" i="10" s="1"/>
  <c r="K2902" i="10" a="1"/>
  <c r="K2902" i="10" s="1"/>
  <c r="K2903" i="10" a="1"/>
  <c r="K2903" i="10" s="1"/>
  <c r="K2904" i="10" a="1"/>
  <c r="K2904" i="10" s="1"/>
  <c r="K2905" i="10" a="1"/>
  <c r="K2905" i="10" s="1"/>
  <c r="K2906" i="10" a="1"/>
  <c r="K2906" i="10" s="1"/>
  <c r="K2907" i="10" a="1"/>
  <c r="K2907" i="10" s="1"/>
  <c r="K2908" i="10" a="1"/>
  <c r="K2908" i="10" s="1"/>
  <c r="K2909" i="10" a="1"/>
  <c r="K2909" i="10" s="1"/>
  <c r="K2910" i="10" a="1"/>
  <c r="K2910" i="10" s="1"/>
  <c r="K2911" i="10" a="1"/>
  <c r="K2911" i="10" s="1"/>
  <c r="K2912" i="10" a="1"/>
  <c r="K2912" i="10" s="1"/>
  <c r="K2913" i="10" a="1"/>
  <c r="K2913" i="10" s="1"/>
  <c r="K2914" i="10" a="1"/>
  <c r="K2914" i="10" s="1"/>
  <c r="K2915" i="10" a="1"/>
  <c r="K2915" i="10" s="1"/>
  <c r="K2916" i="10" a="1"/>
  <c r="K2916" i="10" s="1"/>
  <c r="K2917" i="10" a="1"/>
  <c r="K2917" i="10" s="1"/>
  <c r="K2918" i="10" a="1"/>
  <c r="K2918" i="10" s="1"/>
  <c r="K2919" i="10" a="1"/>
  <c r="K2919" i="10" s="1"/>
  <c r="K2920" i="10" a="1"/>
  <c r="K2920" i="10" s="1"/>
  <c r="K2921" i="10" a="1"/>
  <c r="K2921" i="10" s="1"/>
  <c r="K2922" i="10" a="1"/>
  <c r="K2922" i="10" s="1"/>
  <c r="K2923" i="10" a="1"/>
  <c r="K2923" i="10" s="1"/>
  <c r="K2924" i="10" a="1"/>
  <c r="K2924" i="10" s="1"/>
  <c r="K2925" i="10" a="1"/>
  <c r="K2925" i="10" s="1"/>
  <c r="K2926" i="10" a="1"/>
  <c r="K2926" i="10" s="1"/>
  <c r="K3" i="10" a="1"/>
  <c r="K3" i="10" s="1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G4" i="10"/>
  <c r="H4" i="10" s="1"/>
  <c r="G5" i="10"/>
  <c r="H5" i="10" s="1"/>
  <c r="G6" i="10"/>
  <c r="H6" i="10" s="1"/>
  <c r="G7" i="10"/>
  <c r="H7" i="10" s="1"/>
  <c r="G8" i="10"/>
  <c r="H8" i="10" s="1"/>
  <c r="G9" i="10"/>
  <c r="H9" i="10" s="1"/>
  <c r="G10" i="10"/>
  <c r="H10" i="10" s="1"/>
  <c r="G11" i="10"/>
  <c r="H11" i="10" s="1"/>
  <c r="G12" i="10"/>
  <c r="H12" i="10" s="1"/>
  <c r="G13" i="10"/>
  <c r="H13" i="10" s="1"/>
  <c r="G14" i="10"/>
  <c r="H14" i="10" s="1"/>
  <c r="G15" i="10"/>
  <c r="H15" i="10" s="1"/>
  <c r="G16" i="10"/>
  <c r="H16" i="10" s="1"/>
  <c r="G17" i="10"/>
  <c r="H17" i="10" s="1"/>
  <c r="G18" i="10"/>
  <c r="H18" i="10" s="1"/>
  <c r="G19" i="10"/>
  <c r="H19" i="10" s="1"/>
  <c r="G20" i="10"/>
  <c r="H20" i="10" s="1"/>
  <c r="G21" i="10"/>
  <c r="H21" i="10" s="1"/>
  <c r="G22" i="10"/>
  <c r="H22" i="10" s="1"/>
  <c r="G23" i="10"/>
  <c r="H23" i="10" s="1"/>
  <c r="G24" i="10"/>
  <c r="H24" i="10" s="1"/>
  <c r="G25" i="10"/>
  <c r="H25" i="10" s="1"/>
  <c r="G26" i="10"/>
  <c r="H26" i="10" s="1"/>
  <c r="G27" i="10"/>
  <c r="H27" i="10" s="1"/>
  <c r="G28" i="10"/>
  <c r="H28" i="10" s="1"/>
  <c r="G29" i="10"/>
  <c r="H29" i="10" s="1"/>
  <c r="G30" i="10"/>
  <c r="H30" i="10" s="1"/>
  <c r="G31" i="10"/>
  <c r="H31" i="10" s="1"/>
  <c r="G32" i="10"/>
  <c r="H32" i="10" s="1"/>
  <c r="G33" i="10"/>
  <c r="H33" i="10" s="1"/>
  <c r="G34" i="10"/>
  <c r="H34" i="10" s="1"/>
  <c r="G35" i="10"/>
  <c r="H35" i="10" s="1"/>
  <c r="G36" i="10"/>
  <c r="H36" i="10" s="1"/>
  <c r="G37" i="10"/>
  <c r="H37" i="10" s="1"/>
  <c r="G38" i="10"/>
  <c r="H38" i="10" s="1"/>
  <c r="G39" i="10"/>
  <c r="H39" i="10" s="1"/>
  <c r="G40" i="10"/>
  <c r="H40" i="10" s="1"/>
  <c r="G41" i="10"/>
  <c r="H41" i="10" s="1"/>
  <c r="G42" i="10"/>
  <c r="H42" i="10" s="1"/>
  <c r="G43" i="10"/>
  <c r="H43" i="10" s="1"/>
  <c r="G44" i="10"/>
  <c r="H44" i="10" s="1"/>
  <c r="G45" i="10"/>
  <c r="H45" i="10" s="1"/>
  <c r="G46" i="10"/>
  <c r="H46" i="10" s="1"/>
  <c r="G47" i="10"/>
  <c r="H47" i="10" s="1"/>
  <c r="G48" i="10"/>
  <c r="H48" i="10" s="1"/>
  <c r="G49" i="10"/>
  <c r="H49" i="10" s="1"/>
  <c r="G50" i="10"/>
  <c r="H50" i="10" s="1"/>
  <c r="G51" i="10"/>
  <c r="H51" i="10" s="1"/>
  <c r="G52" i="10"/>
  <c r="H52" i="10" s="1"/>
  <c r="G53" i="10"/>
  <c r="H53" i="10" s="1"/>
  <c r="G54" i="10"/>
  <c r="H54" i="10" s="1"/>
  <c r="G55" i="10"/>
  <c r="H55" i="10" s="1"/>
  <c r="G56" i="10"/>
  <c r="H56" i="10" s="1"/>
  <c r="G57" i="10"/>
  <c r="H57" i="10" s="1"/>
  <c r="G58" i="10"/>
  <c r="H58" i="10" s="1"/>
  <c r="G59" i="10"/>
  <c r="H59" i="10" s="1"/>
  <c r="G60" i="10"/>
  <c r="H60" i="10" s="1"/>
  <c r="G61" i="10"/>
  <c r="H61" i="10" s="1"/>
  <c r="G62" i="10"/>
  <c r="H62" i="10" s="1"/>
  <c r="G63" i="10"/>
  <c r="H63" i="10" s="1"/>
  <c r="G64" i="10"/>
  <c r="H64" i="10" s="1"/>
  <c r="G65" i="10"/>
  <c r="H65" i="10" s="1"/>
  <c r="G66" i="10"/>
  <c r="H66" i="10" s="1"/>
  <c r="G67" i="10"/>
  <c r="H67" i="10" s="1"/>
  <c r="G68" i="10"/>
  <c r="H68" i="10" s="1"/>
  <c r="G69" i="10"/>
  <c r="H69" i="10" s="1"/>
  <c r="G70" i="10"/>
  <c r="H70" i="10" s="1"/>
  <c r="G71" i="10"/>
  <c r="H71" i="10" s="1"/>
  <c r="G72" i="10"/>
  <c r="H72" i="10" s="1"/>
  <c r="G73" i="10"/>
  <c r="H73" i="10" s="1"/>
  <c r="G74" i="10"/>
  <c r="H74" i="10" s="1"/>
  <c r="G75" i="10"/>
  <c r="H75" i="10" s="1"/>
  <c r="G76" i="10"/>
  <c r="H76" i="10" s="1"/>
  <c r="G77" i="10"/>
  <c r="H77" i="10" s="1"/>
  <c r="G78" i="10"/>
  <c r="H78" i="10" s="1"/>
  <c r="G79" i="10"/>
  <c r="H79" i="10" s="1"/>
  <c r="G80" i="10"/>
  <c r="H80" i="10" s="1"/>
  <c r="G81" i="10"/>
  <c r="H81" i="10" s="1"/>
  <c r="G82" i="10"/>
  <c r="H82" i="10" s="1"/>
  <c r="G83" i="10"/>
  <c r="H83" i="10" s="1"/>
  <c r="G84" i="10"/>
  <c r="H84" i="10" s="1"/>
  <c r="G85" i="10"/>
  <c r="H85" i="10" s="1"/>
  <c r="G86" i="10"/>
  <c r="H86" i="10" s="1"/>
  <c r="G87" i="10"/>
  <c r="H87" i="10" s="1"/>
  <c r="G88" i="10"/>
  <c r="H88" i="10" s="1"/>
  <c r="G89" i="10"/>
  <c r="H89" i="10" s="1"/>
  <c r="G90" i="10"/>
  <c r="H90" i="10" s="1"/>
  <c r="G91" i="10"/>
  <c r="H91" i="10" s="1"/>
  <c r="G92" i="10"/>
  <c r="H92" i="10" s="1"/>
  <c r="G93" i="10"/>
  <c r="H93" i="10" s="1"/>
  <c r="G94" i="10"/>
  <c r="H94" i="10" s="1"/>
  <c r="G95" i="10"/>
  <c r="H95" i="10" s="1"/>
  <c r="G96" i="10"/>
  <c r="H96" i="10" s="1"/>
  <c r="G97" i="10"/>
  <c r="H97" i="10" s="1"/>
  <c r="G98" i="10"/>
  <c r="H98" i="10" s="1"/>
  <c r="G99" i="10"/>
  <c r="H99" i="10" s="1"/>
  <c r="G100" i="10"/>
  <c r="H100" i="10" s="1"/>
  <c r="G101" i="10"/>
  <c r="H101" i="10" s="1"/>
  <c r="G102" i="10"/>
  <c r="H102" i="10" s="1"/>
  <c r="G103" i="10"/>
  <c r="H103" i="10" s="1"/>
  <c r="G104" i="10"/>
  <c r="H104" i="10" s="1"/>
  <c r="G105" i="10"/>
  <c r="H105" i="10" s="1"/>
  <c r="G106" i="10"/>
  <c r="H106" i="10" s="1"/>
  <c r="G107" i="10"/>
  <c r="H107" i="10" s="1"/>
  <c r="G108" i="10"/>
  <c r="H108" i="10" s="1"/>
  <c r="G109" i="10"/>
  <c r="H109" i="10" s="1"/>
  <c r="G110" i="10"/>
  <c r="H110" i="10" s="1"/>
  <c r="G111" i="10"/>
  <c r="H111" i="10" s="1"/>
  <c r="G112" i="10"/>
  <c r="H112" i="10" s="1"/>
  <c r="G113" i="10"/>
  <c r="H113" i="10" s="1"/>
  <c r="G114" i="10"/>
  <c r="H114" i="10" s="1"/>
  <c r="G115" i="10"/>
  <c r="H115" i="10" s="1"/>
  <c r="G116" i="10"/>
  <c r="H116" i="10" s="1"/>
  <c r="G117" i="10"/>
  <c r="H117" i="10" s="1"/>
  <c r="G118" i="10"/>
  <c r="H118" i="10" s="1"/>
  <c r="G119" i="10"/>
  <c r="H119" i="10" s="1"/>
  <c r="G120" i="10"/>
  <c r="H120" i="10" s="1"/>
  <c r="G121" i="10"/>
  <c r="H121" i="10" s="1"/>
  <c r="G122" i="10"/>
  <c r="H122" i="10" s="1"/>
  <c r="G123" i="10"/>
  <c r="H123" i="10" s="1"/>
  <c r="G124" i="10"/>
  <c r="H124" i="10" s="1"/>
  <c r="G125" i="10"/>
  <c r="H125" i="10" s="1"/>
  <c r="G126" i="10"/>
  <c r="H126" i="10" s="1"/>
  <c r="G127" i="10"/>
  <c r="H127" i="10" s="1"/>
  <c r="G128" i="10"/>
  <c r="H128" i="10" s="1"/>
  <c r="G129" i="10"/>
  <c r="H129" i="10" s="1"/>
  <c r="G130" i="10"/>
  <c r="H130" i="10" s="1"/>
  <c r="G131" i="10"/>
  <c r="H131" i="10" s="1"/>
  <c r="G132" i="10"/>
  <c r="H132" i="10" s="1"/>
  <c r="G133" i="10"/>
  <c r="H133" i="10" s="1"/>
  <c r="G134" i="10"/>
  <c r="H134" i="10" s="1"/>
  <c r="G135" i="10"/>
  <c r="H135" i="10" s="1"/>
  <c r="G136" i="10"/>
  <c r="H136" i="10" s="1"/>
  <c r="G137" i="10"/>
  <c r="H137" i="10" s="1"/>
  <c r="G138" i="10"/>
  <c r="H138" i="10" s="1"/>
  <c r="G139" i="10"/>
  <c r="H139" i="10" s="1"/>
  <c r="G140" i="10"/>
  <c r="H140" i="10" s="1"/>
  <c r="G141" i="10"/>
  <c r="H141" i="10" s="1"/>
  <c r="G142" i="10"/>
  <c r="H142" i="10" s="1"/>
  <c r="G143" i="10"/>
  <c r="H143" i="10" s="1"/>
  <c r="G144" i="10"/>
  <c r="H144" i="10" s="1"/>
  <c r="G145" i="10"/>
  <c r="H145" i="10" s="1"/>
  <c r="G146" i="10"/>
  <c r="H146" i="10" s="1"/>
  <c r="G147" i="10"/>
  <c r="H147" i="10" s="1"/>
  <c r="G148" i="10"/>
  <c r="H148" i="10" s="1"/>
  <c r="G149" i="10"/>
  <c r="H149" i="10" s="1"/>
  <c r="G150" i="10"/>
  <c r="H150" i="10" s="1"/>
  <c r="G151" i="10"/>
  <c r="H151" i="10" s="1"/>
  <c r="G152" i="10"/>
  <c r="H152" i="10" s="1"/>
  <c r="G153" i="10"/>
  <c r="H153" i="10" s="1"/>
  <c r="G154" i="10"/>
  <c r="H154" i="10" s="1"/>
  <c r="G155" i="10"/>
  <c r="H155" i="10" s="1"/>
  <c r="G156" i="10"/>
  <c r="H156" i="10" s="1"/>
  <c r="G157" i="10"/>
  <c r="H157" i="10" s="1"/>
  <c r="G158" i="10"/>
  <c r="H158" i="10" s="1"/>
  <c r="G159" i="10"/>
  <c r="H159" i="10" s="1"/>
  <c r="G160" i="10"/>
  <c r="H160" i="10" s="1"/>
  <c r="G161" i="10"/>
  <c r="H161" i="10" s="1"/>
  <c r="G162" i="10"/>
  <c r="H162" i="10" s="1"/>
  <c r="G163" i="10"/>
  <c r="H163" i="10" s="1"/>
  <c r="G164" i="10"/>
  <c r="H164" i="10" s="1"/>
  <c r="G165" i="10"/>
  <c r="H165" i="10" s="1"/>
  <c r="G166" i="10"/>
  <c r="H166" i="10" s="1"/>
  <c r="G167" i="10"/>
  <c r="H167" i="10" s="1"/>
  <c r="G168" i="10"/>
  <c r="H168" i="10" s="1"/>
  <c r="G169" i="10"/>
  <c r="H169" i="10" s="1"/>
  <c r="G170" i="10"/>
  <c r="H170" i="10" s="1"/>
  <c r="G171" i="10"/>
  <c r="H171" i="10" s="1"/>
  <c r="G172" i="10"/>
  <c r="H172" i="10" s="1"/>
  <c r="G173" i="10"/>
  <c r="H173" i="10" s="1"/>
  <c r="G174" i="10"/>
  <c r="H174" i="10" s="1"/>
  <c r="G175" i="10"/>
  <c r="H175" i="10" s="1"/>
  <c r="G176" i="10"/>
  <c r="H176" i="10" s="1"/>
  <c r="G177" i="10"/>
  <c r="H177" i="10" s="1"/>
  <c r="G178" i="10"/>
  <c r="H178" i="10" s="1"/>
  <c r="G179" i="10"/>
  <c r="H179" i="10" s="1"/>
  <c r="G180" i="10"/>
  <c r="H180" i="10" s="1"/>
  <c r="G181" i="10"/>
  <c r="H181" i="10" s="1"/>
  <c r="G182" i="10"/>
  <c r="H182" i="10" s="1"/>
  <c r="G183" i="10"/>
  <c r="H183" i="10" s="1"/>
  <c r="G184" i="10"/>
  <c r="H184" i="10" s="1"/>
  <c r="G185" i="10"/>
  <c r="H185" i="10" s="1"/>
  <c r="G186" i="10"/>
  <c r="H186" i="10" s="1"/>
  <c r="G187" i="10"/>
  <c r="H187" i="10" s="1"/>
  <c r="G188" i="10"/>
  <c r="H188" i="10" s="1"/>
  <c r="G189" i="10"/>
  <c r="H189" i="10" s="1"/>
  <c r="G190" i="10"/>
  <c r="H190" i="10" s="1"/>
  <c r="G191" i="10"/>
  <c r="H191" i="10" s="1"/>
  <c r="G192" i="10"/>
  <c r="H192" i="10" s="1"/>
  <c r="G193" i="10"/>
  <c r="H193" i="10" s="1"/>
  <c r="G194" i="10"/>
  <c r="H194" i="10" s="1"/>
  <c r="G195" i="10"/>
  <c r="H195" i="10" s="1"/>
  <c r="G196" i="10"/>
  <c r="H196" i="10" s="1"/>
  <c r="G197" i="10"/>
  <c r="H197" i="10" s="1"/>
  <c r="G198" i="10"/>
  <c r="H198" i="10" s="1"/>
  <c r="G199" i="10"/>
  <c r="H199" i="10" s="1"/>
  <c r="G200" i="10"/>
  <c r="H200" i="10" s="1"/>
  <c r="G201" i="10"/>
  <c r="H201" i="10" s="1"/>
  <c r="G202" i="10"/>
  <c r="H202" i="10" s="1"/>
  <c r="G203" i="10"/>
  <c r="H203" i="10" s="1"/>
  <c r="G204" i="10"/>
  <c r="H204" i="10" s="1"/>
  <c r="G205" i="10"/>
  <c r="H205" i="10" s="1"/>
  <c r="G206" i="10"/>
  <c r="H206" i="10" s="1"/>
  <c r="G207" i="10"/>
  <c r="H207" i="10" s="1"/>
  <c r="G208" i="10"/>
  <c r="H208" i="10" s="1"/>
  <c r="G209" i="10"/>
  <c r="H209" i="10" s="1"/>
  <c r="G210" i="10"/>
  <c r="H210" i="10" s="1"/>
  <c r="G211" i="10"/>
  <c r="H211" i="10" s="1"/>
  <c r="G212" i="10"/>
  <c r="H212" i="10" s="1"/>
  <c r="G213" i="10"/>
  <c r="H213" i="10" s="1"/>
  <c r="G214" i="10"/>
  <c r="H214" i="10" s="1"/>
  <c r="G215" i="10"/>
  <c r="H215" i="10" s="1"/>
  <c r="G216" i="10"/>
  <c r="H216" i="10" s="1"/>
  <c r="G217" i="10"/>
  <c r="H217" i="10" s="1"/>
  <c r="G218" i="10"/>
  <c r="H218" i="10" s="1"/>
  <c r="G219" i="10"/>
  <c r="H219" i="10" s="1"/>
  <c r="G220" i="10"/>
  <c r="H220" i="10" s="1"/>
  <c r="G221" i="10"/>
  <c r="H221" i="10" s="1"/>
  <c r="G222" i="10"/>
  <c r="H222" i="10" s="1"/>
  <c r="G223" i="10"/>
  <c r="H223" i="10" s="1"/>
  <c r="G224" i="10"/>
  <c r="H224" i="10" s="1"/>
  <c r="G225" i="10"/>
  <c r="H225" i="10" s="1"/>
  <c r="G226" i="10"/>
  <c r="H226" i="10" s="1"/>
  <c r="G227" i="10"/>
  <c r="H227" i="10" s="1"/>
  <c r="G228" i="10"/>
  <c r="H228" i="10" s="1"/>
  <c r="G229" i="10"/>
  <c r="H229" i="10" s="1"/>
  <c r="G230" i="10"/>
  <c r="H230" i="10" s="1"/>
  <c r="G231" i="10"/>
  <c r="H231" i="10" s="1"/>
  <c r="G232" i="10"/>
  <c r="H232" i="10" s="1"/>
  <c r="G233" i="10"/>
  <c r="H233" i="10" s="1"/>
  <c r="G234" i="10"/>
  <c r="H234" i="10" s="1"/>
  <c r="G235" i="10"/>
  <c r="H235" i="10" s="1"/>
  <c r="G236" i="10"/>
  <c r="H236" i="10" s="1"/>
  <c r="G237" i="10"/>
  <c r="H237" i="10" s="1"/>
  <c r="G238" i="10"/>
  <c r="H238" i="10" s="1"/>
  <c r="G239" i="10"/>
  <c r="H239" i="10" s="1"/>
  <c r="G240" i="10"/>
  <c r="H240" i="10" s="1"/>
  <c r="G241" i="10"/>
  <c r="H241" i="10" s="1"/>
  <c r="G242" i="10"/>
  <c r="H242" i="10" s="1"/>
  <c r="G243" i="10"/>
  <c r="H243" i="10" s="1"/>
  <c r="G244" i="10"/>
  <c r="H244" i="10" s="1"/>
  <c r="G245" i="10"/>
  <c r="H245" i="10" s="1"/>
  <c r="G246" i="10"/>
  <c r="H246" i="10" s="1"/>
  <c r="G247" i="10"/>
  <c r="H247" i="10" s="1"/>
  <c r="G248" i="10"/>
  <c r="H248" i="10" s="1"/>
  <c r="G249" i="10"/>
  <c r="H249" i="10" s="1"/>
  <c r="G250" i="10"/>
  <c r="H250" i="10" s="1"/>
  <c r="G251" i="10"/>
  <c r="H251" i="10" s="1"/>
  <c r="G252" i="10"/>
  <c r="H252" i="10" s="1"/>
  <c r="G253" i="10"/>
  <c r="H253" i="10" s="1"/>
  <c r="G254" i="10"/>
  <c r="H254" i="10" s="1"/>
  <c r="G255" i="10"/>
  <c r="H255" i="10" s="1"/>
  <c r="G256" i="10"/>
  <c r="H256" i="10" s="1"/>
  <c r="G257" i="10"/>
  <c r="H257" i="10" s="1"/>
  <c r="G258" i="10"/>
  <c r="H258" i="10" s="1"/>
  <c r="G259" i="10"/>
  <c r="H259" i="10" s="1"/>
  <c r="G260" i="10"/>
  <c r="H260" i="10" s="1"/>
  <c r="G261" i="10"/>
  <c r="H261" i="10" s="1"/>
  <c r="G262" i="10"/>
  <c r="H262" i="10" s="1"/>
  <c r="G263" i="10"/>
  <c r="H263" i="10" s="1"/>
  <c r="G264" i="10"/>
  <c r="H264" i="10" s="1"/>
  <c r="G265" i="10"/>
  <c r="H265" i="10" s="1"/>
  <c r="G266" i="10"/>
  <c r="H266" i="10" s="1"/>
  <c r="G267" i="10"/>
  <c r="H267" i="10" s="1"/>
  <c r="G268" i="10"/>
  <c r="H268" i="10" s="1"/>
  <c r="G269" i="10"/>
  <c r="H269" i="10" s="1"/>
  <c r="G270" i="10"/>
  <c r="H270" i="10" s="1"/>
  <c r="G271" i="10"/>
  <c r="H271" i="10" s="1"/>
  <c r="G272" i="10"/>
  <c r="H272" i="10" s="1"/>
  <c r="G273" i="10"/>
  <c r="H273" i="10" s="1"/>
  <c r="G274" i="10"/>
  <c r="H274" i="10" s="1"/>
  <c r="G275" i="10"/>
  <c r="H275" i="10" s="1"/>
  <c r="G276" i="10"/>
  <c r="H276" i="10" s="1"/>
  <c r="G277" i="10"/>
  <c r="H277" i="10" s="1"/>
  <c r="G278" i="10"/>
  <c r="H278" i="10" s="1"/>
  <c r="G279" i="10"/>
  <c r="H279" i="10" s="1"/>
  <c r="G280" i="10"/>
  <c r="H280" i="10" s="1"/>
  <c r="G281" i="10"/>
  <c r="H281" i="10" s="1"/>
  <c r="G282" i="10"/>
  <c r="H282" i="10" s="1"/>
  <c r="G283" i="10"/>
  <c r="H283" i="10" s="1"/>
  <c r="G284" i="10"/>
  <c r="H284" i="10" s="1"/>
  <c r="G285" i="10"/>
  <c r="H285" i="10" s="1"/>
  <c r="G286" i="10"/>
  <c r="H286" i="10" s="1"/>
  <c r="G287" i="10"/>
  <c r="H287" i="10" s="1"/>
  <c r="G288" i="10"/>
  <c r="H288" i="10" s="1"/>
  <c r="G289" i="10"/>
  <c r="H289" i="10" s="1"/>
  <c r="G290" i="10"/>
  <c r="H290" i="10" s="1"/>
  <c r="G291" i="10"/>
  <c r="H291" i="10" s="1"/>
  <c r="G292" i="10"/>
  <c r="H292" i="10" s="1"/>
  <c r="G293" i="10"/>
  <c r="H293" i="10" s="1"/>
  <c r="G294" i="10"/>
  <c r="H294" i="10" s="1"/>
  <c r="G295" i="10"/>
  <c r="H295" i="10" s="1"/>
  <c r="G296" i="10"/>
  <c r="H296" i="10" s="1"/>
  <c r="G297" i="10"/>
  <c r="H297" i="10" s="1"/>
  <c r="G298" i="10"/>
  <c r="H298" i="10" s="1"/>
  <c r="G299" i="10"/>
  <c r="H299" i="10" s="1"/>
  <c r="G300" i="10"/>
  <c r="H300" i="10" s="1"/>
  <c r="G301" i="10"/>
  <c r="H301" i="10" s="1"/>
  <c r="G302" i="10"/>
  <c r="H302" i="10" s="1"/>
  <c r="G303" i="10"/>
  <c r="H303" i="10" s="1"/>
  <c r="G304" i="10"/>
  <c r="H304" i="10" s="1"/>
  <c r="G305" i="10"/>
  <c r="H305" i="10" s="1"/>
  <c r="G306" i="10"/>
  <c r="H306" i="10" s="1"/>
  <c r="G307" i="10"/>
  <c r="H307" i="10" s="1"/>
  <c r="G308" i="10"/>
  <c r="H308" i="10" s="1"/>
  <c r="G309" i="10"/>
  <c r="H309" i="10" s="1"/>
  <c r="G310" i="10"/>
  <c r="H310" i="10" s="1"/>
  <c r="G311" i="10"/>
  <c r="H311" i="10" s="1"/>
  <c r="G312" i="10"/>
  <c r="H312" i="10" s="1"/>
  <c r="G313" i="10"/>
  <c r="H313" i="10" s="1"/>
  <c r="G314" i="10"/>
  <c r="H314" i="10" s="1"/>
  <c r="G315" i="10"/>
  <c r="H315" i="10" s="1"/>
  <c r="G316" i="10"/>
  <c r="H316" i="10" s="1"/>
  <c r="G317" i="10"/>
  <c r="H317" i="10" s="1"/>
  <c r="G318" i="10"/>
  <c r="H318" i="10" s="1"/>
  <c r="G319" i="10"/>
  <c r="H319" i="10" s="1"/>
  <c r="G320" i="10"/>
  <c r="H320" i="10" s="1"/>
  <c r="G321" i="10"/>
  <c r="H321" i="10" s="1"/>
  <c r="G322" i="10"/>
  <c r="H322" i="10" s="1"/>
  <c r="G323" i="10"/>
  <c r="H323" i="10" s="1"/>
  <c r="G324" i="10"/>
  <c r="H324" i="10" s="1"/>
  <c r="G325" i="10"/>
  <c r="H325" i="10" s="1"/>
  <c r="G326" i="10"/>
  <c r="H326" i="10" s="1"/>
  <c r="G327" i="10"/>
  <c r="H327" i="10" s="1"/>
  <c r="G328" i="10"/>
  <c r="H328" i="10" s="1"/>
  <c r="G329" i="10"/>
  <c r="H329" i="10" s="1"/>
  <c r="G330" i="10"/>
  <c r="H330" i="10" s="1"/>
  <c r="G331" i="10"/>
  <c r="H331" i="10" s="1"/>
  <c r="G332" i="10"/>
  <c r="H332" i="10" s="1"/>
  <c r="G333" i="10"/>
  <c r="H333" i="10" s="1"/>
  <c r="G334" i="10"/>
  <c r="H334" i="10" s="1"/>
  <c r="G335" i="10"/>
  <c r="H335" i="10" s="1"/>
  <c r="G336" i="10"/>
  <c r="H336" i="10" s="1"/>
  <c r="G337" i="10"/>
  <c r="H337" i="10" s="1"/>
  <c r="G338" i="10"/>
  <c r="H338" i="10" s="1"/>
  <c r="G339" i="10"/>
  <c r="H339" i="10" s="1"/>
  <c r="G340" i="10"/>
  <c r="H340" i="10" s="1"/>
  <c r="G341" i="10"/>
  <c r="H341" i="10" s="1"/>
  <c r="G342" i="10"/>
  <c r="H342" i="10" s="1"/>
  <c r="G343" i="10"/>
  <c r="H343" i="10" s="1"/>
  <c r="G344" i="10"/>
  <c r="H344" i="10" s="1"/>
  <c r="G345" i="10"/>
  <c r="H345" i="10" s="1"/>
  <c r="G346" i="10"/>
  <c r="H346" i="10" s="1"/>
  <c r="G347" i="10"/>
  <c r="H347" i="10" s="1"/>
  <c r="G348" i="10"/>
  <c r="H348" i="10" s="1"/>
  <c r="G349" i="10"/>
  <c r="H349" i="10" s="1"/>
  <c r="G350" i="10"/>
  <c r="H350" i="10" s="1"/>
  <c r="G351" i="10"/>
  <c r="H351" i="10" s="1"/>
  <c r="G352" i="10"/>
  <c r="H352" i="10" s="1"/>
  <c r="G353" i="10"/>
  <c r="H353" i="10" s="1"/>
  <c r="G354" i="10"/>
  <c r="H354" i="10" s="1"/>
  <c r="G355" i="10"/>
  <c r="H355" i="10" s="1"/>
  <c r="G356" i="10"/>
  <c r="H356" i="10" s="1"/>
  <c r="G357" i="10"/>
  <c r="H357" i="10" s="1"/>
  <c r="G358" i="10"/>
  <c r="H358" i="10" s="1"/>
  <c r="G359" i="10"/>
  <c r="H359" i="10" s="1"/>
  <c r="G360" i="10"/>
  <c r="H360" i="10" s="1"/>
  <c r="G361" i="10"/>
  <c r="H361" i="10" s="1"/>
  <c r="G362" i="10"/>
  <c r="H362" i="10" s="1"/>
  <c r="G363" i="10"/>
  <c r="H363" i="10" s="1"/>
  <c r="G364" i="10"/>
  <c r="H364" i="10" s="1"/>
  <c r="G365" i="10"/>
  <c r="H365" i="10" s="1"/>
  <c r="G366" i="10"/>
  <c r="H366" i="10" s="1"/>
  <c r="G367" i="10"/>
  <c r="H367" i="10" s="1"/>
  <c r="G368" i="10"/>
  <c r="H368" i="10" s="1"/>
  <c r="G369" i="10"/>
  <c r="H369" i="10" s="1"/>
  <c r="G370" i="10"/>
  <c r="H370" i="10" s="1"/>
  <c r="G371" i="10"/>
  <c r="H371" i="10" s="1"/>
  <c r="G372" i="10"/>
  <c r="H372" i="10" s="1"/>
  <c r="G373" i="10"/>
  <c r="H373" i="10" s="1"/>
  <c r="G374" i="10"/>
  <c r="H374" i="10" s="1"/>
  <c r="G375" i="10"/>
  <c r="H375" i="10" s="1"/>
  <c r="G376" i="10"/>
  <c r="H376" i="10" s="1"/>
  <c r="G377" i="10"/>
  <c r="H377" i="10" s="1"/>
  <c r="G378" i="10"/>
  <c r="H378" i="10" s="1"/>
  <c r="G379" i="10"/>
  <c r="H379" i="10" s="1"/>
  <c r="G380" i="10"/>
  <c r="H380" i="10" s="1"/>
  <c r="G381" i="10"/>
  <c r="H381" i="10" s="1"/>
  <c r="G382" i="10"/>
  <c r="H382" i="10" s="1"/>
  <c r="G383" i="10"/>
  <c r="H383" i="10" s="1"/>
  <c r="G384" i="10"/>
  <c r="H384" i="10" s="1"/>
  <c r="G385" i="10"/>
  <c r="H385" i="10" s="1"/>
  <c r="G386" i="10"/>
  <c r="H386" i="10" s="1"/>
  <c r="G387" i="10"/>
  <c r="H387" i="10" s="1"/>
  <c r="G388" i="10"/>
  <c r="H388" i="10" s="1"/>
  <c r="G389" i="10"/>
  <c r="H389" i="10" s="1"/>
  <c r="G390" i="10"/>
  <c r="H390" i="10" s="1"/>
  <c r="G391" i="10"/>
  <c r="H391" i="10" s="1"/>
  <c r="G392" i="10"/>
  <c r="H392" i="10" s="1"/>
  <c r="G393" i="10"/>
  <c r="H393" i="10" s="1"/>
  <c r="G394" i="10"/>
  <c r="H394" i="10" s="1"/>
  <c r="G395" i="10"/>
  <c r="H395" i="10" s="1"/>
  <c r="G396" i="10"/>
  <c r="H396" i="10" s="1"/>
  <c r="G397" i="10"/>
  <c r="H397" i="10" s="1"/>
  <c r="G398" i="10"/>
  <c r="H398" i="10" s="1"/>
  <c r="G399" i="10"/>
  <c r="H399" i="10" s="1"/>
  <c r="G400" i="10"/>
  <c r="H400" i="10" s="1"/>
  <c r="G401" i="10"/>
  <c r="H401" i="10" s="1"/>
  <c r="G402" i="10"/>
  <c r="H402" i="10" s="1"/>
  <c r="G403" i="10"/>
  <c r="H403" i="10" s="1"/>
  <c r="G404" i="10"/>
  <c r="H404" i="10" s="1"/>
  <c r="G405" i="10"/>
  <c r="H405" i="10" s="1"/>
  <c r="G406" i="10"/>
  <c r="H406" i="10" s="1"/>
  <c r="G407" i="10"/>
  <c r="H407" i="10" s="1"/>
  <c r="G408" i="10"/>
  <c r="H408" i="10" s="1"/>
  <c r="G409" i="10"/>
  <c r="H409" i="10" s="1"/>
  <c r="G410" i="10"/>
  <c r="H410" i="10" s="1"/>
  <c r="G411" i="10"/>
  <c r="H411" i="10" s="1"/>
  <c r="G412" i="10"/>
  <c r="H412" i="10" s="1"/>
  <c r="G413" i="10"/>
  <c r="H413" i="10" s="1"/>
  <c r="G414" i="10"/>
  <c r="H414" i="10" s="1"/>
  <c r="G415" i="10"/>
  <c r="H415" i="10" s="1"/>
  <c r="G416" i="10"/>
  <c r="H416" i="10" s="1"/>
  <c r="G417" i="10"/>
  <c r="H417" i="10" s="1"/>
  <c r="G418" i="10"/>
  <c r="H418" i="10" s="1"/>
  <c r="G419" i="10"/>
  <c r="H419" i="10" s="1"/>
  <c r="G420" i="10"/>
  <c r="H420" i="10" s="1"/>
  <c r="G421" i="10"/>
  <c r="H421" i="10" s="1"/>
  <c r="G422" i="10"/>
  <c r="H422" i="10" s="1"/>
  <c r="G423" i="10"/>
  <c r="H423" i="10" s="1"/>
  <c r="G424" i="10"/>
  <c r="H424" i="10" s="1"/>
  <c r="G425" i="10"/>
  <c r="H425" i="10" s="1"/>
  <c r="G426" i="10"/>
  <c r="H426" i="10" s="1"/>
  <c r="G427" i="10"/>
  <c r="H427" i="10" s="1"/>
  <c r="G428" i="10"/>
  <c r="H428" i="10" s="1"/>
  <c r="G429" i="10"/>
  <c r="H429" i="10" s="1"/>
  <c r="G430" i="10"/>
  <c r="H430" i="10" s="1"/>
  <c r="G431" i="10"/>
  <c r="H431" i="10" s="1"/>
  <c r="G432" i="10"/>
  <c r="H432" i="10" s="1"/>
  <c r="G433" i="10"/>
  <c r="H433" i="10" s="1"/>
  <c r="G434" i="10"/>
  <c r="H434" i="10" s="1"/>
  <c r="G435" i="10"/>
  <c r="H435" i="10" s="1"/>
  <c r="G436" i="10"/>
  <c r="H436" i="10" s="1"/>
  <c r="G437" i="10"/>
  <c r="H437" i="10" s="1"/>
  <c r="G438" i="10"/>
  <c r="H438" i="10" s="1"/>
  <c r="G439" i="10"/>
  <c r="H439" i="10" s="1"/>
  <c r="G440" i="10"/>
  <c r="H440" i="10" s="1"/>
  <c r="G441" i="10"/>
  <c r="H441" i="10" s="1"/>
  <c r="G442" i="10"/>
  <c r="H442" i="10" s="1"/>
  <c r="G443" i="10"/>
  <c r="H443" i="10" s="1"/>
  <c r="G444" i="10"/>
  <c r="H444" i="10" s="1"/>
  <c r="G445" i="10"/>
  <c r="H445" i="10" s="1"/>
  <c r="G446" i="10"/>
  <c r="H446" i="10" s="1"/>
  <c r="G447" i="10"/>
  <c r="H447" i="10" s="1"/>
  <c r="G448" i="10"/>
  <c r="H448" i="10" s="1"/>
  <c r="G449" i="10"/>
  <c r="H449" i="10" s="1"/>
  <c r="G450" i="10"/>
  <c r="H450" i="10" s="1"/>
  <c r="G451" i="10"/>
  <c r="H451" i="10" s="1"/>
  <c r="G452" i="10"/>
  <c r="H452" i="10" s="1"/>
  <c r="G453" i="10"/>
  <c r="H453" i="10" s="1"/>
  <c r="G454" i="10"/>
  <c r="H454" i="10" s="1"/>
  <c r="G455" i="10"/>
  <c r="H455" i="10" s="1"/>
  <c r="G456" i="10"/>
  <c r="H456" i="10" s="1"/>
  <c r="G457" i="10"/>
  <c r="H457" i="10" s="1"/>
  <c r="G458" i="10"/>
  <c r="H458" i="10" s="1"/>
  <c r="G459" i="10"/>
  <c r="H459" i="10" s="1"/>
  <c r="G460" i="10"/>
  <c r="H460" i="10" s="1"/>
  <c r="G461" i="10"/>
  <c r="H461" i="10" s="1"/>
  <c r="G462" i="10"/>
  <c r="H462" i="10" s="1"/>
  <c r="G463" i="10"/>
  <c r="H463" i="10" s="1"/>
  <c r="G464" i="10"/>
  <c r="H464" i="10" s="1"/>
  <c r="G465" i="10"/>
  <c r="H465" i="10" s="1"/>
  <c r="G466" i="10"/>
  <c r="H466" i="10" s="1"/>
  <c r="G467" i="10"/>
  <c r="H467" i="10" s="1"/>
  <c r="G468" i="10"/>
  <c r="H468" i="10" s="1"/>
  <c r="G469" i="10"/>
  <c r="H469" i="10" s="1"/>
  <c r="G470" i="10"/>
  <c r="H470" i="10" s="1"/>
  <c r="G471" i="10"/>
  <c r="H471" i="10" s="1"/>
  <c r="G472" i="10"/>
  <c r="H472" i="10" s="1"/>
  <c r="G473" i="10"/>
  <c r="H473" i="10" s="1"/>
  <c r="G474" i="10"/>
  <c r="H474" i="10" s="1"/>
  <c r="G475" i="10"/>
  <c r="H475" i="10" s="1"/>
  <c r="G476" i="10"/>
  <c r="H476" i="10" s="1"/>
  <c r="G477" i="10"/>
  <c r="H477" i="10" s="1"/>
  <c r="G478" i="10"/>
  <c r="H478" i="10" s="1"/>
  <c r="G479" i="10"/>
  <c r="H479" i="10" s="1"/>
  <c r="G480" i="10"/>
  <c r="H480" i="10" s="1"/>
  <c r="G481" i="10"/>
  <c r="H481" i="10" s="1"/>
  <c r="G482" i="10"/>
  <c r="H482" i="10" s="1"/>
  <c r="G483" i="10"/>
  <c r="H483" i="10" s="1"/>
  <c r="G484" i="10"/>
  <c r="H484" i="10" s="1"/>
  <c r="G485" i="10"/>
  <c r="H485" i="10" s="1"/>
  <c r="G486" i="10"/>
  <c r="H486" i="10" s="1"/>
  <c r="G487" i="10"/>
  <c r="H487" i="10" s="1"/>
  <c r="G488" i="10"/>
  <c r="H488" i="10" s="1"/>
  <c r="G489" i="10"/>
  <c r="H489" i="10" s="1"/>
  <c r="G490" i="10"/>
  <c r="H490" i="10" s="1"/>
  <c r="G491" i="10"/>
  <c r="H491" i="10" s="1"/>
  <c r="G492" i="10"/>
  <c r="H492" i="10" s="1"/>
  <c r="G493" i="10"/>
  <c r="H493" i="10" s="1"/>
  <c r="G494" i="10"/>
  <c r="H494" i="10" s="1"/>
  <c r="G495" i="10"/>
  <c r="H495" i="10" s="1"/>
  <c r="G496" i="10"/>
  <c r="H496" i="10" s="1"/>
  <c r="G497" i="10"/>
  <c r="H497" i="10" s="1"/>
  <c r="G498" i="10"/>
  <c r="H498" i="10" s="1"/>
  <c r="G499" i="10"/>
  <c r="H499" i="10" s="1"/>
  <c r="G500" i="10"/>
  <c r="H500" i="10" s="1"/>
  <c r="G501" i="10"/>
  <c r="H501" i="10" s="1"/>
  <c r="G502" i="10"/>
  <c r="H502" i="10" s="1"/>
  <c r="G503" i="10"/>
  <c r="H503" i="10" s="1"/>
  <c r="G504" i="10"/>
  <c r="H504" i="10" s="1"/>
  <c r="G505" i="10"/>
  <c r="H505" i="10" s="1"/>
  <c r="G506" i="10"/>
  <c r="H506" i="10" s="1"/>
  <c r="G507" i="10"/>
  <c r="H507" i="10" s="1"/>
  <c r="G508" i="10"/>
  <c r="H508" i="10" s="1"/>
  <c r="G509" i="10"/>
  <c r="H509" i="10" s="1"/>
  <c r="G510" i="10"/>
  <c r="H510" i="10" s="1"/>
  <c r="G511" i="10"/>
  <c r="H511" i="10" s="1"/>
  <c r="G512" i="10"/>
  <c r="H512" i="10" s="1"/>
  <c r="G513" i="10"/>
  <c r="H513" i="10" s="1"/>
  <c r="G514" i="10"/>
  <c r="H514" i="10" s="1"/>
  <c r="G515" i="10"/>
  <c r="H515" i="10" s="1"/>
  <c r="G516" i="10"/>
  <c r="H516" i="10" s="1"/>
  <c r="G517" i="10"/>
  <c r="H517" i="10" s="1"/>
  <c r="G518" i="10"/>
  <c r="H518" i="10" s="1"/>
  <c r="G519" i="10"/>
  <c r="H519" i="10" s="1"/>
  <c r="G520" i="10"/>
  <c r="H520" i="10" s="1"/>
  <c r="G521" i="10"/>
  <c r="H521" i="10" s="1"/>
  <c r="G522" i="10"/>
  <c r="H522" i="10" s="1"/>
  <c r="G523" i="10"/>
  <c r="H523" i="10" s="1"/>
  <c r="G524" i="10"/>
  <c r="H524" i="10" s="1"/>
  <c r="G525" i="10"/>
  <c r="H525" i="10" s="1"/>
  <c r="G526" i="10"/>
  <c r="H526" i="10" s="1"/>
  <c r="G527" i="10"/>
  <c r="H527" i="10" s="1"/>
  <c r="G528" i="10"/>
  <c r="H528" i="10" s="1"/>
  <c r="G529" i="10"/>
  <c r="H529" i="10" s="1"/>
  <c r="G530" i="10"/>
  <c r="H530" i="10" s="1"/>
  <c r="G531" i="10"/>
  <c r="H531" i="10" s="1"/>
  <c r="G532" i="10"/>
  <c r="H532" i="10" s="1"/>
  <c r="G533" i="10"/>
  <c r="H533" i="10" s="1"/>
  <c r="G534" i="10"/>
  <c r="H534" i="10" s="1"/>
  <c r="G535" i="10"/>
  <c r="H535" i="10" s="1"/>
  <c r="G536" i="10"/>
  <c r="H536" i="10" s="1"/>
  <c r="G537" i="10"/>
  <c r="H537" i="10" s="1"/>
  <c r="G538" i="10"/>
  <c r="H538" i="10" s="1"/>
  <c r="G539" i="10"/>
  <c r="H539" i="10" s="1"/>
  <c r="G540" i="10"/>
  <c r="H540" i="10" s="1"/>
  <c r="G541" i="10"/>
  <c r="H541" i="10" s="1"/>
  <c r="G542" i="10"/>
  <c r="H542" i="10" s="1"/>
  <c r="G543" i="10"/>
  <c r="H543" i="10" s="1"/>
  <c r="G544" i="10"/>
  <c r="H544" i="10" s="1"/>
  <c r="G545" i="10"/>
  <c r="H545" i="10" s="1"/>
  <c r="G546" i="10"/>
  <c r="H546" i="10" s="1"/>
  <c r="G547" i="10"/>
  <c r="H547" i="10" s="1"/>
  <c r="G548" i="10"/>
  <c r="H548" i="10" s="1"/>
  <c r="G549" i="10"/>
  <c r="H549" i="10" s="1"/>
  <c r="G550" i="10"/>
  <c r="H550" i="10" s="1"/>
  <c r="G551" i="10"/>
  <c r="H551" i="10" s="1"/>
  <c r="G552" i="10"/>
  <c r="H552" i="10" s="1"/>
  <c r="G553" i="10"/>
  <c r="H553" i="10" s="1"/>
  <c r="G554" i="10"/>
  <c r="H554" i="10" s="1"/>
  <c r="G555" i="10"/>
  <c r="H555" i="10" s="1"/>
  <c r="G556" i="10"/>
  <c r="H556" i="10" s="1"/>
  <c r="G557" i="10"/>
  <c r="H557" i="10" s="1"/>
  <c r="G558" i="10"/>
  <c r="H558" i="10" s="1"/>
  <c r="G559" i="10"/>
  <c r="H559" i="10" s="1"/>
  <c r="G560" i="10"/>
  <c r="H560" i="10" s="1"/>
  <c r="G561" i="10"/>
  <c r="H561" i="10" s="1"/>
  <c r="G562" i="10"/>
  <c r="H562" i="10" s="1"/>
  <c r="G563" i="10"/>
  <c r="H563" i="10" s="1"/>
  <c r="G564" i="10"/>
  <c r="H564" i="10" s="1"/>
  <c r="G565" i="10"/>
  <c r="H565" i="10" s="1"/>
  <c r="G566" i="10"/>
  <c r="H566" i="10" s="1"/>
  <c r="G567" i="10"/>
  <c r="H567" i="10" s="1"/>
  <c r="G568" i="10"/>
  <c r="H568" i="10" s="1"/>
  <c r="G569" i="10"/>
  <c r="H569" i="10" s="1"/>
  <c r="G570" i="10"/>
  <c r="H570" i="10" s="1"/>
  <c r="G571" i="10"/>
  <c r="H571" i="10" s="1"/>
  <c r="G572" i="10"/>
  <c r="H572" i="10" s="1"/>
  <c r="G573" i="10"/>
  <c r="H573" i="10" s="1"/>
  <c r="G574" i="10"/>
  <c r="H574" i="10" s="1"/>
  <c r="G575" i="10"/>
  <c r="H575" i="10" s="1"/>
  <c r="G576" i="10"/>
  <c r="H576" i="10" s="1"/>
  <c r="G577" i="10"/>
  <c r="H577" i="10" s="1"/>
  <c r="G578" i="10"/>
  <c r="H578" i="10" s="1"/>
  <c r="G579" i="10"/>
  <c r="H579" i="10" s="1"/>
  <c r="G580" i="10"/>
  <c r="H580" i="10" s="1"/>
  <c r="G581" i="10"/>
  <c r="H581" i="10" s="1"/>
  <c r="G582" i="10"/>
  <c r="H582" i="10" s="1"/>
  <c r="G583" i="10"/>
  <c r="H583" i="10" s="1"/>
  <c r="G584" i="10"/>
  <c r="H584" i="10" s="1"/>
  <c r="G585" i="10"/>
  <c r="H585" i="10" s="1"/>
  <c r="G586" i="10"/>
  <c r="H586" i="10" s="1"/>
  <c r="G587" i="10"/>
  <c r="H587" i="10" s="1"/>
  <c r="G588" i="10"/>
  <c r="H588" i="10" s="1"/>
  <c r="G589" i="10"/>
  <c r="H589" i="10" s="1"/>
  <c r="G590" i="10"/>
  <c r="H590" i="10" s="1"/>
  <c r="G591" i="10"/>
  <c r="H591" i="10" s="1"/>
  <c r="G592" i="10"/>
  <c r="H592" i="10" s="1"/>
  <c r="G593" i="10"/>
  <c r="H593" i="10" s="1"/>
  <c r="G594" i="10"/>
  <c r="H594" i="10" s="1"/>
  <c r="G595" i="10"/>
  <c r="H595" i="10" s="1"/>
  <c r="G596" i="10"/>
  <c r="H596" i="10" s="1"/>
  <c r="G597" i="10"/>
  <c r="H597" i="10" s="1"/>
  <c r="G598" i="10"/>
  <c r="H598" i="10" s="1"/>
  <c r="G599" i="10"/>
  <c r="H599" i="10" s="1"/>
  <c r="G600" i="10"/>
  <c r="H600" i="10" s="1"/>
  <c r="G601" i="10"/>
  <c r="H601" i="10" s="1"/>
  <c r="G602" i="10"/>
  <c r="H602" i="10" s="1"/>
  <c r="G603" i="10"/>
  <c r="H603" i="10" s="1"/>
  <c r="G604" i="10"/>
  <c r="H604" i="10" s="1"/>
  <c r="G605" i="10"/>
  <c r="H605" i="10" s="1"/>
  <c r="G606" i="10"/>
  <c r="H606" i="10" s="1"/>
  <c r="G607" i="10"/>
  <c r="H607" i="10" s="1"/>
  <c r="G608" i="10"/>
  <c r="H608" i="10" s="1"/>
  <c r="G609" i="10"/>
  <c r="H609" i="10" s="1"/>
  <c r="G610" i="10"/>
  <c r="H610" i="10" s="1"/>
  <c r="G611" i="10"/>
  <c r="H611" i="10" s="1"/>
  <c r="G612" i="10"/>
  <c r="H612" i="10" s="1"/>
  <c r="G613" i="10"/>
  <c r="H613" i="10" s="1"/>
  <c r="G614" i="10"/>
  <c r="H614" i="10" s="1"/>
  <c r="G615" i="10"/>
  <c r="H615" i="10" s="1"/>
  <c r="G616" i="10"/>
  <c r="H616" i="10" s="1"/>
  <c r="G617" i="10"/>
  <c r="H617" i="10" s="1"/>
  <c r="G618" i="10"/>
  <c r="H618" i="10" s="1"/>
  <c r="G619" i="10"/>
  <c r="H619" i="10" s="1"/>
  <c r="G620" i="10"/>
  <c r="H620" i="10" s="1"/>
  <c r="G621" i="10"/>
  <c r="H621" i="10" s="1"/>
  <c r="G622" i="10"/>
  <c r="H622" i="10" s="1"/>
  <c r="G623" i="10"/>
  <c r="H623" i="10" s="1"/>
  <c r="G624" i="10"/>
  <c r="H624" i="10" s="1"/>
  <c r="G625" i="10"/>
  <c r="H625" i="10" s="1"/>
  <c r="G626" i="10"/>
  <c r="H626" i="10" s="1"/>
  <c r="G627" i="10"/>
  <c r="H627" i="10" s="1"/>
  <c r="G628" i="10"/>
  <c r="H628" i="10" s="1"/>
  <c r="G629" i="10"/>
  <c r="H629" i="10" s="1"/>
  <c r="G630" i="10"/>
  <c r="H630" i="10" s="1"/>
  <c r="G631" i="10"/>
  <c r="H631" i="10" s="1"/>
  <c r="G632" i="10"/>
  <c r="H632" i="10" s="1"/>
  <c r="G633" i="10"/>
  <c r="H633" i="10" s="1"/>
  <c r="G634" i="10"/>
  <c r="H634" i="10" s="1"/>
  <c r="G635" i="10"/>
  <c r="H635" i="10" s="1"/>
  <c r="G636" i="10"/>
  <c r="H636" i="10" s="1"/>
  <c r="G637" i="10"/>
  <c r="H637" i="10" s="1"/>
  <c r="G638" i="10"/>
  <c r="H638" i="10" s="1"/>
  <c r="G639" i="10"/>
  <c r="H639" i="10" s="1"/>
  <c r="G640" i="10"/>
  <c r="H640" i="10" s="1"/>
  <c r="G641" i="10"/>
  <c r="H641" i="10" s="1"/>
  <c r="G642" i="10"/>
  <c r="H642" i="10" s="1"/>
  <c r="G643" i="10"/>
  <c r="H643" i="10" s="1"/>
  <c r="G644" i="10"/>
  <c r="H644" i="10" s="1"/>
  <c r="G645" i="10"/>
  <c r="H645" i="10" s="1"/>
  <c r="G646" i="10"/>
  <c r="H646" i="10" s="1"/>
  <c r="G647" i="10"/>
  <c r="H647" i="10" s="1"/>
  <c r="G648" i="10"/>
  <c r="H648" i="10" s="1"/>
  <c r="G649" i="10"/>
  <c r="H649" i="10" s="1"/>
  <c r="G650" i="10"/>
  <c r="H650" i="10" s="1"/>
  <c r="G651" i="10"/>
  <c r="H651" i="10" s="1"/>
  <c r="G652" i="10"/>
  <c r="H652" i="10" s="1"/>
  <c r="G653" i="10"/>
  <c r="H653" i="10" s="1"/>
  <c r="G654" i="10"/>
  <c r="H654" i="10" s="1"/>
  <c r="G655" i="10"/>
  <c r="H655" i="10" s="1"/>
  <c r="G656" i="10"/>
  <c r="H656" i="10" s="1"/>
  <c r="G657" i="10"/>
  <c r="H657" i="10" s="1"/>
  <c r="G658" i="10"/>
  <c r="H658" i="10" s="1"/>
  <c r="G659" i="10"/>
  <c r="H659" i="10" s="1"/>
  <c r="G660" i="10"/>
  <c r="H660" i="10" s="1"/>
  <c r="G661" i="10"/>
  <c r="H661" i="10" s="1"/>
  <c r="G662" i="10"/>
  <c r="H662" i="10" s="1"/>
  <c r="G663" i="10"/>
  <c r="H663" i="10" s="1"/>
  <c r="G664" i="10"/>
  <c r="H664" i="10" s="1"/>
  <c r="G665" i="10"/>
  <c r="H665" i="10" s="1"/>
  <c r="G666" i="10"/>
  <c r="H666" i="10" s="1"/>
  <c r="G667" i="10"/>
  <c r="H667" i="10" s="1"/>
  <c r="G668" i="10"/>
  <c r="H668" i="10" s="1"/>
  <c r="G669" i="10"/>
  <c r="H669" i="10" s="1"/>
  <c r="G670" i="10"/>
  <c r="H670" i="10" s="1"/>
  <c r="G671" i="10"/>
  <c r="H671" i="10" s="1"/>
  <c r="G672" i="10"/>
  <c r="H672" i="10" s="1"/>
  <c r="G673" i="10"/>
  <c r="H673" i="10" s="1"/>
  <c r="G674" i="10"/>
  <c r="H674" i="10" s="1"/>
  <c r="G675" i="10"/>
  <c r="H675" i="10" s="1"/>
  <c r="G676" i="10"/>
  <c r="H676" i="10" s="1"/>
  <c r="G677" i="10"/>
  <c r="H677" i="10" s="1"/>
  <c r="G678" i="10"/>
  <c r="H678" i="10" s="1"/>
  <c r="G679" i="10"/>
  <c r="H679" i="10" s="1"/>
  <c r="G680" i="10"/>
  <c r="H680" i="10" s="1"/>
  <c r="G681" i="10"/>
  <c r="H681" i="10" s="1"/>
  <c r="G682" i="10"/>
  <c r="H682" i="10" s="1"/>
  <c r="G683" i="10"/>
  <c r="H683" i="10" s="1"/>
  <c r="G684" i="10"/>
  <c r="H684" i="10" s="1"/>
  <c r="G685" i="10"/>
  <c r="H685" i="10" s="1"/>
  <c r="G686" i="10"/>
  <c r="H686" i="10" s="1"/>
  <c r="G687" i="10"/>
  <c r="H687" i="10" s="1"/>
  <c r="G688" i="10"/>
  <c r="H688" i="10" s="1"/>
  <c r="G689" i="10"/>
  <c r="H689" i="10" s="1"/>
  <c r="G690" i="10"/>
  <c r="H690" i="10" s="1"/>
  <c r="G691" i="10"/>
  <c r="H691" i="10" s="1"/>
  <c r="G692" i="10"/>
  <c r="H692" i="10" s="1"/>
  <c r="G693" i="10"/>
  <c r="H693" i="10" s="1"/>
  <c r="G694" i="10"/>
  <c r="H694" i="10" s="1"/>
  <c r="G695" i="10"/>
  <c r="H695" i="10" s="1"/>
  <c r="G696" i="10"/>
  <c r="H696" i="10" s="1"/>
  <c r="G697" i="10"/>
  <c r="H697" i="10" s="1"/>
  <c r="G698" i="10"/>
  <c r="H698" i="10" s="1"/>
  <c r="G699" i="10"/>
  <c r="H699" i="10" s="1"/>
  <c r="G700" i="10"/>
  <c r="H700" i="10" s="1"/>
  <c r="G701" i="10"/>
  <c r="H701" i="10" s="1"/>
  <c r="G702" i="10"/>
  <c r="H702" i="10" s="1"/>
  <c r="G703" i="10"/>
  <c r="H703" i="10" s="1"/>
  <c r="G704" i="10"/>
  <c r="H704" i="10" s="1"/>
  <c r="G705" i="10"/>
  <c r="H705" i="10" s="1"/>
  <c r="G706" i="10"/>
  <c r="H706" i="10" s="1"/>
  <c r="G707" i="10"/>
  <c r="H707" i="10" s="1"/>
  <c r="G708" i="10"/>
  <c r="H708" i="10" s="1"/>
  <c r="G709" i="10"/>
  <c r="H709" i="10" s="1"/>
  <c r="G710" i="10"/>
  <c r="H710" i="10" s="1"/>
  <c r="G711" i="10"/>
  <c r="H711" i="10" s="1"/>
  <c r="G712" i="10"/>
  <c r="H712" i="10" s="1"/>
  <c r="G713" i="10"/>
  <c r="H713" i="10" s="1"/>
  <c r="G714" i="10"/>
  <c r="H714" i="10" s="1"/>
  <c r="G715" i="10"/>
  <c r="H715" i="10" s="1"/>
  <c r="G716" i="10"/>
  <c r="H716" i="10" s="1"/>
  <c r="G717" i="10"/>
  <c r="H717" i="10" s="1"/>
  <c r="G718" i="10"/>
  <c r="H718" i="10" s="1"/>
  <c r="G719" i="10"/>
  <c r="H719" i="10" s="1"/>
  <c r="G720" i="10"/>
  <c r="H720" i="10" s="1"/>
  <c r="G721" i="10"/>
  <c r="H721" i="10" s="1"/>
  <c r="G722" i="10"/>
  <c r="H722" i="10" s="1"/>
  <c r="G723" i="10"/>
  <c r="H723" i="10" s="1"/>
  <c r="G724" i="10"/>
  <c r="H724" i="10" s="1"/>
  <c r="G725" i="10"/>
  <c r="H725" i="10" s="1"/>
  <c r="G726" i="10"/>
  <c r="H726" i="10" s="1"/>
  <c r="G727" i="10"/>
  <c r="H727" i="10" s="1"/>
  <c r="G728" i="10"/>
  <c r="H728" i="10" s="1"/>
  <c r="G729" i="10"/>
  <c r="H729" i="10" s="1"/>
  <c r="G730" i="10"/>
  <c r="H730" i="10" s="1"/>
  <c r="G731" i="10"/>
  <c r="H731" i="10" s="1"/>
  <c r="G732" i="10"/>
  <c r="H732" i="10" s="1"/>
  <c r="G733" i="10"/>
  <c r="H733" i="10" s="1"/>
  <c r="G734" i="10"/>
  <c r="H734" i="10" s="1"/>
  <c r="G735" i="10"/>
  <c r="H735" i="10" s="1"/>
  <c r="G736" i="10"/>
  <c r="H736" i="10" s="1"/>
  <c r="G737" i="10"/>
  <c r="H737" i="10" s="1"/>
  <c r="G738" i="10"/>
  <c r="H738" i="10" s="1"/>
  <c r="G739" i="10"/>
  <c r="H739" i="10" s="1"/>
  <c r="G740" i="10"/>
  <c r="H740" i="10" s="1"/>
  <c r="G741" i="10"/>
  <c r="H741" i="10" s="1"/>
  <c r="G742" i="10"/>
  <c r="H742" i="10" s="1"/>
  <c r="G743" i="10"/>
  <c r="H743" i="10" s="1"/>
  <c r="G744" i="10"/>
  <c r="H744" i="10" s="1"/>
  <c r="G745" i="10"/>
  <c r="H745" i="10" s="1"/>
  <c r="G746" i="10"/>
  <c r="H746" i="10" s="1"/>
  <c r="G747" i="10"/>
  <c r="H747" i="10" s="1"/>
  <c r="G748" i="10"/>
  <c r="H748" i="10" s="1"/>
  <c r="G749" i="10"/>
  <c r="H749" i="10" s="1"/>
  <c r="G750" i="10"/>
  <c r="H750" i="10" s="1"/>
  <c r="G751" i="10"/>
  <c r="H751" i="10" s="1"/>
  <c r="G752" i="10"/>
  <c r="H752" i="10" s="1"/>
  <c r="G753" i="10"/>
  <c r="H753" i="10" s="1"/>
  <c r="G754" i="10"/>
  <c r="H754" i="10" s="1"/>
  <c r="G755" i="10"/>
  <c r="H755" i="10" s="1"/>
  <c r="G756" i="10"/>
  <c r="H756" i="10" s="1"/>
  <c r="G757" i="10"/>
  <c r="H757" i="10" s="1"/>
  <c r="G758" i="10"/>
  <c r="H758" i="10" s="1"/>
  <c r="G759" i="10"/>
  <c r="H759" i="10" s="1"/>
  <c r="G760" i="10"/>
  <c r="H760" i="10" s="1"/>
  <c r="G761" i="10"/>
  <c r="H761" i="10" s="1"/>
  <c r="G762" i="10"/>
  <c r="H762" i="10" s="1"/>
  <c r="G763" i="10"/>
  <c r="H763" i="10" s="1"/>
  <c r="G764" i="10"/>
  <c r="H764" i="10" s="1"/>
  <c r="G765" i="10"/>
  <c r="H765" i="10" s="1"/>
  <c r="G766" i="10"/>
  <c r="H766" i="10" s="1"/>
  <c r="G767" i="10"/>
  <c r="H767" i="10" s="1"/>
  <c r="G768" i="10"/>
  <c r="H768" i="10" s="1"/>
  <c r="G769" i="10"/>
  <c r="H769" i="10" s="1"/>
  <c r="G770" i="10"/>
  <c r="H770" i="10" s="1"/>
  <c r="G771" i="10"/>
  <c r="H771" i="10" s="1"/>
  <c r="G772" i="10"/>
  <c r="H772" i="10" s="1"/>
  <c r="G773" i="10"/>
  <c r="H773" i="10" s="1"/>
  <c r="G774" i="10"/>
  <c r="H774" i="10" s="1"/>
  <c r="G775" i="10"/>
  <c r="H775" i="10" s="1"/>
  <c r="G776" i="10"/>
  <c r="H776" i="10" s="1"/>
  <c r="G777" i="10"/>
  <c r="H777" i="10" s="1"/>
  <c r="G778" i="10"/>
  <c r="H778" i="10" s="1"/>
  <c r="G779" i="10"/>
  <c r="H779" i="10" s="1"/>
  <c r="G780" i="10"/>
  <c r="H780" i="10" s="1"/>
  <c r="G781" i="10"/>
  <c r="H781" i="10" s="1"/>
  <c r="G782" i="10"/>
  <c r="H782" i="10" s="1"/>
  <c r="G783" i="10"/>
  <c r="H783" i="10" s="1"/>
  <c r="G784" i="10"/>
  <c r="H784" i="10" s="1"/>
  <c r="G785" i="10"/>
  <c r="H785" i="10" s="1"/>
  <c r="G786" i="10"/>
  <c r="H786" i="10" s="1"/>
  <c r="G787" i="10"/>
  <c r="H787" i="10" s="1"/>
  <c r="G788" i="10"/>
  <c r="H788" i="10" s="1"/>
  <c r="G789" i="10"/>
  <c r="H789" i="10" s="1"/>
  <c r="G790" i="10"/>
  <c r="H790" i="10" s="1"/>
  <c r="G791" i="10"/>
  <c r="H791" i="10" s="1"/>
  <c r="G792" i="10"/>
  <c r="H792" i="10" s="1"/>
  <c r="G793" i="10"/>
  <c r="H793" i="10" s="1"/>
  <c r="G794" i="10"/>
  <c r="H794" i="10" s="1"/>
  <c r="G795" i="10"/>
  <c r="H795" i="10" s="1"/>
  <c r="G796" i="10"/>
  <c r="H796" i="10" s="1"/>
  <c r="G797" i="10"/>
  <c r="H797" i="10" s="1"/>
  <c r="G798" i="10"/>
  <c r="H798" i="10" s="1"/>
  <c r="G799" i="10"/>
  <c r="H799" i="10" s="1"/>
  <c r="G800" i="10"/>
  <c r="H800" i="10" s="1"/>
  <c r="G801" i="10"/>
  <c r="H801" i="10" s="1"/>
  <c r="G802" i="10"/>
  <c r="H802" i="10" s="1"/>
  <c r="G803" i="10"/>
  <c r="H803" i="10" s="1"/>
  <c r="G804" i="10"/>
  <c r="H804" i="10" s="1"/>
  <c r="G805" i="10"/>
  <c r="H805" i="10" s="1"/>
  <c r="G806" i="10"/>
  <c r="H806" i="10" s="1"/>
  <c r="G807" i="10"/>
  <c r="H807" i="10" s="1"/>
  <c r="G808" i="10"/>
  <c r="H808" i="10" s="1"/>
  <c r="G809" i="10"/>
  <c r="H809" i="10" s="1"/>
  <c r="G810" i="10"/>
  <c r="H810" i="10" s="1"/>
  <c r="G811" i="10"/>
  <c r="H811" i="10" s="1"/>
  <c r="G812" i="10"/>
  <c r="H812" i="10" s="1"/>
  <c r="G813" i="10"/>
  <c r="H813" i="10" s="1"/>
  <c r="G814" i="10"/>
  <c r="H814" i="10" s="1"/>
  <c r="G815" i="10"/>
  <c r="H815" i="10" s="1"/>
  <c r="G816" i="10"/>
  <c r="H816" i="10" s="1"/>
  <c r="G817" i="10"/>
  <c r="H817" i="10" s="1"/>
  <c r="G818" i="10"/>
  <c r="H818" i="10" s="1"/>
  <c r="G819" i="10"/>
  <c r="H819" i="10" s="1"/>
  <c r="G820" i="10"/>
  <c r="H820" i="10" s="1"/>
  <c r="G821" i="10"/>
  <c r="H821" i="10" s="1"/>
  <c r="G822" i="10"/>
  <c r="H822" i="10" s="1"/>
  <c r="G823" i="10"/>
  <c r="H823" i="10" s="1"/>
  <c r="G824" i="10"/>
  <c r="H824" i="10" s="1"/>
  <c r="G825" i="10"/>
  <c r="H825" i="10" s="1"/>
  <c r="G826" i="10"/>
  <c r="H826" i="10" s="1"/>
  <c r="G827" i="10"/>
  <c r="H827" i="10" s="1"/>
  <c r="G828" i="10"/>
  <c r="H828" i="10" s="1"/>
  <c r="G829" i="10"/>
  <c r="H829" i="10" s="1"/>
  <c r="G830" i="10"/>
  <c r="H830" i="10" s="1"/>
  <c r="G831" i="10"/>
  <c r="H831" i="10" s="1"/>
  <c r="G832" i="10"/>
  <c r="H832" i="10" s="1"/>
  <c r="G833" i="10"/>
  <c r="H833" i="10" s="1"/>
  <c r="G834" i="10"/>
  <c r="H834" i="10" s="1"/>
  <c r="G835" i="10"/>
  <c r="H835" i="10" s="1"/>
  <c r="G836" i="10"/>
  <c r="H836" i="10" s="1"/>
  <c r="G837" i="10"/>
  <c r="H837" i="10" s="1"/>
  <c r="G838" i="10"/>
  <c r="H838" i="10" s="1"/>
  <c r="G839" i="10"/>
  <c r="H839" i="10" s="1"/>
  <c r="G840" i="10"/>
  <c r="H840" i="10" s="1"/>
  <c r="G841" i="10"/>
  <c r="H841" i="10" s="1"/>
  <c r="G842" i="10"/>
  <c r="H842" i="10" s="1"/>
  <c r="G843" i="10"/>
  <c r="H843" i="10" s="1"/>
  <c r="G844" i="10"/>
  <c r="H844" i="10" s="1"/>
  <c r="G845" i="10"/>
  <c r="H845" i="10" s="1"/>
  <c r="G846" i="10"/>
  <c r="H846" i="10" s="1"/>
  <c r="G847" i="10"/>
  <c r="H847" i="10" s="1"/>
  <c r="G848" i="10"/>
  <c r="H848" i="10" s="1"/>
  <c r="G849" i="10"/>
  <c r="H849" i="10" s="1"/>
  <c r="G850" i="10"/>
  <c r="H850" i="10" s="1"/>
  <c r="G851" i="10"/>
  <c r="H851" i="10" s="1"/>
  <c r="G852" i="10"/>
  <c r="H852" i="10" s="1"/>
  <c r="G853" i="10"/>
  <c r="H853" i="10" s="1"/>
  <c r="G854" i="10"/>
  <c r="H854" i="10" s="1"/>
  <c r="G855" i="10"/>
  <c r="H855" i="10" s="1"/>
  <c r="G856" i="10"/>
  <c r="H856" i="10" s="1"/>
  <c r="G857" i="10"/>
  <c r="H857" i="10" s="1"/>
  <c r="G858" i="10"/>
  <c r="H858" i="10" s="1"/>
  <c r="G859" i="10"/>
  <c r="H859" i="10" s="1"/>
  <c r="G860" i="10"/>
  <c r="H860" i="10" s="1"/>
  <c r="G861" i="10"/>
  <c r="H861" i="10" s="1"/>
  <c r="G862" i="10"/>
  <c r="H862" i="10" s="1"/>
  <c r="G863" i="10"/>
  <c r="H863" i="10" s="1"/>
  <c r="G864" i="10"/>
  <c r="H864" i="10" s="1"/>
  <c r="G865" i="10"/>
  <c r="H865" i="10" s="1"/>
  <c r="G866" i="10"/>
  <c r="H866" i="10" s="1"/>
  <c r="G867" i="10"/>
  <c r="H867" i="10" s="1"/>
  <c r="G868" i="10"/>
  <c r="H868" i="10" s="1"/>
  <c r="G869" i="10"/>
  <c r="H869" i="10" s="1"/>
  <c r="G870" i="10"/>
  <c r="H870" i="10" s="1"/>
  <c r="G871" i="10"/>
  <c r="H871" i="10" s="1"/>
  <c r="G872" i="10"/>
  <c r="H872" i="10" s="1"/>
  <c r="G873" i="10"/>
  <c r="H873" i="10" s="1"/>
  <c r="G874" i="10"/>
  <c r="H874" i="10" s="1"/>
  <c r="G875" i="10"/>
  <c r="H875" i="10" s="1"/>
  <c r="G876" i="10"/>
  <c r="H876" i="10" s="1"/>
  <c r="G877" i="10"/>
  <c r="H877" i="10" s="1"/>
  <c r="G878" i="10"/>
  <c r="H878" i="10" s="1"/>
  <c r="G879" i="10"/>
  <c r="H879" i="10" s="1"/>
  <c r="G880" i="10"/>
  <c r="H880" i="10" s="1"/>
  <c r="G881" i="10"/>
  <c r="H881" i="10" s="1"/>
  <c r="G882" i="10"/>
  <c r="H882" i="10" s="1"/>
  <c r="G883" i="10"/>
  <c r="H883" i="10" s="1"/>
  <c r="G884" i="10"/>
  <c r="H884" i="10" s="1"/>
  <c r="G885" i="10"/>
  <c r="H885" i="10" s="1"/>
  <c r="G886" i="10"/>
  <c r="H886" i="10" s="1"/>
  <c r="G887" i="10"/>
  <c r="H887" i="10" s="1"/>
  <c r="G888" i="10"/>
  <c r="H888" i="10" s="1"/>
  <c r="G889" i="10"/>
  <c r="H889" i="10" s="1"/>
  <c r="G890" i="10"/>
  <c r="H890" i="10" s="1"/>
  <c r="G891" i="10"/>
  <c r="H891" i="10" s="1"/>
  <c r="G892" i="10"/>
  <c r="H892" i="10" s="1"/>
  <c r="G893" i="10"/>
  <c r="H893" i="10" s="1"/>
  <c r="G894" i="10"/>
  <c r="H894" i="10" s="1"/>
  <c r="G895" i="10"/>
  <c r="H895" i="10" s="1"/>
  <c r="G896" i="10"/>
  <c r="H896" i="10" s="1"/>
  <c r="G897" i="10"/>
  <c r="H897" i="10" s="1"/>
  <c r="G898" i="10"/>
  <c r="H898" i="10" s="1"/>
  <c r="G899" i="10"/>
  <c r="H899" i="10" s="1"/>
  <c r="G900" i="10"/>
  <c r="H900" i="10" s="1"/>
  <c r="G901" i="10"/>
  <c r="H901" i="10" s="1"/>
  <c r="G902" i="10"/>
  <c r="H902" i="10" s="1"/>
  <c r="G903" i="10"/>
  <c r="H903" i="10" s="1"/>
  <c r="G904" i="10"/>
  <c r="H904" i="10" s="1"/>
  <c r="G905" i="10"/>
  <c r="H905" i="10" s="1"/>
  <c r="G906" i="10"/>
  <c r="H906" i="10" s="1"/>
  <c r="G907" i="10"/>
  <c r="H907" i="10" s="1"/>
  <c r="G908" i="10"/>
  <c r="H908" i="10" s="1"/>
  <c r="G909" i="10"/>
  <c r="H909" i="10" s="1"/>
  <c r="G910" i="10"/>
  <c r="H910" i="10" s="1"/>
  <c r="G911" i="10"/>
  <c r="H911" i="10" s="1"/>
  <c r="G912" i="10"/>
  <c r="H912" i="10" s="1"/>
  <c r="G913" i="10"/>
  <c r="H913" i="10" s="1"/>
  <c r="G914" i="10"/>
  <c r="H914" i="10" s="1"/>
  <c r="G915" i="10"/>
  <c r="H915" i="10" s="1"/>
  <c r="G916" i="10"/>
  <c r="H916" i="10" s="1"/>
  <c r="G917" i="10"/>
  <c r="H917" i="10" s="1"/>
  <c r="G918" i="10"/>
  <c r="H918" i="10" s="1"/>
  <c r="G919" i="10"/>
  <c r="H919" i="10" s="1"/>
  <c r="G920" i="10"/>
  <c r="H920" i="10" s="1"/>
  <c r="G921" i="10"/>
  <c r="H921" i="10" s="1"/>
  <c r="G922" i="10"/>
  <c r="H922" i="10" s="1"/>
  <c r="G923" i="10"/>
  <c r="H923" i="10" s="1"/>
  <c r="G924" i="10"/>
  <c r="H924" i="10" s="1"/>
  <c r="G925" i="10"/>
  <c r="H925" i="10" s="1"/>
  <c r="G926" i="10"/>
  <c r="H926" i="10" s="1"/>
  <c r="G927" i="10"/>
  <c r="H927" i="10" s="1"/>
  <c r="G928" i="10"/>
  <c r="H928" i="10" s="1"/>
  <c r="G929" i="10"/>
  <c r="H929" i="10" s="1"/>
  <c r="G930" i="10"/>
  <c r="H930" i="10" s="1"/>
  <c r="G931" i="10"/>
  <c r="H931" i="10" s="1"/>
  <c r="G932" i="10"/>
  <c r="H932" i="10" s="1"/>
  <c r="G933" i="10"/>
  <c r="H933" i="10" s="1"/>
  <c r="G934" i="10"/>
  <c r="H934" i="10" s="1"/>
  <c r="G935" i="10"/>
  <c r="H935" i="10" s="1"/>
  <c r="G936" i="10"/>
  <c r="H936" i="10" s="1"/>
  <c r="G937" i="10"/>
  <c r="H937" i="10" s="1"/>
  <c r="G938" i="10"/>
  <c r="H938" i="10" s="1"/>
  <c r="G939" i="10"/>
  <c r="H939" i="10" s="1"/>
  <c r="G940" i="10"/>
  <c r="H940" i="10" s="1"/>
  <c r="G941" i="10"/>
  <c r="H941" i="10" s="1"/>
  <c r="G942" i="10"/>
  <c r="H942" i="10" s="1"/>
  <c r="G943" i="10"/>
  <c r="H943" i="10" s="1"/>
  <c r="G944" i="10"/>
  <c r="H944" i="10" s="1"/>
  <c r="G945" i="10"/>
  <c r="H945" i="10" s="1"/>
  <c r="G946" i="10"/>
  <c r="H946" i="10" s="1"/>
  <c r="G947" i="10"/>
  <c r="H947" i="10" s="1"/>
  <c r="G948" i="10"/>
  <c r="H948" i="10" s="1"/>
  <c r="G949" i="10"/>
  <c r="H949" i="10" s="1"/>
  <c r="G950" i="10"/>
  <c r="H950" i="10" s="1"/>
  <c r="G951" i="10"/>
  <c r="H951" i="10" s="1"/>
  <c r="G952" i="10"/>
  <c r="H952" i="10" s="1"/>
  <c r="G953" i="10"/>
  <c r="H953" i="10" s="1"/>
  <c r="G954" i="10"/>
  <c r="H954" i="10" s="1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G1013" i="10"/>
  <c r="G1014" i="10"/>
  <c r="G1015" i="10"/>
  <c r="G1016" i="10"/>
  <c r="G1017" i="10"/>
  <c r="G1018" i="10"/>
  <c r="G1019" i="10"/>
  <c r="G1020" i="10"/>
  <c r="G1021" i="10"/>
  <c r="G1022" i="10"/>
  <c r="G1023" i="10"/>
  <c r="G1024" i="10"/>
  <c r="G1025" i="10"/>
  <c r="G1026" i="10"/>
  <c r="G1027" i="10"/>
  <c r="G1028" i="10"/>
  <c r="G1029" i="10"/>
  <c r="G1030" i="10"/>
  <c r="G1031" i="10"/>
  <c r="G1032" i="10"/>
  <c r="G1033" i="10"/>
  <c r="G1034" i="10"/>
  <c r="G1035" i="10"/>
  <c r="G1036" i="10"/>
  <c r="G1037" i="10"/>
  <c r="G1038" i="10"/>
  <c r="G1039" i="10"/>
  <c r="G1040" i="10"/>
  <c r="G1041" i="10"/>
  <c r="G1042" i="10"/>
  <c r="G1043" i="10"/>
  <c r="G1044" i="10"/>
  <c r="G1045" i="10"/>
  <c r="G1046" i="10"/>
  <c r="G1047" i="10"/>
  <c r="G1048" i="10"/>
  <c r="G1049" i="10"/>
  <c r="G1050" i="10"/>
  <c r="G1051" i="10"/>
  <c r="G1052" i="10"/>
  <c r="G1053" i="10"/>
  <c r="G1054" i="10"/>
  <c r="G1055" i="10"/>
  <c r="G1056" i="10"/>
  <c r="G1057" i="10"/>
  <c r="G1058" i="10"/>
  <c r="G1059" i="10"/>
  <c r="G1060" i="10"/>
  <c r="G1061" i="10"/>
  <c r="G1062" i="10"/>
  <c r="G1063" i="10"/>
  <c r="G1064" i="10"/>
  <c r="G1065" i="10"/>
  <c r="G1066" i="10"/>
  <c r="G1067" i="10"/>
  <c r="G1068" i="10"/>
  <c r="G1069" i="10"/>
  <c r="G1070" i="10"/>
  <c r="G1071" i="10"/>
  <c r="G1072" i="10"/>
  <c r="G1073" i="10"/>
  <c r="G1074" i="10"/>
  <c r="G1075" i="10"/>
  <c r="G1076" i="10"/>
  <c r="G1077" i="10"/>
  <c r="G1078" i="10"/>
  <c r="G1079" i="10"/>
  <c r="G1080" i="10"/>
  <c r="G1081" i="10"/>
  <c r="G1082" i="10"/>
  <c r="G1083" i="10"/>
  <c r="G1084" i="10"/>
  <c r="G1085" i="10"/>
  <c r="G1086" i="10"/>
  <c r="G1087" i="10"/>
  <c r="G1088" i="10"/>
  <c r="G1089" i="10"/>
  <c r="G1090" i="10"/>
  <c r="G1091" i="10"/>
  <c r="G1092" i="10"/>
  <c r="G1093" i="10"/>
  <c r="G1094" i="10"/>
  <c r="G1095" i="10"/>
  <c r="G1096" i="10"/>
  <c r="G1097" i="10"/>
  <c r="G1098" i="10"/>
  <c r="G1099" i="10"/>
  <c r="G1100" i="10"/>
  <c r="G1101" i="10"/>
  <c r="G1102" i="10"/>
  <c r="G1103" i="10"/>
  <c r="G1104" i="10"/>
  <c r="G1105" i="10"/>
  <c r="G1106" i="10"/>
  <c r="G1107" i="10"/>
  <c r="G1108" i="10"/>
  <c r="G1109" i="10"/>
  <c r="G1110" i="10"/>
  <c r="G1111" i="10"/>
  <c r="G1112" i="10"/>
  <c r="G1113" i="10"/>
  <c r="G1114" i="10"/>
  <c r="G1115" i="10"/>
  <c r="G1116" i="10"/>
  <c r="G1117" i="10"/>
  <c r="G1118" i="10"/>
  <c r="G1119" i="10"/>
  <c r="G1120" i="10"/>
  <c r="G1121" i="10"/>
  <c r="G1122" i="10"/>
  <c r="G1123" i="10"/>
  <c r="G1124" i="10"/>
  <c r="G1125" i="10"/>
  <c r="G1126" i="10"/>
  <c r="G1127" i="10"/>
  <c r="G1128" i="10"/>
  <c r="G1129" i="10"/>
  <c r="G1130" i="10"/>
  <c r="G1131" i="10"/>
  <c r="G1132" i="10"/>
  <c r="G1133" i="10"/>
  <c r="G1134" i="10"/>
  <c r="G1135" i="10"/>
  <c r="G1136" i="10"/>
  <c r="G1137" i="10"/>
  <c r="G1138" i="10"/>
  <c r="G1139" i="10"/>
  <c r="G1140" i="10"/>
  <c r="G1141" i="10"/>
  <c r="G1142" i="10"/>
  <c r="G1143" i="10"/>
  <c r="G1144" i="10"/>
  <c r="G1145" i="10"/>
  <c r="G1146" i="10"/>
  <c r="G1147" i="10"/>
  <c r="G1148" i="10"/>
  <c r="G1149" i="10"/>
  <c r="G1150" i="10"/>
  <c r="G1151" i="10"/>
  <c r="G1152" i="10"/>
  <c r="G1153" i="10"/>
  <c r="G1154" i="10"/>
  <c r="G1155" i="10"/>
  <c r="G1156" i="10"/>
  <c r="G1157" i="10"/>
  <c r="G1158" i="10"/>
  <c r="G1159" i="10"/>
  <c r="G1160" i="10"/>
  <c r="G1161" i="10"/>
  <c r="G1162" i="10"/>
  <c r="G1163" i="10"/>
  <c r="G1164" i="10"/>
  <c r="G1165" i="10"/>
  <c r="G1166" i="10"/>
  <c r="G1167" i="10"/>
  <c r="G1168" i="10"/>
  <c r="G1169" i="10"/>
  <c r="G1170" i="10"/>
  <c r="G1171" i="10"/>
  <c r="G1172" i="10"/>
  <c r="G1173" i="10"/>
  <c r="G1174" i="10"/>
  <c r="G1175" i="10"/>
  <c r="G1176" i="10"/>
  <c r="G1177" i="10"/>
  <c r="G1178" i="10"/>
  <c r="G1179" i="10"/>
  <c r="G1180" i="10"/>
  <c r="G1181" i="10"/>
  <c r="G1182" i="10"/>
  <c r="G1183" i="10"/>
  <c r="G1184" i="10"/>
  <c r="G1185" i="10"/>
  <c r="G1186" i="10"/>
  <c r="G1187" i="10"/>
  <c r="G1188" i="10"/>
  <c r="G1189" i="10"/>
  <c r="G1190" i="10"/>
  <c r="G1191" i="10"/>
  <c r="G1192" i="10"/>
  <c r="G1193" i="10"/>
  <c r="G1194" i="10"/>
  <c r="G1195" i="10"/>
  <c r="G1196" i="10"/>
  <c r="G1197" i="10"/>
  <c r="G1198" i="10"/>
  <c r="G1199" i="10"/>
  <c r="G1200" i="10"/>
  <c r="G1201" i="10"/>
  <c r="G1202" i="10"/>
  <c r="G1203" i="10"/>
  <c r="G1204" i="10"/>
  <c r="G1205" i="10"/>
  <c r="G1206" i="10"/>
  <c r="G1207" i="10"/>
  <c r="G1208" i="10"/>
  <c r="G1209" i="10"/>
  <c r="G1210" i="10"/>
  <c r="G1211" i="10"/>
  <c r="G1212" i="10"/>
  <c r="G1213" i="10"/>
  <c r="G1214" i="10"/>
  <c r="G1215" i="10"/>
  <c r="G1216" i="10"/>
  <c r="G1217" i="10"/>
  <c r="G1218" i="10"/>
  <c r="G1219" i="10"/>
  <c r="G1220" i="10"/>
  <c r="G1221" i="10"/>
  <c r="G1222" i="10"/>
  <c r="G1223" i="10"/>
  <c r="G1224" i="10"/>
  <c r="G1225" i="10"/>
  <c r="G1226" i="10"/>
  <c r="G1227" i="10"/>
  <c r="G1228" i="10"/>
  <c r="G1229" i="10"/>
  <c r="G1230" i="10"/>
  <c r="G1231" i="10"/>
  <c r="G1232" i="10"/>
  <c r="G1233" i="10"/>
  <c r="G1234" i="10"/>
  <c r="G1235" i="10"/>
  <c r="G1236" i="10"/>
  <c r="G1237" i="10"/>
  <c r="G1238" i="10"/>
  <c r="G1239" i="10"/>
  <c r="G1240" i="10"/>
  <c r="G1241" i="10"/>
  <c r="G1242" i="10"/>
  <c r="G1243" i="10"/>
  <c r="G1244" i="10"/>
  <c r="G1245" i="10"/>
  <c r="G1246" i="10"/>
  <c r="G1247" i="10"/>
  <c r="G1248" i="10"/>
  <c r="G1249" i="10"/>
  <c r="G1250" i="10"/>
  <c r="G1251" i="10"/>
  <c r="G1252" i="10"/>
  <c r="G1253" i="10"/>
  <c r="G1254" i="10"/>
  <c r="G1255" i="10"/>
  <c r="G1256" i="10"/>
  <c r="G1257" i="10"/>
  <c r="G1258" i="10"/>
  <c r="G1259" i="10"/>
  <c r="G1260" i="10"/>
  <c r="G1261" i="10"/>
  <c r="G1262" i="10"/>
  <c r="G1263" i="10"/>
  <c r="G1264" i="10"/>
  <c r="G1265" i="10"/>
  <c r="G1266" i="10"/>
  <c r="G1267" i="10"/>
  <c r="G1268" i="10"/>
  <c r="G1269" i="10"/>
  <c r="G1270" i="10"/>
  <c r="G1271" i="10"/>
  <c r="G1272" i="10"/>
  <c r="G1273" i="10"/>
  <c r="G1274" i="10"/>
  <c r="G1275" i="10"/>
  <c r="G1276" i="10"/>
  <c r="G1277" i="10"/>
  <c r="G1278" i="10"/>
  <c r="G1279" i="10"/>
  <c r="G1280" i="10"/>
  <c r="G1281" i="10"/>
  <c r="G1282" i="10"/>
  <c r="G1283" i="10"/>
  <c r="G1284" i="10"/>
  <c r="G1285" i="10"/>
  <c r="G1286" i="10"/>
  <c r="G1287" i="10"/>
  <c r="G1288" i="10"/>
  <c r="G1289" i="10"/>
  <c r="G1290" i="10"/>
  <c r="G1291" i="10"/>
  <c r="G1292" i="10"/>
  <c r="G1293" i="10"/>
  <c r="G1294" i="10"/>
  <c r="G1295" i="10"/>
  <c r="G1296" i="10"/>
  <c r="G1297" i="10"/>
  <c r="G1298" i="10"/>
  <c r="G1299" i="10"/>
  <c r="G1300" i="10"/>
  <c r="G1301" i="10"/>
  <c r="G1302" i="10"/>
  <c r="G1303" i="10"/>
  <c r="G1304" i="10"/>
  <c r="G1305" i="10"/>
  <c r="G1306" i="10"/>
  <c r="G1307" i="10"/>
  <c r="G1308" i="10"/>
  <c r="G1309" i="10"/>
  <c r="G1310" i="10"/>
  <c r="G1311" i="10"/>
  <c r="G1312" i="10"/>
  <c r="G1313" i="10"/>
  <c r="G1314" i="10"/>
  <c r="G1315" i="10"/>
  <c r="G1316" i="10"/>
  <c r="G1317" i="10"/>
  <c r="G1318" i="10"/>
  <c r="G1319" i="10"/>
  <c r="G1320" i="10"/>
  <c r="G1321" i="10"/>
  <c r="G1322" i="10"/>
  <c r="G1323" i="10"/>
  <c r="G1324" i="10"/>
  <c r="G1325" i="10"/>
  <c r="G1326" i="10"/>
  <c r="G1327" i="10"/>
  <c r="G1328" i="10"/>
  <c r="G1329" i="10"/>
  <c r="G1330" i="10"/>
  <c r="G1331" i="10"/>
  <c r="G1332" i="10"/>
  <c r="G1333" i="10"/>
  <c r="G1334" i="10"/>
  <c r="G1335" i="10"/>
  <c r="G1336" i="10"/>
  <c r="G1337" i="10"/>
  <c r="G1338" i="10"/>
  <c r="G1339" i="10"/>
  <c r="G1340" i="10"/>
  <c r="G1341" i="10"/>
  <c r="G1342" i="10"/>
  <c r="G1343" i="10"/>
  <c r="G1344" i="10"/>
  <c r="G1345" i="10"/>
  <c r="G1346" i="10"/>
  <c r="G1347" i="10"/>
  <c r="G1348" i="10"/>
  <c r="G1349" i="10"/>
  <c r="G1350" i="10"/>
  <c r="G1351" i="10"/>
  <c r="G1352" i="10"/>
  <c r="G1353" i="10"/>
  <c r="G1354" i="10"/>
  <c r="G1355" i="10"/>
  <c r="G1356" i="10"/>
  <c r="G1357" i="10"/>
  <c r="G1358" i="10"/>
  <c r="G1359" i="10"/>
  <c r="G1360" i="10"/>
  <c r="G1361" i="10"/>
  <c r="G1362" i="10"/>
  <c r="G1363" i="10"/>
  <c r="G1364" i="10"/>
  <c r="G1365" i="10"/>
  <c r="G1366" i="10"/>
  <c r="G1367" i="10"/>
  <c r="G1368" i="10"/>
  <c r="G1369" i="10"/>
  <c r="G1370" i="10"/>
  <c r="G1371" i="10"/>
  <c r="G1372" i="10"/>
  <c r="G1373" i="10"/>
  <c r="G1374" i="10"/>
  <c r="G1375" i="10"/>
  <c r="G1376" i="10"/>
  <c r="G1377" i="10"/>
  <c r="G1378" i="10"/>
  <c r="G1379" i="10"/>
  <c r="G1380" i="10"/>
  <c r="G1381" i="10"/>
  <c r="G1382" i="10"/>
  <c r="G1383" i="10"/>
  <c r="G1384" i="10"/>
  <c r="G1385" i="10"/>
  <c r="G1386" i="10"/>
  <c r="G1387" i="10"/>
  <c r="G1388" i="10"/>
  <c r="G1389" i="10"/>
  <c r="G1390" i="10"/>
  <c r="G1391" i="10"/>
  <c r="G1392" i="10"/>
  <c r="G1393" i="10"/>
  <c r="G1394" i="10"/>
  <c r="G1395" i="10"/>
  <c r="G1396" i="10"/>
  <c r="G1397" i="10"/>
  <c r="G1398" i="10"/>
  <c r="G1399" i="10"/>
  <c r="G1400" i="10"/>
  <c r="G1401" i="10"/>
  <c r="G1402" i="10"/>
  <c r="G1403" i="10"/>
  <c r="G1404" i="10"/>
  <c r="G1405" i="10"/>
  <c r="G1406" i="10"/>
  <c r="G1407" i="10"/>
  <c r="G1408" i="10"/>
  <c r="G1409" i="10"/>
  <c r="G1410" i="10"/>
  <c r="G1411" i="10"/>
  <c r="G1412" i="10"/>
  <c r="G1413" i="10"/>
  <c r="G1414" i="10"/>
  <c r="G1415" i="10"/>
  <c r="G1416" i="10"/>
  <c r="G1417" i="10"/>
  <c r="G1418" i="10"/>
  <c r="G1419" i="10"/>
  <c r="G1420" i="10"/>
  <c r="G1421" i="10"/>
  <c r="G1422" i="10"/>
  <c r="G1423" i="10"/>
  <c r="G1424" i="10"/>
  <c r="G1425" i="10"/>
  <c r="G1426" i="10"/>
  <c r="G1427" i="10"/>
  <c r="G1428" i="10"/>
  <c r="G1429" i="10"/>
  <c r="G1430" i="10"/>
  <c r="G1431" i="10"/>
  <c r="G1432" i="10"/>
  <c r="G1433" i="10"/>
  <c r="G1434" i="10"/>
  <c r="G1435" i="10"/>
  <c r="G1436" i="10"/>
  <c r="G1437" i="10"/>
  <c r="G1438" i="10"/>
  <c r="G1439" i="10"/>
  <c r="G1440" i="10"/>
  <c r="G1441" i="10"/>
  <c r="G1442" i="10"/>
  <c r="G1443" i="10"/>
  <c r="G1444" i="10"/>
  <c r="G1445" i="10"/>
  <c r="G1446" i="10"/>
  <c r="G1447" i="10"/>
  <c r="G1448" i="10"/>
  <c r="G1449" i="10"/>
  <c r="G1450" i="10"/>
  <c r="G1451" i="10"/>
  <c r="G1452" i="10"/>
  <c r="G1453" i="10"/>
  <c r="G1454" i="10"/>
  <c r="G1455" i="10"/>
  <c r="G1456" i="10"/>
  <c r="G1457" i="10"/>
  <c r="G1458" i="10"/>
  <c r="G1459" i="10"/>
  <c r="G1460" i="10"/>
  <c r="G1461" i="10"/>
  <c r="G1462" i="10"/>
  <c r="G1463" i="10"/>
  <c r="G1464" i="10"/>
  <c r="G1465" i="10"/>
  <c r="G1466" i="10"/>
  <c r="G1467" i="10"/>
  <c r="G1468" i="10"/>
  <c r="G1469" i="10"/>
  <c r="G1470" i="10"/>
  <c r="G1471" i="10"/>
  <c r="G1472" i="10"/>
  <c r="G1473" i="10"/>
  <c r="G1474" i="10"/>
  <c r="G1475" i="10"/>
  <c r="G1476" i="10"/>
  <c r="G1477" i="10"/>
  <c r="G1478" i="10"/>
  <c r="G1479" i="10"/>
  <c r="G1480" i="10"/>
  <c r="G1481" i="10"/>
  <c r="G1482" i="10"/>
  <c r="G1483" i="10"/>
  <c r="G1484" i="10"/>
  <c r="G1485" i="10"/>
  <c r="G1486" i="10"/>
  <c r="G1487" i="10"/>
  <c r="G1488" i="10"/>
  <c r="G1489" i="10"/>
  <c r="G1490" i="10"/>
  <c r="G1491" i="10"/>
  <c r="G1492" i="10"/>
  <c r="G1493" i="10"/>
  <c r="G1494" i="10"/>
  <c r="G1495" i="10"/>
  <c r="G1496" i="10"/>
  <c r="G1497" i="10"/>
  <c r="G1498" i="10"/>
  <c r="G1499" i="10"/>
  <c r="G1500" i="10"/>
  <c r="G1501" i="10"/>
  <c r="G1502" i="10"/>
  <c r="G1503" i="10"/>
  <c r="G1504" i="10"/>
  <c r="G1505" i="10"/>
  <c r="G1506" i="10"/>
  <c r="G1507" i="10"/>
  <c r="G1508" i="10"/>
  <c r="G1509" i="10"/>
  <c r="G1510" i="10"/>
  <c r="G1511" i="10"/>
  <c r="G1512" i="10"/>
  <c r="G1513" i="10"/>
  <c r="G1514" i="10"/>
  <c r="G1515" i="10"/>
  <c r="G1516" i="10"/>
  <c r="G1517" i="10"/>
  <c r="G1518" i="10"/>
  <c r="G1519" i="10"/>
  <c r="G1520" i="10"/>
  <c r="G1521" i="10"/>
  <c r="G1522" i="10"/>
  <c r="G1523" i="10"/>
  <c r="G1524" i="10"/>
  <c r="G1525" i="10"/>
  <c r="G1526" i="10"/>
  <c r="G1527" i="10"/>
  <c r="G1528" i="10"/>
  <c r="G1529" i="10"/>
  <c r="G1530" i="10"/>
  <c r="G1531" i="10"/>
  <c r="G1532" i="10"/>
  <c r="G1533" i="10"/>
  <c r="G1534" i="10"/>
  <c r="G1535" i="10"/>
  <c r="G1536" i="10"/>
  <c r="G1537" i="10"/>
  <c r="G1538" i="10"/>
  <c r="G1539" i="10"/>
  <c r="G1540" i="10"/>
  <c r="G1541" i="10"/>
  <c r="G1542" i="10"/>
  <c r="G1543" i="10"/>
  <c r="G1544" i="10"/>
  <c r="G1545" i="10"/>
  <c r="G1546" i="10"/>
  <c r="G1547" i="10"/>
  <c r="G1548" i="10"/>
  <c r="G1549" i="10"/>
  <c r="G1550" i="10"/>
  <c r="G1551" i="10"/>
  <c r="G1552" i="10"/>
  <c r="G1553" i="10"/>
  <c r="G1554" i="10"/>
  <c r="G1555" i="10"/>
  <c r="G1556" i="10"/>
  <c r="G1557" i="10"/>
  <c r="G1558" i="10"/>
  <c r="G1559" i="10"/>
  <c r="G1560" i="10"/>
  <c r="G1561" i="10"/>
  <c r="G1562" i="10"/>
  <c r="G1563" i="10"/>
  <c r="G1564" i="10"/>
  <c r="G1565" i="10"/>
  <c r="G1566" i="10"/>
  <c r="G1567" i="10"/>
  <c r="G1568" i="10"/>
  <c r="G1569" i="10"/>
  <c r="G1570" i="10"/>
  <c r="G1571" i="10"/>
  <c r="G1572" i="10"/>
  <c r="G1573" i="10"/>
  <c r="G1574" i="10"/>
  <c r="G1575" i="10"/>
  <c r="G1576" i="10"/>
  <c r="G1577" i="10"/>
  <c r="G1578" i="10"/>
  <c r="G1579" i="10"/>
  <c r="G1580" i="10"/>
  <c r="G1581" i="10"/>
  <c r="G1582" i="10"/>
  <c r="G1583" i="10"/>
  <c r="G1584" i="10"/>
  <c r="G1585" i="10"/>
  <c r="G1586" i="10"/>
  <c r="G1587" i="10"/>
  <c r="G1588" i="10"/>
  <c r="G1589" i="10"/>
  <c r="G1590" i="10"/>
  <c r="G1591" i="10"/>
  <c r="G1592" i="10"/>
  <c r="G1593" i="10"/>
  <c r="G1594" i="10"/>
  <c r="G1595" i="10"/>
  <c r="G1596" i="10"/>
  <c r="G1597" i="10"/>
  <c r="G1598" i="10"/>
  <c r="G1599" i="10"/>
  <c r="G1600" i="10"/>
  <c r="G1601" i="10"/>
  <c r="G1602" i="10"/>
  <c r="G1603" i="10"/>
  <c r="G1604" i="10"/>
  <c r="G1605" i="10"/>
  <c r="G1606" i="10"/>
  <c r="G1607" i="10"/>
  <c r="G1608" i="10"/>
  <c r="G1609" i="10"/>
  <c r="G1610" i="10"/>
  <c r="G1611" i="10"/>
  <c r="G1612" i="10"/>
  <c r="G1613" i="10"/>
  <c r="G1614" i="10"/>
  <c r="G1615" i="10"/>
  <c r="G1616" i="10"/>
  <c r="G1617" i="10"/>
  <c r="G1618" i="10"/>
  <c r="G1619" i="10"/>
  <c r="G1620" i="10"/>
  <c r="G1621" i="10"/>
  <c r="G1622" i="10"/>
  <c r="G1623" i="10"/>
  <c r="G1624" i="10"/>
  <c r="G1625" i="10"/>
  <c r="G1626" i="10"/>
  <c r="G1627" i="10"/>
  <c r="G1628" i="10"/>
  <c r="G1629" i="10"/>
  <c r="G1630" i="10"/>
  <c r="G1631" i="10"/>
  <c r="G1632" i="10"/>
  <c r="G1633" i="10"/>
  <c r="G1634" i="10"/>
  <c r="G1635" i="10"/>
  <c r="G1636" i="10"/>
  <c r="G1637" i="10"/>
  <c r="G1638" i="10"/>
  <c r="G1639" i="10"/>
  <c r="G1640" i="10"/>
  <c r="G1641" i="10"/>
  <c r="G1642" i="10"/>
  <c r="G1643" i="10"/>
  <c r="G1644" i="10"/>
  <c r="G1645" i="10"/>
  <c r="G1646" i="10"/>
  <c r="G1647" i="10"/>
  <c r="G1648" i="10"/>
  <c r="G1649" i="10"/>
  <c r="G1650" i="10"/>
  <c r="G1651" i="10"/>
  <c r="G1652" i="10"/>
  <c r="G1653" i="10"/>
  <c r="G1654" i="10"/>
  <c r="G1655" i="10"/>
  <c r="G1656" i="10"/>
  <c r="G1657" i="10"/>
  <c r="G1658" i="10"/>
  <c r="G1659" i="10"/>
  <c r="G1660" i="10"/>
  <c r="G1661" i="10"/>
  <c r="G1662" i="10"/>
  <c r="G1663" i="10"/>
  <c r="G1664" i="10"/>
  <c r="G1665" i="10"/>
  <c r="G1666" i="10"/>
  <c r="G1667" i="10"/>
  <c r="G1668" i="10"/>
  <c r="G1669" i="10"/>
  <c r="G1670" i="10"/>
  <c r="G1671" i="10"/>
  <c r="G1672" i="10"/>
  <c r="G1673" i="10"/>
  <c r="G1674" i="10"/>
  <c r="G1675" i="10"/>
  <c r="G1676" i="10"/>
  <c r="G1677" i="10"/>
  <c r="G1678" i="10"/>
  <c r="G1679" i="10"/>
  <c r="G1680" i="10"/>
  <c r="G1681" i="10"/>
  <c r="G1682" i="10"/>
  <c r="G1683" i="10"/>
  <c r="G1684" i="10"/>
  <c r="G1685" i="10"/>
  <c r="G1686" i="10"/>
  <c r="G1687" i="10"/>
  <c r="G1688" i="10"/>
  <c r="G1689" i="10"/>
  <c r="G1690" i="10"/>
  <c r="G1691" i="10"/>
  <c r="G1692" i="10"/>
  <c r="G1693" i="10"/>
  <c r="G1694" i="10"/>
  <c r="G1695" i="10"/>
  <c r="G1696" i="10"/>
  <c r="G1697" i="10"/>
  <c r="G1698" i="10"/>
  <c r="G1699" i="10"/>
  <c r="G1700" i="10"/>
  <c r="G1701" i="10"/>
  <c r="G1702" i="10"/>
  <c r="G1703" i="10"/>
  <c r="G1704" i="10"/>
  <c r="G1705" i="10"/>
  <c r="G1706" i="10"/>
  <c r="G1707" i="10"/>
  <c r="G1708" i="10"/>
  <c r="G1709" i="10"/>
  <c r="G1710" i="10"/>
  <c r="G1711" i="10"/>
  <c r="G1712" i="10"/>
  <c r="G1713" i="10"/>
  <c r="G1714" i="10"/>
  <c r="G1715" i="10"/>
  <c r="G1716" i="10"/>
  <c r="G1717" i="10"/>
  <c r="G1718" i="10"/>
  <c r="G1719" i="10"/>
  <c r="G1720" i="10"/>
  <c r="G1721" i="10"/>
  <c r="G1722" i="10"/>
  <c r="G1723" i="10"/>
  <c r="G1724" i="10"/>
  <c r="G1725" i="10"/>
  <c r="G1726" i="10"/>
  <c r="G1727" i="10"/>
  <c r="G1728" i="10"/>
  <c r="G1729" i="10"/>
  <c r="G1730" i="10"/>
  <c r="G1731" i="10"/>
  <c r="G1732" i="10"/>
  <c r="G1733" i="10"/>
  <c r="G1734" i="10"/>
  <c r="G1735" i="10"/>
  <c r="G1736" i="10"/>
  <c r="G1737" i="10"/>
  <c r="G1738" i="10"/>
  <c r="G1739" i="10"/>
  <c r="G1740" i="10"/>
  <c r="G1741" i="10"/>
  <c r="G1742" i="10"/>
  <c r="G1743" i="10"/>
  <c r="G1744" i="10"/>
  <c r="G1745" i="10"/>
  <c r="G1746" i="10"/>
  <c r="G1747" i="10"/>
  <c r="G1748" i="10"/>
  <c r="G1749" i="10"/>
  <c r="G1750" i="10"/>
  <c r="G1751" i="10"/>
  <c r="G1752" i="10"/>
  <c r="G1753" i="10"/>
  <c r="G1754" i="10"/>
  <c r="G1755" i="10"/>
  <c r="G1756" i="10"/>
  <c r="G1757" i="10"/>
  <c r="G1758" i="10"/>
  <c r="G1759" i="10"/>
  <c r="G1760" i="10"/>
  <c r="G1761" i="10"/>
  <c r="G1762" i="10"/>
  <c r="G1763" i="10"/>
  <c r="G1764" i="10"/>
  <c r="G1765" i="10"/>
  <c r="G1766" i="10"/>
  <c r="G1767" i="10"/>
  <c r="G1768" i="10"/>
  <c r="G1769" i="10"/>
  <c r="G1770" i="10"/>
  <c r="G1771" i="10"/>
  <c r="G1772" i="10"/>
  <c r="G1773" i="10"/>
  <c r="G1774" i="10"/>
  <c r="G1775" i="10"/>
  <c r="G1776" i="10"/>
  <c r="G1777" i="10"/>
  <c r="G1778" i="10"/>
  <c r="G1779" i="10"/>
  <c r="G1780" i="10"/>
  <c r="G1781" i="10"/>
  <c r="G1782" i="10"/>
  <c r="G1783" i="10"/>
  <c r="G1784" i="10"/>
  <c r="G1785" i="10"/>
  <c r="G1786" i="10"/>
  <c r="G1787" i="10"/>
  <c r="G1788" i="10"/>
  <c r="G1789" i="10"/>
  <c r="G1790" i="10"/>
  <c r="G1791" i="10"/>
  <c r="G1792" i="10"/>
  <c r="G1793" i="10"/>
  <c r="G1794" i="10"/>
  <c r="G1795" i="10"/>
  <c r="G1796" i="10"/>
  <c r="G1797" i="10"/>
  <c r="G1798" i="10"/>
  <c r="G1799" i="10"/>
  <c r="G1800" i="10"/>
  <c r="G1801" i="10"/>
  <c r="G1802" i="10"/>
  <c r="G1803" i="10"/>
  <c r="G1804" i="10"/>
  <c r="G1805" i="10"/>
  <c r="G1806" i="10"/>
  <c r="G1807" i="10"/>
  <c r="G1808" i="10"/>
  <c r="G1809" i="10"/>
  <c r="G1810" i="10"/>
  <c r="G1811" i="10"/>
  <c r="G1812" i="10"/>
  <c r="G1813" i="10"/>
  <c r="G1814" i="10"/>
  <c r="G1815" i="10"/>
  <c r="G1816" i="10"/>
  <c r="G1817" i="10"/>
  <c r="G1818" i="10"/>
  <c r="G1819" i="10"/>
  <c r="G1820" i="10"/>
  <c r="G1821" i="10"/>
  <c r="G1822" i="10"/>
  <c r="G1823" i="10"/>
  <c r="G1824" i="10"/>
  <c r="G1825" i="10"/>
  <c r="G1826" i="10"/>
  <c r="G1827" i="10"/>
  <c r="G1828" i="10"/>
  <c r="G1829" i="10"/>
  <c r="G1830" i="10"/>
  <c r="G1831" i="10"/>
  <c r="G1832" i="10"/>
  <c r="G1833" i="10"/>
  <c r="G1834" i="10"/>
  <c r="G1835" i="10"/>
  <c r="G1836" i="10"/>
  <c r="G1837" i="10"/>
  <c r="G1838" i="10"/>
  <c r="G1839" i="10"/>
  <c r="G1840" i="10"/>
  <c r="G1841" i="10"/>
  <c r="G1842" i="10"/>
  <c r="G1843" i="10"/>
  <c r="G1844" i="10"/>
  <c r="G1845" i="10"/>
  <c r="G1846" i="10"/>
  <c r="G1847" i="10"/>
  <c r="G1848" i="10"/>
  <c r="G1849" i="10"/>
  <c r="G1850" i="10"/>
  <c r="G1851" i="10"/>
  <c r="G1852" i="10"/>
  <c r="G1853" i="10"/>
  <c r="G1854" i="10"/>
  <c r="G1855" i="10"/>
  <c r="G1856" i="10"/>
  <c r="G1857" i="10"/>
  <c r="G1858" i="10"/>
  <c r="G1859" i="10"/>
  <c r="G1860" i="10"/>
  <c r="G1861" i="10"/>
  <c r="G1862" i="10"/>
  <c r="G1863" i="10"/>
  <c r="G1864" i="10"/>
  <c r="G1865" i="10"/>
  <c r="G1866" i="10"/>
  <c r="G1867" i="10"/>
  <c r="G1868" i="10"/>
  <c r="G1869" i="10"/>
  <c r="G1870" i="10"/>
  <c r="G1871" i="10"/>
  <c r="G1872" i="10"/>
  <c r="G1873" i="10"/>
  <c r="G1874" i="10"/>
  <c r="G1875" i="10"/>
  <c r="G1876" i="10"/>
  <c r="G1877" i="10"/>
  <c r="G1878" i="10"/>
  <c r="G1879" i="10"/>
  <c r="G1880" i="10"/>
  <c r="G1881" i="10"/>
  <c r="G1882" i="10"/>
  <c r="G1883" i="10"/>
  <c r="G1884" i="10"/>
  <c r="G1885" i="10"/>
  <c r="G1886" i="10"/>
  <c r="G1887" i="10"/>
  <c r="G1888" i="10"/>
  <c r="G1889" i="10"/>
  <c r="G1890" i="10"/>
  <c r="G1891" i="10"/>
  <c r="G1892" i="10"/>
  <c r="G1893" i="10"/>
  <c r="G1894" i="10"/>
  <c r="G1895" i="10"/>
  <c r="G1896" i="10"/>
  <c r="G1897" i="10"/>
  <c r="G1898" i="10"/>
  <c r="G1899" i="10"/>
  <c r="G1900" i="10"/>
  <c r="G1901" i="10"/>
  <c r="G1902" i="10"/>
  <c r="G1903" i="10"/>
  <c r="G1904" i="10"/>
  <c r="G1905" i="10"/>
  <c r="G1906" i="10"/>
  <c r="G1907" i="10"/>
  <c r="H1907" i="10" s="1"/>
  <c r="G1908" i="10"/>
  <c r="H1908" i="10" s="1"/>
  <c r="G1909" i="10"/>
  <c r="H1909" i="10" s="1"/>
  <c r="G1910" i="10"/>
  <c r="H1910" i="10" s="1"/>
  <c r="G1911" i="10"/>
  <c r="H1911" i="10" s="1"/>
  <c r="G1912" i="10"/>
  <c r="H1912" i="10" s="1"/>
  <c r="G1913" i="10"/>
  <c r="H1913" i="10" s="1"/>
  <c r="G1914" i="10"/>
  <c r="H1914" i="10" s="1"/>
  <c r="G1915" i="10"/>
  <c r="H1915" i="10" s="1"/>
  <c r="G1916" i="10"/>
  <c r="H1916" i="10" s="1"/>
  <c r="G1917" i="10"/>
  <c r="H1917" i="10" s="1"/>
  <c r="G1918" i="10"/>
  <c r="H1918" i="10" s="1"/>
  <c r="G1919" i="10"/>
  <c r="H1919" i="10" s="1"/>
  <c r="G1920" i="10"/>
  <c r="H1920" i="10" s="1"/>
  <c r="G1921" i="10"/>
  <c r="H1921" i="10" s="1"/>
  <c r="G1922" i="10"/>
  <c r="H1922" i="10" s="1"/>
  <c r="G1923" i="10"/>
  <c r="H1923" i="10" s="1"/>
  <c r="G1924" i="10"/>
  <c r="H1924" i="10" s="1"/>
  <c r="G1925" i="10"/>
  <c r="H1925" i="10" s="1"/>
  <c r="G1926" i="10"/>
  <c r="H1926" i="10" s="1"/>
  <c r="G1927" i="10"/>
  <c r="H1927" i="10" s="1"/>
  <c r="G1928" i="10"/>
  <c r="H1928" i="10" s="1"/>
  <c r="G1929" i="10"/>
  <c r="H1929" i="10" s="1"/>
  <c r="G1930" i="10"/>
  <c r="H1930" i="10" s="1"/>
  <c r="G1931" i="10"/>
  <c r="H1931" i="10" s="1"/>
  <c r="G1932" i="10"/>
  <c r="H1932" i="10" s="1"/>
  <c r="G1933" i="10"/>
  <c r="H1933" i="10" s="1"/>
  <c r="G1934" i="10"/>
  <c r="H1934" i="10" s="1"/>
  <c r="G1935" i="10"/>
  <c r="H1935" i="10" s="1"/>
  <c r="G1936" i="10"/>
  <c r="H1936" i="10" s="1"/>
  <c r="G1937" i="10"/>
  <c r="H1937" i="10" s="1"/>
  <c r="G1938" i="10"/>
  <c r="H1938" i="10" s="1"/>
  <c r="G1939" i="10"/>
  <c r="H1939" i="10" s="1"/>
  <c r="G1940" i="10"/>
  <c r="H1940" i="10" s="1"/>
  <c r="G1941" i="10"/>
  <c r="H1941" i="10" s="1"/>
  <c r="G1942" i="10"/>
  <c r="H1942" i="10" s="1"/>
  <c r="G1943" i="10"/>
  <c r="H1943" i="10" s="1"/>
  <c r="G1944" i="10"/>
  <c r="H1944" i="10" s="1"/>
  <c r="G1945" i="10"/>
  <c r="H1945" i="10" s="1"/>
  <c r="G1946" i="10"/>
  <c r="H1946" i="10" s="1"/>
  <c r="G1947" i="10"/>
  <c r="H1947" i="10" s="1"/>
  <c r="G1948" i="10"/>
  <c r="H1948" i="10" s="1"/>
  <c r="G1949" i="10"/>
  <c r="H1949" i="10" s="1"/>
  <c r="G1950" i="10"/>
  <c r="H1950" i="10" s="1"/>
  <c r="G1951" i="10"/>
  <c r="H1951" i="10" s="1"/>
  <c r="G1952" i="10"/>
  <c r="H1952" i="10" s="1"/>
  <c r="G1953" i="10"/>
  <c r="H1953" i="10" s="1"/>
  <c r="G1954" i="10"/>
  <c r="H1954" i="10" s="1"/>
  <c r="G1955" i="10"/>
  <c r="H1955" i="10" s="1"/>
  <c r="G1956" i="10"/>
  <c r="H1956" i="10" s="1"/>
  <c r="G1957" i="10"/>
  <c r="H1957" i="10" s="1"/>
  <c r="G1958" i="10"/>
  <c r="H1958" i="10" s="1"/>
  <c r="G1959" i="10"/>
  <c r="H1959" i="10" s="1"/>
  <c r="G1960" i="10"/>
  <c r="H1960" i="10" s="1"/>
  <c r="G1961" i="10"/>
  <c r="H1961" i="10" s="1"/>
  <c r="G1962" i="10"/>
  <c r="H1962" i="10" s="1"/>
  <c r="G1963" i="10"/>
  <c r="H1963" i="10" s="1"/>
  <c r="G1964" i="10"/>
  <c r="H1964" i="10" s="1"/>
  <c r="G1965" i="10"/>
  <c r="H1965" i="10" s="1"/>
  <c r="G1966" i="10"/>
  <c r="H1966" i="10" s="1"/>
  <c r="G1967" i="10"/>
  <c r="H1967" i="10" s="1"/>
  <c r="G1968" i="10"/>
  <c r="H1968" i="10" s="1"/>
  <c r="G1969" i="10"/>
  <c r="H1969" i="10" s="1"/>
  <c r="G1970" i="10"/>
  <c r="H1970" i="10" s="1"/>
  <c r="G1971" i="10"/>
  <c r="H1971" i="10" s="1"/>
  <c r="G1972" i="10"/>
  <c r="H1972" i="10" s="1"/>
  <c r="G1973" i="10"/>
  <c r="H1973" i="10" s="1"/>
  <c r="G1974" i="10"/>
  <c r="H1974" i="10" s="1"/>
  <c r="G1975" i="10"/>
  <c r="H1975" i="10" s="1"/>
  <c r="G1976" i="10"/>
  <c r="H1976" i="10" s="1"/>
  <c r="G1977" i="10"/>
  <c r="H1977" i="10" s="1"/>
  <c r="G1978" i="10"/>
  <c r="H1978" i="10" s="1"/>
  <c r="G1979" i="10"/>
  <c r="H1979" i="10" s="1"/>
  <c r="G1980" i="10"/>
  <c r="H1980" i="10" s="1"/>
  <c r="G1981" i="10"/>
  <c r="H1981" i="10" s="1"/>
  <c r="G1982" i="10"/>
  <c r="H1982" i="10" s="1"/>
  <c r="G1983" i="10"/>
  <c r="H1983" i="10" s="1"/>
  <c r="G1984" i="10"/>
  <c r="H1984" i="10" s="1"/>
  <c r="G1985" i="10"/>
  <c r="H1985" i="10" s="1"/>
  <c r="G1986" i="10"/>
  <c r="H1986" i="10" s="1"/>
  <c r="G1987" i="10"/>
  <c r="H1987" i="10" s="1"/>
  <c r="G1988" i="10"/>
  <c r="H1988" i="10" s="1"/>
  <c r="G1989" i="10"/>
  <c r="H1989" i="10" s="1"/>
  <c r="G1990" i="10"/>
  <c r="H1990" i="10" s="1"/>
  <c r="G1991" i="10"/>
  <c r="H1991" i="10" s="1"/>
  <c r="G1992" i="10"/>
  <c r="H1992" i="10" s="1"/>
  <c r="G1993" i="10"/>
  <c r="H1993" i="10" s="1"/>
  <c r="G1994" i="10"/>
  <c r="H1994" i="10" s="1"/>
  <c r="G1995" i="10"/>
  <c r="H1995" i="10" s="1"/>
  <c r="G1996" i="10"/>
  <c r="H1996" i="10" s="1"/>
  <c r="G1997" i="10"/>
  <c r="H1997" i="10" s="1"/>
  <c r="G1998" i="10"/>
  <c r="H1998" i="10" s="1"/>
  <c r="G1999" i="10"/>
  <c r="H1999" i="10" s="1"/>
  <c r="G2000" i="10"/>
  <c r="H2000" i="10" s="1"/>
  <c r="G2001" i="10"/>
  <c r="H2001" i="10" s="1"/>
  <c r="G2002" i="10"/>
  <c r="H2002" i="10" s="1"/>
  <c r="G2003" i="10"/>
  <c r="H2003" i="10" s="1"/>
  <c r="G2004" i="10"/>
  <c r="H2004" i="10" s="1"/>
  <c r="G2005" i="10"/>
  <c r="H2005" i="10" s="1"/>
  <c r="G2006" i="10"/>
  <c r="H2006" i="10" s="1"/>
  <c r="G2007" i="10"/>
  <c r="H2007" i="10" s="1"/>
  <c r="G2008" i="10"/>
  <c r="H2008" i="10" s="1"/>
  <c r="G2009" i="10"/>
  <c r="H2009" i="10" s="1"/>
  <c r="G2010" i="10"/>
  <c r="H2010" i="10" s="1"/>
  <c r="G2011" i="10"/>
  <c r="H2011" i="10" s="1"/>
  <c r="G2012" i="10"/>
  <c r="H2012" i="10" s="1"/>
  <c r="G2013" i="10"/>
  <c r="H2013" i="10" s="1"/>
  <c r="G2014" i="10"/>
  <c r="H2014" i="10" s="1"/>
  <c r="G2015" i="10"/>
  <c r="H2015" i="10" s="1"/>
  <c r="G2016" i="10"/>
  <c r="H2016" i="10" s="1"/>
  <c r="G2017" i="10"/>
  <c r="H2017" i="10" s="1"/>
  <c r="G2018" i="10"/>
  <c r="H2018" i="10" s="1"/>
  <c r="G2019" i="10"/>
  <c r="H2019" i="10" s="1"/>
  <c r="G2020" i="10"/>
  <c r="H2020" i="10" s="1"/>
  <c r="G2021" i="10"/>
  <c r="H2021" i="10" s="1"/>
  <c r="G2022" i="10"/>
  <c r="H2022" i="10" s="1"/>
  <c r="G2023" i="10"/>
  <c r="H2023" i="10" s="1"/>
  <c r="G2024" i="10"/>
  <c r="H2024" i="10" s="1"/>
  <c r="G2025" i="10"/>
  <c r="H2025" i="10" s="1"/>
  <c r="G2026" i="10"/>
  <c r="H2026" i="10" s="1"/>
  <c r="G2027" i="10"/>
  <c r="H2027" i="10" s="1"/>
  <c r="G2028" i="10"/>
  <c r="H2028" i="10" s="1"/>
  <c r="G2029" i="10"/>
  <c r="H2029" i="10" s="1"/>
  <c r="G2030" i="10"/>
  <c r="H2030" i="10" s="1"/>
  <c r="G2031" i="10"/>
  <c r="H2031" i="10" s="1"/>
  <c r="G2032" i="10"/>
  <c r="H2032" i="10" s="1"/>
  <c r="G2033" i="10"/>
  <c r="H2033" i="10" s="1"/>
  <c r="G2034" i="10"/>
  <c r="H2034" i="10" s="1"/>
  <c r="G2035" i="10"/>
  <c r="H2035" i="10" s="1"/>
  <c r="G2036" i="10"/>
  <c r="H2036" i="10" s="1"/>
  <c r="G2037" i="10"/>
  <c r="H2037" i="10" s="1"/>
  <c r="G2038" i="10"/>
  <c r="H2038" i="10" s="1"/>
  <c r="G2039" i="10"/>
  <c r="H2039" i="10" s="1"/>
  <c r="G2040" i="10"/>
  <c r="H2040" i="10" s="1"/>
  <c r="G2041" i="10"/>
  <c r="H2041" i="10" s="1"/>
  <c r="G2042" i="10"/>
  <c r="H2042" i="10" s="1"/>
  <c r="G2043" i="10"/>
  <c r="H2043" i="10" s="1"/>
  <c r="G2044" i="10"/>
  <c r="H2044" i="10" s="1"/>
  <c r="G2045" i="10"/>
  <c r="H2045" i="10" s="1"/>
  <c r="G2046" i="10"/>
  <c r="H2046" i="10" s="1"/>
  <c r="G2047" i="10"/>
  <c r="H2047" i="10" s="1"/>
  <c r="G2048" i="10"/>
  <c r="H2048" i="10" s="1"/>
  <c r="G2049" i="10"/>
  <c r="H2049" i="10" s="1"/>
  <c r="G2050" i="10"/>
  <c r="H2050" i="10" s="1"/>
  <c r="G2051" i="10"/>
  <c r="H2051" i="10" s="1"/>
  <c r="G2052" i="10"/>
  <c r="H2052" i="10" s="1"/>
  <c r="G2053" i="10"/>
  <c r="H2053" i="10" s="1"/>
  <c r="G2054" i="10"/>
  <c r="H2054" i="10" s="1"/>
  <c r="G2055" i="10"/>
  <c r="H2055" i="10" s="1"/>
  <c r="G2056" i="10"/>
  <c r="H2056" i="10" s="1"/>
  <c r="G2057" i="10"/>
  <c r="H2057" i="10" s="1"/>
  <c r="G2058" i="10"/>
  <c r="H2058" i="10" s="1"/>
  <c r="G2059" i="10"/>
  <c r="H2059" i="10" s="1"/>
  <c r="G2060" i="10"/>
  <c r="H2060" i="10" s="1"/>
  <c r="G2061" i="10"/>
  <c r="H2061" i="10" s="1"/>
  <c r="G2062" i="10"/>
  <c r="H2062" i="10" s="1"/>
  <c r="G2063" i="10"/>
  <c r="H2063" i="10" s="1"/>
  <c r="G2064" i="10"/>
  <c r="H2064" i="10" s="1"/>
  <c r="G2065" i="10"/>
  <c r="H2065" i="10" s="1"/>
  <c r="G2066" i="10"/>
  <c r="H2066" i="10" s="1"/>
  <c r="G2067" i="10"/>
  <c r="H2067" i="10" s="1"/>
  <c r="G2068" i="10"/>
  <c r="H2068" i="10" s="1"/>
  <c r="G2069" i="10"/>
  <c r="H2069" i="10" s="1"/>
  <c r="G2070" i="10"/>
  <c r="H2070" i="10" s="1"/>
  <c r="G2071" i="10"/>
  <c r="H2071" i="10" s="1"/>
  <c r="G2072" i="10"/>
  <c r="H2072" i="10" s="1"/>
  <c r="G2073" i="10"/>
  <c r="H2073" i="10" s="1"/>
  <c r="G2074" i="10"/>
  <c r="H2074" i="10" s="1"/>
  <c r="G2075" i="10"/>
  <c r="H2075" i="10" s="1"/>
  <c r="G2076" i="10"/>
  <c r="H2076" i="10" s="1"/>
  <c r="G2077" i="10"/>
  <c r="H2077" i="10" s="1"/>
  <c r="G2078" i="10"/>
  <c r="H2078" i="10" s="1"/>
  <c r="G2079" i="10"/>
  <c r="H2079" i="10" s="1"/>
  <c r="G2080" i="10"/>
  <c r="H2080" i="10" s="1"/>
  <c r="G2081" i="10"/>
  <c r="H2081" i="10" s="1"/>
  <c r="G2082" i="10"/>
  <c r="H2082" i="10" s="1"/>
  <c r="G2083" i="10"/>
  <c r="H2083" i="10" s="1"/>
  <c r="G2084" i="10"/>
  <c r="H2084" i="10" s="1"/>
  <c r="G2085" i="10"/>
  <c r="H2085" i="10" s="1"/>
  <c r="G2086" i="10"/>
  <c r="H2086" i="10" s="1"/>
  <c r="G2087" i="10"/>
  <c r="H2087" i="10" s="1"/>
  <c r="G2088" i="10"/>
  <c r="H2088" i="10" s="1"/>
  <c r="G2089" i="10"/>
  <c r="H2089" i="10" s="1"/>
  <c r="G2090" i="10"/>
  <c r="H2090" i="10" s="1"/>
  <c r="G2091" i="10"/>
  <c r="H2091" i="10" s="1"/>
  <c r="G2092" i="10"/>
  <c r="H2092" i="10" s="1"/>
  <c r="G2093" i="10"/>
  <c r="H2093" i="10" s="1"/>
  <c r="G2094" i="10"/>
  <c r="H2094" i="10" s="1"/>
  <c r="G2095" i="10"/>
  <c r="H2095" i="10" s="1"/>
  <c r="G2096" i="10"/>
  <c r="H2096" i="10" s="1"/>
  <c r="G2097" i="10"/>
  <c r="H2097" i="10" s="1"/>
  <c r="G2098" i="10"/>
  <c r="H2098" i="10" s="1"/>
  <c r="G2099" i="10"/>
  <c r="H2099" i="10" s="1"/>
  <c r="G2100" i="10"/>
  <c r="H2100" i="10" s="1"/>
  <c r="G2101" i="10"/>
  <c r="H2101" i="10" s="1"/>
  <c r="G2102" i="10"/>
  <c r="H2102" i="10" s="1"/>
  <c r="G2103" i="10"/>
  <c r="H2103" i="10" s="1"/>
  <c r="G2104" i="10"/>
  <c r="H2104" i="10" s="1"/>
  <c r="G2105" i="10"/>
  <c r="H2105" i="10" s="1"/>
  <c r="G2106" i="10"/>
  <c r="H2106" i="10" s="1"/>
  <c r="G2107" i="10"/>
  <c r="H2107" i="10" s="1"/>
  <c r="G2108" i="10"/>
  <c r="H2108" i="10" s="1"/>
  <c r="G2109" i="10"/>
  <c r="H2109" i="10" s="1"/>
  <c r="G2110" i="10"/>
  <c r="H2110" i="10" s="1"/>
  <c r="G2111" i="10"/>
  <c r="H2111" i="10" s="1"/>
  <c r="G2112" i="10"/>
  <c r="H2112" i="10" s="1"/>
  <c r="G2113" i="10"/>
  <c r="H2113" i="10" s="1"/>
  <c r="G2114" i="10"/>
  <c r="H2114" i="10" s="1"/>
  <c r="G2115" i="10"/>
  <c r="H2115" i="10" s="1"/>
  <c r="G2116" i="10"/>
  <c r="H2116" i="10" s="1"/>
  <c r="G2117" i="10"/>
  <c r="H2117" i="10" s="1"/>
  <c r="G2118" i="10"/>
  <c r="H2118" i="10" s="1"/>
  <c r="G2119" i="10"/>
  <c r="H2119" i="10" s="1"/>
  <c r="G2120" i="10"/>
  <c r="H2120" i="10" s="1"/>
  <c r="G2121" i="10"/>
  <c r="H2121" i="10" s="1"/>
  <c r="G2122" i="10"/>
  <c r="H2122" i="10" s="1"/>
  <c r="G2123" i="10"/>
  <c r="H2123" i="10" s="1"/>
  <c r="G2124" i="10"/>
  <c r="H2124" i="10" s="1"/>
  <c r="G2125" i="10"/>
  <c r="H2125" i="10" s="1"/>
  <c r="G2126" i="10"/>
  <c r="H2126" i="10" s="1"/>
  <c r="G2127" i="10"/>
  <c r="H2127" i="10" s="1"/>
  <c r="G2128" i="10"/>
  <c r="H2128" i="10" s="1"/>
  <c r="G2129" i="10"/>
  <c r="H2129" i="10" s="1"/>
  <c r="G2130" i="10"/>
  <c r="H2130" i="10" s="1"/>
  <c r="G2131" i="10"/>
  <c r="H2131" i="10" s="1"/>
  <c r="G2132" i="10"/>
  <c r="H2132" i="10" s="1"/>
  <c r="G2133" i="10"/>
  <c r="H2133" i="10" s="1"/>
  <c r="G2134" i="10"/>
  <c r="H2134" i="10" s="1"/>
  <c r="G2135" i="10"/>
  <c r="H2135" i="10" s="1"/>
  <c r="G2136" i="10"/>
  <c r="H2136" i="10" s="1"/>
  <c r="G2137" i="10"/>
  <c r="H2137" i="10" s="1"/>
  <c r="G2138" i="10"/>
  <c r="H2138" i="10" s="1"/>
  <c r="G2139" i="10"/>
  <c r="H2139" i="10" s="1"/>
  <c r="G2140" i="10"/>
  <c r="H2140" i="10" s="1"/>
  <c r="G2141" i="10"/>
  <c r="H2141" i="10" s="1"/>
  <c r="G2142" i="10"/>
  <c r="H2142" i="10" s="1"/>
  <c r="G2143" i="10"/>
  <c r="H2143" i="10" s="1"/>
  <c r="G2144" i="10"/>
  <c r="H2144" i="10" s="1"/>
  <c r="G2145" i="10"/>
  <c r="H2145" i="10" s="1"/>
  <c r="G2146" i="10"/>
  <c r="H2146" i="10" s="1"/>
  <c r="G2147" i="10"/>
  <c r="H2147" i="10" s="1"/>
  <c r="G2148" i="10"/>
  <c r="H2148" i="10" s="1"/>
  <c r="G2149" i="10"/>
  <c r="H2149" i="10" s="1"/>
  <c r="G2150" i="10"/>
  <c r="H2150" i="10" s="1"/>
  <c r="G2151" i="10"/>
  <c r="H2151" i="10" s="1"/>
  <c r="G2152" i="10"/>
  <c r="H2152" i="10" s="1"/>
  <c r="G2153" i="10"/>
  <c r="H2153" i="10" s="1"/>
  <c r="G2154" i="10"/>
  <c r="H2154" i="10" s="1"/>
  <c r="G2155" i="10"/>
  <c r="H2155" i="10" s="1"/>
  <c r="G2156" i="10"/>
  <c r="H2156" i="10" s="1"/>
  <c r="G2157" i="10"/>
  <c r="H2157" i="10" s="1"/>
  <c r="G2158" i="10"/>
  <c r="H2158" i="10" s="1"/>
  <c r="G2159" i="10"/>
  <c r="H2159" i="10" s="1"/>
  <c r="G2160" i="10"/>
  <c r="H2160" i="10" s="1"/>
  <c r="G2161" i="10"/>
  <c r="H2161" i="10" s="1"/>
  <c r="G2162" i="10"/>
  <c r="H2162" i="10" s="1"/>
  <c r="G2163" i="10"/>
  <c r="H2163" i="10" s="1"/>
  <c r="G2164" i="10"/>
  <c r="H2164" i="10" s="1"/>
  <c r="G2165" i="10"/>
  <c r="H2165" i="10" s="1"/>
  <c r="G2166" i="10"/>
  <c r="H2166" i="10" s="1"/>
  <c r="G2167" i="10"/>
  <c r="H2167" i="10" s="1"/>
  <c r="G2168" i="10"/>
  <c r="H2168" i="10" s="1"/>
  <c r="G2169" i="10"/>
  <c r="H2169" i="10" s="1"/>
  <c r="G2170" i="10"/>
  <c r="H2170" i="10" s="1"/>
  <c r="G2171" i="10"/>
  <c r="H2171" i="10" s="1"/>
  <c r="G2172" i="10"/>
  <c r="H2172" i="10" s="1"/>
  <c r="G2173" i="10"/>
  <c r="H2173" i="10" s="1"/>
  <c r="G2174" i="10"/>
  <c r="H2174" i="10" s="1"/>
  <c r="G2175" i="10"/>
  <c r="H2175" i="10" s="1"/>
  <c r="G2176" i="10"/>
  <c r="H2176" i="10" s="1"/>
  <c r="G2177" i="10"/>
  <c r="H2177" i="10" s="1"/>
  <c r="G2178" i="10"/>
  <c r="H2178" i="10" s="1"/>
  <c r="G2179" i="10"/>
  <c r="H2179" i="10" s="1"/>
  <c r="G2180" i="10"/>
  <c r="H2180" i="10" s="1"/>
  <c r="G2181" i="10"/>
  <c r="H2181" i="10" s="1"/>
  <c r="G2182" i="10"/>
  <c r="H2182" i="10" s="1"/>
  <c r="G2183" i="10"/>
  <c r="H2183" i="10" s="1"/>
  <c r="G2184" i="10"/>
  <c r="H2184" i="10" s="1"/>
  <c r="G2185" i="10"/>
  <c r="H2185" i="10" s="1"/>
  <c r="G2186" i="10"/>
  <c r="H2186" i="10" s="1"/>
  <c r="G2187" i="10"/>
  <c r="H2187" i="10" s="1"/>
  <c r="G2188" i="10"/>
  <c r="H2188" i="10" s="1"/>
  <c r="G2189" i="10"/>
  <c r="H2189" i="10" s="1"/>
  <c r="G2190" i="10"/>
  <c r="H2190" i="10" s="1"/>
  <c r="G2191" i="10"/>
  <c r="H2191" i="10" s="1"/>
  <c r="G2192" i="10"/>
  <c r="H2192" i="10" s="1"/>
  <c r="G2193" i="10"/>
  <c r="H2193" i="10" s="1"/>
  <c r="G2194" i="10"/>
  <c r="H2194" i="10" s="1"/>
  <c r="G2195" i="10"/>
  <c r="H2195" i="10" s="1"/>
  <c r="G2196" i="10"/>
  <c r="H2196" i="10" s="1"/>
  <c r="G2197" i="10"/>
  <c r="H2197" i="10" s="1"/>
  <c r="G2198" i="10"/>
  <c r="H2198" i="10" s="1"/>
  <c r="G2199" i="10"/>
  <c r="H2199" i="10" s="1"/>
  <c r="G2200" i="10"/>
  <c r="H2200" i="10" s="1"/>
  <c r="G2201" i="10"/>
  <c r="H2201" i="10" s="1"/>
  <c r="G2202" i="10"/>
  <c r="H2202" i="10" s="1"/>
  <c r="G2203" i="10"/>
  <c r="H2203" i="10" s="1"/>
  <c r="G2204" i="10"/>
  <c r="H2204" i="10" s="1"/>
  <c r="G2205" i="10"/>
  <c r="H2205" i="10" s="1"/>
  <c r="G2206" i="10"/>
  <c r="H2206" i="10" s="1"/>
  <c r="G2207" i="10"/>
  <c r="H2207" i="10" s="1"/>
  <c r="G2208" i="10"/>
  <c r="H2208" i="10" s="1"/>
  <c r="G2209" i="10"/>
  <c r="H2209" i="10" s="1"/>
  <c r="G2210" i="10"/>
  <c r="H2210" i="10" s="1"/>
  <c r="G2211" i="10"/>
  <c r="H2211" i="10" s="1"/>
  <c r="G2212" i="10"/>
  <c r="H2212" i="10" s="1"/>
  <c r="G2213" i="10"/>
  <c r="H2213" i="10" s="1"/>
  <c r="G2214" i="10"/>
  <c r="H2214" i="10" s="1"/>
  <c r="G2215" i="10"/>
  <c r="H2215" i="10" s="1"/>
  <c r="G2216" i="10"/>
  <c r="H2216" i="10" s="1"/>
  <c r="G2217" i="10"/>
  <c r="H2217" i="10" s="1"/>
  <c r="G2218" i="10"/>
  <c r="H2218" i="10" s="1"/>
  <c r="G2219" i="10"/>
  <c r="H2219" i="10" s="1"/>
  <c r="G2220" i="10"/>
  <c r="H2220" i="10" s="1"/>
  <c r="G2221" i="10"/>
  <c r="H2221" i="10" s="1"/>
  <c r="G2222" i="10"/>
  <c r="H2222" i="10" s="1"/>
  <c r="G2223" i="10"/>
  <c r="H2223" i="10" s="1"/>
  <c r="G2224" i="10"/>
  <c r="H2224" i="10" s="1"/>
  <c r="G2225" i="10"/>
  <c r="H2225" i="10" s="1"/>
  <c r="G2226" i="10"/>
  <c r="H2226" i="10" s="1"/>
  <c r="G2227" i="10"/>
  <c r="H2227" i="10" s="1"/>
  <c r="G2228" i="10"/>
  <c r="H2228" i="10" s="1"/>
  <c r="G2229" i="10"/>
  <c r="H2229" i="10" s="1"/>
  <c r="G2230" i="10"/>
  <c r="H2230" i="10" s="1"/>
  <c r="G2231" i="10"/>
  <c r="H2231" i="10" s="1"/>
  <c r="G2232" i="10"/>
  <c r="H2232" i="10" s="1"/>
  <c r="G2233" i="10"/>
  <c r="H2233" i="10" s="1"/>
  <c r="G2234" i="10"/>
  <c r="H2234" i="10" s="1"/>
  <c r="G2235" i="10"/>
  <c r="H2235" i="10" s="1"/>
  <c r="G2236" i="10"/>
  <c r="H2236" i="10" s="1"/>
  <c r="G2237" i="10"/>
  <c r="H2237" i="10" s="1"/>
  <c r="G2238" i="10"/>
  <c r="H2238" i="10" s="1"/>
  <c r="G2239" i="10"/>
  <c r="H2239" i="10" s="1"/>
  <c r="G2240" i="10"/>
  <c r="H2240" i="10" s="1"/>
  <c r="G2241" i="10"/>
  <c r="H2241" i="10" s="1"/>
  <c r="G2242" i="10"/>
  <c r="H2242" i="10" s="1"/>
  <c r="G2243" i="10"/>
  <c r="H2243" i="10" s="1"/>
  <c r="G2244" i="10"/>
  <c r="H2244" i="10" s="1"/>
  <c r="G2245" i="10"/>
  <c r="H2245" i="10" s="1"/>
  <c r="G2246" i="10"/>
  <c r="H2246" i="10" s="1"/>
  <c r="G2247" i="10"/>
  <c r="G2248" i="10"/>
  <c r="G2249" i="10"/>
  <c r="G2250" i="10"/>
  <c r="G2251" i="10"/>
  <c r="G2252" i="10"/>
  <c r="G2253" i="10"/>
  <c r="G2254" i="10"/>
  <c r="G2255" i="10"/>
  <c r="G2256" i="10"/>
  <c r="G2257" i="10"/>
  <c r="G2258" i="10"/>
  <c r="G2259" i="10"/>
  <c r="G2260" i="10"/>
  <c r="G2261" i="10"/>
  <c r="G2262" i="10"/>
  <c r="G2263" i="10"/>
  <c r="G2264" i="10"/>
  <c r="G2265" i="10"/>
  <c r="G2266" i="10"/>
  <c r="G2267" i="10"/>
  <c r="G2268" i="10"/>
  <c r="G2269" i="10"/>
  <c r="G2270" i="10"/>
  <c r="G2271" i="10"/>
  <c r="G2272" i="10"/>
  <c r="G2273" i="10"/>
  <c r="G2274" i="10"/>
  <c r="G2275" i="10"/>
  <c r="G2276" i="10"/>
  <c r="G2277" i="10"/>
  <c r="G2278" i="10"/>
  <c r="G2279" i="10"/>
  <c r="G2280" i="10"/>
  <c r="G2281" i="10"/>
  <c r="G2282" i="10"/>
  <c r="G2283" i="10"/>
  <c r="G2284" i="10"/>
  <c r="G2285" i="10"/>
  <c r="G2286" i="10"/>
  <c r="G2287" i="10"/>
  <c r="G2288" i="10"/>
  <c r="G2289" i="10"/>
  <c r="G2290" i="10"/>
  <c r="G2291" i="10"/>
  <c r="G2292" i="10"/>
  <c r="G2293" i="10"/>
  <c r="G2294" i="10"/>
  <c r="G2295" i="10"/>
  <c r="G2296" i="10"/>
  <c r="G2297" i="10"/>
  <c r="G2298" i="10"/>
  <c r="G2299" i="10"/>
  <c r="G2300" i="10"/>
  <c r="G2301" i="10"/>
  <c r="G2302" i="10"/>
  <c r="G2303" i="10"/>
  <c r="G2304" i="10"/>
  <c r="G2305" i="10"/>
  <c r="G2306" i="10"/>
  <c r="G2307" i="10"/>
  <c r="G2308" i="10"/>
  <c r="G2309" i="10"/>
  <c r="G2310" i="10"/>
  <c r="G2311" i="10"/>
  <c r="G2312" i="10"/>
  <c r="G2313" i="10"/>
  <c r="G2314" i="10"/>
  <c r="G2315" i="10"/>
  <c r="G2316" i="10"/>
  <c r="G2317" i="10"/>
  <c r="G2318" i="10"/>
  <c r="G2319" i="10"/>
  <c r="G2320" i="10"/>
  <c r="G2321" i="10"/>
  <c r="G2322" i="10"/>
  <c r="G2323" i="10"/>
  <c r="G2324" i="10"/>
  <c r="G2325" i="10"/>
  <c r="G2326" i="10"/>
  <c r="G2327" i="10"/>
  <c r="G2328" i="10"/>
  <c r="G2329" i="10"/>
  <c r="G2330" i="10"/>
  <c r="G2331" i="10"/>
  <c r="G2332" i="10"/>
  <c r="G2333" i="10"/>
  <c r="G2334" i="10"/>
  <c r="G2335" i="10"/>
  <c r="G2336" i="10"/>
  <c r="G2337" i="10"/>
  <c r="G2338" i="10"/>
  <c r="G2339" i="10"/>
  <c r="G2340" i="10"/>
  <c r="G2341" i="10"/>
  <c r="G2342" i="10"/>
  <c r="G2343" i="10"/>
  <c r="G2344" i="10"/>
  <c r="G2345" i="10"/>
  <c r="G2346" i="10"/>
  <c r="G2347" i="10"/>
  <c r="G2348" i="10"/>
  <c r="G2349" i="10"/>
  <c r="G2350" i="10"/>
  <c r="G2351" i="10"/>
  <c r="G2352" i="10"/>
  <c r="G2353" i="10"/>
  <c r="G2354" i="10"/>
  <c r="G2355" i="10"/>
  <c r="G2356" i="10"/>
  <c r="G2357" i="10"/>
  <c r="G2358" i="10"/>
  <c r="G2359" i="10"/>
  <c r="G2360" i="10"/>
  <c r="G2361" i="10"/>
  <c r="G2362" i="10"/>
  <c r="G2363" i="10"/>
  <c r="G2364" i="10"/>
  <c r="G2365" i="10"/>
  <c r="G2366" i="10"/>
  <c r="G2367" i="10"/>
  <c r="G2368" i="10"/>
  <c r="G2369" i="10"/>
  <c r="G2370" i="10"/>
  <c r="G2371" i="10"/>
  <c r="G2372" i="10"/>
  <c r="G2373" i="10"/>
  <c r="G2374" i="10"/>
  <c r="G2375" i="10"/>
  <c r="G2376" i="10"/>
  <c r="G2377" i="10"/>
  <c r="G2378" i="10"/>
  <c r="G2379" i="10"/>
  <c r="G2380" i="10"/>
  <c r="G2381" i="10"/>
  <c r="G2382" i="10"/>
  <c r="G2383" i="10"/>
  <c r="G2384" i="10"/>
  <c r="G2385" i="10"/>
  <c r="G2386" i="10"/>
  <c r="G2387" i="10"/>
  <c r="G2388" i="10"/>
  <c r="G2389" i="10"/>
  <c r="G2390" i="10"/>
  <c r="G2391" i="10"/>
  <c r="G2392" i="10"/>
  <c r="G2393" i="10"/>
  <c r="G2394" i="10"/>
  <c r="G2395" i="10"/>
  <c r="G2396" i="10"/>
  <c r="G2397" i="10"/>
  <c r="G2398" i="10"/>
  <c r="G2399" i="10"/>
  <c r="G2400" i="10"/>
  <c r="G2401" i="10"/>
  <c r="G2402" i="10"/>
  <c r="G2403" i="10"/>
  <c r="G2404" i="10"/>
  <c r="G2405" i="10"/>
  <c r="G2406" i="10"/>
  <c r="G2407" i="10"/>
  <c r="G2408" i="10"/>
  <c r="G2409" i="10"/>
  <c r="G2410" i="10"/>
  <c r="G2411" i="10"/>
  <c r="G2412" i="10"/>
  <c r="G2413" i="10"/>
  <c r="G2414" i="10"/>
  <c r="G2415" i="10"/>
  <c r="G2416" i="10"/>
  <c r="G2417" i="10"/>
  <c r="G2418" i="10"/>
  <c r="G2419" i="10"/>
  <c r="G2420" i="10"/>
  <c r="G2421" i="10"/>
  <c r="G2422" i="10"/>
  <c r="G2423" i="10"/>
  <c r="G2424" i="10"/>
  <c r="G2425" i="10"/>
  <c r="G2426" i="10"/>
  <c r="G2427" i="10"/>
  <c r="G2428" i="10"/>
  <c r="G2429" i="10"/>
  <c r="G2430" i="10"/>
  <c r="G2431" i="10"/>
  <c r="G2432" i="10"/>
  <c r="G2433" i="10"/>
  <c r="G2434" i="10"/>
  <c r="G2435" i="10"/>
  <c r="G2436" i="10"/>
  <c r="G2437" i="10"/>
  <c r="G2438" i="10"/>
  <c r="G2439" i="10"/>
  <c r="G2440" i="10"/>
  <c r="G2441" i="10"/>
  <c r="G2442" i="10"/>
  <c r="G2443" i="10"/>
  <c r="G2444" i="10"/>
  <c r="G2445" i="10"/>
  <c r="G2446" i="10"/>
  <c r="G2447" i="10"/>
  <c r="G2448" i="10"/>
  <c r="G2449" i="10"/>
  <c r="G2450" i="10"/>
  <c r="G2451" i="10"/>
  <c r="G2452" i="10"/>
  <c r="G2453" i="10"/>
  <c r="G2454" i="10"/>
  <c r="G2455" i="10"/>
  <c r="G2456" i="10"/>
  <c r="G2457" i="10"/>
  <c r="G2458" i="10"/>
  <c r="G2459" i="10"/>
  <c r="G2460" i="10"/>
  <c r="G2461" i="10"/>
  <c r="G2462" i="10"/>
  <c r="G2463" i="10"/>
  <c r="G2464" i="10"/>
  <c r="G2465" i="10"/>
  <c r="G2466" i="10"/>
  <c r="G2467" i="10"/>
  <c r="G2468" i="10"/>
  <c r="G2469" i="10"/>
  <c r="G2470" i="10"/>
  <c r="G2471" i="10"/>
  <c r="G2472" i="10"/>
  <c r="G2473" i="10"/>
  <c r="G2474" i="10"/>
  <c r="G2475" i="10"/>
  <c r="G2476" i="10"/>
  <c r="G2477" i="10"/>
  <c r="G2478" i="10"/>
  <c r="G2479" i="10"/>
  <c r="G2480" i="10"/>
  <c r="G2481" i="10"/>
  <c r="G2482" i="10"/>
  <c r="G2483" i="10"/>
  <c r="G2484" i="10"/>
  <c r="G2485" i="10"/>
  <c r="G2486" i="10"/>
  <c r="G2487" i="10"/>
  <c r="G2488" i="10"/>
  <c r="G2489" i="10"/>
  <c r="G2490" i="10"/>
  <c r="G2491" i="10"/>
  <c r="G2492" i="10"/>
  <c r="G2493" i="10"/>
  <c r="G2494" i="10"/>
  <c r="G2495" i="10"/>
  <c r="G2496" i="10"/>
  <c r="G2497" i="10"/>
  <c r="G2498" i="10"/>
  <c r="G2499" i="10"/>
  <c r="G2500" i="10"/>
  <c r="G2501" i="10"/>
  <c r="G2502" i="10"/>
  <c r="G2503" i="10"/>
  <c r="G2504" i="10"/>
  <c r="G2505" i="10"/>
  <c r="G2506" i="10"/>
  <c r="G2507" i="10"/>
  <c r="G2508" i="10"/>
  <c r="G2509" i="10"/>
  <c r="G2510" i="10"/>
  <c r="G2511" i="10"/>
  <c r="G2512" i="10"/>
  <c r="G2513" i="10"/>
  <c r="G2514" i="10"/>
  <c r="G2515" i="10"/>
  <c r="G2516" i="10"/>
  <c r="G2517" i="10"/>
  <c r="G2518" i="10"/>
  <c r="G2519" i="10"/>
  <c r="G2520" i="10"/>
  <c r="G2521" i="10"/>
  <c r="G2522" i="10"/>
  <c r="G2523" i="10"/>
  <c r="G2524" i="10"/>
  <c r="G2525" i="10"/>
  <c r="G2526" i="10"/>
  <c r="G2527" i="10"/>
  <c r="G2528" i="10"/>
  <c r="G2529" i="10"/>
  <c r="G2530" i="10"/>
  <c r="G2531" i="10"/>
  <c r="G2532" i="10"/>
  <c r="G2533" i="10"/>
  <c r="G2534" i="10"/>
  <c r="G2535" i="10"/>
  <c r="G2536" i="10"/>
  <c r="G2537" i="10"/>
  <c r="G2538" i="10"/>
  <c r="G2539" i="10"/>
  <c r="G2540" i="10"/>
  <c r="G2541" i="10"/>
  <c r="G2542" i="10"/>
  <c r="G2543" i="10"/>
  <c r="G2544" i="10"/>
  <c r="G2545" i="10"/>
  <c r="G2546" i="10"/>
  <c r="G2547" i="10"/>
  <c r="G2548" i="10"/>
  <c r="G2549" i="10"/>
  <c r="G2550" i="10"/>
  <c r="G2551" i="10"/>
  <c r="G2552" i="10"/>
  <c r="G2553" i="10"/>
  <c r="G2554" i="10"/>
  <c r="G2555" i="10"/>
  <c r="G2556" i="10"/>
  <c r="G2557" i="10"/>
  <c r="G2558" i="10"/>
  <c r="G2559" i="10"/>
  <c r="G2560" i="10"/>
  <c r="G2561" i="10"/>
  <c r="G2562" i="10"/>
  <c r="G2563" i="10"/>
  <c r="G2564" i="10"/>
  <c r="G2565" i="10"/>
  <c r="G2566" i="10"/>
  <c r="G2567" i="10"/>
  <c r="G2568" i="10"/>
  <c r="G2569" i="10"/>
  <c r="G2570" i="10"/>
  <c r="G2571" i="10"/>
  <c r="G2572" i="10"/>
  <c r="G2573" i="10"/>
  <c r="G2574" i="10"/>
  <c r="G2575" i="10"/>
  <c r="G2576" i="10"/>
  <c r="G2577" i="10"/>
  <c r="G2578" i="10"/>
  <c r="G2579" i="10"/>
  <c r="G2580" i="10"/>
  <c r="G2581" i="10"/>
  <c r="G2582" i="10"/>
  <c r="G2583" i="10"/>
  <c r="G2584" i="10"/>
  <c r="G2585" i="10"/>
  <c r="G2586" i="10"/>
  <c r="G2587" i="10"/>
  <c r="G2588" i="10"/>
  <c r="G2589" i="10"/>
  <c r="G2590" i="10"/>
  <c r="G2591" i="10"/>
  <c r="G2592" i="10"/>
  <c r="G2593" i="10"/>
  <c r="G2594" i="10"/>
  <c r="G2595" i="10"/>
  <c r="G2596" i="10"/>
  <c r="G2597" i="10"/>
  <c r="G2598" i="10"/>
  <c r="G2599" i="10"/>
  <c r="G2600" i="10"/>
  <c r="G2601" i="10"/>
  <c r="G2602" i="10"/>
  <c r="G2603" i="10"/>
  <c r="G2604" i="10"/>
  <c r="G2605" i="10"/>
  <c r="G2606" i="10"/>
  <c r="G2607" i="10"/>
  <c r="G2608" i="10"/>
  <c r="G2609" i="10"/>
  <c r="G2610" i="10"/>
  <c r="G2611" i="10"/>
  <c r="G2612" i="10"/>
  <c r="G2613" i="10"/>
  <c r="G2614" i="10"/>
  <c r="G2615" i="10"/>
  <c r="G2616" i="10"/>
  <c r="G2617" i="10"/>
  <c r="G2618" i="10"/>
  <c r="G2619" i="10"/>
  <c r="G2620" i="10"/>
  <c r="G2621" i="10"/>
  <c r="G2622" i="10"/>
  <c r="G2623" i="10"/>
  <c r="G2624" i="10"/>
  <c r="G2625" i="10"/>
  <c r="G2626" i="10"/>
  <c r="G2627" i="10"/>
  <c r="G2628" i="10"/>
  <c r="G2629" i="10"/>
  <c r="G2630" i="10"/>
  <c r="G2631" i="10"/>
  <c r="G2632" i="10"/>
  <c r="G2633" i="10"/>
  <c r="G2634" i="10"/>
  <c r="G2635" i="10"/>
  <c r="G2636" i="10"/>
  <c r="G2637" i="10"/>
  <c r="G2638" i="10"/>
  <c r="G2639" i="10"/>
  <c r="G2640" i="10"/>
  <c r="G2641" i="10"/>
  <c r="G2642" i="10"/>
  <c r="G2643" i="10"/>
  <c r="G2644" i="10"/>
  <c r="G2645" i="10"/>
  <c r="G2646" i="10"/>
  <c r="G2647" i="10"/>
  <c r="G2648" i="10"/>
  <c r="G2649" i="10"/>
  <c r="G2650" i="10"/>
  <c r="G2651" i="10"/>
  <c r="G2652" i="10"/>
  <c r="G2653" i="10"/>
  <c r="G2654" i="10"/>
  <c r="G2655" i="10"/>
  <c r="G2656" i="10"/>
  <c r="G2657" i="10"/>
  <c r="G2658" i="10"/>
  <c r="G2659" i="10"/>
  <c r="G2660" i="10"/>
  <c r="G2661" i="10"/>
  <c r="G2662" i="10"/>
  <c r="G2663" i="10"/>
  <c r="G2664" i="10"/>
  <c r="G2665" i="10"/>
  <c r="G2666" i="10"/>
  <c r="G2667" i="10"/>
  <c r="G2668" i="10"/>
  <c r="G2669" i="10"/>
  <c r="G2670" i="10"/>
  <c r="G2671" i="10"/>
  <c r="G2672" i="10"/>
  <c r="G2673" i="10"/>
  <c r="G2674" i="10"/>
  <c r="G2675" i="10"/>
  <c r="G2676" i="10"/>
  <c r="G2677" i="10"/>
  <c r="G2678" i="10"/>
  <c r="G2679" i="10"/>
  <c r="G2680" i="10"/>
  <c r="G2681" i="10"/>
  <c r="G2682" i="10"/>
  <c r="G2683" i="10"/>
  <c r="G2684" i="10"/>
  <c r="G2685" i="10"/>
  <c r="G2686" i="10"/>
  <c r="G2687" i="10"/>
  <c r="G2688" i="10"/>
  <c r="G2689" i="10"/>
  <c r="G2690" i="10"/>
  <c r="G2691" i="10"/>
  <c r="G2692" i="10"/>
  <c r="G2693" i="10"/>
  <c r="G2694" i="10"/>
  <c r="G2695" i="10"/>
  <c r="G2696" i="10"/>
  <c r="G2697" i="10"/>
  <c r="G2698" i="10"/>
  <c r="G2699" i="10"/>
  <c r="G2700" i="10"/>
  <c r="G2701" i="10"/>
  <c r="G2702" i="10"/>
  <c r="G2703" i="10"/>
  <c r="G2704" i="10"/>
  <c r="G2705" i="10"/>
  <c r="G2706" i="10"/>
  <c r="G2707" i="10"/>
  <c r="G2708" i="10"/>
  <c r="G2709" i="10"/>
  <c r="G2710" i="10"/>
  <c r="G2711" i="10"/>
  <c r="G2712" i="10"/>
  <c r="G2713" i="10"/>
  <c r="G2714" i="10"/>
  <c r="G2715" i="10"/>
  <c r="G2716" i="10"/>
  <c r="G2717" i="10"/>
  <c r="G2718" i="10"/>
  <c r="G2719" i="10"/>
  <c r="G2720" i="10"/>
  <c r="G2721" i="10"/>
  <c r="G2722" i="10"/>
  <c r="G2723" i="10"/>
  <c r="G2724" i="10"/>
  <c r="G2725" i="10"/>
  <c r="G2726" i="10"/>
  <c r="G2727" i="10"/>
  <c r="G2728" i="10"/>
  <c r="G2729" i="10"/>
  <c r="G2730" i="10"/>
  <c r="G2731" i="10"/>
  <c r="G2732" i="10"/>
  <c r="G2733" i="10"/>
  <c r="G2734" i="10"/>
  <c r="G2735" i="10"/>
  <c r="G2736" i="10"/>
  <c r="G2737" i="10"/>
  <c r="G2738" i="10"/>
  <c r="G2739" i="10"/>
  <c r="G2740" i="10"/>
  <c r="G2741" i="10"/>
  <c r="G2742" i="10"/>
  <c r="G2743" i="10"/>
  <c r="G2744" i="10"/>
  <c r="G2745" i="10"/>
  <c r="G2746" i="10"/>
  <c r="G2747" i="10"/>
  <c r="G2748" i="10"/>
  <c r="G2749" i="10"/>
  <c r="G2750" i="10"/>
  <c r="G2751" i="10"/>
  <c r="G2752" i="10"/>
  <c r="G2753" i="10"/>
  <c r="G2754" i="10"/>
  <c r="G2755" i="10"/>
  <c r="G2756" i="10"/>
  <c r="G2757" i="10"/>
  <c r="G2758" i="10"/>
  <c r="G2759" i="10"/>
  <c r="G2760" i="10"/>
  <c r="G2761" i="10"/>
  <c r="G2762" i="10"/>
  <c r="G2763" i="10"/>
  <c r="G2764" i="10"/>
  <c r="G2765" i="10"/>
  <c r="G2766" i="10"/>
  <c r="G2767" i="10"/>
  <c r="G2768" i="10"/>
  <c r="G2769" i="10"/>
  <c r="G2770" i="10"/>
  <c r="G2771" i="10"/>
  <c r="G2772" i="10"/>
  <c r="G2773" i="10"/>
  <c r="G2774" i="10"/>
  <c r="G2775" i="10"/>
  <c r="G2776" i="10"/>
  <c r="G2777" i="10"/>
  <c r="G2778" i="10"/>
  <c r="G2779" i="10"/>
  <c r="G2780" i="10"/>
  <c r="G2781" i="10"/>
  <c r="G2782" i="10"/>
  <c r="G2783" i="10"/>
  <c r="G2784" i="10"/>
  <c r="G2785" i="10"/>
  <c r="G2786" i="10"/>
  <c r="G2787" i="10"/>
  <c r="G2788" i="10"/>
  <c r="G2789" i="10"/>
  <c r="G2790" i="10"/>
  <c r="G2791" i="10"/>
  <c r="G2792" i="10"/>
  <c r="G2793" i="10"/>
  <c r="G2794" i="10"/>
  <c r="G2795" i="10"/>
  <c r="G2796" i="10"/>
  <c r="G2797" i="10"/>
  <c r="G2798" i="10"/>
  <c r="G2799" i="10"/>
  <c r="G2800" i="10"/>
  <c r="G2801" i="10"/>
  <c r="G2802" i="10"/>
  <c r="G2803" i="10"/>
  <c r="G2804" i="10"/>
  <c r="G2805" i="10"/>
  <c r="G2806" i="10"/>
  <c r="G2807" i="10"/>
  <c r="G2808" i="10"/>
  <c r="G2809" i="10"/>
  <c r="G2810" i="10"/>
  <c r="G2811" i="10"/>
  <c r="G2812" i="10"/>
  <c r="G2813" i="10"/>
  <c r="G2814" i="10"/>
  <c r="G2815" i="10"/>
  <c r="G2816" i="10"/>
  <c r="G2817" i="10"/>
  <c r="G2818" i="10"/>
  <c r="G2819" i="10"/>
  <c r="G2820" i="10"/>
  <c r="G2821" i="10"/>
  <c r="G2822" i="10"/>
  <c r="G2823" i="10"/>
  <c r="G2824" i="10"/>
  <c r="G2825" i="10"/>
  <c r="G2826" i="10"/>
  <c r="G2827" i="10"/>
  <c r="G2828" i="10"/>
  <c r="G2829" i="10"/>
  <c r="G2830" i="10"/>
  <c r="G2831" i="10"/>
  <c r="G2832" i="10"/>
  <c r="G2833" i="10"/>
  <c r="G2834" i="10"/>
  <c r="G2835" i="10"/>
  <c r="G2836" i="10"/>
  <c r="G2837" i="10"/>
  <c r="G2838" i="10"/>
  <c r="G2839" i="10"/>
  <c r="G2840" i="10"/>
  <c r="G2841" i="10"/>
  <c r="G2842" i="10"/>
  <c r="G2843" i="10"/>
  <c r="G2844" i="10"/>
  <c r="G2845" i="10"/>
  <c r="G2846" i="10"/>
  <c r="G2847" i="10"/>
  <c r="G2848" i="10"/>
  <c r="G2849" i="10"/>
  <c r="G2850" i="10"/>
  <c r="G2851" i="10"/>
  <c r="G2852" i="10"/>
  <c r="G2853" i="10"/>
  <c r="G2854" i="10"/>
  <c r="G2855" i="10"/>
  <c r="G2856" i="10"/>
  <c r="G2857" i="10"/>
  <c r="G2858" i="10"/>
  <c r="G2859" i="10"/>
  <c r="G2860" i="10"/>
  <c r="G2861" i="10"/>
  <c r="G2862" i="10"/>
  <c r="G2863" i="10"/>
  <c r="G2864" i="10"/>
  <c r="G2865" i="10"/>
  <c r="G2866" i="10"/>
  <c r="G2867" i="10"/>
  <c r="G2868" i="10"/>
  <c r="G2869" i="10"/>
  <c r="G2870" i="10"/>
  <c r="G2871" i="10"/>
  <c r="G2872" i="10"/>
  <c r="G2873" i="10"/>
  <c r="G2874" i="10"/>
  <c r="G2875" i="10"/>
  <c r="G2876" i="10"/>
  <c r="G2877" i="10"/>
  <c r="G2878" i="10"/>
  <c r="G2879" i="10"/>
  <c r="G2880" i="10"/>
  <c r="G2881" i="10"/>
  <c r="G2882" i="10"/>
  <c r="G2883" i="10"/>
  <c r="G2884" i="10"/>
  <c r="G2885" i="10"/>
  <c r="G2886" i="10"/>
  <c r="G2887" i="10"/>
  <c r="G2888" i="10"/>
  <c r="G2889" i="10"/>
  <c r="G2890" i="10"/>
  <c r="G2891" i="10"/>
  <c r="G2892" i="10"/>
  <c r="G2893" i="10"/>
  <c r="G2894" i="10"/>
  <c r="G2895" i="10"/>
  <c r="G2896" i="10"/>
  <c r="G2897" i="10"/>
  <c r="G2898" i="10"/>
  <c r="G2899" i="10"/>
  <c r="G2900" i="10"/>
  <c r="G2901" i="10"/>
  <c r="G2902" i="10"/>
  <c r="G2903" i="10"/>
  <c r="G2904" i="10"/>
  <c r="G2905" i="10"/>
  <c r="G2906" i="10"/>
  <c r="G2907" i="10"/>
  <c r="G2908" i="10"/>
  <c r="G2909" i="10"/>
  <c r="G2910" i="10"/>
  <c r="G2911" i="10"/>
  <c r="G2912" i="10"/>
  <c r="G2913" i="10"/>
  <c r="G2914" i="10"/>
  <c r="G2915" i="10"/>
  <c r="G2916" i="10"/>
  <c r="G2917" i="10"/>
  <c r="G2918" i="10"/>
  <c r="G2919" i="10"/>
  <c r="G2920" i="10"/>
  <c r="G2921" i="10"/>
  <c r="G2922" i="10"/>
  <c r="G2923" i="10"/>
  <c r="G2924" i="10"/>
  <c r="G2925" i="10"/>
  <c r="G2926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1007" i="10"/>
  <c r="H1008" i="10"/>
  <c r="H1009" i="10"/>
  <c r="H1010" i="10"/>
  <c r="H1011" i="10"/>
  <c r="H1012" i="10"/>
  <c r="H1013" i="10"/>
  <c r="H1014" i="10"/>
  <c r="H1015" i="10"/>
  <c r="H1016" i="10"/>
  <c r="H1017" i="10"/>
  <c r="H1018" i="10"/>
  <c r="H1019" i="10"/>
  <c r="H1020" i="10"/>
  <c r="H1021" i="10"/>
  <c r="H1022" i="10"/>
  <c r="H1023" i="10"/>
  <c r="H1024" i="10"/>
  <c r="H1025" i="10"/>
  <c r="H1026" i="10"/>
  <c r="H1027" i="10"/>
  <c r="H1028" i="10"/>
  <c r="H1029" i="10"/>
  <c r="H1030" i="10"/>
  <c r="H1031" i="10"/>
  <c r="H1032" i="10"/>
  <c r="H1033" i="10"/>
  <c r="H1034" i="10"/>
  <c r="H1035" i="10"/>
  <c r="H1036" i="10"/>
  <c r="H1037" i="10"/>
  <c r="H1038" i="10"/>
  <c r="H1039" i="10"/>
  <c r="H1040" i="10"/>
  <c r="H1041" i="10"/>
  <c r="H1042" i="10"/>
  <c r="H1043" i="10"/>
  <c r="H1044" i="10"/>
  <c r="H1045" i="10"/>
  <c r="H1046" i="10"/>
  <c r="H1047" i="10"/>
  <c r="H1048" i="10"/>
  <c r="H1049" i="10"/>
  <c r="H1050" i="10"/>
  <c r="H1051" i="10"/>
  <c r="H1052" i="10"/>
  <c r="H1053" i="10"/>
  <c r="H1054" i="10"/>
  <c r="H1055" i="10"/>
  <c r="H1056" i="10"/>
  <c r="H1057" i="10"/>
  <c r="H1058" i="10"/>
  <c r="H1059" i="10"/>
  <c r="H1060" i="10"/>
  <c r="H1061" i="10"/>
  <c r="H1062" i="10"/>
  <c r="H1063" i="10"/>
  <c r="H1064" i="10"/>
  <c r="H1065" i="10"/>
  <c r="H1066" i="10"/>
  <c r="H1067" i="10"/>
  <c r="H1068" i="10"/>
  <c r="H1069" i="10"/>
  <c r="H1070" i="10"/>
  <c r="H1071" i="10"/>
  <c r="H1072" i="10"/>
  <c r="H1073" i="10"/>
  <c r="H1074" i="10"/>
  <c r="H1075" i="10"/>
  <c r="H1076" i="10"/>
  <c r="H1077" i="10"/>
  <c r="H1078" i="10"/>
  <c r="H1079" i="10"/>
  <c r="H1080" i="10"/>
  <c r="H1081" i="10"/>
  <c r="H1082" i="10"/>
  <c r="H1083" i="10"/>
  <c r="H1084" i="10"/>
  <c r="H1085" i="10"/>
  <c r="H1086" i="10"/>
  <c r="H1087" i="10"/>
  <c r="H1088" i="10"/>
  <c r="H1089" i="10"/>
  <c r="H1090" i="10"/>
  <c r="H1091" i="10"/>
  <c r="H1092" i="10"/>
  <c r="H1093" i="10"/>
  <c r="H1094" i="10"/>
  <c r="H1095" i="10"/>
  <c r="H1096" i="10"/>
  <c r="H1097" i="10"/>
  <c r="H1098" i="10"/>
  <c r="H1099" i="10"/>
  <c r="H1100" i="10"/>
  <c r="H1101" i="10"/>
  <c r="H1102" i="10"/>
  <c r="H1103" i="10"/>
  <c r="H1104" i="10"/>
  <c r="H1105" i="10"/>
  <c r="H1106" i="10"/>
  <c r="H1107" i="10"/>
  <c r="H1108" i="10"/>
  <c r="H1109" i="10"/>
  <c r="H1110" i="10"/>
  <c r="H1111" i="10"/>
  <c r="H1112" i="10"/>
  <c r="H1113" i="10"/>
  <c r="H1114" i="10"/>
  <c r="H1115" i="10"/>
  <c r="H1116" i="10"/>
  <c r="H1117" i="10"/>
  <c r="H1118" i="10"/>
  <c r="H1119" i="10"/>
  <c r="H1120" i="10"/>
  <c r="H1121" i="10"/>
  <c r="H1122" i="10"/>
  <c r="H1123" i="10"/>
  <c r="H1124" i="10"/>
  <c r="H1125" i="10"/>
  <c r="H1126" i="10"/>
  <c r="H1127" i="10"/>
  <c r="H1128" i="10"/>
  <c r="H1129" i="10"/>
  <c r="H1130" i="10"/>
  <c r="H1131" i="10"/>
  <c r="H1132" i="10"/>
  <c r="H1133" i="10"/>
  <c r="H1134" i="10"/>
  <c r="H1135" i="10"/>
  <c r="H1136" i="10"/>
  <c r="H1137" i="10"/>
  <c r="H1138" i="10"/>
  <c r="H1139" i="10"/>
  <c r="H1140" i="10"/>
  <c r="H1141" i="10"/>
  <c r="H1142" i="10"/>
  <c r="H1143" i="10"/>
  <c r="H1144" i="10"/>
  <c r="H1145" i="10"/>
  <c r="H1146" i="10"/>
  <c r="H1147" i="10"/>
  <c r="H1148" i="10"/>
  <c r="H1149" i="10"/>
  <c r="H1150" i="10"/>
  <c r="H1151" i="10"/>
  <c r="H1152" i="10"/>
  <c r="H1153" i="10"/>
  <c r="H1154" i="10"/>
  <c r="H1155" i="10"/>
  <c r="H1156" i="10"/>
  <c r="H1157" i="10"/>
  <c r="H1158" i="10"/>
  <c r="H1159" i="10"/>
  <c r="H1160" i="10"/>
  <c r="H1161" i="10"/>
  <c r="H1162" i="10"/>
  <c r="H1163" i="10"/>
  <c r="H1164" i="10"/>
  <c r="H1165" i="10"/>
  <c r="H1166" i="10"/>
  <c r="H1167" i="10"/>
  <c r="H1168" i="10"/>
  <c r="H1169" i="10"/>
  <c r="H1170" i="10"/>
  <c r="H1171" i="10"/>
  <c r="H1172" i="10"/>
  <c r="H1173" i="10"/>
  <c r="H1174" i="10"/>
  <c r="H1175" i="10"/>
  <c r="H1176" i="10"/>
  <c r="H1177" i="10"/>
  <c r="H1178" i="10"/>
  <c r="H1179" i="10"/>
  <c r="H1180" i="10"/>
  <c r="H1181" i="10"/>
  <c r="H1182" i="10"/>
  <c r="H1183" i="10"/>
  <c r="H1184" i="10"/>
  <c r="H1185" i="10"/>
  <c r="H1186" i="10"/>
  <c r="H1187" i="10"/>
  <c r="H1188" i="10"/>
  <c r="H1189" i="10"/>
  <c r="H1190" i="10"/>
  <c r="H1191" i="10"/>
  <c r="H1192" i="10"/>
  <c r="H1193" i="10"/>
  <c r="H1194" i="10"/>
  <c r="H1195" i="10"/>
  <c r="H1196" i="10"/>
  <c r="H1197" i="10"/>
  <c r="H1198" i="10"/>
  <c r="H1199" i="10"/>
  <c r="H1200" i="10"/>
  <c r="H1201" i="10"/>
  <c r="H1202" i="10"/>
  <c r="H1203" i="10"/>
  <c r="H1204" i="10"/>
  <c r="H1205" i="10"/>
  <c r="H1206" i="10"/>
  <c r="H1207" i="10"/>
  <c r="H1208" i="10"/>
  <c r="H1209" i="10"/>
  <c r="H1210" i="10"/>
  <c r="H1211" i="10"/>
  <c r="H1212" i="10"/>
  <c r="H1213" i="10"/>
  <c r="H1214" i="10"/>
  <c r="H1215" i="10"/>
  <c r="H1216" i="10"/>
  <c r="H1217" i="10"/>
  <c r="H1218" i="10"/>
  <c r="H1219" i="10"/>
  <c r="H1220" i="10"/>
  <c r="H1221" i="10"/>
  <c r="H1222" i="10"/>
  <c r="H1223" i="10"/>
  <c r="H1224" i="10"/>
  <c r="H1225" i="10"/>
  <c r="H1226" i="10"/>
  <c r="H1227" i="10"/>
  <c r="H1228" i="10"/>
  <c r="H1229" i="10"/>
  <c r="H1230" i="10"/>
  <c r="H1231" i="10"/>
  <c r="H1232" i="10"/>
  <c r="H1233" i="10"/>
  <c r="H1234" i="10"/>
  <c r="H1235" i="10"/>
  <c r="H1236" i="10"/>
  <c r="H1237" i="10"/>
  <c r="H1238" i="10"/>
  <c r="H1239" i="10"/>
  <c r="H1240" i="10"/>
  <c r="H1241" i="10"/>
  <c r="H1242" i="10"/>
  <c r="H1243" i="10"/>
  <c r="H1244" i="10"/>
  <c r="H1245" i="10"/>
  <c r="H1246" i="10"/>
  <c r="H1247" i="10"/>
  <c r="H1248" i="10"/>
  <c r="H1249" i="10"/>
  <c r="H1250" i="10"/>
  <c r="H1251" i="10"/>
  <c r="H1252" i="10"/>
  <c r="H1253" i="10"/>
  <c r="H1254" i="10"/>
  <c r="H1255" i="10"/>
  <c r="H1256" i="10"/>
  <c r="H1257" i="10"/>
  <c r="H1258" i="10"/>
  <c r="H1259" i="10"/>
  <c r="H1260" i="10"/>
  <c r="H1261" i="10"/>
  <c r="H1262" i="10"/>
  <c r="H1263" i="10"/>
  <c r="H1264" i="10"/>
  <c r="H1265" i="10"/>
  <c r="H1266" i="10"/>
  <c r="H1267" i="10"/>
  <c r="H1268" i="10"/>
  <c r="H1269" i="10"/>
  <c r="H1270" i="10"/>
  <c r="H1271" i="10"/>
  <c r="H1272" i="10"/>
  <c r="H1273" i="10"/>
  <c r="H1274" i="10"/>
  <c r="H1275" i="10"/>
  <c r="H1276" i="10"/>
  <c r="H1277" i="10"/>
  <c r="H1278" i="10"/>
  <c r="H1279" i="10"/>
  <c r="H1280" i="10"/>
  <c r="H1281" i="10"/>
  <c r="H1282" i="10"/>
  <c r="H1283" i="10"/>
  <c r="H1284" i="10"/>
  <c r="H1285" i="10"/>
  <c r="H1286" i="10"/>
  <c r="H1287" i="10"/>
  <c r="H1288" i="10"/>
  <c r="H1289" i="10"/>
  <c r="H1290" i="10"/>
  <c r="H1291" i="10"/>
  <c r="H1292" i="10"/>
  <c r="H1293" i="10"/>
  <c r="H1294" i="10"/>
  <c r="H1295" i="10"/>
  <c r="H1296" i="10"/>
  <c r="H1297" i="10"/>
  <c r="H1298" i="10"/>
  <c r="H1299" i="10"/>
  <c r="H1300" i="10"/>
  <c r="H1301" i="10"/>
  <c r="H1302" i="10"/>
  <c r="H1303" i="10"/>
  <c r="H1304" i="10"/>
  <c r="H1305" i="10"/>
  <c r="H1306" i="10"/>
  <c r="H1307" i="10"/>
  <c r="H1308" i="10"/>
  <c r="H1309" i="10"/>
  <c r="H1310" i="10"/>
  <c r="H1311" i="10"/>
  <c r="H1312" i="10"/>
  <c r="H1313" i="10"/>
  <c r="H1314" i="10"/>
  <c r="H1315" i="10"/>
  <c r="H1316" i="10"/>
  <c r="H1317" i="10"/>
  <c r="H1318" i="10"/>
  <c r="H1319" i="10"/>
  <c r="H1320" i="10"/>
  <c r="H1321" i="10"/>
  <c r="H1322" i="10"/>
  <c r="H1323" i="10"/>
  <c r="H1324" i="10"/>
  <c r="H1325" i="10"/>
  <c r="H1326" i="10"/>
  <c r="H1327" i="10"/>
  <c r="H1328" i="10"/>
  <c r="H1329" i="10"/>
  <c r="H1330" i="10"/>
  <c r="H1331" i="10"/>
  <c r="H1332" i="10"/>
  <c r="H1333" i="10"/>
  <c r="H1334" i="10"/>
  <c r="H1335" i="10"/>
  <c r="H1336" i="10"/>
  <c r="H1337" i="10"/>
  <c r="H1338" i="10"/>
  <c r="H1339" i="10"/>
  <c r="H1340" i="10"/>
  <c r="H1341" i="10"/>
  <c r="H1342" i="10"/>
  <c r="H1343" i="10"/>
  <c r="H1344" i="10"/>
  <c r="H1345" i="10"/>
  <c r="H1346" i="10"/>
  <c r="H1347" i="10"/>
  <c r="H1348" i="10"/>
  <c r="H1349" i="10"/>
  <c r="H1350" i="10"/>
  <c r="H1351" i="10"/>
  <c r="H1352" i="10"/>
  <c r="H1353" i="10"/>
  <c r="H1354" i="10"/>
  <c r="H1355" i="10"/>
  <c r="H1356" i="10"/>
  <c r="H1357" i="10"/>
  <c r="H1358" i="10"/>
  <c r="H1359" i="10"/>
  <c r="H1360" i="10"/>
  <c r="H1361" i="10"/>
  <c r="H1362" i="10"/>
  <c r="H1363" i="10"/>
  <c r="H1364" i="10"/>
  <c r="H1365" i="10"/>
  <c r="H1366" i="10"/>
  <c r="H1367" i="10"/>
  <c r="H1368" i="10"/>
  <c r="H1369" i="10"/>
  <c r="H1370" i="10"/>
  <c r="H1371" i="10"/>
  <c r="H1372" i="10"/>
  <c r="H1373" i="10"/>
  <c r="H1374" i="10"/>
  <c r="H1375" i="10"/>
  <c r="H1376" i="10"/>
  <c r="H1377" i="10"/>
  <c r="H1378" i="10"/>
  <c r="H1379" i="10"/>
  <c r="H1380" i="10"/>
  <c r="H1381" i="10"/>
  <c r="H1382" i="10"/>
  <c r="H1383" i="10"/>
  <c r="H1384" i="10"/>
  <c r="H1385" i="10"/>
  <c r="H1386" i="10"/>
  <c r="H1387" i="10"/>
  <c r="H1388" i="10"/>
  <c r="H1389" i="10"/>
  <c r="H1390" i="10"/>
  <c r="H1391" i="10"/>
  <c r="H1392" i="10"/>
  <c r="H1393" i="10"/>
  <c r="H1394" i="10"/>
  <c r="H1395" i="10"/>
  <c r="H1396" i="10"/>
  <c r="H1397" i="10"/>
  <c r="H1398" i="10"/>
  <c r="H1399" i="10"/>
  <c r="H1400" i="10"/>
  <c r="H1401" i="10"/>
  <c r="H1402" i="10"/>
  <c r="H1403" i="10"/>
  <c r="H1404" i="10"/>
  <c r="H1405" i="10"/>
  <c r="H1406" i="10"/>
  <c r="H1407" i="10"/>
  <c r="H1408" i="10"/>
  <c r="H1409" i="10"/>
  <c r="H1410" i="10"/>
  <c r="H1411" i="10"/>
  <c r="H1412" i="10"/>
  <c r="H1413" i="10"/>
  <c r="H1414" i="10"/>
  <c r="H1415" i="10"/>
  <c r="H1416" i="10"/>
  <c r="H1417" i="10"/>
  <c r="H1418" i="10"/>
  <c r="H1419" i="10"/>
  <c r="H1420" i="10"/>
  <c r="H1421" i="10"/>
  <c r="H1422" i="10"/>
  <c r="H1423" i="10"/>
  <c r="H1424" i="10"/>
  <c r="H1425" i="10"/>
  <c r="H1426" i="10"/>
  <c r="H1427" i="10"/>
  <c r="H1428" i="10"/>
  <c r="H1429" i="10"/>
  <c r="H1430" i="10"/>
  <c r="H1431" i="10"/>
  <c r="H1432" i="10"/>
  <c r="H1433" i="10"/>
  <c r="H1434" i="10"/>
  <c r="H1435" i="10"/>
  <c r="H1436" i="10"/>
  <c r="H1437" i="10"/>
  <c r="H1438" i="10"/>
  <c r="H1439" i="10"/>
  <c r="H1440" i="10"/>
  <c r="H1441" i="10"/>
  <c r="H1442" i="10"/>
  <c r="H1443" i="10"/>
  <c r="H1444" i="10"/>
  <c r="H1445" i="10"/>
  <c r="H1446" i="10"/>
  <c r="H1447" i="10"/>
  <c r="H1448" i="10"/>
  <c r="H1449" i="10"/>
  <c r="H1450" i="10"/>
  <c r="H1451" i="10"/>
  <c r="H1452" i="10"/>
  <c r="H1453" i="10"/>
  <c r="H1454" i="10"/>
  <c r="H1455" i="10"/>
  <c r="H1456" i="10"/>
  <c r="H1457" i="10"/>
  <c r="H1458" i="10"/>
  <c r="H1459" i="10"/>
  <c r="H1460" i="10"/>
  <c r="H1461" i="10"/>
  <c r="H1462" i="10"/>
  <c r="H1463" i="10"/>
  <c r="H1464" i="10"/>
  <c r="H1465" i="10"/>
  <c r="H1466" i="10"/>
  <c r="H1467" i="10"/>
  <c r="H1468" i="10"/>
  <c r="H1469" i="10"/>
  <c r="H1470" i="10"/>
  <c r="H1471" i="10"/>
  <c r="H1472" i="10"/>
  <c r="H1473" i="10"/>
  <c r="H1474" i="10"/>
  <c r="H1475" i="10"/>
  <c r="H1476" i="10"/>
  <c r="H1477" i="10"/>
  <c r="H1478" i="10"/>
  <c r="H1479" i="10"/>
  <c r="H1480" i="10"/>
  <c r="H1481" i="10"/>
  <c r="H1482" i="10"/>
  <c r="H1483" i="10"/>
  <c r="H1484" i="10"/>
  <c r="H1485" i="10"/>
  <c r="H1486" i="10"/>
  <c r="H1487" i="10"/>
  <c r="H1488" i="10"/>
  <c r="H1489" i="10"/>
  <c r="H1490" i="10"/>
  <c r="H1491" i="10"/>
  <c r="H1492" i="10"/>
  <c r="H1493" i="10"/>
  <c r="H1494" i="10"/>
  <c r="H1495" i="10"/>
  <c r="H1496" i="10"/>
  <c r="H1497" i="10"/>
  <c r="H1498" i="10"/>
  <c r="H1499" i="10"/>
  <c r="H1500" i="10"/>
  <c r="H1501" i="10"/>
  <c r="H1502" i="10"/>
  <c r="H1503" i="10"/>
  <c r="H1504" i="10"/>
  <c r="H1505" i="10"/>
  <c r="H1506" i="10"/>
  <c r="H1507" i="10"/>
  <c r="H1508" i="10"/>
  <c r="H1509" i="10"/>
  <c r="H1510" i="10"/>
  <c r="H1511" i="10"/>
  <c r="H1512" i="10"/>
  <c r="H1513" i="10"/>
  <c r="H1514" i="10"/>
  <c r="H1515" i="10"/>
  <c r="H1516" i="10"/>
  <c r="H1517" i="10"/>
  <c r="H1518" i="10"/>
  <c r="H1519" i="10"/>
  <c r="H1520" i="10"/>
  <c r="H1521" i="10"/>
  <c r="H1522" i="10"/>
  <c r="H1523" i="10"/>
  <c r="H1524" i="10"/>
  <c r="H1525" i="10"/>
  <c r="H1526" i="10"/>
  <c r="H1527" i="10"/>
  <c r="H1528" i="10"/>
  <c r="H1529" i="10"/>
  <c r="H1530" i="10"/>
  <c r="H1531" i="10"/>
  <c r="H1532" i="10"/>
  <c r="H1533" i="10"/>
  <c r="H1534" i="10"/>
  <c r="H1535" i="10"/>
  <c r="H1536" i="10"/>
  <c r="H1537" i="10"/>
  <c r="H1538" i="10"/>
  <c r="H1539" i="10"/>
  <c r="H1540" i="10"/>
  <c r="H1541" i="10"/>
  <c r="H1542" i="10"/>
  <c r="H1543" i="10"/>
  <c r="H1544" i="10"/>
  <c r="H1545" i="10"/>
  <c r="H1546" i="10"/>
  <c r="H1547" i="10"/>
  <c r="H1548" i="10"/>
  <c r="H1549" i="10"/>
  <c r="H1550" i="10"/>
  <c r="H1551" i="10"/>
  <c r="H1552" i="10"/>
  <c r="H1553" i="10"/>
  <c r="H1554" i="10"/>
  <c r="H1555" i="10"/>
  <c r="H1556" i="10"/>
  <c r="H1557" i="10"/>
  <c r="H1558" i="10"/>
  <c r="H1559" i="10"/>
  <c r="H1560" i="10"/>
  <c r="H1561" i="10"/>
  <c r="H1562" i="10"/>
  <c r="H1563" i="10"/>
  <c r="H1564" i="10"/>
  <c r="H1565" i="10"/>
  <c r="H1566" i="10"/>
  <c r="H1567" i="10"/>
  <c r="H1568" i="10"/>
  <c r="H1569" i="10"/>
  <c r="H1570" i="10"/>
  <c r="H1571" i="10"/>
  <c r="H1572" i="10"/>
  <c r="H1573" i="10"/>
  <c r="H1574" i="10"/>
  <c r="H1575" i="10"/>
  <c r="H1576" i="10"/>
  <c r="H1577" i="10"/>
  <c r="H1578" i="10"/>
  <c r="H1579" i="10"/>
  <c r="H1580" i="10"/>
  <c r="H1581" i="10"/>
  <c r="H1582" i="10"/>
  <c r="H1583" i="10"/>
  <c r="H1584" i="10"/>
  <c r="H1585" i="10"/>
  <c r="H1586" i="10"/>
  <c r="H1587" i="10"/>
  <c r="H1588" i="10"/>
  <c r="H1589" i="10"/>
  <c r="H1590" i="10"/>
  <c r="H1591" i="10"/>
  <c r="H1592" i="10"/>
  <c r="H1593" i="10"/>
  <c r="H1594" i="10"/>
  <c r="H1595" i="10"/>
  <c r="H1596" i="10"/>
  <c r="H1597" i="10"/>
  <c r="H1598" i="10"/>
  <c r="H1599" i="10"/>
  <c r="H1600" i="10"/>
  <c r="H1601" i="10"/>
  <c r="H1602" i="10"/>
  <c r="H1603" i="10"/>
  <c r="H1604" i="10"/>
  <c r="H1605" i="10"/>
  <c r="H1606" i="10"/>
  <c r="H1607" i="10"/>
  <c r="H1608" i="10"/>
  <c r="H1609" i="10"/>
  <c r="H1610" i="10"/>
  <c r="H1611" i="10"/>
  <c r="H1612" i="10"/>
  <c r="H1613" i="10"/>
  <c r="H1614" i="10"/>
  <c r="H1615" i="10"/>
  <c r="H1616" i="10"/>
  <c r="H1617" i="10"/>
  <c r="H1618" i="10"/>
  <c r="H1619" i="10"/>
  <c r="H1620" i="10"/>
  <c r="H1621" i="10"/>
  <c r="H1622" i="10"/>
  <c r="H1623" i="10"/>
  <c r="H1624" i="10"/>
  <c r="H1625" i="10"/>
  <c r="H1626" i="10"/>
  <c r="H1627" i="10"/>
  <c r="H1628" i="10"/>
  <c r="H1629" i="10"/>
  <c r="H1630" i="10"/>
  <c r="H1631" i="10"/>
  <c r="H1632" i="10"/>
  <c r="H1633" i="10"/>
  <c r="H1634" i="10"/>
  <c r="H1635" i="10"/>
  <c r="H1636" i="10"/>
  <c r="H1637" i="10"/>
  <c r="H1638" i="10"/>
  <c r="H1639" i="10"/>
  <c r="H1640" i="10"/>
  <c r="H1641" i="10"/>
  <c r="H1642" i="10"/>
  <c r="H1643" i="10"/>
  <c r="H1644" i="10"/>
  <c r="H1645" i="10"/>
  <c r="H1646" i="10"/>
  <c r="H1647" i="10"/>
  <c r="H1648" i="10"/>
  <c r="H1649" i="10"/>
  <c r="H1650" i="10"/>
  <c r="H1651" i="10"/>
  <c r="H1652" i="10"/>
  <c r="H1653" i="10"/>
  <c r="H1654" i="10"/>
  <c r="H1655" i="10"/>
  <c r="H1656" i="10"/>
  <c r="H1657" i="10"/>
  <c r="H1658" i="10"/>
  <c r="H1659" i="10"/>
  <c r="H1660" i="10"/>
  <c r="H1661" i="10"/>
  <c r="H1662" i="10"/>
  <c r="H1663" i="10"/>
  <c r="H1664" i="10"/>
  <c r="H1665" i="10"/>
  <c r="H1666" i="10"/>
  <c r="H1667" i="10"/>
  <c r="H1668" i="10"/>
  <c r="H1669" i="10"/>
  <c r="H1670" i="10"/>
  <c r="H1671" i="10"/>
  <c r="H1672" i="10"/>
  <c r="H1673" i="10"/>
  <c r="H1674" i="10"/>
  <c r="H1675" i="10"/>
  <c r="H1676" i="10"/>
  <c r="H1677" i="10"/>
  <c r="H1678" i="10"/>
  <c r="H1679" i="10"/>
  <c r="H1680" i="10"/>
  <c r="H1681" i="10"/>
  <c r="H1682" i="10"/>
  <c r="H1683" i="10"/>
  <c r="H1684" i="10"/>
  <c r="H1685" i="10"/>
  <c r="H1686" i="10"/>
  <c r="H1687" i="10"/>
  <c r="H1688" i="10"/>
  <c r="H1689" i="10"/>
  <c r="H1690" i="10"/>
  <c r="H1691" i="10"/>
  <c r="H1692" i="10"/>
  <c r="H1693" i="10"/>
  <c r="H1694" i="10"/>
  <c r="H1695" i="10"/>
  <c r="H1696" i="10"/>
  <c r="H1697" i="10"/>
  <c r="H1698" i="10"/>
  <c r="H1699" i="10"/>
  <c r="H1700" i="10"/>
  <c r="H1701" i="10"/>
  <c r="H1702" i="10"/>
  <c r="H1703" i="10"/>
  <c r="H1704" i="10"/>
  <c r="H1705" i="10"/>
  <c r="H1706" i="10"/>
  <c r="H1707" i="10"/>
  <c r="H1708" i="10"/>
  <c r="H1709" i="10"/>
  <c r="H1710" i="10"/>
  <c r="H1711" i="10"/>
  <c r="H1712" i="10"/>
  <c r="H1713" i="10"/>
  <c r="H1714" i="10"/>
  <c r="H1715" i="10"/>
  <c r="H1716" i="10"/>
  <c r="H1717" i="10"/>
  <c r="H1718" i="10"/>
  <c r="H1719" i="10"/>
  <c r="H1720" i="10"/>
  <c r="H1721" i="10"/>
  <c r="H1722" i="10"/>
  <c r="H1723" i="10"/>
  <c r="H1724" i="10"/>
  <c r="H1725" i="10"/>
  <c r="H1726" i="10"/>
  <c r="H1727" i="10"/>
  <c r="H1728" i="10"/>
  <c r="H1729" i="10"/>
  <c r="H1730" i="10"/>
  <c r="H1731" i="10"/>
  <c r="H1732" i="10"/>
  <c r="H1733" i="10"/>
  <c r="H1734" i="10"/>
  <c r="H1735" i="10"/>
  <c r="H1736" i="10"/>
  <c r="H1737" i="10"/>
  <c r="H1738" i="10"/>
  <c r="H1739" i="10"/>
  <c r="H1740" i="10"/>
  <c r="H1741" i="10"/>
  <c r="H1742" i="10"/>
  <c r="H1743" i="10"/>
  <c r="H1744" i="10"/>
  <c r="H1745" i="10"/>
  <c r="H1746" i="10"/>
  <c r="H1747" i="10"/>
  <c r="H1748" i="10"/>
  <c r="H1749" i="10"/>
  <c r="H1750" i="10"/>
  <c r="H1751" i="10"/>
  <c r="H1752" i="10"/>
  <c r="H1753" i="10"/>
  <c r="H1754" i="10"/>
  <c r="H1755" i="10"/>
  <c r="H1756" i="10"/>
  <c r="H1757" i="10"/>
  <c r="H1758" i="10"/>
  <c r="H1759" i="10"/>
  <c r="H1760" i="10"/>
  <c r="H1761" i="10"/>
  <c r="H1762" i="10"/>
  <c r="H1763" i="10"/>
  <c r="H1764" i="10"/>
  <c r="H1765" i="10"/>
  <c r="H1766" i="10"/>
  <c r="H1767" i="10"/>
  <c r="H1768" i="10"/>
  <c r="H1769" i="10"/>
  <c r="H1770" i="10"/>
  <c r="H1771" i="10"/>
  <c r="H1772" i="10"/>
  <c r="H1773" i="10"/>
  <c r="H1774" i="10"/>
  <c r="H1775" i="10"/>
  <c r="H1776" i="10"/>
  <c r="H1777" i="10"/>
  <c r="H1778" i="10"/>
  <c r="H1779" i="10"/>
  <c r="H1780" i="10"/>
  <c r="H1781" i="10"/>
  <c r="H1782" i="10"/>
  <c r="H1783" i="10"/>
  <c r="H1784" i="10"/>
  <c r="H1785" i="10"/>
  <c r="H1786" i="10"/>
  <c r="H1787" i="10"/>
  <c r="H1788" i="10"/>
  <c r="H1789" i="10"/>
  <c r="H1790" i="10"/>
  <c r="H1791" i="10"/>
  <c r="H1792" i="10"/>
  <c r="H1793" i="10"/>
  <c r="H1794" i="10"/>
  <c r="H1795" i="10"/>
  <c r="H1796" i="10"/>
  <c r="H1797" i="10"/>
  <c r="H1798" i="10"/>
  <c r="H1799" i="10"/>
  <c r="H1800" i="10"/>
  <c r="H1801" i="10"/>
  <c r="H1802" i="10"/>
  <c r="H1803" i="10"/>
  <c r="H1804" i="10"/>
  <c r="H1805" i="10"/>
  <c r="H1806" i="10"/>
  <c r="H1807" i="10"/>
  <c r="H1808" i="10"/>
  <c r="H1809" i="10"/>
  <c r="H1810" i="10"/>
  <c r="H1811" i="10"/>
  <c r="H1812" i="10"/>
  <c r="H1813" i="10"/>
  <c r="H1814" i="10"/>
  <c r="H1815" i="10"/>
  <c r="H1816" i="10"/>
  <c r="H1817" i="10"/>
  <c r="H1818" i="10"/>
  <c r="H1819" i="10"/>
  <c r="H1820" i="10"/>
  <c r="H1821" i="10"/>
  <c r="H1822" i="10"/>
  <c r="H1823" i="10"/>
  <c r="H1824" i="10"/>
  <c r="H1825" i="10"/>
  <c r="H1826" i="10"/>
  <c r="H1827" i="10"/>
  <c r="H1828" i="10"/>
  <c r="H1829" i="10"/>
  <c r="H1830" i="10"/>
  <c r="H1831" i="10"/>
  <c r="H1832" i="10"/>
  <c r="H1833" i="10"/>
  <c r="H1834" i="10"/>
  <c r="H1835" i="10"/>
  <c r="H1836" i="10"/>
  <c r="H1837" i="10"/>
  <c r="H1838" i="10"/>
  <c r="H1839" i="10"/>
  <c r="H1840" i="10"/>
  <c r="H1841" i="10"/>
  <c r="H1842" i="10"/>
  <c r="H1843" i="10"/>
  <c r="H1844" i="10"/>
  <c r="H1845" i="10"/>
  <c r="H1846" i="10"/>
  <c r="H1847" i="10"/>
  <c r="H1848" i="10"/>
  <c r="H1849" i="10"/>
  <c r="H1850" i="10"/>
  <c r="H1851" i="10"/>
  <c r="H1852" i="10"/>
  <c r="H1853" i="10"/>
  <c r="H1854" i="10"/>
  <c r="H1855" i="10"/>
  <c r="H1856" i="10"/>
  <c r="H1857" i="10"/>
  <c r="H1858" i="10"/>
  <c r="H1859" i="10"/>
  <c r="H1860" i="10"/>
  <c r="H1861" i="10"/>
  <c r="H1862" i="10"/>
  <c r="H1863" i="10"/>
  <c r="H1864" i="10"/>
  <c r="H1865" i="10"/>
  <c r="H1866" i="10"/>
  <c r="H1867" i="10"/>
  <c r="H1868" i="10"/>
  <c r="H1869" i="10"/>
  <c r="H1870" i="10"/>
  <c r="H1871" i="10"/>
  <c r="H1872" i="10"/>
  <c r="H1873" i="10"/>
  <c r="H1874" i="10"/>
  <c r="H1875" i="10"/>
  <c r="H1876" i="10"/>
  <c r="H1877" i="10"/>
  <c r="H1878" i="10"/>
  <c r="H1879" i="10"/>
  <c r="H1880" i="10"/>
  <c r="H1881" i="10"/>
  <c r="H1882" i="10"/>
  <c r="H1883" i="10"/>
  <c r="H1884" i="10"/>
  <c r="H1885" i="10"/>
  <c r="H1886" i="10"/>
  <c r="H1887" i="10"/>
  <c r="H1888" i="10"/>
  <c r="H1889" i="10"/>
  <c r="H1890" i="10"/>
  <c r="H1891" i="10"/>
  <c r="H1892" i="10"/>
  <c r="H1893" i="10"/>
  <c r="H1894" i="10"/>
  <c r="H1895" i="10"/>
  <c r="H1896" i="10"/>
  <c r="H1897" i="10"/>
  <c r="H1898" i="10"/>
  <c r="H1899" i="10"/>
  <c r="H1900" i="10"/>
  <c r="H1901" i="10"/>
  <c r="H1902" i="10"/>
  <c r="H1903" i="10"/>
  <c r="H1904" i="10"/>
  <c r="H1905" i="10"/>
  <c r="H1906" i="10"/>
  <c r="H2247" i="10"/>
  <c r="H2248" i="10"/>
  <c r="H2249" i="10"/>
  <c r="H2250" i="10"/>
  <c r="H2251" i="10"/>
  <c r="H2252" i="10"/>
  <c r="H2253" i="10"/>
  <c r="H2254" i="10"/>
  <c r="H2255" i="10"/>
  <c r="H2256" i="10"/>
  <c r="H2257" i="10"/>
  <c r="H2258" i="10"/>
  <c r="H2259" i="10"/>
  <c r="H2260" i="10"/>
  <c r="H2261" i="10"/>
  <c r="H2262" i="10"/>
  <c r="H2263" i="10"/>
  <c r="H2264" i="10"/>
  <c r="H2265" i="10"/>
  <c r="H2266" i="10"/>
  <c r="H2267" i="10"/>
  <c r="H2268" i="10"/>
  <c r="H2269" i="10"/>
  <c r="H2270" i="10"/>
  <c r="H2271" i="10"/>
  <c r="H2272" i="10"/>
  <c r="H2273" i="10"/>
  <c r="H2274" i="10"/>
  <c r="H2275" i="10"/>
  <c r="H2276" i="10"/>
  <c r="H2277" i="10"/>
  <c r="H2278" i="10"/>
  <c r="H2279" i="10"/>
  <c r="H2280" i="10"/>
  <c r="H2281" i="10"/>
  <c r="H2282" i="10"/>
  <c r="H2283" i="10"/>
  <c r="H2284" i="10"/>
  <c r="H2285" i="10"/>
  <c r="H2286" i="10"/>
  <c r="H2287" i="10"/>
  <c r="H2288" i="10"/>
  <c r="H2289" i="10"/>
  <c r="H2290" i="10"/>
  <c r="H2291" i="10"/>
  <c r="H2292" i="10"/>
  <c r="H2293" i="10"/>
  <c r="H2294" i="10"/>
  <c r="H2295" i="10"/>
  <c r="H2296" i="10"/>
  <c r="H2297" i="10"/>
  <c r="H2298" i="10"/>
  <c r="H2299" i="10"/>
  <c r="H2300" i="10"/>
  <c r="H2301" i="10"/>
  <c r="H2302" i="10"/>
  <c r="H2303" i="10"/>
  <c r="H2304" i="10"/>
  <c r="H2305" i="10"/>
  <c r="H2306" i="10"/>
  <c r="H2307" i="10"/>
  <c r="H2308" i="10"/>
  <c r="H2309" i="10"/>
  <c r="H2310" i="10"/>
  <c r="H2311" i="10"/>
  <c r="H2312" i="10"/>
  <c r="H2313" i="10"/>
  <c r="H2314" i="10"/>
  <c r="H2315" i="10"/>
  <c r="H2316" i="10"/>
  <c r="H2317" i="10"/>
  <c r="H2318" i="10"/>
  <c r="H2319" i="10"/>
  <c r="H2320" i="10"/>
  <c r="H2321" i="10"/>
  <c r="H2322" i="10"/>
  <c r="H2323" i="10"/>
  <c r="H2324" i="10"/>
  <c r="H2325" i="10"/>
  <c r="H2326" i="10"/>
  <c r="H2327" i="10"/>
  <c r="H2328" i="10"/>
  <c r="H2329" i="10"/>
  <c r="H2330" i="10"/>
  <c r="H2331" i="10"/>
  <c r="H2332" i="10"/>
  <c r="H2333" i="10"/>
  <c r="H2334" i="10"/>
  <c r="H2335" i="10"/>
  <c r="H2336" i="10"/>
  <c r="H2337" i="10"/>
  <c r="H2338" i="10"/>
  <c r="H2339" i="10"/>
  <c r="H2340" i="10"/>
  <c r="H2341" i="10"/>
  <c r="H2342" i="10"/>
  <c r="H2343" i="10"/>
  <c r="H2344" i="10"/>
  <c r="H2345" i="10"/>
  <c r="H2346" i="10"/>
  <c r="H2347" i="10"/>
  <c r="H2348" i="10"/>
  <c r="H2349" i="10"/>
  <c r="H2350" i="10"/>
  <c r="H2351" i="10"/>
  <c r="H2352" i="10"/>
  <c r="H2353" i="10"/>
  <c r="H2354" i="10"/>
  <c r="H2355" i="10"/>
  <c r="H2356" i="10"/>
  <c r="H2357" i="10"/>
  <c r="H2358" i="10"/>
  <c r="H2359" i="10"/>
  <c r="H2360" i="10"/>
  <c r="H2361" i="10"/>
  <c r="H2362" i="10"/>
  <c r="H2363" i="10"/>
  <c r="H2364" i="10"/>
  <c r="H2365" i="10"/>
  <c r="H2366" i="10"/>
  <c r="H2367" i="10"/>
  <c r="H2368" i="10"/>
  <c r="H2369" i="10"/>
  <c r="H2370" i="10"/>
  <c r="H2371" i="10"/>
  <c r="H2372" i="10"/>
  <c r="H2373" i="10"/>
  <c r="H2374" i="10"/>
  <c r="H2375" i="10"/>
  <c r="H2376" i="10"/>
  <c r="H2377" i="10"/>
  <c r="H2378" i="10"/>
  <c r="H2379" i="10"/>
  <c r="H2380" i="10"/>
  <c r="H2381" i="10"/>
  <c r="H2382" i="10"/>
  <c r="H2383" i="10"/>
  <c r="H2384" i="10"/>
  <c r="H2385" i="10"/>
  <c r="H2386" i="10"/>
  <c r="H2387" i="10"/>
  <c r="H2388" i="10"/>
  <c r="H2389" i="10"/>
  <c r="H2390" i="10"/>
  <c r="H2391" i="10"/>
  <c r="H2392" i="10"/>
  <c r="H2393" i="10"/>
  <c r="H2394" i="10"/>
  <c r="H2395" i="10"/>
  <c r="H2396" i="10"/>
  <c r="H2397" i="10"/>
  <c r="H2398" i="10"/>
  <c r="H2399" i="10"/>
  <c r="H2400" i="10"/>
  <c r="H2401" i="10"/>
  <c r="H2402" i="10"/>
  <c r="H2403" i="10"/>
  <c r="H2404" i="10"/>
  <c r="H2405" i="10"/>
  <c r="H2406" i="10"/>
  <c r="H2407" i="10"/>
  <c r="H2408" i="10"/>
  <c r="H2409" i="10"/>
  <c r="H2410" i="10"/>
  <c r="H2411" i="10"/>
  <c r="H2412" i="10"/>
  <c r="H2413" i="10"/>
  <c r="H2414" i="10"/>
  <c r="H2415" i="10"/>
  <c r="H2416" i="10"/>
  <c r="H2417" i="10"/>
  <c r="H2418" i="10"/>
  <c r="H2419" i="10"/>
  <c r="H2420" i="10"/>
  <c r="H2421" i="10"/>
  <c r="H2422" i="10"/>
  <c r="H2423" i="10"/>
  <c r="H2424" i="10"/>
  <c r="H2425" i="10"/>
  <c r="H2426" i="10"/>
  <c r="H2427" i="10"/>
  <c r="H2428" i="10"/>
  <c r="H2429" i="10"/>
  <c r="H2430" i="10"/>
  <c r="H2431" i="10"/>
  <c r="H2432" i="10"/>
  <c r="H2433" i="10"/>
  <c r="H2434" i="10"/>
  <c r="H2435" i="10"/>
  <c r="H2436" i="10"/>
  <c r="H2437" i="10"/>
  <c r="H2438" i="10"/>
  <c r="H2439" i="10"/>
  <c r="H2440" i="10"/>
  <c r="H2441" i="10"/>
  <c r="H2442" i="10"/>
  <c r="H2443" i="10"/>
  <c r="H2444" i="10"/>
  <c r="H2445" i="10"/>
  <c r="H2446" i="10"/>
  <c r="H2447" i="10"/>
  <c r="H2448" i="10"/>
  <c r="H2449" i="10"/>
  <c r="H2450" i="10"/>
  <c r="H2451" i="10"/>
  <c r="H2452" i="10"/>
  <c r="H2453" i="10"/>
  <c r="H2454" i="10"/>
  <c r="H2455" i="10"/>
  <c r="H2456" i="10"/>
  <c r="H2457" i="10"/>
  <c r="H2458" i="10"/>
  <c r="H2459" i="10"/>
  <c r="H2460" i="10"/>
  <c r="H2461" i="10"/>
  <c r="H2462" i="10"/>
  <c r="H2463" i="10"/>
  <c r="H2464" i="10"/>
  <c r="H2465" i="10"/>
  <c r="H2466" i="10"/>
  <c r="H2467" i="10"/>
  <c r="H2468" i="10"/>
  <c r="H2469" i="10"/>
  <c r="H2470" i="10"/>
  <c r="H2471" i="10"/>
  <c r="H2472" i="10"/>
  <c r="H2473" i="10"/>
  <c r="H2474" i="10"/>
  <c r="H2475" i="10"/>
  <c r="H2476" i="10"/>
  <c r="H2477" i="10"/>
  <c r="H2478" i="10"/>
  <c r="H2479" i="10"/>
  <c r="H2480" i="10"/>
  <c r="H2481" i="10"/>
  <c r="H2482" i="10"/>
  <c r="H2483" i="10"/>
  <c r="H2484" i="10"/>
  <c r="H2485" i="10"/>
  <c r="H2486" i="10"/>
  <c r="H2487" i="10"/>
  <c r="H2488" i="10"/>
  <c r="H2489" i="10"/>
  <c r="H2490" i="10"/>
  <c r="H2491" i="10"/>
  <c r="H2492" i="10"/>
  <c r="H2493" i="10"/>
  <c r="H2494" i="10"/>
  <c r="H2495" i="10"/>
  <c r="H2496" i="10"/>
  <c r="H2497" i="10"/>
  <c r="H2498" i="10"/>
  <c r="H2499" i="10"/>
  <c r="H2500" i="10"/>
  <c r="H2501" i="10"/>
  <c r="H2502" i="10"/>
  <c r="H2503" i="10"/>
  <c r="H2504" i="10"/>
  <c r="H2505" i="10"/>
  <c r="H2506" i="10"/>
  <c r="H2507" i="10"/>
  <c r="H2508" i="10"/>
  <c r="H2509" i="10"/>
  <c r="H2510" i="10"/>
  <c r="H2511" i="10"/>
  <c r="H2512" i="10"/>
  <c r="H2513" i="10"/>
  <c r="H2514" i="10"/>
  <c r="H2515" i="10"/>
  <c r="H2516" i="10"/>
  <c r="H2517" i="10"/>
  <c r="H2518" i="10"/>
  <c r="H2519" i="10"/>
  <c r="H2520" i="10"/>
  <c r="H2521" i="10"/>
  <c r="H2522" i="10"/>
  <c r="H2523" i="10"/>
  <c r="H2524" i="10"/>
  <c r="H2525" i="10"/>
  <c r="H2526" i="10"/>
  <c r="H2527" i="10"/>
  <c r="H2528" i="10"/>
  <c r="H2529" i="10"/>
  <c r="H2530" i="10"/>
  <c r="H2531" i="10"/>
  <c r="H2532" i="10"/>
  <c r="H2533" i="10"/>
  <c r="H2534" i="10"/>
  <c r="H2535" i="10"/>
  <c r="H2536" i="10"/>
  <c r="H2537" i="10"/>
  <c r="H2538" i="10"/>
  <c r="H2539" i="10"/>
  <c r="H2540" i="10"/>
  <c r="H2541" i="10"/>
  <c r="H2542" i="10"/>
  <c r="H2543" i="10"/>
  <c r="H2544" i="10"/>
  <c r="H2545" i="10"/>
  <c r="H2546" i="10"/>
  <c r="H2547" i="10"/>
  <c r="H2548" i="10"/>
  <c r="H2549" i="10"/>
  <c r="H2550" i="10"/>
  <c r="H2551" i="10"/>
  <c r="H2552" i="10"/>
  <c r="H2553" i="10"/>
  <c r="H2554" i="10"/>
  <c r="H2555" i="10"/>
  <c r="H2556" i="10"/>
  <c r="H2557" i="10"/>
  <c r="H2558" i="10"/>
  <c r="H2559" i="10"/>
  <c r="H2560" i="10"/>
  <c r="H2561" i="10"/>
  <c r="H2562" i="10"/>
  <c r="H2563" i="10"/>
  <c r="H2564" i="10"/>
  <c r="H2565" i="10"/>
  <c r="H2566" i="10"/>
  <c r="H2567" i="10"/>
  <c r="H2568" i="10"/>
  <c r="H2569" i="10"/>
  <c r="H2570" i="10"/>
  <c r="H2571" i="10"/>
  <c r="H2572" i="10"/>
  <c r="H2573" i="10"/>
  <c r="H2574" i="10"/>
  <c r="H2575" i="10"/>
  <c r="H2576" i="10"/>
  <c r="H2577" i="10"/>
  <c r="H2578" i="10"/>
  <c r="H2579" i="10"/>
  <c r="H2580" i="10"/>
  <c r="H2581" i="10"/>
  <c r="H2582" i="10"/>
  <c r="H2583" i="10"/>
  <c r="H2584" i="10"/>
  <c r="H2585" i="10"/>
  <c r="H2586" i="10"/>
  <c r="H2587" i="10"/>
  <c r="H2588" i="10"/>
  <c r="H2589" i="10"/>
  <c r="H2590" i="10"/>
  <c r="H2591" i="10"/>
  <c r="H2592" i="10"/>
  <c r="H2593" i="10"/>
  <c r="H2594" i="10"/>
  <c r="H2595" i="10"/>
  <c r="H2596" i="10"/>
  <c r="H2597" i="10"/>
  <c r="H2598" i="10"/>
  <c r="H2599" i="10"/>
  <c r="H2600" i="10"/>
  <c r="H2601" i="10"/>
  <c r="H2602" i="10"/>
  <c r="H2603" i="10"/>
  <c r="H2604" i="10"/>
  <c r="H2605" i="10"/>
  <c r="H2606" i="10"/>
  <c r="H2607" i="10"/>
  <c r="H2608" i="10"/>
  <c r="H2609" i="10"/>
  <c r="H2610" i="10"/>
  <c r="H2611" i="10"/>
  <c r="H2612" i="10"/>
  <c r="H2613" i="10"/>
  <c r="H2614" i="10"/>
  <c r="H2615" i="10"/>
  <c r="H2616" i="10"/>
  <c r="H2617" i="10"/>
  <c r="H2618" i="10"/>
  <c r="H2619" i="10"/>
  <c r="H2620" i="10"/>
  <c r="H2621" i="10"/>
  <c r="H2622" i="10"/>
  <c r="H2623" i="10"/>
  <c r="H2624" i="10"/>
  <c r="H2625" i="10"/>
  <c r="H2626" i="10"/>
  <c r="H2627" i="10"/>
  <c r="H2628" i="10"/>
  <c r="H2629" i="10"/>
  <c r="H2630" i="10"/>
  <c r="H2631" i="10"/>
  <c r="H2632" i="10"/>
  <c r="H2633" i="10"/>
  <c r="H2634" i="10"/>
  <c r="H2635" i="10"/>
  <c r="H2636" i="10"/>
  <c r="H2637" i="10"/>
  <c r="H2638" i="10"/>
  <c r="H2639" i="10"/>
  <c r="H2640" i="10"/>
  <c r="H2641" i="10"/>
  <c r="H2642" i="10"/>
  <c r="H2643" i="10"/>
  <c r="H2644" i="10"/>
  <c r="H2645" i="10"/>
  <c r="H2646" i="10"/>
  <c r="H2647" i="10"/>
  <c r="H2648" i="10"/>
  <c r="H2649" i="10"/>
  <c r="H2650" i="10"/>
  <c r="H2651" i="10"/>
  <c r="H2652" i="10"/>
  <c r="H2653" i="10"/>
  <c r="H2654" i="10"/>
  <c r="H2655" i="10"/>
  <c r="H2656" i="10"/>
  <c r="H2657" i="10"/>
  <c r="H2658" i="10"/>
  <c r="H2659" i="10"/>
  <c r="H2660" i="10"/>
  <c r="H2661" i="10"/>
  <c r="H2662" i="10"/>
  <c r="H2663" i="10"/>
  <c r="H2664" i="10"/>
  <c r="H2665" i="10"/>
  <c r="H2666" i="10"/>
  <c r="H2667" i="10"/>
  <c r="H2668" i="10"/>
  <c r="H2669" i="10"/>
  <c r="H2670" i="10"/>
  <c r="H2671" i="10"/>
  <c r="H2672" i="10"/>
  <c r="H2673" i="10"/>
  <c r="H2674" i="10"/>
  <c r="H2675" i="10"/>
  <c r="H2676" i="10"/>
  <c r="H2677" i="10"/>
  <c r="H2678" i="10"/>
  <c r="H2679" i="10"/>
  <c r="H2680" i="10"/>
  <c r="H2681" i="10"/>
  <c r="H2682" i="10"/>
  <c r="H2683" i="10"/>
  <c r="H2684" i="10"/>
  <c r="H2685" i="10"/>
  <c r="H2686" i="10"/>
  <c r="H2687" i="10"/>
  <c r="H2688" i="10"/>
  <c r="H2689" i="10"/>
  <c r="H2690" i="10"/>
  <c r="H2691" i="10"/>
  <c r="H2692" i="10"/>
  <c r="H2693" i="10"/>
  <c r="H2694" i="10"/>
  <c r="H2695" i="10"/>
  <c r="H2696" i="10"/>
  <c r="H2697" i="10"/>
  <c r="H2698" i="10"/>
  <c r="H2699" i="10"/>
  <c r="H2700" i="10"/>
  <c r="H2701" i="10"/>
  <c r="H2702" i="10"/>
  <c r="H2703" i="10"/>
  <c r="H2704" i="10"/>
  <c r="H2705" i="10"/>
  <c r="H2706" i="10"/>
  <c r="H2707" i="10"/>
  <c r="H2708" i="10"/>
  <c r="H2709" i="10"/>
  <c r="H2710" i="10"/>
  <c r="H2711" i="10"/>
  <c r="H2712" i="10"/>
  <c r="H2713" i="10"/>
  <c r="H2714" i="10"/>
  <c r="H2715" i="10"/>
  <c r="H2716" i="10"/>
  <c r="H2717" i="10"/>
  <c r="H2718" i="10"/>
  <c r="H2719" i="10"/>
  <c r="H2720" i="10"/>
  <c r="H2721" i="10"/>
  <c r="H2722" i="10"/>
  <c r="H2723" i="10"/>
  <c r="H2724" i="10"/>
  <c r="H2725" i="10"/>
  <c r="H2726" i="10"/>
  <c r="H2727" i="10"/>
  <c r="H2728" i="10"/>
  <c r="H2729" i="10"/>
  <c r="H2730" i="10"/>
  <c r="H2731" i="10"/>
  <c r="H2732" i="10"/>
  <c r="H2733" i="10"/>
  <c r="H2734" i="10"/>
  <c r="H2735" i="10"/>
  <c r="H2736" i="10"/>
  <c r="H2737" i="10"/>
  <c r="H2738" i="10"/>
  <c r="H2739" i="10"/>
  <c r="H2740" i="10"/>
  <c r="H2741" i="10"/>
  <c r="H2742" i="10"/>
  <c r="H2743" i="10"/>
  <c r="H2744" i="10"/>
  <c r="H2745" i="10"/>
  <c r="H2746" i="10"/>
  <c r="H2747" i="10"/>
  <c r="H2748" i="10"/>
  <c r="H2749" i="10"/>
  <c r="H2750" i="10"/>
  <c r="H2751" i="10"/>
  <c r="H2752" i="10"/>
  <c r="H2753" i="10"/>
  <c r="H2754" i="10"/>
  <c r="H2755" i="10"/>
  <c r="H2756" i="10"/>
  <c r="H2757" i="10"/>
  <c r="H2758" i="10"/>
  <c r="H2759" i="10"/>
  <c r="H2760" i="10"/>
  <c r="H2761" i="10"/>
  <c r="H2762" i="10"/>
  <c r="H2763" i="10"/>
  <c r="H2764" i="10"/>
  <c r="H2765" i="10"/>
  <c r="H2766" i="10"/>
  <c r="H2767" i="10"/>
  <c r="H2768" i="10"/>
  <c r="H2769" i="10"/>
  <c r="H2770" i="10"/>
  <c r="H2771" i="10"/>
  <c r="H2772" i="10"/>
  <c r="H2773" i="10"/>
  <c r="H2774" i="10"/>
  <c r="H2775" i="10"/>
  <c r="H2776" i="10"/>
  <c r="H2777" i="10"/>
  <c r="H2778" i="10"/>
  <c r="H2779" i="10"/>
  <c r="H2780" i="10"/>
  <c r="H2781" i="10"/>
  <c r="H2782" i="10"/>
  <c r="H2783" i="10"/>
  <c r="H2784" i="10"/>
  <c r="H2785" i="10"/>
  <c r="H2786" i="10"/>
  <c r="H2787" i="10"/>
  <c r="H2788" i="10"/>
  <c r="H2789" i="10"/>
  <c r="H2790" i="10"/>
  <c r="H2791" i="10"/>
  <c r="H2792" i="10"/>
  <c r="H2793" i="10"/>
  <c r="H2794" i="10"/>
  <c r="H2795" i="10"/>
  <c r="H2796" i="10"/>
  <c r="H2797" i="10"/>
  <c r="H2798" i="10"/>
  <c r="H2799" i="10"/>
  <c r="H2800" i="10"/>
  <c r="H2801" i="10"/>
  <c r="H2802" i="10"/>
  <c r="H2803" i="10"/>
  <c r="H2804" i="10"/>
  <c r="H2805" i="10"/>
  <c r="H2806" i="10"/>
  <c r="H2807" i="10"/>
  <c r="H2808" i="10"/>
  <c r="H2809" i="10"/>
  <c r="H2810" i="10"/>
  <c r="H2811" i="10"/>
  <c r="H2812" i="10"/>
  <c r="H2813" i="10"/>
  <c r="H2814" i="10"/>
  <c r="H2815" i="10"/>
  <c r="H2816" i="10"/>
  <c r="H2817" i="10"/>
  <c r="H2818" i="10"/>
  <c r="H2819" i="10"/>
  <c r="H2820" i="10"/>
  <c r="H2821" i="10"/>
  <c r="H2822" i="10"/>
  <c r="H2823" i="10"/>
  <c r="H2824" i="10"/>
  <c r="H2825" i="10"/>
  <c r="H2826" i="10"/>
  <c r="H2827" i="10"/>
  <c r="H2828" i="10"/>
  <c r="H2829" i="10"/>
  <c r="H2830" i="10"/>
  <c r="H2831" i="10"/>
  <c r="H2832" i="10"/>
  <c r="H2833" i="10"/>
  <c r="H2834" i="10"/>
  <c r="H2835" i="10"/>
  <c r="H2836" i="10"/>
  <c r="H2837" i="10"/>
  <c r="H2838" i="10"/>
  <c r="H2839" i="10"/>
  <c r="H2840" i="10"/>
  <c r="H2841" i="10"/>
  <c r="H2842" i="10"/>
  <c r="H2843" i="10"/>
  <c r="H2844" i="10"/>
  <c r="H2845" i="10"/>
  <c r="H2846" i="10"/>
  <c r="H2847" i="10"/>
  <c r="H2848" i="10"/>
  <c r="H2849" i="10"/>
  <c r="H2850" i="10"/>
  <c r="H2851" i="10"/>
  <c r="H2852" i="10"/>
  <c r="H2853" i="10"/>
  <c r="H2854" i="10"/>
  <c r="H2855" i="10"/>
  <c r="H2856" i="10"/>
  <c r="H2857" i="10"/>
  <c r="H2858" i="10"/>
  <c r="H2859" i="10"/>
  <c r="H2860" i="10"/>
  <c r="H2861" i="10"/>
  <c r="H2862" i="10"/>
  <c r="H2863" i="10"/>
  <c r="H2864" i="10"/>
  <c r="H2865" i="10"/>
  <c r="H2866" i="10"/>
  <c r="H2867" i="10"/>
  <c r="H2868" i="10"/>
  <c r="H2869" i="10"/>
  <c r="H2870" i="10"/>
  <c r="H2871" i="10"/>
  <c r="H2872" i="10"/>
  <c r="H2873" i="10"/>
  <c r="H2874" i="10"/>
  <c r="H2875" i="10"/>
  <c r="H2876" i="10"/>
  <c r="H2877" i="10"/>
  <c r="H2878" i="10"/>
  <c r="H2879" i="10"/>
  <c r="H2880" i="10"/>
  <c r="H2881" i="10"/>
  <c r="H2882" i="10"/>
  <c r="H2883" i="10"/>
  <c r="H2884" i="10"/>
  <c r="H2885" i="10"/>
  <c r="H2886" i="10"/>
  <c r="H2887" i="10"/>
  <c r="H2888" i="10"/>
  <c r="H2889" i="10"/>
  <c r="H2890" i="10"/>
  <c r="H2891" i="10"/>
  <c r="H2892" i="10"/>
  <c r="H2893" i="10"/>
  <c r="H2894" i="10"/>
  <c r="H2895" i="10"/>
  <c r="H2896" i="10"/>
  <c r="H2897" i="10"/>
  <c r="H2898" i="10"/>
  <c r="H2899" i="10"/>
  <c r="H2900" i="10"/>
  <c r="H2901" i="10"/>
  <c r="H2902" i="10"/>
  <c r="H2903" i="10"/>
  <c r="H2904" i="10"/>
  <c r="H2905" i="10"/>
  <c r="H2906" i="10"/>
  <c r="H2907" i="10"/>
  <c r="H2908" i="10"/>
  <c r="H2909" i="10"/>
  <c r="H2910" i="10"/>
  <c r="H2911" i="10"/>
  <c r="H2912" i="10"/>
  <c r="H2913" i="10"/>
  <c r="H2914" i="10"/>
  <c r="H2915" i="10"/>
  <c r="H2916" i="10"/>
  <c r="H2917" i="10"/>
  <c r="H2918" i="10"/>
  <c r="H2919" i="10"/>
  <c r="H2920" i="10"/>
  <c r="H2921" i="10"/>
  <c r="H2922" i="10"/>
  <c r="H2923" i="10"/>
  <c r="H2924" i="10"/>
  <c r="H2925" i="10"/>
  <c r="H2926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K2" i="10" a="1"/>
  <c r="K2" i="10" s="1"/>
  <c r="I2" i="10"/>
  <c r="C2" i="10"/>
  <c r="G2" i="10"/>
  <c r="H2" i="10" s="1"/>
  <c r="J699" i="10" a="1"/>
  <c r="J465" i="10" a="1"/>
  <c r="J1052" i="10" a="1"/>
  <c r="J205" i="10" a="1"/>
  <c r="J843" i="10" a="1"/>
  <c r="J1200" i="10" a="1"/>
  <c r="J2317" i="10" a="1"/>
  <c r="J2224" i="10" a="1"/>
  <c r="J1818" i="10" a="1"/>
  <c r="J1631" i="10" a="1"/>
  <c r="J307" i="10" a="1"/>
  <c r="J1998" i="10" a="1"/>
  <c r="J1145" i="10" a="1"/>
  <c r="J222" i="10" a="1"/>
  <c r="J81" i="10" a="1"/>
  <c r="J1551" i="10" a="1"/>
  <c r="J341" i="10" a="1"/>
  <c r="J1950" i="10" a="1"/>
  <c r="J90" i="10" a="1"/>
  <c r="J1790" i="10" a="1"/>
  <c r="J1508" i="10" a="1"/>
  <c r="J1483" i="10" a="1"/>
  <c r="J339" i="10" a="1"/>
  <c r="J1836" i="10" a="1"/>
  <c r="J2243" i="10" a="1"/>
  <c r="J1658" i="10" a="1"/>
  <c r="J897" i="10" a="1"/>
  <c r="J454" i="10" a="1"/>
  <c r="J1019" i="10" a="1"/>
  <c r="J864" i="10" a="1"/>
  <c r="J404" i="10" a="1"/>
  <c r="J1303" i="10" a="1"/>
  <c r="J698" i="10" a="1"/>
  <c r="J2131" i="10" a="1"/>
  <c r="J1515" i="10" a="1"/>
  <c r="J356" i="10" a="1"/>
  <c r="J2079" i="10" a="1"/>
  <c r="J2275" i="10" a="1"/>
  <c r="J651" i="10" a="1"/>
  <c r="J2407" i="10" a="1"/>
  <c r="J1005" i="10" a="1"/>
  <c r="J957" i="10" a="1"/>
  <c r="J1113" i="10" a="1"/>
  <c r="J958" i="10" a="1"/>
  <c r="J49" i="10" a="1"/>
  <c r="J746" i="10" a="1"/>
  <c r="J1072" i="10" a="1"/>
  <c r="J407" i="10" a="1"/>
  <c r="J1180" i="10" a="1"/>
  <c r="J953" i="10" a="1"/>
  <c r="J2817" i="10" a="1"/>
  <c r="J670" i="10" a="1"/>
  <c r="J529" i="10" a="1"/>
  <c r="J1940" i="10" a="1"/>
  <c r="J152" i="10" a="1"/>
  <c r="J1886" i="10" a="1"/>
  <c r="J308" i="10" a="1"/>
  <c r="J2707" i="10" a="1"/>
  <c r="J2390" i="10" a="1"/>
  <c r="J143" i="10" a="1"/>
  <c r="J979" i="10" a="1"/>
  <c r="J2205" i="10" a="1"/>
  <c r="J1649" i="10" a="1"/>
  <c r="J689" i="10" a="1"/>
  <c r="J2255" i="10" a="1"/>
  <c r="J105" i="10" a="1"/>
  <c r="J555" i="10" a="1"/>
  <c r="J833" i="10" a="1"/>
  <c r="J22" i="10" a="1"/>
  <c r="J2766" i="10" a="1"/>
  <c r="J2441" i="10" a="1"/>
  <c r="J1770" i="10" a="1"/>
  <c r="J225" i="10" a="1"/>
  <c r="J2288" i="10" a="1"/>
  <c r="J2578" i="10" a="1"/>
  <c r="J37" i="10" a="1"/>
  <c r="J284" i="10" a="1"/>
  <c r="J1035" i="10" a="1"/>
  <c r="J1391" i="10" a="1"/>
  <c r="J181" i="10" a="1"/>
  <c r="J1496" i="10" a="1"/>
  <c r="J1659" i="10" a="1"/>
  <c r="J1042" i="10" a="1"/>
  <c r="J1753" i="10" a="1"/>
  <c r="J2629" i="10" a="1"/>
  <c r="J706" i="10" a="1"/>
  <c r="J2681" i="10" a="1"/>
  <c r="J1759" i="10" a="1"/>
  <c r="J725" i="10" a="1"/>
  <c r="J1310" i="10" a="1"/>
  <c r="J2902" i="10" a="1"/>
  <c r="J1420" i="10" a="1"/>
  <c r="J2053" i="10" a="1"/>
  <c r="J813" i="10" a="1"/>
  <c r="J1540" i="10" a="1"/>
  <c r="J1918" i="10" a="1"/>
  <c r="J495" i="10" a="1"/>
  <c r="J2526" i="10" a="1"/>
  <c r="J683" i="10" a="1"/>
  <c r="J594" i="10" a="1"/>
  <c r="J2016" i="10" a="1"/>
  <c r="J2446" i="10" a="1"/>
  <c r="J1782" i="10" a="1"/>
  <c r="J2497" i="10" a="1"/>
  <c r="J1474" i="10" a="1"/>
  <c r="J1421" i="10" a="1"/>
  <c r="J2432" i="10" a="1"/>
  <c r="J202" i="10" a="1"/>
  <c r="J2912" i="10" a="1"/>
  <c r="J2863" i="10" a="1"/>
  <c r="J88" i="10" a="1"/>
  <c r="J1901" i="10" a="1"/>
  <c r="J733" i="10" a="1"/>
  <c r="J134" i="10" a="1"/>
  <c r="J216" i="10" a="1"/>
  <c r="J118" i="10" a="1"/>
  <c r="J1625" i="10" a="1"/>
  <c r="J754" i="10" a="1"/>
  <c r="J2695" i="10" a="1"/>
  <c r="J1703" i="10" a="1"/>
  <c r="J711" i="10" a="1"/>
  <c r="J1023" i="10" a="1"/>
  <c r="J1332" i="10" a="1"/>
  <c r="J1596" i="10" a="1"/>
  <c r="J905" i="10" a="1"/>
  <c r="J1167" i="10" a="1"/>
  <c r="J196" i="10" a="1"/>
  <c r="J338" i="10" a="1"/>
  <c r="J2482" i="10" a="1"/>
  <c r="J319" i="10" a="1"/>
  <c r="J643" i="10" a="1"/>
  <c r="J565" i="10" a="1"/>
  <c r="J2258" i="10" a="1"/>
  <c r="J1563" i="10" a="1"/>
  <c r="J640" i="10" a="1"/>
  <c r="J948" i="10" a="1"/>
  <c r="J563" i="10" a="1"/>
  <c r="J2256" i="10" a="1"/>
  <c r="J1401" i="10" a="1"/>
  <c r="J478" i="10" a="1"/>
  <c r="J337" i="10" a="1"/>
  <c r="J748" i="10" a="1"/>
  <c r="J16" i="10" a="1"/>
  <c r="J597" i="10" a="1"/>
  <c r="J2211" i="10" a="1"/>
  <c r="J346" i="10" a="1"/>
  <c r="J159" i="10" a="1"/>
  <c r="J1764" i="10" a="1"/>
  <c r="J1398" i="10" a="1"/>
  <c r="J1343" i="10" a="1"/>
  <c r="J1667" i="10" a="1"/>
  <c r="J2095" i="10" a="1"/>
  <c r="J1837" i="10" a="1"/>
  <c r="J1932" i="10" a="1"/>
  <c r="J1577" i="10" a="1"/>
  <c r="J48" i="10" a="1"/>
  <c r="J2047" i="10" a="1"/>
  <c r="J2401" i="10" a="1"/>
  <c r="J2517" i="10" a="1"/>
  <c r="J975" i="10" a="1"/>
  <c r="J2238" i="10" a="1"/>
  <c r="J1761" i="10" a="1"/>
  <c r="J1718" i="10" a="1"/>
  <c r="J1531" i="10" a="1"/>
  <c r="J1376" i="10" a="1"/>
  <c r="J916" i="10" a="1"/>
  <c r="J1134" i="10" a="1"/>
  <c r="J68" i="10" a="1"/>
  <c r="J1095" i="10" a="1"/>
  <c r="J1692" i="10" a="1"/>
  <c r="J1371" i="10" a="1"/>
  <c r="J162" i="10" a="1"/>
  <c r="J1088" i="10" a="1"/>
  <c r="J1396" i="10" a="1"/>
  <c r="J1781" i="10" a="1"/>
  <c r="J1096" i="10" a="1"/>
  <c r="J433" i="10" a="1"/>
  <c r="J1997" i="10" a="1"/>
  <c r="J1196" i="10" a="1"/>
  <c r="J299" i="10" a="1"/>
  <c r="J577" i="10" a="1"/>
  <c r="J1237" i="10" a="1"/>
  <c r="J2254" i="10" a="1"/>
  <c r="J1117" i="10" a="1"/>
  <c r="J1556" i="10" a="1"/>
  <c r="J2577" i="10" a="1"/>
  <c r="J523" i="10" a="1"/>
  <c r="J879" i="10" a="1"/>
  <c r="J1700" i="10" a="1"/>
  <c r="J877" i="10" a="1"/>
  <c r="J1273" i="10" a="1"/>
  <c r="J2411" i="10" a="1"/>
  <c r="J271" i="10" a="1"/>
  <c r="J1092" i="10" a="1"/>
  <c r="J2546" i="10" a="1"/>
  <c r="J665" i="10" a="1"/>
  <c r="J1947" i="10" a="1"/>
  <c r="J35" i="10" a="1"/>
  <c r="J279" i="10" a="1"/>
  <c r="J873" i="10" a="1"/>
  <c r="J1323" i="10" a="1"/>
  <c r="J179" i="10" a="1"/>
  <c r="J1877" i="10" a="1"/>
  <c r="J2425" i="10" a="1"/>
  <c r="J2708" i="10" a="1"/>
  <c r="J753" i="10" a="1"/>
  <c r="J901" i="10" a="1"/>
  <c r="J2480" i="10" a="1"/>
  <c r="J251" i="10" a="1"/>
  <c r="J96" i="10" a="1"/>
  <c r="J1443" i="10" a="1"/>
  <c r="J2639" i="10" a="1"/>
  <c r="J821" i="10" a="1"/>
  <c r="J89" i="10" a="1"/>
  <c r="J1819" i="10" a="1"/>
  <c r="J896" i="10" a="1"/>
  <c r="J1204" i="10" a="1"/>
  <c r="J1431" i="10" a="1"/>
  <c r="J819" i="10" a="1"/>
  <c r="J2512" i="10" a="1"/>
  <c r="J1657" i="10" a="1"/>
  <c r="J734" i="10" a="1"/>
  <c r="J593" i="10" a="1"/>
  <c r="J1426" i="10" a="1"/>
  <c r="J569" i="10" a="1"/>
  <c r="J355" i="10" a="1"/>
  <c r="J1174" i="10" a="1"/>
  <c r="J2417" i="10" a="1"/>
  <c r="J2084" i="10" a="1"/>
  <c r="J2294" i="10" a="1"/>
  <c r="J110" i="10" a="1"/>
  <c r="J851" i="10" a="1"/>
  <c r="J2369" i="10" a="1"/>
  <c r="J2755" i="10" a="1"/>
  <c r="J347" i="10" a="1"/>
  <c r="J18" i="10" a="1"/>
  <c r="J136" i="10" a="1"/>
  <c r="J1644" i="10" a="1"/>
  <c r="J2147" i="10" a="1"/>
  <c r="J64" i="10" a="1"/>
  <c r="J372" i="10" a="1"/>
  <c r="J2607" i="10" a="1"/>
  <c r="J1552" i="10" a="1"/>
  <c r="J1650" i="10" a="1"/>
  <c r="J1628" i="10" a="1"/>
  <c r="J59" i="10" a="1"/>
  <c r="J1695" i="10" a="1"/>
  <c r="J250" i="10" a="1"/>
  <c r="J84" i="10" a="1"/>
  <c r="J450" i="10" a="1"/>
  <c r="J2082" i="10" a="1"/>
  <c r="J969" i="10" a="1"/>
  <c r="J1300" i="10" a="1"/>
  <c r="J2321" i="10" a="1"/>
  <c r="J267" i="10" a="1"/>
  <c r="J623" i="10" a="1"/>
  <c r="J1444" i="10" a="1"/>
  <c r="J198" i="10" a="1"/>
  <c r="J1923" i="10" a="1"/>
  <c r="J861" i="10" a="1"/>
  <c r="J876" i="10" a="1"/>
  <c r="J130" i="10" a="1"/>
  <c r="J847" i="10" a="1"/>
  <c r="J1313" i="10" a="1"/>
  <c r="J1260" i="10" a="1"/>
  <c r="J1720" i="10" a="1"/>
  <c r="J2529" i="10" a="1"/>
  <c r="J2109" i="10" a="1"/>
  <c r="J705" i="10" a="1"/>
  <c r="J2783" i="10" a="1"/>
  <c r="J121" i="10" a="1"/>
  <c r="J1083" i="10" a="1"/>
  <c r="J2210" i="10" a="1"/>
  <c r="J1546" i="10" a="1"/>
  <c r="J371" i="10" a="1"/>
  <c r="J661" i="10" a="1"/>
  <c r="J2354" i="10" a="1"/>
  <c r="J679" i="10" a="1"/>
  <c r="J293" i="10" a="1"/>
  <c r="J967" i="10" a="1"/>
  <c r="J1291" i="10" a="1"/>
  <c r="J1647" i="10" a="1"/>
  <c r="J437" i="10" a="1"/>
  <c r="J2209" i="10" a="1"/>
  <c r="J1691" i="10" a="1"/>
  <c r="J1786" i="10" a="1"/>
  <c r="J1620" i="10" a="1"/>
  <c r="J2816" i="10" a="1"/>
  <c r="J2738" i="10" a="1"/>
  <c r="J575" i="10" a="1"/>
  <c r="J899" i="10" a="1"/>
  <c r="J573" i="10" a="1"/>
  <c r="J1669" i="10" a="1"/>
  <c r="J2736" i="10" a="1"/>
  <c r="J507" i="10" a="1"/>
  <c r="J352" i="10" a="1"/>
  <c r="J1699" i="10" a="1"/>
  <c r="J2895" i="10" a="1"/>
  <c r="J1863" i="10" a="1"/>
  <c r="J1077" i="10" a="1"/>
  <c r="J345" i="10" a="1"/>
  <c r="J190" i="10" a="1"/>
  <c r="J1152" i="10" a="1"/>
  <c r="J1460" i="10" a="1"/>
  <c r="J1898" i="10" a="1"/>
  <c r="J987" i="10" a="1"/>
  <c r="J613" i="10" a="1"/>
  <c r="J1859" i="10" a="1"/>
  <c r="J2771" i="10" a="1"/>
  <c r="J1674" i="10" a="1"/>
  <c r="J2204" i="10" a="1"/>
  <c r="J528" i="10" a="1"/>
  <c r="J1109" i="10" a="1"/>
  <c r="J2723" i="10" a="1"/>
  <c r="J858" i="10" a="1"/>
  <c r="J671" i="10" a="1"/>
  <c r="J245" i="10" a="1"/>
  <c r="J2777" i="10" a="1"/>
  <c r="J909" i="10" a="1"/>
  <c r="J1081" i="10" a="1"/>
  <c r="J867" i="10" a="1"/>
  <c r="J2063" i="10" a="1"/>
  <c r="J300" i="10" a="1"/>
  <c r="J548" i="10" a="1"/>
  <c r="J2081" i="10" a="1"/>
  <c r="J1338" i="10" a="1"/>
  <c r="J383" i="10" a="1"/>
  <c r="J707" i="10" a="1"/>
  <c r="J638" i="10" a="1"/>
  <c r="J1682" i="10" a="1"/>
  <c r="J1138" i="10" a="1"/>
  <c r="J2308" i="10" a="1"/>
  <c r="J1387" i="10" a="1"/>
  <c r="J194" i="10" a="1"/>
  <c r="J2675" i="10" a="1"/>
  <c r="J591" i="10" a="1"/>
  <c r="J1057" i="10" a="1"/>
  <c r="J578" i="10" a="1"/>
  <c r="J1142" i="10" a="1"/>
  <c r="J326" i="10" a="1"/>
  <c r="J2152" i="10" a="1"/>
  <c r="J1527" i="10" a="1"/>
  <c r="J1034" i="10" a="1"/>
  <c r="J1281" i="10" a="1"/>
  <c r="J149" i="10" a="1"/>
  <c r="J1813" i="10" a="1"/>
  <c r="J170" i="10" a="1"/>
  <c r="J2038" i="10" a="1"/>
  <c r="J480" i="10" a="1"/>
  <c r="J1572" i="10" a="1"/>
  <c r="J327" i="10" a="1"/>
  <c r="J539" i="10" a="1"/>
  <c r="J1407" i="10" a="1"/>
  <c r="J2436" i="10" a="1"/>
  <c r="J47" i="10" a="1"/>
  <c r="J629" i="10" a="1"/>
  <c r="J2576" i="10" a="1"/>
  <c r="J2580" i="10" a="1"/>
  <c r="J2847" i="10" a="1"/>
  <c r="J2906" i="10" a="1"/>
  <c r="J1529" i="10" a="1"/>
  <c r="J2044" i="10" a="1"/>
  <c r="J1037" i="10" a="1"/>
  <c r="J822" i="10" a="1"/>
  <c r="J2088" i="10" a="1"/>
  <c r="J2208" i="10" a="1"/>
  <c r="J2466" i="10" a="1"/>
  <c r="J1802" i="10" a="1"/>
  <c r="J627" i="10" a="1"/>
  <c r="J917" i="10" a="1"/>
  <c r="J2610" i="10" a="1"/>
  <c r="J938" i="10" a="1"/>
  <c r="J955" i="10" a="1"/>
  <c r="J721" i="10" a="1"/>
  <c r="J1655" i="10" a="1"/>
  <c r="J888" i="10" a="1"/>
  <c r="J219" i="10" a="1"/>
  <c r="J1876" i="10" a="1"/>
  <c r="J1887" i="10" a="1"/>
  <c r="J2001" i="10" a="1"/>
  <c r="J906" i="10" a="1"/>
  <c r="J57" i="10" a="1"/>
  <c r="J1265" i="10" a="1"/>
  <c r="J1413" i="10" a="1"/>
  <c r="J1897" i="10" a="1"/>
  <c r="J1228" i="10" a="1"/>
  <c r="J1633" i="10" a="1"/>
  <c r="J712" i="10" a="1"/>
  <c r="J1087" i="10" a="1"/>
  <c r="J1411" i="10" a="1"/>
  <c r="J1809" i="10" a="1"/>
  <c r="J1308" i="10" a="1"/>
  <c r="J94" i="10" a="1"/>
  <c r="J323" i="10" a="1"/>
  <c r="J2786" i="10" a="1"/>
  <c r="J2469" i="10" a="1"/>
  <c r="J238" i="10" a="1"/>
  <c r="J609" i="10" a="1"/>
  <c r="J2809" i="10" a="1"/>
  <c r="J278" i="10" a="1"/>
  <c r="J857" i="10" a="1"/>
  <c r="J702" i="10" a="1"/>
  <c r="J1664" i="10" a="1"/>
  <c r="J1972" i="10" a="1"/>
  <c r="J2418" i="10" a="1"/>
  <c r="J1289" i="10" a="1"/>
  <c r="J218" i="10" a="1"/>
  <c r="J32" i="10" a="1"/>
  <c r="J1477" i="10" a="1"/>
  <c r="J2739" i="10" a="1"/>
  <c r="J362" i="10" a="1"/>
  <c r="J2561" i="10" a="1"/>
  <c r="J414" i="10" a="1"/>
  <c r="J273" i="10" a="1"/>
  <c r="J1684" i="10" a="1"/>
  <c r="J1630" i="10" a="1"/>
  <c r="J52" i="10" a="1"/>
  <c r="J2451" i="10" a="1"/>
  <c r="J2134" i="10" a="1"/>
  <c r="J1774" i="10" a="1"/>
  <c r="J723" i="10" a="1"/>
  <c r="J1468" i="10" a="1"/>
  <c r="J1166" i="10" a="1"/>
  <c r="J1892" i="10" a="1"/>
  <c r="J1749" i="10" a="1"/>
  <c r="J1756" i="10" a="1"/>
  <c r="J302" i="10" a="1"/>
  <c r="J1548" i="10" a="1"/>
  <c r="J2356" i="10" a="1"/>
  <c r="J1514" i="10" a="1"/>
  <c r="J1840" i="10" a="1"/>
  <c r="J2032" i="10" a="1"/>
  <c r="J2322" i="10" a="1"/>
  <c r="J1721" i="10" a="1"/>
  <c r="J976" i="10" a="1"/>
  <c r="J2221" i="10" a="1"/>
  <c r="J1506" i="10" a="1"/>
  <c r="J1559" i="10" a="1"/>
  <c r="J1438" i="10" a="1"/>
  <c r="J1297" i="10" a="1"/>
  <c r="J677" i="10" a="1"/>
  <c r="J527" i="10" a="1"/>
  <c r="J1348" i="10" a="1"/>
  <c r="J2802" i="10" a="1"/>
  <c r="J921" i="10" a="1"/>
  <c r="J766" i="10" a="1"/>
  <c r="J1006" i="10" a="1"/>
  <c r="J1102" i="10" a="1"/>
  <c r="J2199" i="10" a="1"/>
  <c r="J2297" i="10" a="1"/>
  <c r="J1763" i="10" a="1"/>
  <c r="J2389" i="10" a="1"/>
  <c r="J41" i="10" a="1"/>
  <c r="J303" i="10" a="1"/>
  <c r="J885" i="10" a="1"/>
  <c r="J2832" i="10" a="1"/>
  <c r="J2836" i="10" a="1"/>
  <c r="J1326" i="10" a="1"/>
  <c r="J1279" i="10" a="1"/>
  <c r="J1588" i="10" a="1"/>
  <c r="J1985" i="10" a="1"/>
  <c r="J793" i="10" a="1"/>
  <c r="J543" i="10" a="1"/>
  <c r="J1653" i="10" a="1"/>
  <c r="J925" i="10" a="1"/>
  <c r="J937" i="10" a="1"/>
  <c r="J1294" i="10" a="1"/>
  <c r="J475" i="10" a="1"/>
  <c r="J101" i="10" a="1"/>
  <c r="J664" i="10" a="1"/>
  <c r="J2259" i="10" a="1"/>
  <c r="J1162" i="10" a="1"/>
  <c r="J1516" i="10" a="1"/>
  <c r="J313" i="10" a="1"/>
  <c r="J99" i="10" a="1"/>
  <c r="J488" i="10" a="1"/>
  <c r="J2161" i="10" a="1"/>
  <c r="J1788" i="10" a="1"/>
  <c r="J512" i="10" a="1"/>
  <c r="J581" i="10" a="1"/>
  <c r="J120" i="10" a="1"/>
  <c r="J330" i="10" a="1"/>
  <c r="J656" i="10" a="1"/>
  <c r="J1476" i="10" a="1"/>
  <c r="J1903" i="10" a="1"/>
  <c r="J1133" i="10" a="1"/>
  <c r="J1275" i="10" a="1"/>
  <c r="J1120" i="10" a="1"/>
  <c r="J660" i="10" a="1"/>
  <c r="J1834" i="10" a="1"/>
  <c r="J171" i="10" a="1"/>
  <c r="J2737" i="10" a="1"/>
  <c r="J606" i="10" a="1"/>
  <c r="J835" i="10" a="1"/>
  <c r="J840" i="10" a="1"/>
  <c r="J1846" i="10" a="1"/>
  <c r="J750" i="10" a="1"/>
  <c r="J2915" i="10" a="1"/>
  <c r="J832" i="10" a="1"/>
  <c r="J1140" i="10" a="1"/>
  <c r="J1218" i="10" a="1"/>
  <c r="J177" i="10" a="1"/>
  <c r="J1618" i="10" a="1"/>
  <c r="J2693" i="10" a="1"/>
  <c r="J43" i="10" a="1"/>
  <c r="J321" i="10" a="1"/>
  <c r="J981" i="10" a="1"/>
  <c r="J1258" i="10" a="1"/>
  <c r="J1584" i="10" a="1"/>
  <c r="J1685" i="10" a="1"/>
  <c r="J2066" i="10" a="1"/>
  <c r="J1465" i="10" a="1"/>
  <c r="J720" i="10" a="1"/>
  <c r="J54" i="10" a="1"/>
  <c r="J854" i="10" a="1"/>
  <c r="J15" i="10" a="1"/>
  <c r="J836" i="10" a="1"/>
  <c r="J2290" i="10" a="1"/>
  <c r="J409" i="10" a="1"/>
  <c r="J254" i="10" a="1"/>
  <c r="J1779" i="10" a="1"/>
  <c r="J2041" i="10" a="1"/>
  <c r="J1084" i="10" a="1"/>
  <c r="J1934" i="10" a="1"/>
  <c r="J1856" i="10" a="1"/>
  <c r="J133" i="10" a="1"/>
  <c r="J2592" i="10" a="1"/>
  <c r="J961" i="10" a="1"/>
  <c r="J322" i="10" a="1"/>
  <c r="J377" i="10" a="1"/>
  <c r="J1339" i="10" a="1"/>
  <c r="J459" i="10" a="1"/>
  <c r="J737" i="10" a="1"/>
  <c r="J2800" i="10" a="1"/>
  <c r="J285" i="10" a="1"/>
  <c r="J634" i="10" a="1"/>
  <c r="J1744" i="10" a="1"/>
  <c r="J291" i="10" a="1"/>
  <c r="J962" i="10" a="1"/>
  <c r="J1129" i="10" a="1"/>
  <c r="J1211" i="10" a="1"/>
  <c r="J977" i="10" a="1"/>
  <c r="J2017" i="10" a="1"/>
  <c r="J1533" i="10" a="1"/>
  <c r="J1355" i="10" a="1"/>
  <c r="J1049" i="10" a="1"/>
  <c r="J799" i="10" a="1"/>
  <c r="J2015" i="10" a="1"/>
  <c r="J1560" i="10" a="1"/>
  <c r="J1193" i="10" a="1"/>
  <c r="J1550" i="10" a="1"/>
  <c r="J2730" i="10" a="1"/>
  <c r="J731" i="10" a="1"/>
  <c r="J357" i="10" a="1"/>
  <c r="J1350" i="10" a="1"/>
  <c r="J2515" i="10" a="1"/>
  <c r="J1418" i="10" a="1"/>
  <c r="J1315" i="10" a="1"/>
  <c r="J2496" i="10" a="1"/>
  <c r="J298" i="10" a="1"/>
  <c r="J718" i="10" a="1"/>
  <c r="J1459" i="10" a="1"/>
  <c r="J663" i="10" a="1"/>
  <c r="J2603" i="10" a="1"/>
  <c r="J1881" i="10" a="1"/>
  <c r="J1599" i="10" a="1"/>
  <c r="J116" i="10" a="1"/>
  <c r="J2351" i="10" a="1"/>
  <c r="J2114" i="10" a="1"/>
  <c r="J502" i="10" a="1"/>
  <c r="J477" i="10" a="1"/>
  <c r="J1024" i="10" a="1"/>
  <c r="J1093" i="10" a="1"/>
  <c r="J1469" i="10" a="1"/>
  <c r="J842" i="10" a="1"/>
  <c r="J474" i="10" a="1"/>
  <c r="J1849" i="10" a="1"/>
  <c r="J1635" i="10" a="1"/>
  <c r="J2831" i="10" a="1"/>
  <c r="J1783" i="10" a="1"/>
  <c r="J1044" i="10" a="1"/>
  <c r="J2065" i="10" a="1"/>
  <c r="J11" i="10" a="1"/>
  <c r="J367" i="10" a="1"/>
  <c r="J1188" i="10" a="1"/>
  <c r="J2896" i="10" a="1"/>
  <c r="J1646" i="10" a="1"/>
  <c r="J580" i="10" a="1"/>
  <c r="J2034" i="10" a="1"/>
  <c r="J153" i="10" a="1"/>
  <c r="J13" i="10" a="1"/>
  <c r="J1523" i="10" a="1"/>
  <c r="J1957" i="10" a="1"/>
  <c r="J402" i="10" a="1"/>
  <c r="J449" i="10" a="1"/>
  <c r="J2527" i="10" a="1"/>
  <c r="J2516" i="10" a="1"/>
  <c r="J827" i="10" a="1"/>
  <c r="J672" i="10" a="1"/>
  <c r="J1458" i="10" a="1"/>
  <c r="J86" i="10" a="1"/>
  <c r="J2201" i="10" a="1"/>
  <c r="J1018" i="10" a="1"/>
  <c r="J852" i="10" a="1"/>
  <c r="J2048" i="10" a="1"/>
  <c r="J2850" i="10" a="1"/>
  <c r="J1828" i="10" a="1"/>
  <c r="J1010" i="10" a="1"/>
  <c r="J795" i="10" a="1"/>
  <c r="J1663" i="10" a="1"/>
  <c r="J180" i="10" a="1"/>
  <c r="J603" i="10" a="1"/>
  <c r="J226" i="10" a="1"/>
  <c r="J2605" i="10" a="1"/>
  <c r="J2155" i="10" a="1"/>
  <c r="J2535" i="10" a="1"/>
  <c r="J1495" i="10" a="1"/>
  <c r="J2107" i="10" a="1"/>
  <c r="J1362" i="10" a="1"/>
  <c r="J914" i="10" a="1"/>
  <c r="J1895" i="10" a="1"/>
  <c r="J2406" i="10" a="1"/>
  <c r="J1958" i="10" a="1"/>
  <c r="J1335" i="10" a="1"/>
  <c r="J1461" i="10" a="1"/>
  <c r="J941" i="10" a="1"/>
  <c r="J1115" i="10" a="1"/>
  <c r="J2220" i="10" a="1"/>
  <c r="J2349" i="10" a="1"/>
  <c r="J1785" i="10" a="1"/>
  <c r="J50" i="10" a="1"/>
  <c r="J783" i="10" a="1"/>
  <c r="J1604" i="10" a="1"/>
  <c r="J200" i="10" a="1"/>
  <c r="J1177" i="10" a="1"/>
  <c r="J1022" i="10" a="1"/>
  <c r="J740" i="10" a="1"/>
  <c r="J549" i="10" a="1"/>
  <c r="J1591" i="10" a="1"/>
  <c r="J1547" i="10" a="1"/>
  <c r="J1535" i="10" a="1"/>
  <c r="J1844" i="10" a="1"/>
  <c r="J2244" i="10" a="1"/>
  <c r="J1417" i="10" a="1"/>
  <c r="J1679" i="10" a="1"/>
  <c r="J1467" i="10" a="1"/>
  <c r="J1233" i="10" a="1"/>
  <c r="J2274" i="10" a="1"/>
  <c r="J1952" i="10" a="1"/>
  <c r="J1611" i="10" a="1"/>
  <c r="J97" i="10" a="1"/>
  <c r="J1305" i="10" a="1"/>
  <c r="J1055" i="10" a="1"/>
  <c r="J2272" i="10" a="1"/>
  <c r="J1967" i="10" a="1"/>
  <c r="J1449" i="10" a="1"/>
  <c r="J1806" i="10" a="1"/>
  <c r="J232" i="10" a="1"/>
  <c r="J2754" i="10" a="1"/>
  <c r="J686" i="10" a="1"/>
  <c r="J1136" i="10" a="1"/>
  <c r="J616" i="10" a="1"/>
  <c r="J1351" i="10" a="1"/>
  <c r="J1137" i="10" a="1"/>
  <c r="J825" i="10" a="1"/>
  <c r="J611" i="10" a="1"/>
  <c r="J1746" i="10" a="1"/>
  <c r="J2673" i="10" a="1"/>
  <c r="J2340" i="10" a="1"/>
  <c r="J2566" i="10" a="1"/>
  <c r="J954" i="10" a="1"/>
  <c r="J20" i="10" a="1"/>
  <c r="J1068" i="10" a="1"/>
  <c r="J810" i="10" a="1"/>
  <c r="J1230" i="10" a="1"/>
  <c r="J730" i="10" a="1"/>
  <c r="J382" i="10" a="1"/>
  <c r="J1085" i="10" a="1"/>
  <c r="J455" i="10" a="1"/>
  <c r="J2052" i="10" a="1"/>
  <c r="J2735" i="10" a="1"/>
  <c r="J2419" i="10" a="1"/>
  <c r="J335" i="10" a="1"/>
  <c r="J801" i="10" a="1"/>
  <c r="J2879" i="10" a="1"/>
  <c r="J456" i="10" a="1"/>
  <c r="J193" i="10" a="1"/>
  <c r="J2271" i="10" a="1"/>
  <c r="J2260" i="10" a="1"/>
  <c r="J571" i="10" a="1"/>
  <c r="J416" i="10" a="1"/>
  <c r="J790" i="10" a="1"/>
  <c r="J2598" i="10" a="1"/>
  <c r="J2233" i="10" a="1"/>
  <c r="J1316" i="10" a="1"/>
  <c r="J2849" i="10" a="1"/>
  <c r="J283" i="10" a="1"/>
  <c r="J1151" i="10" a="1"/>
  <c r="J1475" i="10" a="1"/>
  <c r="J1982" i="10" a="1"/>
  <c r="J1927" i="10" a="1"/>
  <c r="J2776" i="10" a="1"/>
  <c r="J1406" i="10" a="1"/>
  <c r="J2543" i="10" a="1"/>
  <c r="J2306" i="10" a="1"/>
  <c r="J294" i="10" a="1"/>
  <c r="J1557" i="10" a="1"/>
  <c r="J1306" i="10" a="1"/>
  <c r="J1119" i="10" a="1"/>
  <c r="J675" i="10" a="1"/>
  <c r="J1857" i="10" a="1"/>
  <c r="J453" i="10" a="1"/>
  <c r="J2173" i="10" a="1"/>
  <c r="J1722" i="10" a="1"/>
  <c r="J2400" i="10" a="1"/>
  <c r="J2366" i="10" a="1"/>
  <c r="J2246" i="10" a="1"/>
  <c r="J598" i="10" a="1"/>
  <c r="J24" i="10" a="1"/>
  <c r="J685" i="10" a="1"/>
  <c r="J970" i="10" a="1"/>
  <c r="J2300" i="10" a="1"/>
  <c r="J1325" i="10" a="1"/>
  <c r="J2877" i="10" a="1"/>
  <c r="J2347" i="10" a="1"/>
  <c r="J482" i="10" a="1"/>
  <c r="J965" i="10" a="1"/>
  <c r="J2169" i="10" a="1"/>
  <c r="J1505" i="10" a="1"/>
  <c r="J156" i="10" a="1"/>
  <c r="J2878" i="10" a="1"/>
  <c r="J2774" i="10" a="1"/>
  <c r="J140" i="10" a="1"/>
  <c r="J510" i="10" a="1"/>
  <c r="J2476" i="10" a="1"/>
  <c r="J1850" i="10" a="1"/>
  <c r="J1226" i="10" a="1"/>
  <c r="J732" i="10" a="1"/>
  <c r="J34" i="10" a="1"/>
  <c r="J276" i="10" a="1"/>
  <c r="J2819" i="10" a="1"/>
  <c r="J2475" i="10" a="1"/>
  <c r="J1127" i="10" a="1"/>
  <c r="J2042" i="10" a="1"/>
  <c r="J775" i="10" a="1"/>
  <c r="J1748" i="10" a="1"/>
  <c r="J2102" i="10" a="1"/>
  <c r="J927" i="10" a="1"/>
  <c r="J184" i="10" a="1"/>
  <c r="J1031" i="10" a="1"/>
  <c r="J318" i="10" a="1"/>
  <c r="J1250" i="10" a="1"/>
  <c r="J2628" i="10" a="1"/>
  <c r="J1159" i="10" a="1"/>
  <c r="J650" i="10" a="1"/>
  <c r="J2821" i="10" a="1"/>
  <c r="J496" i="10" a="1"/>
  <c r="J296" i="10" a="1"/>
  <c r="J1217" i="10" a="1"/>
  <c r="J1004" i="10" a="1"/>
  <c r="J633" i="10" a="1"/>
  <c r="J1595" i="10" a="1"/>
  <c r="J1440" i="10" a="1"/>
  <c r="J2431" i="10" a="1"/>
  <c r="J2464" i="10" a="1"/>
  <c r="J1951" i="10" a="1"/>
  <c r="J80" i="10" a="1"/>
  <c r="J547" i="10" a="1"/>
  <c r="J1589" i="10" a="1"/>
  <c r="J1385" i="10" a="1"/>
  <c r="J1835" i="10" a="1"/>
  <c r="J691" i="10" a="1"/>
  <c r="J1791" i="10" a="1"/>
  <c r="J69" i="10" a="1"/>
  <c r="J2500" i="10" a="1"/>
  <c r="J1673" i="10" a="1"/>
  <c r="J144" i="10" a="1"/>
  <c r="J964" i="10" a="1"/>
  <c r="J1723" i="10" a="1"/>
  <c r="J67" i="10" a="1"/>
  <c r="J2530" i="10" a="1"/>
  <c r="J2213" i="10" a="1"/>
  <c r="J12" i="10" a="1"/>
  <c r="J353" i="10" a="1"/>
  <c r="J1094" i="10" a="1"/>
  <c r="J841" i="10" a="1"/>
  <c r="J1104" i="10" a="1"/>
  <c r="J132" i="10" a="1"/>
  <c r="J1462" i="10" a="1"/>
  <c r="J1815" i="10" a="1"/>
  <c r="J1190" i="10" a="1"/>
  <c r="J1243" i="10" a="1"/>
  <c r="J869" i="10" a="1"/>
  <c r="J2129" i="10" a="1"/>
  <c r="J983" i="10" a="1"/>
  <c r="J107" i="10" a="1"/>
  <c r="J2460" i="10" a="1"/>
  <c r="J2194" i="10" a="1"/>
  <c r="J1554" i="10" a="1"/>
  <c r="J758" i="10" a="1"/>
  <c r="J1198" i="10" a="1"/>
  <c r="J1648" i="10" a="1"/>
  <c r="J986" i="10" a="1"/>
  <c r="J800" i="10" a="1"/>
  <c r="J1811" i="10" a="1"/>
  <c r="J1058" i="10" a="1"/>
  <c r="J1130" i="10" a="1"/>
  <c r="J199" i="10" a="1"/>
  <c r="J522" i="10" a="1"/>
  <c r="J769" i="10" a="1"/>
  <c r="J1668" i="10" a="1"/>
  <c r="J583" i="10" a="1"/>
  <c r="J1513" i="10" a="1"/>
  <c r="J1060" i="10" a="1"/>
  <c r="J2593" i="10" a="1"/>
  <c r="J27" i="10" a="1"/>
  <c r="J895" i="10" a="1"/>
  <c r="J1219" i="10" a="1"/>
  <c r="J1590" i="10" a="1"/>
  <c r="J2664" i="10" a="1"/>
  <c r="J2410" i="10" a="1"/>
  <c r="J236" i="10" a="1"/>
  <c r="J794" i="10" a="1"/>
  <c r="J607" i="10" a="1"/>
  <c r="J163" i="10" a="1"/>
  <c r="J662" i="10" a="1"/>
  <c r="J2339" i="10" a="1"/>
  <c r="J1728" i="10" a="1"/>
  <c r="J187" i="10" a="1"/>
  <c r="J1824" i="10" a="1"/>
  <c r="J2865" i="10" a="1"/>
  <c r="J2532" i="10" a="1"/>
  <c r="J331" i="10" a="1"/>
  <c r="J1966" i="10" a="1"/>
  <c r="J1694" i="10" a="1"/>
  <c r="J131" i="10" a="1"/>
  <c r="J933" i="10" a="1"/>
  <c r="J2193" i="10" a="1"/>
  <c r="J1367" i="10" a="1"/>
  <c r="J2253" i="10" a="1"/>
  <c r="J249" i="10" a="1"/>
  <c r="J1276" i="10" a="1"/>
  <c r="J2824" i="10" a="1"/>
  <c r="J2156" i="10" a="1"/>
  <c r="J197" i="10" a="1"/>
  <c r="J1172" i="10" a="1"/>
  <c r="J2748" i="10" a="1"/>
  <c r="J1314" i="10" a="1"/>
  <c r="J1112" i="10" a="1"/>
  <c r="J1845" i="10" a="1"/>
  <c r="J902" i="10" a="1"/>
  <c r="J1757" i="10" a="1"/>
  <c r="J1565" i="10" a="1"/>
  <c r="J201" i="10" a="1"/>
  <c r="J1888" i="10" a="1"/>
  <c r="J1178" i="10" a="1"/>
  <c r="J2150" i="10" a="1"/>
  <c r="J53" i="10" a="1"/>
  <c r="J1623" i="10" a="1"/>
  <c r="J1051" i="10" a="1"/>
  <c r="J128" i="10" a="1"/>
  <c r="J436" i="10" a="1"/>
  <c r="J2753" i="10" a="1"/>
  <c r="J2722" i="10" a="1"/>
  <c r="J235" i="10" a="1"/>
  <c r="J883" i="10" a="1"/>
  <c r="J805" i="10" a="1"/>
  <c r="J1983" i="10" a="1"/>
  <c r="J1803" i="10" a="1"/>
  <c r="J368" i="10" a="1"/>
  <c r="J949" i="10" a="1"/>
  <c r="J803" i="10" a="1"/>
  <c r="J1981" i="10" a="1"/>
  <c r="J1641" i="10" a="1"/>
  <c r="J206" i="10" a="1"/>
  <c r="J947" i="10" a="1"/>
  <c r="J2655" i="10" a="1"/>
  <c r="J256" i="10" a="1"/>
  <c r="J325" i="10" a="1"/>
  <c r="J2756" i="10" a="1"/>
  <c r="J74" i="10" a="1"/>
  <c r="J400" i="10" a="1"/>
  <c r="J1220" i="10" a="1"/>
  <c r="J1862" i="10" a="1"/>
  <c r="J1259" i="10" a="1"/>
  <c r="J100" i="10" a="1"/>
  <c r="J1778" i="10" a="1"/>
  <c r="J2018" i="10" a="1"/>
  <c r="J395" i="10" a="1"/>
  <c r="J1817" i="10" a="1"/>
  <c r="J1567" i="10" a="1"/>
  <c r="J2784" i="10" a="1"/>
  <c r="J2483" i="10" a="1"/>
  <c r="J106" i="10" a="1"/>
  <c r="J431" i="10" a="1"/>
  <c r="J2123" i="10" a="1"/>
  <c r="J2342" i="10" a="1"/>
  <c r="J2033" i="10" a="1"/>
  <c r="J1353" i="10" a="1"/>
  <c r="J1616" i="10" a="1"/>
  <c r="J644" i="10" a="1"/>
  <c r="J1374" i="10" a="1"/>
  <c r="J1603" i="10" a="1"/>
  <c r="J2195" i="10" a="1"/>
  <c r="J1865" i="10" a="1"/>
  <c r="J1518" i="10" a="1"/>
  <c r="J802" i="10" a="1"/>
  <c r="J910" i="10" a="1"/>
  <c r="J1636" i="10" a="1"/>
  <c r="J1175" i="10" a="1"/>
  <c r="J1964" i="10" a="1"/>
  <c r="J1562" i="10" a="1"/>
  <c r="J1375" i="10" a="1"/>
  <c r="J931" i="10" a="1"/>
  <c r="J2127" i="10" a="1"/>
  <c r="J1921" i="10" a="1"/>
  <c r="J297" i="10" a="1"/>
  <c r="J559" i="10" a="1"/>
  <c r="J1141" i="10" a="1"/>
  <c r="J2720" i="10" a="1"/>
  <c r="J73" i="10" a="1"/>
  <c r="J336" i="10" a="1"/>
  <c r="J1171" i="10" a="1"/>
  <c r="J2864" i="10" a="1"/>
  <c r="J1061" i="10" a="1"/>
  <c r="J2242" i="10" a="1"/>
  <c r="J174" i="10" a="1"/>
  <c r="J624" i="10" a="1"/>
  <c r="J1205" i="10" a="1"/>
  <c r="J1904" i="10" a="1"/>
  <c r="J1059" i="10" a="1"/>
  <c r="J2240" i="10" a="1"/>
  <c r="J42" i="10" a="1"/>
  <c r="J462" i="10" a="1"/>
  <c r="J1203" i="10" a="1"/>
  <c r="J2911" i="10" a="1"/>
  <c r="J1321" i="10" a="1"/>
  <c r="J1583" i="10" a="1"/>
  <c r="J1714" i="10" a="1"/>
  <c r="J2145" i="10" a="1"/>
  <c r="J2261" i="10" a="1"/>
  <c r="J719" i="10" a="1"/>
  <c r="J350" i="10" a="1"/>
  <c r="J579" i="10" a="1"/>
  <c r="J157" i="10" a="1"/>
  <c r="J2725" i="10" a="1"/>
  <c r="J494" i="10" a="1"/>
  <c r="J865" i="10" a="1"/>
  <c r="J1334" i="10" a="1"/>
  <c r="J2252" i="10" a="1"/>
  <c r="J2387" i="10" a="1"/>
  <c r="J1771" i="10" a="1"/>
  <c r="J612" i="10" a="1"/>
  <c r="J2335" i="10" a="1"/>
  <c r="J1792" i="10" a="1"/>
  <c r="J1000" i="10" a="1"/>
  <c r="J2437" i="10" a="1"/>
  <c r="J1610" i="10" a="1"/>
  <c r="J65" i="10" a="1"/>
  <c r="J1002" i="10" a="1"/>
  <c r="J1328" i="10" a="1"/>
  <c r="J1090" i="10" a="1"/>
  <c r="J1751" i="10" a="1"/>
  <c r="J1209" i="10" a="1"/>
  <c r="J464" i="10" a="1"/>
  <c r="J242" i="10" a="1"/>
  <c r="J926" i="10" a="1"/>
  <c r="J785" i="10" a="1"/>
  <c r="J165" i="10" a="1"/>
  <c r="J838" i="10" a="1"/>
  <c r="J929" i="10" a="1"/>
  <c r="J2724" i="10" a="1"/>
  <c r="J667" i="10" a="1"/>
  <c r="J1500" i="10" a="1"/>
  <c r="J1600" i="10" a="1"/>
  <c r="J1908" i="10" a="1"/>
  <c r="J2336" i="10" a="1"/>
  <c r="J2035" i="10" a="1"/>
  <c r="J1816" i="10" a="1"/>
  <c r="J2744" i="10" a="1"/>
  <c r="J945" i="10" a="1"/>
  <c r="J2511" i="10" a="1"/>
  <c r="J361" i="10" a="1"/>
  <c r="J811" i="10" a="1"/>
  <c r="J1089" i="10" a="1"/>
  <c r="J1274" i="10" a="1"/>
  <c r="J1108" i="10" a="1"/>
  <c r="J2304" i="10" a="1"/>
  <c r="J328" i="10" a="1"/>
  <c r="J138" i="10" a="1"/>
  <c r="J469" i="10" a="1"/>
  <c r="J1707" i="10" a="1"/>
  <c r="J2374" i="10" a="1"/>
  <c r="J653" i="10" a="1"/>
  <c r="J1597" i="10" a="1"/>
  <c r="J2651" i="10" a="1"/>
  <c r="J230" i="10" a="1"/>
  <c r="J2177" i="10" a="1"/>
  <c r="J2501" i="10" a="1"/>
  <c r="J1544" i="10" a="1"/>
  <c r="J2085" i="10" a="1"/>
  <c r="J2341" i="10" a="1"/>
  <c r="J1738" i="10" a="1"/>
  <c r="J2413" i="10" a="1"/>
  <c r="J828" i="10" a="1"/>
  <c r="J701" i="10" a="1"/>
  <c r="J735" i="10" a="1"/>
  <c r="J214" i="10" a="1"/>
  <c r="J2536" i="10" a="1"/>
  <c r="J2357" i="10" a="1"/>
  <c r="J771" i="10" a="1"/>
  <c r="J2926" i="10" a="1"/>
  <c r="J944" i="10" a="1"/>
  <c r="J2232" i="10" a="1"/>
  <c r="J1399" i="10" a="1"/>
  <c r="J2316" i="10" a="1"/>
  <c r="J741" i="10" a="1"/>
  <c r="J1368" i="10" a="1"/>
  <c r="J1369" i="10" a="1"/>
  <c r="J71" i="10" a="1"/>
  <c r="J2439" i="10" a="1"/>
  <c r="J1074" i="10" a="1"/>
  <c r="J1654" i="10" a="1"/>
  <c r="J1690" i="10" a="1"/>
  <c r="J2702" i="10" a="1"/>
  <c r="J2100" i="10" a="1"/>
  <c r="J1712" i="10" a="1"/>
  <c r="J2392" i="10" a="1"/>
  <c r="J2804" i="10" a="1"/>
  <c r="J2828" i="10" a="1"/>
  <c r="J151" i="10" a="1"/>
  <c r="J2696" i="10" a="1"/>
  <c r="J1963" i="10" a="1"/>
  <c r="J489" i="10" a="1"/>
  <c r="J2226" i="10" a="1"/>
  <c r="J2452" i="10" a="1"/>
  <c r="J497" i="10" a="1"/>
  <c r="J645" i="10" a="1"/>
  <c r="J70" i="10" a="1"/>
  <c r="J2803" i="10" a="1"/>
  <c r="J2789" i="10" a="1"/>
  <c r="J1039" i="10" a="1"/>
  <c r="J1860" i="10" a="1"/>
  <c r="J886" i="10" a="1"/>
  <c r="J553" i="10" a="1"/>
  <c r="J815" i="10" a="1"/>
  <c r="J1397" i="10" a="1"/>
  <c r="J710" i="10" a="1"/>
  <c r="J1016" i="10" a="1"/>
  <c r="J669" i="10" a="1"/>
  <c r="J747" i="10" a="1"/>
  <c r="J1395" i="10" a="1"/>
  <c r="J534" i="10" a="1"/>
  <c r="J1053" i="10" a="1"/>
  <c r="J1706" i="10" a="1"/>
  <c r="J408" i="10" a="1"/>
  <c r="J585" i="10" a="1"/>
  <c r="J848" i="10" a="1"/>
  <c r="J1683" i="10" a="1"/>
  <c r="J792" i="10" a="1"/>
  <c r="J1271" i="10" a="1"/>
  <c r="J272" i="10" a="1"/>
  <c r="J853" i="10" a="1"/>
  <c r="J2467" i="10" a="1"/>
  <c r="J602" i="10" a="1"/>
  <c r="J415" i="10" a="1"/>
  <c r="J2020" i="10" a="1"/>
  <c r="J1571" i="10" a="1"/>
  <c r="J2752" i="10" a="1"/>
  <c r="J554" i="10" a="1"/>
  <c r="J974" i="10" a="1"/>
  <c r="J1715" i="10" a="1"/>
  <c r="J1346" i="10" a="1"/>
  <c r="J2569" i="10" a="1"/>
  <c r="J1741" i="10" a="1"/>
  <c r="J366" i="10" a="1"/>
  <c r="J1107" i="10" a="1"/>
  <c r="J2625" i="10" a="1"/>
  <c r="J812" i="10" a="1"/>
  <c r="J2479" i="10" a="1"/>
  <c r="J2163" i="10" a="1"/>
  <c r="J79" i="10" a="1"/>
  <c r="J545" i="10" a="1"/>
  <c r="J2623" i="10" a="1"/>
  <c r="J1808" i="10" a="1"/>
  <c r="J2014" i="10" a="1"/>
  <c r="J2002" i="10" a="1"/>
  <c r="J315" i="10" a="1"/>
  <c r="J160" i="10" a="1"/>
  <c r="J104" i="10" a="1"/>
  <c r="J506" i="10" a="1"/>
  <c r="J340" i="10" a="1"/>
  <c r="J1132" i="10" a="1"/>
  <c r="J2338" i="10" a="1"/>
  <c r="J1225" i="10" a="1"/>
  <c r="J2135" i="10" a="1"/>
  <c r="J1760" i="10" a="1"/>
  <c r="J2646" i="10" a="1"/>
  <c r="J1150" i="10" a="1"/>
  <c r="J2287" i="10" a="1"/>
  <c r="J2050" i="10" a="1"/>
  <c r="J2820" i="10" a="1"/>
  <c r="J14" i="10" a="1"/>
  <c r="J2222" i="10" a="1"/>
  <c r="J1272" i="10" a="1"/>
  <c r="J1525" i="10" a="1"/>
  <c r="J204" i="10" a="1"/>
  <c r="J1103" i="10" a="1"/>
  <c r="J147" i="10" a="1"/>
  <c r="J443" i="10" a="1"/>
  <c r="J209" i="10" a="1"/>
  <c r="J370" i="10" a="1"/>
  <c r="J2788" i="10" a="1"/>
  <c r="J587" i="10" a="1"/>
  <c r="J1040" i="10" a="1"/>
  <c r="J1419" i="10" a="1"/>
  <c r="J2206" i="10" a="1"/>
  <c r="J2379" i="10" a="1"/>
  <c r="J2666" i="10" a="1"/>
  <c r="J2126" i="10" a="1"/>
  <c r="J77" i="10" a="1"/>
  <c r="J1558" i="10" a="1"/>
  <c r="J709" i="10" a="1"/>
  <c r="J2093" i="10" a="1"/>
  <c r="J1765" i="10" a="1"/>
  <c r="J1622" i="10" a="1"/>
  <c r="J2622" i="10" a="1"/>
  <c r="J2518" i="10" a="1"/>
  <c r="J2117" i="10" a="1"/>
  <c r="J36" i="10" a="1"/>
  <c r="J814" i="10" a="1"/>
  <c r="J2760" i="10" a="1"/>
  <c r="J438" i="10" a="1"/>
  <c r="J2225" i="10" a="1"/>
  <c r="J2638" i="10" a="1"/>
  <c r="J1638" i="10" a="1"/>
  <c r="J1536" i="10" a="1"/>
  <c r="J2307" i="10" a="1"/>
  <c r="J1996" i="10" a="1"/>
  <c r="J444" i="10" a="1"/>
  <c r="J2921" i="10" a="1"/>
  <c r="J92" i="10" a="1"/>
  <c r="J155" i="10" a="1"/>
  <c r="J1214" i="10" a="1"/>
  <c r="J2822" i="10" a="1"/>
  <c r="J2573" i="10" a="1"/>
  <c r="J1436" i="10" a="1"/>
  <c r="J1772" i="10" a="1"/>
  <c r="J2486" i="10" a="1"/>
  <c r="J666" i="10" a="1"/>
  <c r="J532" i="10" a="1"/>
  <c r="J1541" i="10" a="1"/>
  <c r="J2280" i="10" a="1"/>
  <c r="J1713" i="10" a="1"/>
  <c r="J2859" i="10" a="1"/>
  <c r="J1530" i="10" a="1"/>
  <c r="J1364" i="10" a="1"/>
  <c r="J2560" i="10" a="1"/>
  <c r="J1014" i="10" a="1"/>
  <c r="J394" i="10" a="1"/>
  <c r="J348" i="10" a="1"/>
  <c r="J51" i="10" a="1"/>
  <c r="J1621" i="10" a="1"/>
  <c r="J889" i="10" a="1"/>
  <c r="J971" i="10" a="1"/>
  <c r="J1249" i="10" a="1"/>
  <c r="J621" i="10" a="1"/>
  <c r="J1592" i="10" a="1"/>
  <c r="J1146" i="10" a="1"/>
  <c r="J809" i="10" a="1"/>
  <c r="J1071" i="10" a="1"/>
  <c r="J445" i="10" a="1"/>
  <c r="J1389" i="10" a="1"/>
  <c r="J1629" i="10" a="1"/>
  <c r="J207" i="10" a="1"/>
  <c r="J1352" i="10" a="1"/>
  <c r="J1003" i="10" a="1"/>
  <c r="J1651" i="10" a="1"/>
  <c r="J1213" i="10" a="1"/>
  <c r="J1656" i="10" a="1"/>
  <c r="J139" i="10" a="1"/>
  <c r="J1075" i="10" a="1"/>
  <c r="J2768" i="10" a="1"/>
  <c r="J58" i="10" a="1"/>
  <c r="J990" i="10" a="1"/>
  <c r="J849" i="10" a="1"/>
  <c r="J1896" i="10" a="1"/>
  <c r="J918" i="10" a="1"/>
  <c r="J72" i="10" a="1"/>
  <c r="J942" i="10" a="1"/>
  <c r="J1392" i="10" a="1"/>
  <c r="J1302" i="10" a="1"/>
  <c r="J1861" i="10" a="1"/>
  <c r="J1027" i="10" a="1"/>
  <c r="J1693" i="10" a="1"/>
  <c r="J784" i="10" a="1"/>
  <c r="J1365" i="10" a="1"/>
  <c r="J556" i="10" a="1"/>
  <c r="J1114" i="10" a="1"/>
  <c r="J2801" i="10" a="1"/>
  <c r="J266" i="10" a="1"/>
  <c r="J513" i="10" a="1"/>
  <c r="J1412" i="10" a="1"/>
  <c r="J1324" i="10" a="1"/>
  <c r="J804" i="10" a="1"/>
  <c r="J2337" i="10" a="1"/>
  <c r="J1594" i="10" a="1"/>
  <c r="J639" i="10" a="1"/>
  <c r="J963" i="10" a="1"/>
  <c r="J966" i="10" a="1"/>
  <c r="J894" i="10" a="1"/>
  <c r="J2031" i="10" a="1"/>
  <c r="J1719" i="10" a="1"/>
  <c r="J2564" i="10" a="1"/>
  <c r="J1643" i="10" a="1"/>
  <c r="J1962" i="10" a="1"/>
  <c r="J461" i="10" a="1"/>
  <c r="J1754" i="10" a="1"/>
  <c r="J1568" i="10" a="1"/>
  <c r="J2609" i="10" a="1"/>
  <c r="J2276" i="10" a="1"/>
  <c r="J75" i="10" a="1"/>
  <c r="J432" i="10" a="1"/>
  <c r="J1671" i="10" a="1"/>
  <c r="J2183" i="10" a="1"/>
  <c r="J1949" i="10" a="1"/>
  <c r="J1290" i="10" a="1"/>
  <c r="J115" i="10" a="1"/>
  <c r="J405" i="10" a="1"/>
  <c r="J767" i="10" a="1"/>
  <c r="J1076" i="10" a="1"/>
  <c r="J972" i="10" a="1"/>
  <c r="J649" i="10" a="1"/>
  <c r="J911" i="10" a="1"/>
  <c r="J1091" i="10" a="1"/>
  <c r="J755" i="10" a="1"/>
  <c r="J920" i="10" a="1"/>
  <c r="J1925" i="10" a="1"/>
  <c r="J2444" i="10" a="1"/>
  <c r="J2795" i="10" a="1"/>
  <c r="J1821" i="10" a="1"/>
  <c r="J1320" i="10" a="1"/>
  <c r="J2596" i="10" a="1"/>
  <c r="J2461" i="10" a="1"/>
  <c r="J1545" i="10" a="1"/>
  <c r="J1843" i="10" a="1"/>
  <c r="J210" i="10" a="1"/>
  <c r="J2412" i="10" a="1"/>
  <c r="J1033" i="10" a="1"/>
  <c r="J1349" i="10" a="1"/>
  <c r="J281" i="10" a="1"/>
  <c r="J31" i="10" a="1"/>
  <c r="J364" i="10" a="1"/>
  <c r="J2818" i="10" a="1"/>
  <c r="J425" i="10" a="1"/>
  <c r="J782" i="10" a="1"/>
  <c r="J904" i="10" a="1"/>
  <c r="J309" i="10" a="1"/>
  <c r="J2000" i="10" a="1"/>
  <c r="J1307" i="10" a="1"/>
  <c r="J1295" i="10" a="1"/>
  <c r="J85" i="10" a="1"/>
  <c r="J1528" i="10" a="1"/>
  <c r="J1689" i="10" a="1"/>
  <c r="J1534" i="10" a="1"/>
  <c r="J1227" i="10" a="1"/>
  <c r="J83" i="10" a="1"/>
  <c r="J1304" i="10" a="1"/>
  <c r="J1984" i="10" a="1"/>
  <c r="J1402" i="10" a="1"/>
  <c r="J641" i="10" a="1"/>
  <c r="J1065" i="10" a="1"/>
  <c r="J1327" i="10" a="1"/>
  <c r="J1128" i="10" a="1"/>
  <c r="J1879" i="10" a="1"/>
  <c r="J2003" i="10" a="1"/>
  <c r="J463" i="10" a="1"/>
  <c r="J1333" i="10" a="1"/>
  <c r="J601" i="10" a="1"/>
  <c r="J446" i="10" a="1"/>
  <c r="J1408" i="10" a="1"/>
  <c r="J1716" i="10" a="1"/>
  <c r="J2162" i="10" a="1"/>
  <c r="J1686" i="10" a="1"/>
  <c r="J1097" i="10" a="1"/>
  <c r="J1360" i="10" a="1"/>
  <c r="J388" i="10" a="1"/>
  <c r="J1914" i="10" a="1"/>
  <c r="J233" i="10" a="1"/>
  <c r="J1842" i="10" a="1"/>
  <c r="J217" i="10" a="1"/>
  <c r="J1587" i="10" a="1"/>
  <c r="J536" i="10" a="1"/>
  <c r="J570" i="10" a="1"/>
  <c r="J1502" i="10" a="1"/>
  <c r="J119" i="10" a="1"/>
  <c r="J654" i="10" a="1"/>
  <c r="J1380" i="10" a="1"/>
  <c r="J492" i="10" a="1"/>
  <c r="J503" i="10" a="1"/>
  <c r="J2495" i="10" a="1"/>
  <c r="J282" i="10" a="1"/>
  <c r="J95" i="10" a="1"/>
  <c r="J1073" i="10" a="1"/>
  <c r="J1221" i="10" a="1"/>
  <c r="J1498" i="10" a="1"/>
  <c r="J1312" i="10" a="1"/>
  <c r="J2353" i="10" a="1"/>
  <c r="J2019" i="10" a="1"/>
  <c r="J1642" i="10" a="1"/>
  <c r="J176" i="10" a="1"/>
  <c r="J2283" i="10" a="1"/>
  <c r="J1920" i="10" a="1"/>
  <c r="J255" i="10" a="1"/>
  <c r="J564" i="10" a="1"/>
  <c r="J428" i="10" a="1"/>
  <c r="J137" i="10" a="1"/>
  <c r="J399" i="10" a="1"/>
  <c r="J1235" i="10" a="1"/>
  <c r="J2619" i="10" a="1"/>
  <c r="J2013" i="10" a="1"/>
  <c r="J2180" i="10" a="1"/>
  <c r="J1678" i="10" a="1"/>
  <c r="J373" i="10" a="1"/>
  <c r="J2320" i="10" a="1"/>
  <c r="J1201" i="10" a="1"/>
  <c r="J2767" i="10" a="1"/>
  <c r="J617" i="10" a="1"/>
  <c r="J1067" i="10" a="1"/>
  <c r="J1345" i="10" a="1"/>
  <c r="J360" i="10" a="1"/>
  <c r="J258" i="10" a="1"/>
  <c r="J1532" i="10" a="1"/>
  <c r="J246" i="10" a="1"/>
  <c r="J1155" i="10" a="1"/>
  <c r="J620" i="10" a="1"/>
  <c r="J1331" i="10" a="1"/>
  <c r="J1499" i="10" a="1"/>
  <c r="J1242" i="10" a="1"/>
  <c r="J844" i="10" a="1"/>
  <c r="J1665" i="10" a="1"/>
  <c r="J421" i="10" a="1"/>
  <c r="J2833" i="10" a="1"/>
  <c r="J2799" i="10" a="1"/>
  <c r="J2608" i="10" a="1"/>
  <c r="J2758" i="10" a="1"/>
  <c r="J652" i="10" a="1"/>
  <c r="J1347" i="10" a="1"/>
  <c r="J2492" i="10" a="1"/>
  <c r="J473" i="10" a="1"/>
  <c r="J1473" i="10" a="1"/>
  <c r="J1810" i="10" a="1"/>
  <c r="J978" i="10" a="1"/>
  <c r="J2611" i="10" a="1"/>
  <c r="J2493" i="10" a="1"/>
  <c r="J2668" i="10" a="1"/>
  <c r="J317" i="10" a="1"/>
  <c r="J2505" i="10" a="1"/>
  <c r="J1192" i="10" a="1"/>
  <c r="J2521" i="10" a="1"/>
  <c r="J2733" i="10" a="1"/>
  <c r="J1586" i="10" a="1"/>
  <c r="J2061" i="10" a="1"/>
  <c r="J2908" i="10" a="1"/>
  <c r="J2709" i="10" a="1"/>
  <c r="J1825" i="10" a="1"/>
  <c r="J146" i="10" a="1"/>
  <c r="J2112" i="10" a="1"/>
  <c r="J2292" i="10" a="1"/>
  <c r="J487" i="10" a="1"/>
  <c r="J2315" i="10" a="1"/>
  <c r="J2873" i="10" a="1"/>
  <c r="J1787" i="10" a="1"/>
  <c r="J680" i="10" a="1"/>
  <c r="J2396" i="10" a="1"/>
  <c r="J1170" i="10" a="1"/>
  <c r="J521" i="10" a="1"/>
  <c r="J2408" i="10" a="1"/>
  <c r="J1789" i="10" a="1"/>
  <c r="J158" i="10" a="1"/>
  <c r="J215" i="10" a="1"/>
  <c r="J476" i="10" a="1"/>
  <c r="J2602" i="10" a="1"/>
  <c r="J1752" i="10" a="1"/>
  <c r="J191" i="10" a="1"/>
  <c r="J2861" i="10" a="1"/>
  <c r="J2289" i="10" a="1"/>
  <c r="J1001" i="10" a="1"/>
  <c r="J2829" i="10" a="1"/>
  <c r="J2558" i="10" a="1"/>
  <c r="J1874" i="10" a="1"/>
  <c r="J2108" i="10" a="1"/>
  <c r="J514" i="10" a="1"/>
  <c r="J2325" i="10" a="1"/>
  <c r="J875" i="10" a="1"/>
  <c r="J1442" i="10" a="1"/>
  <c r="J1299" i="10" a="1"/>
  <c r="J1989" i="10" a="1"/>
  <c r="J1482" i="10" a="1"/>
  <c r="J2430" i="10" a="1"/>
  <c r="J2200" i="10" a="1"/>
  <c r="J2319" i="10" a="1"/>
  <c r="J2903" i="10" a="1"/>
  <c r="J2667" i="10" a="1"/>
  <c r="J2293" i="10" a="1"/>
  <c r="J572" i="10" a="1"/>
  <c r="J270" i="10" a="1"/>
  <c r="J2679" i="10" a="1"/>
  <c r="J261" i="10" a="1"/>
  <c r="J2503" i="10" a="1"/>
  <c r="J574" i="10" a="1"/>
  <c r="J45" i="10" a="1"/>
  <c r="J2920" i="10" a="1"/>
  <c r="J2626" i="10" a="1"/>
  <c r="J2858" i="10" a="1"/>
  <c r="J306" i="10" a="1"/>
  <c r="J2309" i="10" a="1"/>
  <c r="J1478" i="10" a="1"/>
  <c r="J55" i="10" a="1"/>
  <c r="J417" i="10" a="1"/>
  <c r="J708" i="10" a="1"/>
  <c r="J2857" i="10" a="1"/>
  <c r="J1191" i="10" a="1"/>
  <c r="J2846" i="10" a="1"/>
  <c r="J2484" i="10" a="1"/>
  <c r="J2749" i="10" a="1"/>
  <c r="J1937" i="10" a="1"/>
  <c r="J692" i="10" a="1"/>
  <c r="J2104" i="10" a="1"/>
  <c r="J2665" i="10" a="1"/>
  <c r="J829" i="10" a="1"/>
  <c r="J63" i="10" a="1"/>
  <c r="J1938" i="10" a="1"/>
  <c r="J1427" i="10" a="1"/>
  <c r="J668" i="10" a="1"/>
  <c r="J837" i="10" a="1"/>
  <c r="J304" i="10" a="1"/>
  <c r="J1390" i="10" a="1"/>
  <c r="J778" i="10" a="1"/>
  <c r="J240" i="10" a="1"/>
  <c r="J2594" i="10" a="1"/>
  <c r="J1050" i="10" a="1"/>
  <c r="J1359" i="10" a="1"/>
  <c r="J1199" i="10" a="1"/>
  <c r="J114" i="10" a="1"/>
  <c r="J2650" i="10" a="1"/>
  <c r="J1046" i="10" a="1"/>
  <c r="J1974" i="10" a="1"/>
  <c r="J1740" i="10" a="1"/>
  <c r="J2230" i="10" a="1"/>
  <c r="J2149" i="10" a="1"/>
  <c r="J1553" i="10" a="1"/>
  <c r="J358" i="10" a="1"/>
  <c r="J2188" i="10" a="1"/>
  <c r="J2793" i="10" a="1"/>
  <c r="J2181" i="10" a="1"/>
  <c r="J2301" i="10" a="1"/>
  <c r="J78" i="10" a="1"/>
  <c r="J1319" i="10" a="1"/>
  <c r="J2553" i="10" a="1"/>
  <c r="J493" i="10" a="1"/>
  <c r="J516" i="10" a="1"/>
  <c r="J1566" i="10" a="1"/>
  <c r="J505" i="10" a="1"/>
  <c r="J743" i="10" a="1"/>
  <c r="J2591" i="10" a="1"/>
  <c r="J1737" i="10" a="1"/>
  <c r="J2525" i="10" a="1"/>
  <c r="J2331" i="10" a="1"/>
  <c r="J2040" i="10" a="1"/>
  <c r="J1029" i="10" a="1"/>
  <c r="J1454" i="10" a="1"/>
  <c r="J1868" i="10" a="1"/>
  <c r="J1393" i="10" a="1"/>
  <c r="J2762" i="10" a="1"/>
  <c r="J1965" i="10" a="1"/>
  <c r="J2637" i="10" a="1"/>
  <c r="J2726" i="10" a="1"/>
  <c r="J1710" i="10" a="1"/>
  <c r="J2191" i="10" a="1"/>
  <c r="J696" i="10" a="1"/>
  <c r="J145" i="10" a="1"/>
  <c r="J2694" i="10" a="1"/>
  <c r="J1968" i="10" a="1"/>
  <c r="J2808" i="10" a="1"/>
  <c r="J2403" i="10" a="1"/>
  <c r="J1743" i="10" a="1"/>
  <c r="J751" i="10" a="1"/>
  <c r="J2442" i="10" a="1"/>
  <c r="J60" i="10" a="1"/>
  <c r="J2683" i="10" a="1"/>
  <c r="J1569" i="10" a="1"/>
  <c r="J1975" i="10" a="1"/>
  <c r="J467" i="10" a="1"/>
  <c r="J2327" i="10" a="1"/>
  <c r="J2277" i="10" a="1"/>
  <c r="J1777" i="10" a="1"/>
  <c r="J2706" i="10" a="1"/>
  <c r="J2029" i="10" a="1"/>
  <c r="J2855" i="10" a="1"/>
  <c r="J289" i="10" a="1"/>
  <c r="J2026" i="10" a="1"/>
  <c r="J2148" i="10" a="1"/>
  <c r="J2743" i="10" a="1"/>
  <c r="J2440" i="10" a="1"/>
  <c r="J1747" i="10" a="1"/>
  <c r="J1926" i="10" a="1"/>
  <c r="J2869" i="10" a="1"/>
  <c r="J2334" i="10" a="1"/>
  <c r="J2883" i="10" a="1"/>
  <c r="J2729" i="10" a="1"/>
  <c r="J2443" i="10" a="1"/>
  <c r="J526" i="10" a="1"/>
  <c r="J268" i="10" a="1"/>
  <c r="J189" i="10" a="1"/>
  <c r="J2759" i="10" a="1"/>
  <c r="J1870" i="10" a="1"/>
  <c r="J2219" i="10" a="1"/>
  <c r="J1891" i="10" a="1"/>
  <c r="J2721" i="10" a="1"/>
  <c r="J2371" i="10" a="1"/>
  <c r="J1676" i="10" a="1"/>
  <c r="J2616" i="10" a="1"/>
  <c r="J1110" i="10" a="1"/>
  <c r="J846" i="10" a="1"/>
  <c r="J1254" i="10" a="1"/>
  <c r="J413" i="10" a="1"/>
  <c r="J2554" i="10" a="1"/>
  <c r="J2891" i="10" a="1"/>
  <c r="J2901" i="10" a="1"/>
  <c r="J943" i="10" a="1"/>
  <c r="J1797" i="10" a="1"/>
  <c r="J2465" i="10" a="1"/>
  <c r="J2541" i="10" a="1"/>
  <c r="J126" i="10" a="1"/>
  <c r="J182" i="10" a="1"/>
  <c r="J1509" i="10" a="1"/>
  <c r="J922" i="10" a="1"/>
  <c r="J391" i="10" a="1"/>
  <c r="J1615" i="10" a="1"/>
  <c r="J1605" i="10" a="1"/>
  <c r="J1256" i="10" a="1"/>
  <c r="J1561" i="10" a="1"/>
  <c r="J1239" i="10" a="1"/>
  <c r="J1125" i="10" a="1"/>
  <c r="J1056" i="10" a="1"/>
  <c r="J538" i="10" a="1"/>
  <c r="J791" i="10" a="1"/>
  <c r="J2068" i="10" a="1"/>
  <c r="J290" i="10" a="1"/>
  <c r="J2544" i="10" a="1"/>
  <c r="J2642" i="10" a="1"/>
  <c r="J2118" i="10" a="1"/>
  <c r="J442" i="10" a="1"/>
  <c r="J1933" i="10" a="1"/>
  <c r="J2769" i="10" a="1"/>
  <c r="J781" i="10" a="1"/>
  <c r="J1445" i="10" a="1"/>
  <c r="J1930" i="10" a="1"/>
  <c r="J1990" i="10" a="1"/>
  <c r="J2459" i="10" a="1"/>
  <c r="J533" i="10" a="1"/>
  <c r="J2359" i="10" a="1"/>
  <c r="J1082" i="10" a="1"/>
  <c r="J1520" i="10" a="1"/>
  <c r="J893" i="10" a="1"/>
  <c r="J1207" i="10" a="1"/>
  <c r="J1873" i="10" a="1"/>
  <c r="J1066" i="10" a="1"/>
  <c r="J1020" i="10" a="1"/>
  <c r="J2372" i="10" a="1"/>
  <c r="J1884" i="10" a="1"/>
  <c r="J239" i="10" a="1"/>
  <c r="J141" i="10" a="1"/>
  <c r="J2399" i="10" a="1"/>
  <c r="J2139" i="10" a="1"/>
  <c r="J2509" i="10" a="1"/>
  <c r="J722" i="10" a="1"/>
  <c r="J390" i="10" a="1"/>
  <c r="J1632" i="10" a="1"/>
  <c r="J2313" i="10" a="1"/>
  <c r="J2565" i="10" a="1"/>
  <c r="J310" i="10" a="1"/>
  <c r="J1902" i="10" a="1"/>
  <c r="J1248" i="10" a="1"/>
  <c r="J2635" i="10" a="1"/>
  <c r="J17" i="10" a="1"/>
  <c r="J1366" i="10" a="1"/>
  <c r="J2653" i="10" a="1"/>
  <c r="J589" i="10" a="1"/>
  <c r="J2588" i="10" a="1"/>
  <c r="J470" i="10" a="1"/>
  <c r="J247" i="10" a="1"/>
  <c r="J1609" i="10" a="1"/>
  <c r="J1013" i="10" a="1"/>
  <c r="J2229" i="10" a="1"/>
  <c r="J2474" i="10" a="1"/>
  <c r="J334" i="10" a="1"/>
  <c r="J2504" i="10" a="1"/>
  <c r="J1452" i="10" a="1"/>
  <c r="J2644" i="10" a="1"/>
  <c r="J2640" i="10" a="1"/>
  <c r="J1913" i="10" a="1"/>
  <c r="J1409" i="10" a="1"/>
  <c r="J1704" i="10" a="1"/>
  <c r="J2470" i="10" a="1"/>
  <c r="J1017" i="10" a="1"/>
  <c r="J2278" i="10" a="1"/>
  <c r="J1851" i="10" a="1"/>
  <c r="J1697" i="10" a="1"/>
  <c r="J150" i="10" a="1"/>
  <c r="J2574" i="10" a="1"/>
  <c r="J2923" i="10" a="1"/>
  <c r="J1948" i="10" a="1"/>
  <c r="J2178" i="10" a="1"/>
  <c r="J396" i="10" a="1"/>
  <c r="J1453" i="10" a="1"/>
  <c r="J727" i="10" a="1"/>
  <c r="J123" i="10" a="1"/>
  <c r="J2110" i="10" a="1"/>
  <c r="J452" i="10" a="1"/>
  <c r="J1336" i="10" a="1"/>
  <c r="J466" i="10" a="1"/>
  <c r="J2590" i="10" a="1"/>
  <c r="J1900" i="10" a="1"/>
  <c r="J1922" i="10" a="1"/>
  <c r="J490" i="10" a="1"/>
  <c r="J1450" i="10" a="1"/>
  <c r="J2007" i="10" a="1"/>
  <c r="J1080" i="10" a="1"/>
  <c r="J2218" i="10" a="1"/>
  <c r="J658" i="10" a="1"/>
  <c r="J76" i="10" a="1"/>
  <c r="J2600" i="10" a="1"/>
  <c r="J687" i="10" a="1"/>
  <c r="J2236" i="10" a="1"/>
  <c r="J2176" i="10" a="1"/>
  <c r="J647" i="10" a="1"/>
  <c r="J2386" i="10" a="1"/>
  <c r="J2876" i="10" a="1"/>
  <c r="J1079" i="10" a="1"/>
  <c r="J1435" i="10" a="1"/>
  <c r="J61" i="10" a="1"/>
  <c r="J2538" i="10" a="1"/>
  <c r="J1988" i="10" a="1"/>
  <c r="J1890" i="10" a="1"/>
  <c r="J648" i="10" a="1"/>
  <c r="J387" i="10" a="1"/>
  <c r="J491" i="10" a="1"/>
  <c r="J109" i="10" a="1"/>
  <c r="J1739" i="10" a="1"/>
  <c r="J806" i="10" a="1"/>
  <c r="J2303" i="10" a="1"/>
  <c r="J324" i="10" a="1"/>
  <c r="J1344" i="10" a="1"/>
  <c r="J959" i="10" a="1"/>
  <c r="J1494" i="10" a="1"/>
  <c r="J779" i="10" a="1"/>
  <c r="J389" i="10" a="1"/>
  <c r="J2485" i="10" a="1"/>
  <c r="J2477" i="10" a="1"/>
  <c r="J2841" i="10" a="1"/>
  <c r="J1015" i="10" a="1"/>
  <c r="J125" i="10" a="1"/>
  <c r="J1216" i="10" a="1"/>
  <c r="J1961" i="10" a="1"/>
  <c r="J2121" i="10" a="1"/>
  <c r="J999" i="10" a="1"/>
  <c r="J2140" i="10" a="1"/>
  <c r="J2645" i="10" a="1"/>
  <c r="J642" i="10" a="1"/>
  <c r="J1098" i="10" a="1"/>
  <c r="J295" i="10" a="1"/>
  <c r="J2282" i="10" a="1"/>
  <c r="J2059" i="10" a="1"/>
  <c r="J830" i="10" a="1"/>
  <c r="J1354" i="10" a="1"/>
  <c r="J2732" i="10" a="1"/>
  <c r="J1538" i="10" a="1"/>
  <c r="J1549" i="10" a="1"/>
  <c r="J2116" i="10" a="1"/>
  <c r="J2614" i="10" a="1"/>
  <c r="J1838" i="10" a="1"/>
  <c r="J2839" i="10" a="1"/>
  <c r="J2652" i="10" a="1"/>
  <c r="J610" i="10" a="1"/>
  <c r="J2119" i="10" a="1"/>
  <c r="J1486" i="10" a="1"/>
  <c r="J2285" i="10" a="1"/>
  <c r="J1036" i="10" a="1"/>
  <c r="J2158" i="10" a="1"/>
  <c r="J1804" i="10" a="1"/>
  <c r="J38" i="10" a="1"/>
  <c r="J2027" i="10" a="1"/>
  <c r="J1742" i="10" a="1"/>
  <c r="J2171" i="10" a="1"/>
  <c r="J1894" i="10" a="1"/>
  <c r="J1971" i="10" a="1"/>
  <c r="J2537" i="10" a="1"/>
  <c r="J614" i="10" a="1"/>
  <c r="J1839" i="10" a="1"/>
  <c r="J320" i="10" a="1"/>
  <c r="J541" i="10" a="1"/>
  <c r="J311" i="10" a="1"/>
  <c r="J2265" i="10" a="1"/>
  <c r="J2835" i="10" a="1"/>
  <c r="J1503" i="10" a="1"/>
  <c r="J2120" i="10" a="1"/>
  <c r="J2545" i="10" a="1"/>
  <c r="J1257" i="10" a="1"/>
  <c r="J2267" i="10" a="1"/>
  <c r="J2814" i="10" a="1"/>
  <c r="J1512" i="10" a="1"/>
  <c r="J2364" i="10" a="1"/>
  <c r="J2273" i="10" a="1"/>
  <c r="J1416" i="10" a="1"/>
  <c r="J1143" i="10" a="1"/>
  <c r="J1378" i="10" a="1"/>
  <c r="J2086" i="10" a="1"/>
  <c r="J2491" i="10" a="1"/>
  <c r="J2899" i="10" a="1"/>
  <c r="J682" i="10" a="1"/>
  <c r="J2312" i="10" a="1"/>
  <c r="J2633" i="10" a="1"/>
  <c r="J1244" i="10" a="1"/>
  <c r="J659" i="10" a="1"/>
  <c r="J1009" i="10" a="1"/>
  <c r="J626" i="10" a="1"/>
  <c r="J1311" i="10" a="1"/>
  <c r="J314" i="10" a="1"/>
  <c r="J2385" i="10" a="1"/>
  <c r="J2097" i="10" a="1"/>
  <c r="J1025" i="10" a="1"/>
  <c r="J860" i="10" a="1"/>
  <c r="J1481" i="10" a="1"/>
  <c r="J863" i="10" a="1"/>
  <c r="J2562" i="10" a="1"/>
  <c r="J231" i="10" a="1"/>
  <c r="J1463" i="10" a="1"/>
  <c r="J1264" i="10" a="1"/>
  <c r="J1262" i="10" a="1"/>
  <c r="J2270" i="10" a="1"/>
  <c r="J2328" i="10" a="1"/>
  <c r="J881" i="10" a="1"/>
  <c r="J1280" i="10" a="1"/>
  <c r="J224" i="10" a="1"/>
  <c r="J1309" i="10" a="1"/>
  <c r="J2887" i="10" a="1"/>
  <c r="J260" i="10" a="1"/>
  <c r="J498" i="10" a="1"/>
  <c r="J2075" i="10" a="1"/>
  <c r="J1206" i="10" a="1"/>
  <c r="J2409" i="10" a="1"/>
  <c r="J1282" i="10" a="1"/>
  <c r="J968" i="10" a="1"/>
  <c r="J2893" i="10" a="1"/>
  <c r="J2457" i="10" a="1"/>
  <c r="J988" i="10" a="1"/>
  <c r="J552" i="10" a="1"/>
  <c r="J2719" i="10" a="1"/>
  <c r="J1252" i="10" a="1"/>
  <c r="J1776" i="10" a="1"/>
  <c r="J2691" i="10" a="1"/>
  <c r="J2889" i="10" a="1"/>
  <c r="J2701" i="10" a="1"/>
  <c r="J1100" i="10" a="1"/>
  <c r="J1285" i="10" a="1"/>
  <c r="J2330" i="10" a="1"/>
  <c r="J1614" i="10" a="1"/>
  <c r="J1677" i="10" a="1"/>
  <c r="J1794" i="10" a="1"/>
  <c r="J2262" i="10" a="1"/>
  <c r="J1433" i="10" a="1"/>
  <c r="J2826" i="10" a="1"/>
  <c r="J1283" i="10" a="1"/>
  <c r="J1745" i="10" a="1"/>
  <c r="J2091" i="10" a="1"/>
  <c r="J1575" i="10" a="1"/>
  <c r="J2055" i="10" a="1"/>
  <c r="J1872" i="10" a="1"/>
  <c r="J1493" i="10" a="1"/>
  <c r="J2329" i="10" a="1"/>
  <c r="J19" i="10" a="1"/>
  <c r="J471" i="10" a="1"/>
  <c r="J2548" i="10" a="1"/>
  <c r="J2424" i="10" a="1"/>
  <c r="J2659" i="10" a="1"/>
  <c r="J208" i="10" a="1"/>
  <c r="J448" i="10" a="1"/>
  <c r="J2153" i="10" a="1"/>
  <c r="J2670" i="10" a="1"/>
  <c r="J1702" i="10" a="1"/>
  <c r="J1987" i="10" a="1"/>
  <c r="J878" i="10" a="1"/>
  <c r="J1956" i="10" a="1"/>
  <c r="J584" i="10" a="1"/>
  <c r="J2780" i="10" a="1"/>
  <c r="J1640" i="10" a="1"/>
  <c r="J1593" i="10" a="1"/>
  <c r="J1488" i="10" a="1"/>
  <c r="J756" i="10" a="1"/>
  <c r="J2345" i="10" a="1"/>
  <c r="J1976" i="10" a="1"/>
  <c r="J1208" i="10" a="1"/>
  <c r="J2534" i="10" a="1"/>
  <c r="J234" i="10" a="1"/>
  <c r="J1194" i="10" a="1"/>
  <c r="J2362" i="10" a="1"/>
  <c r="J1382" i="10" a="1"/>
  <c r="J2617" i="10" a="1"/>
  <c r="J568" i="10" a="1"/>
  <c r="J2115" i="10" a="1"/>
  <c r="J816" i="10" a="1"/>
  <c r="J66" i="10" a="1"/>
  <c r="J1729" i="10" a="1"/>
  <c r="J2914" i="10" a="1"/>
  <c r="J259" i="10" a="1"/>
  <c r="J2715" i="10" a="1"/>
  <c r="J56" i="10" a="1"/>
  <c r="J2922" i="10" a="1"/>
  <c r="J2130" i="10" a="1"/>
  <c r="J759" i="10" a="1"/>
  <c r="J2028" i="10" a="1"/>
  <c r="J1158" i="10" a="1"/>
  <c r="J1181" i="10" a="1"/>
  <c r="J2714" i="10" a="1"/>
  <c r="J1195" i="10" a="1"/>
  <c r="J773" i="10" a="1"/>
  <c r="J1298" i="10" a="1"/>
  <c r="J1612" i="10" a="1"/>
  <c r="J2344" i="10" a="1"/>
  <c r="J657" i="10" a="1"/>
  <c r="J1189" i="10" a="1"/>
  <c r="J1139" i="10" a="1"/>
  <c r="J588" i="10" a="1"/>
  <c r="J595" i="10" a="1"/>
  <c r="J586" i="10" a="1"/>
  <c r="J2657" i="10" a="1"/>
  <c r="J1687" i="10" a="1"/>
  <c r="J351" i="10" a="1"/>
  <c r="J1270" i="10" a="1"/>
  <c r="J558" i="10" a="1"/>
  <c r="J393" i="10" a="1"/>
  <c r="J403" i="10" a="1"/>
  <c r="J1977" i="10" a="1"/>
  <c r="J1164" i="10" a="1"/>
  <c r="J1489" i="10" a="1"/>
  <c r="J859" i="10" a="1"/>
  <c r="J173" i="10" a="1"/>
  <c r="J872" i="10" a="1"/>
  <c r="J1062" i="10" a="1"/>
  <c r="J1222" i="10" a="1"/>
  <c r="J2805" i="10" a="1"/>
  <c r="J2662" i="10" a="1"/>
  <c r="J1284" i="10" a="1"/>
  <c r="J2481" i="10" a="1"/>
  <c r="J6" i="10" a="1"/>
  <c r="J2264" i="10" a="1"/>
  <c r="J286" i="10" a="1"/>
  <c r="J694" i="10" a="1"/>
  <c r="J2924" i="10" a="1"/>
  <c r="J1424" i="10" a="1"/>
  <c r="J1229" i="10" a="1"/>
  <c r="J2522" i="10" a="1"/>
  <c r="J108" i="10" a="1"/>
  <c r="J103" i="10" a="1"/>
  <c r="J2279" i="10" a="1"/>
  <c r="J500" i="10" a="1"/>
  <c r="J2245" i="10" a="1"/>
  <c r="J87" i="10" a="1"/>
  <c r="J2601" i="10" a="1"/>
  <c r="J301" i="10" a="1"/>
  <c r="J749" i="10" a="1"/>
  <c r="J2582" i="10" a="1"/>
  <c r="J1032" i="10" a="1"/>
  <c r="J1564" i="10" a="1"/>
  <c r="J2728" i="10" a="1"/>
  <c r="J1457" i="10" a="1"/>
  <c r="J1537" i="10" a="1"/>
  <c r="J540" i="10" a="1"/>
  <c r="J2187" i="10" a="1"/>
  <c r="J2853" i="10" a="1"/>
  <c r="J1576" i="10" a="1"/>
  <c r="J154" i="10" a="1"/>
  <c r="J1941" i="10" a="1"/>
  <c r="J2856" i="10" a="1"/>
  <c r="J628" i="10" a="1"/>
  <c r="J1866" i="10" a="1"/>
  <c r="J856" i="10" a="1"/>
  <c r="J1400" i="10" a="1"/>
  <c r="J2844" i="10" a="1"/>
  <c r="J1149" i="10" a="1"/>
  <c r="J479" i="10" a="1"/>
  <c r="J10" i="10" a="1"/>
  <c r="J1269" i="10" a="1"/>
  <c r="J2549" i="10" a="1"/>
  <c r="J777" i="10" a="1"/>
  <c r="J1822" i="10" a="1"/>
  <c r="J1543" i="10" a="1"/>
  <c r="J1909" i="10" a="1"/>
  <c r="J264" i="10" a="1"/>
  <c r="J333" i="10" a="1"/>
  <c r="J1405" i="10" a="1"/>
  <c r="J2490" i="10" a="1"/>
  <c r="J2713" i="10" a="1"/>
  <c r="J398" i="10" a="1"/>
  <c r="J2175" i="10" a="1"/>
  <c r="J380" i="10" a="1"/>
  <c r="J531" i="10" a="1"/>
  <c r="J752" i="10" a="1"/>
  <c r="J2043" i="10" a="1"/>
  <c r="J2428" i="10" a="1"/>
  <c r="J1755" i="10" a="1"/>
  <c r="J129" i="10" a="1"/>
  <c r="J21" i="10" a="1"/>
  <c r="J262" i="10" a="1"/>
  <c r="J1607" i="10" a="1"/>
  <c r="J1447" i="10" a="1"/>
  <c r="J2790" i="10" a="1"/>
  <c r="J406" i="10" a="1"/>
  <c r="J674" i="10" a="1"/>
  <c r="J2764" i="10" a="1"/>
  <c r="J2137" i="10" a="1"/>
  <c r="J1501" i="10" a="1"/>
  <c r="J1492" i="10" a="1"/>
  <c r="J2621" i="10" a="1"/>
  <c r="J622" i="10" a="1"/>
  <c r="J907" i="10" a="1"/>
  <c r="J1601" i="10" a="1"/>
  <c r="J2427" i="10" a="1"/>
  <c r="J2746" i="10" a="1"/>
  <c r="J1820" i="10" a="1"/>
  <c r="J681" i="10" a="1"/>
  <c r="J2663" i="10" a="1"/>
  <c r="J2925" i="10" a="1"/>
  <c r="J1993" i="10" a="1"/>
  <c r="J2741" i="10" a="1"/>
  <c r="J1929" i="10" a="1"/>
  <c r="J2367" i="10" a="1"/>
  <c r="J2352" i="10" a="1"/>
  <c r="J1157" i="10" a="1"/>
  <c r="J237" i="10" a="1"/>
  <c r="J2528" i="10" a="1"/>
  <c r="J1246" i="10" a="1"/>
  <c r="J460" i="10" a="1"/>
  <c r="J1660" i="10" a="1"/>
  <c r="J1652" i="10" a="1"/>
  <c r="J1917" i="10" a="1"/>
  <c r="J995" i="10" a="1"/>
  <c r="J1135" i="10" a="1"/>
  <c r="J2834" i="10" a="1"/>
  <c r="J2165" i="10" a="1"/>
  <c r="J2202" i="10" a="1"/>
  <c r="J2570" i="10" a="1"/>
  <c r="J1455" i="10" a="1"/>
  <c r="J2455" i="10" a="1"/>
  <c r="J2917" i="10" a="1"/>
  <c r="J2103" i="10" a="1"/>
  <c r="J826" i="10" a="1"/>
  <c r="J392" i="10" a="1"/>
  <c r="J2556" i="10" a="1"/>
  <c r="J2807" i="10" a="1"/>
  <c r="J845" i="10" a="1"/>
  <c r="J1168" i="10" a="1"/>
  <c r="J1169" i="10" a="1"/>
  <c r="J2627" i="10" a="1"/>
  <c r="J1425" i="10" a="1"/>
  <c r="J2615" i="10" a="1"/>
  <c r="J2098" i="10" a="1"/>
  <c r="J2125" i="10" a="1"/>
  <c r="J1598" i="10" a="1"/>
  <c r="J636" i="10" a="1"/>
  <c r="J1826" i="10" a="1"/>
  <c r="J2745" i="10" a="1"/>
  <c r="J1867" i="10" a="1"/>
  <c r="J354" i="10" a="1"/>
  <c r="J2251" i="10" a="1"/>
  <c r="J1179" i="10" a="1"/>
  <c r="J2234" i="10" a="1"/>
  <c r="J435" i="10" a="1"/>
  <c r="J274" i="10" a="1"/>
  <c r="J2792" i="10" a="1"/>
  <c r="J440" i="10" a="1"/>
  <c r="J2656" i="10" a="1"/>
  <c r="J1414" i="10" a="1"/>
  <c r="J544" i="10" a="1"/>
  <c r="J164" i="10" a="1"/>
  <c r="J2207" i="10" a="1"/>
  <c r="J2011" i="10" a="1"/>
  <c r="J1373" i="10" a="1"/>
  <c r="J796" i="10" a="1"/>
  <c r="J1847" i="10" a="1"/>
  <c r="J2677" i="10" a="1"/>
  <c r="J112" i="10" a="1"/>
  <c r="J998" i="10" a="1"/>
  <c r="J2797" i="10" a="1"/>
  <c r="J2231" i="10" a="1"/>
  <c r="J2557" i="10" a="1"/>
  <c r="J700" i="10" a="1"/>
  <c r="J2813" i="10" a="1"/>
  <c r="J576" i="10" a="1"/>
  <c r="J1224" i="10" a="1"/>
  <c r="J994" i="10" a="1"/>
  <c r="J2773" i="10" a="1"/>
  <c r="J1841" i="10" a="1"/>
  <c r="J1008" i="10" a="1"/>
  <c r="J2073" i="10" a="1"/>
  <c r="J2680" i="10" a="1"/>
  <c r="J1361" i="10" a="1"/>
  <c r="J2494" i="10" a="1"/>
  <c r="J2874" i="10" a="1"/>
  <c r="J227" i="10" a="1"/>
  <c r="J1379" i="10" a="1"/>
  <c r="J2595" i="10" a="1"/>
  <c r="J1994" i="10" a="1"/>
  <c r="J188" i="10" a="1"/>
  <c r="J2884" i="10" a="1"/>
  <c r="J515" i="10" a="1"/>
  <c r="J2025" i="10" a="1"/>
  <c r="J560" i="10" a="1"/>
  <c r="J2687" i="10" a="1"/>
  <c r="J1106" i="10" a="1"/>
  <c r="J789" i="10" a="1"/>
  <c r="J369" i="10" a="1"/>
  <c r="J1869" i="10" a="1"/>
  <c r="J2684" i="10" a="1"/>
  <c r="J2815" i="10" a="1"/>
  <c r="J2676" i="10" a="1"/>
  <c r="J1853" i="10" a="1"/>
  <c r="J2703" i="10" a="1"/>
  <c r="J2263" i="10" a="1"/>
  <c r="J2373" i="10" a="1"/>
  <c r="J1773" i="10" a="1"/>
  <c r="J288" i="10" a="1"/>
  <c r="J243" i="10" a="1"/>
  <c r="J2447" i="10" a="1"/>
  <c r="J2248" i="10" a="1"/>
  <c r="J2133" i="10" a="1"/>
  <c r="J2775" i="10" a="1"/>
  <c r="J693" i="10" a="1"/>
  <c r="J1939" i="10" a="1"/>
  <c r="J401" i="10" a="1"/>
  <c r="J717" i="10" a="1"/>
  <c r="J195" i="10" a="1"/>
  <c r="J2393" i="10" a="1"/>
  <c r="J1768" i="10" a="1"/>
  <c r="J2449" i="10" a="1"/>
  <c r="J1429" i="10" a="1"/>
  <c r="J1317" i="10" a="1"/>
  <c r="J2113" i="10" a="1"/>
  <c r="J912" i="10" a="1"/>
  <c r="J788" i="10" a="1"/>
  <c r="J2036" i="10" a="1"/>
  <c r="J1924" i="10" a="1"/>
  <c r="J924" i="10" a="1"/>
  <c r="J2391" i="10" a="1"/>
  <c r="J419" i="10" a="1"/>
  <c r="J2848" i="10" a="1"/>
  <c r="J1617" i="10" a="1"/>
  <c r="J517" i="10" a="1"/>
  <c r="J2159" i="10" a="1"/>
  <c r="J2898" i="10" a="1"/>
  <c r="J2189" i="10" a="1"/>
  <c r="J690" i="10" a="1"/>
  <c r="J1928" i="10" a="1"/>
  <c r="J1161" i="10" a="1"/>
  <c r="J316" i="10" a="1"/>
  <c r="J2429" i="10" a="1"/>
  <c r="J2698" i="10" a="1"/>
  <c r="J1880" i="10" a="1"/>
  <c r="J2689" i="10" a="1"/>
  <c r="J9" i="10" a="1"/>
  <c r="J2918" i="10" a="1"/>
  <c r="J172" i="10" a="1"/>
  <c r="J1942" i="10" a="1"/>
  <c r="J1278" i="10" a="1"/>
  <c r="J1043" i="10" a="1"/>
  <c r="J253" i="10" a="1"/>
  <c r="J567" i="10" a="1"/>
  <c r="J2056" i="10" a="1"/>
  <c r="J1980" i="10" a="1"/>
  <c r="J2377" i="10" a="1"/>
  <c r="J728" i="10" a="1"/>
  <c r="J2502" i="10" a="1"/>
  <c r="J1916" i="10" a="1"/>
  <c r="J2291" i="10" a="1"/>
  <c r="J2531" i="10" a="1"/>
  <c r="J2333" i="10" a="1"/>
  <c r="J550" i="10" a="1"/>
  <c r="J946" i="10" a="1"/>
  <c r="J1441" i="10" a="1"/>
  <c r="J2472" i="10" a="1"/>
  <c r="J1542" i="10" a="1"/>
  <c r="J2787" i="10" a="1"/>
  <c r="J2838" i="10" a="1"/>
  <c r="J1030" i="10" a="1"/>
  <c r="J1959" i="10" a="1"/>
  <c r="J2182" i="10" a="1"/>
  <c r="J673" i="10" a="1"/>
  <c r="J2132" i="10" a="1"/>
  <c r="J1370" i="10" a="1"/>
  <c r="J1864" i="10" a="1"/>
  <c r="J772" i="10" a="1"/>
  <c r="J2062" i="10" a="1"/>
  <c r="J2909" i="10" a="1"/>
  <c r="J2587" i="10" a="1"/>
  <c r="J625" i="10" a="1"/>
  <c r="J257" i="10" a="1"/>
  <c r="J2513" i="10" a="1"/>
  <c r="J2281" i="10" a="1"/>
  <c r="J1507" i="10" a="1"/>
  <c r="J342" i="10" a="1"/>
  <c r="J2" i="10" a="1"/>
  <c r="J1848" i="10" a="1"/>
  <c r="J223" i="10" a="1"/>
  <c r="J2705" i="10" a="1"/>
  <c r="J2138" i="10" a="1"/>
  <c r="J2660" i="10" a="1"/>
  <c r="J1437" i="10" a="1"/>
  <c r="J1124" i="10" a="1"/>
  <c r="J631" i="10" a="1"/>
  <c r="J2632" i="10" a="1"/>
  <c r="J277" i="10" a="1"/>
  <c r="J1634" i="10" a="1"/>
  <c r="J1661" i="10" a="1"/>
  <c r="J989" i="10" a="1"/>
  <c r="J1381" i="10" a="1"/>
  <c r="J2851" i="10" a="1"/>
  <c r="J2508" i="10" a="1"/>
  <c r="J2376" i="10" a="1"/>
  <c r="J678" i="10" a="1"/>
  <c r="J4" i="10" a="1"/>
  <c r="J2842" i="10" a="1"/>
  <c r="J2897" i="10" a="1"/>
  <c r="J1943" i="10" a="1"/>
  <c r="J2058" i="10" a="1"/>
  <c r="J508" i="10" a="1"/>
  <c r="J2094" i="10" a="1"/>
  <c r="J2823" i="10" a="1"/>
  <c r="J468" i="10" a="1"/>
  <c r="J1363" i="10" a="1"/>
  <c r="J2416" i="10" a="1"/>
  <c r="J2070" i="10" a="1"/>
  <c r="J934" i="10" a="1"/>
  <c r="J1555" i="10" a="1"/>
  <c r="J1734" i="10" a="1"/>
  <c r="J312" i="10" a="1"/>
  <c r="J1263" i="10" a="1"/>
  <c r="J305" i="10" a="1"/>
  <c r="J850" i="10" a="1"/>
  <c r="J2631" i="10" a="1"/>
  <c r="J2882" i="10" a="1"/>
  <c r="J2563" i="10" a="1"/>
  <c r="J1430" i="10" a="1"/>
  <c r="J940" i="10" a="1"/>
  <c r="J2227" i="10" a="1"/>
  <c r="J1105" i="10" a="1"/>
  <c r="J2239" i="10" a="1"/>
  <c r="J1386" i="10" a="1"/>
  <c r="J1329" i="10" a="1"/>
  <c r="J762" i="10" a="1"/>
  <c r="J1960" i="10" a="1"/>
  <c r="J655" i="10" a="1"/>
  <c r="J169" i="10" a="1"/>
  <c r="J44" i="10" a="1"/>
  <c r="J1973" i="10" a="1"/>
  <c r="J263" i="10" a="1"/>
  <c r="J1675" i="10" a="1"/>
  <c r="J2434" i="10" a="1"/>
  <c r="J1268" i="10" a="1"/>
  <c r="J2185" i="10" a="1"/>
  <c r="J2913" i="10" a="1"/>
  <c r="J797" i="10" a="1"/>
  <c r="J1991" i="10" a="1"/>
  <c r="J761" i="10" a="1"/>
  <c r="J2704" i="10" a="1"/>
  <c r="J1341" i="10" a="1"/>
  <c r="J2435" i="10" a="1"/>
  <c r="J2812" i="10" a="1"/>
  <c r="J2012" i="10" a="1"/>
  <c r="J1472" i="10" a="1"/>
  <c r="J2383" i="10" a="1"/>
  <c r="J1497" i="10" a="1"/>
  <c r="J397" i="10" a="1"/>
  <c r="J2840" i="10" a="1"/>
  <c r="J2421" i="10" a="1"/>
  <c r="J1176" i="10" a="1"/>
  <c r="J2203" i="10" a="1"/>
  <c r="J2414" i="10" a="1"/>
  <c r="J1801" i="10" a="1"/>
  <c r="J2742" i="10" a="1"/>
  <c r="J213" i="10" a="1"/>
  <c r="J1183" i="10" a="1"/>
  <c r="J2907" i="10" a="1"/>
  <c r="J2215" i="10" a="1"/>
  <c r="J1511" i="10" a="1"/>
  <c r="J1292" i="10" a="1"/>
  <c r="J1946" i="10" a="1"/>
  <c r="J2296" i="10" a="1"/>
  <c r="J1439" i="10" a="1"/>
  <c r="J956" i="10" a="1"/>
  <c r="J2520" i="10" a="1"/>
  <c r="J1215" i="10" a="1"/>
  <c r="J2092" i="10" a="1"/>
  <c r="J973" i="10" a="1"/>
  <c r="J1099" i="10" a="1"/>
  <c r="J1223" i="10" a="1"/>
  <c r="J2090" i="10" a="1"/>
  <c r="J423" i="10" a="1"/>
  <c r="J2589" i="10" a="1"/>
  <c r="J1466" i="10" a="1"/>
  <c r="J2765" i="10" a="1"/>
  <c r="J2686" i="10" a="1"/>
  <c r="J884" i="10" a="1"/>
  <c r="J2647" i="10" a="1"/>
  <c r="J2361" i="10" a="1"/>
  <c r="J1969" i="10" a="1"/>
  <c r="J486" i="10" a="1"/>
  <c r="J1730" i="10" a="1"/>
  <c r="J1775" i="10" a="1"/>
  <c r="J2606" i="10" a="1"/>
  <c r="J1131" i="10" a="1"/>
  <c r="J2167" i="10" a="1"/>
  <c r="J980" i="10" a="1"/>
  <c r="J2247" i="10" a="1"/>
  <c r="J2575" i="10" a="1"/>
  <c r="J183" i="10" a="1"/>
  <c r="J1240" i="10" a="1"/>
  <c r="J2597" i="10" a="1"/>
  <c r="J1255" i="10" a="1"/>
  <c r="J2311" i="10" a="1"/>
  <c r="J913" i="10" a="1"/>
  <c r="J2559" i="10" a="1"/>
  <c r="J2164" i="10" a="1"/>
  <c r="J2184" i="10" a="1"/>
  <c r="J744" i="10" a="1"/>
  <c r="J2006" i="10" a="1"/>
  <c r="J2069" i="10" a="1"/>
  <c r="J2397" i="10" a="1"/>
  <c r="J1156" i="10" a="1"/>
  <c r="J2186" i="10" a="1"/>
  <c r="J2462" i="10" a="1"/>
  <c r="J439" i="10" a="1"/>
  <c r="J2697" i="10" a="1"/>
  <c r="J2654" i="10" a="1"/>
  <c r="J2718" i="10" a="1"/>
  <c r="J582" i="10" a="1"/>
  <c r="J1356" i="10" a="1"/>
  <c r="J269" i="10" a="1"/>
  <c r="J1798" i="10" a="1"/>
  <c r="J2021" i="10" a="1"/>
  <c r="J2154" i="10" a="1"/>
  <c r="J2700" i="10" a="1"/>
  <c r="J697" i="10" a="1"/>
  <c r="J2402" i="10" a="1"/>
  <c r="J168" i="10" a="1"/>
  <c r="J2420" i="10" a="1"/>
  <c r="J1480" i="10" a="1"/>
  <c r="J1253" i="10" a="1"/>
  <c r="J374" i="10" a="1"/>
  <c r="J2498" i="10" a="1"/>
  <c r="J2499" i="10" a="1"/>
  <c r="J1732" i="10" a="1"/>
  <c r="J1750" i="10" a="1"/>
  <c r="J1186" i="10" a="1"/>
  <c r="J2080" i="10" a="1"/>
  <c r="J1422" i="10" a="1"/>
  <c r="J422" i="10" a="1"/>
  <c r="J25" i="10" a="1"/>
  <c r="J2096" i="10" a="1"/>
  <c r="J2870" i="10" a="1"/>
  <c r="J2862" i="10" a="1"/>
  <c r="J1875" i="10" a="1"/>
  <c r="J1011" i="10" a="1"/>
  <c r="J2796" i="10" a="1"/>
  <c r="J2791" i="10" a="1"/>
  <c r="J2106" i="10" a="1"/>
  <c r="J1428" i="10" a="1"/>
  <c r="J808" i="10" a="1"/>
  <c r="J1953" i="10" a="1"/>
  <c r="J1936" i="10" a="1"/>
  <c r="J1780" i="10" a="1"/>
  <c r="J457" i="10" a="1"/>
  <c r="J2782" i="10" a="1"/>
  <c r="J2045" i="10" a="1"/>
  <c r="J871" i="10" a="1"/>
  <c r="J1619" i="10" a="1"/>
  <c r="J713" i="10" a="1"/>
  <c r="J930" i="10" a="1"/>
  <c r="J1372" i="10" a="1"/>
  <c r="J2074" i="10" a="1"/>
  <c r="J2871" i="10" a="1"/>
  <c r="J1322" i="10" a="1"/>
  <c r="J950" i="10" a="1"/>
  <c r="J991" i="10" a="1"/>
  <c r="J2166" i="10" a="1"/>
  <c r="J2636" i="10" a="1"/>
  <c r="J376" i="10" a="1"/>
  <c r="J2368" i="10" a="1"/>
  <c r="J5" i="10" a="1"/>
  <c r="J2046" i="10" a="1"/>
  <c r="J1762" i="10" a="1"/>
  <c r="J2571" i="10" a="1"/>
  <c r="J167" i="10" a="1"/>
  <c r="J520" i="10" a="1"/>
  <c r="J2624" i="10" a="1"/>
  <c r="J2235" i="10" a="1"/>
  <c r="J2904" i="10" a="1"/>
  <c r="J2404" i="10" a="1"/>
  <c r="J2634" i="10" a="1"/>
  <c r="J2087" i="10" a="1"/>
  <c r="J499" i="10" a="1"/>
  <c r="J420" i="10" a="1"/>
  <c r="J1878" i="10" a="1"/>
  <c r="J2268" i="10" a="1"/>
  <c r="J2717" i="10" a="1"/>
  <c r="J2690" i="10" a="1"/>
  <c r="J2298" i="10" a="1"/>
  <c r="J1517" i="10" a="1"/>
  <c r="J33" i="10" a="1"/>
  <c r="J1889" i="10" a="1"/>
  <c r="J557" i="10" a="1"/>
  <c r="J2487" i="10" a="1"/>
  <c r="J1116" i="10" a="1"/>
  <c r="J1383" i="10" a="1"/>
  <c r="J935" i="10" a="1"/>
  <c r="J1871" i="10" a="1"/>
  <c r="J1491" i="10" a="1"/>
  <c r="J2005" i="10" a="1"/>
  <c r="J2581" i="10" a="1"/>
  <c r="J2078" i="10" a="1"/>
  <c r="J915" i="10" a="1"/>
  <c r="J2843" i="10" a="1"/>
  <c r="J1701" i="10" a="1"/>
  <c r="J1573" i="10" a="1"/>
  <c r="J2360" i="10" a="1"/>
  <c r="J2142" i="10" a="1"/>
  <c r="J2375" i="10" a="1"/>
  <c r="J2641" i="10" a="1"/>
  <c r="J866" i="10" a="1"/>
  <c r="J2552" i="10" a="1"/>
  <c r="J2885" i="10" a="1"/>
  <c r="J1807" i="10" a="1"/>
  <c r="J2567" i="10" a="1"/>
  <c r="J787" i="10" a="1"/>
  <c r="J384" i="10" a="1"/>
  <c r="J765" i="10" a="1"/>
  <c r="J2785" i="10" a="1"/>
  <c r="J2682" i="10" a="1"/>
  <c r="J1767" i="10" a="1"/>
  <c r="J2747" i="10" a="1"/>
  <c r="J2519" i="10" a="1"/>
  <c r="J2881" i="10" a="1"/>
  <c r="J248" i="10" a="1"/>
  <c r="J774" i="10" a="1"/>
  <c r="J2192" i="10" a="1"/>
  <c r="J2350" i="10" a="1"/>
  <c r="J1905" i="10" a="1"/>
  <c r="J2630" i="10" a="1"/>
  <c r="J834" i="10" a="1"/>
  <c r="J447" i="10" a="1"/>
  <c r="J2750" i="10" a="1"/>
  <c r="J2151" i="10" a="1"/>
  <c r="J738" i="10" a="1"/>
  <c r="J537" i="10" a="1"/>
  <c r="J546" i="10" a="1"/>
  <c r="J763" i="10" a="1"/>
  <c r="J1705" i="10" a="1"/>
  <c r="J2160" i="10" a="1"/>
  <c r="J26" i="10" a="1"/>
  <c r="J1627" i="10" a="1"/>
  <c r="J1266" i="10" a="1"/>
  <c r="J1182" i="10" a="1"/>
  <c r="J1185" i="10" a="1"/>
  <c r="J203" i="10" a="1"/>
  <c r="J378" i="10" a="1"/>
  <c r="J600" i="10" a="1"/>
  <c r="J2453" i="10" a="1"/>
  <c r="J458" i="10" a="1"/>
  <c r="J280" i="10" a="1"/>
  <c r="J1766" i="10" a="1"/>
  <c r="J1795" i="10" a="1"/>
  <c r="J2190" i="10" a="1"/>
  <c r="J1423" i="10" a="1"/>
  <c r="J2237" i="10" a="1"/>
  <c r="J2060" i="10" a="1"/>
  <c r="J1852" i="10" a="1"/>
  <c r="J561" i="10" a="1"/>
  <c r="J1384" i="10" a="1"/>
  <c r="J2250" i="10" a="1"/>
  <c r="J2810" i="10" a="1"/>
  <c r="J2661" i="10" a="1"/>
  <c r="J951" i="10" a="1"/>
  <c r="J1456" i="10" a="1"/>
  <c r="J1415" i="10" a="1"/>
  <c r="J178" i="10" a="1"/>
  <c r="J1490" i="10" a="1"/>
  <c r="J2905" i="10" a="1"/>
  <c r="J1470" i="10" a="1"/>
  <c r="J2004" i="10" a="1"/>
  <c r="J1954" i="10" a="1"/>
  <c r="J2076" i="10" a="1"/>
  <c r="J2685" i="10" a="1"/>
  <c r="J2456" i="10" a="1"/>
  <c r="J1121" i="10" a="1"/>
  <c r="J2506" i="10" a="1"/>
  <c r="J2539" i="10" a="1"/>
  <c r="J1434" i="10" a="1"/>
  <c r="J870" i="10" a="1"/>
  <c r="J98" i="10" a="1"/>
  <c r="J2778" i="10" a="1"/>
  <c r="J363" i="10" a="1"/>
  <c r="J1063" i="10" a="1"/>
  <c r="J113" i="10" a="1"/>
  <c r="J982" i="10" a="1"/>
  <c r="J729" i="10" a="1"/>
  <c r="J1911" i="10" a="1"/>
  <c r="J411" i="10" a="1"/>
  <c r="J1111" i="10" a="1"/>
  <c r="J40" i="10" a="1"/>
  <c r="J93" i="10" a="1"/>
  <c r="J2077" i="10" a="1"/>
  <c r="J2454" i="10" a="1"/>
  <c r="J739" i="10" a="1"/>
  <c r="J1906" i="10" a="1"/>
  <c r="J1626" i="10" a="1"/>
  <c r="J2533" i="10" a="1"/>
  <c r="J229" i="10" a="1"/>
  <c r="J2318" i="10" a="1"/>
  <c r="J1639" i="10" a="1"/>
  <c r="J1410" i="10" a="1"/>
  <c r="J542" i="10" a="1"/>
  <c r="J1735" i="10" a="1"/>
  <c r="J1526" i="10" a="1"/>
  <c r="J365" i="10" a="1"/>
  <c r="J562" i="10" a="1"/>
  <c r="J2648" i="10" a="1"/>
  <c r="J1758" i="10" a="1"/>
  <c r="J2326" i="10" a="1"/>
  <c r="J2463" i="10" a="1"/>
  <c r="J2830" i="10" a="1"/>
  <c r="J1709" i="10" a="1"/>
  <c r="J2845" i="10" a="1"/>
  <c r="J2023" i="10" a="1"/>
  <c r="J900" i="10" a="1"/>
  <c r="J472" i="10" a="1"/>
  <c r="J823" i="10" a="1"/>
  <c r="J604" i="10" a="1"/>
  <c r="J1827" i="10" a="1"/>
  <c r="J2398" i="10" a="1"/>
  <c r="J1484" i="10" a="1"/>
  <c r="J618" i="10" a="1"/>
  <c r="J903" i="10" a="1"/>
  <c r="J2886" i="10" a="1"/>
  <c r="J2394" i="10" a="1"/>
  <c r="J960" i="10" a="1"/>
  <c r="J1524" i="10" a="1"/>
  <c r="J1831" i="10" a="1"/>
  <c r="J684" i="10" a="1"/>
  <c r="J2716" i="10" a="1"/>
  <c r="J410" i="10" a="1"/>
  <c r="J1234" i="10" a="1"/>
  <c r="J1581" i="10" a="1"/>
  <c r="J2355" i="10" a="1"/>
  <c r="J984" i="10" a="1"/>
  <c r="J1666" i="10" a="1"/>
  <c r="J1287" i="10" a="1"/>
  <c r="J2618" i="10" a="1"/>
  <c r="J1064" i="10" a="1"/>
  <c r="J2286" i="10" a="1"/>
  <c r="J715" i="10" a="1"/>
  <c r="J770" i="10" a="1"/>
  <c r="J430" i="10" a="1"/>
  <c r="J91" i="10" a="1"/>
  <c r="J2423" i="10" a="1"/>
  <c r="J1578" i="10" a="1"/>
  <c r="J1711" i="10" a="1"/>
  <c r="J8" i="10" a="1"/>
  <c r="J596" i="10" a="1"/>
  <c r="J2772" i="10" a="1"/>
  <c r="J2196" i="10" a="1"/>
  <c r="J1184" i="10" a="1"/>
  <c r="J212" i="10" a="1"/>
  <c r="J2037" i="10" a="1"/>
  <c r="J1163" i="10" a="1"/>
  <c r="J1086" i="10" a="1"/>
  <c r="J2761" i="10" a="1"/>
  <c r="J2551" i="10" a="1"/>
  <c r="J2365" i="10" a="1"/>
  <c r="J2433" i="10" a="1"/>
  <c r="J2067" i="10" a="1"/>
  <c r="J2346" i="10" a="1"/>
  <c r="J1893" i="10" a="1"/>
  <c r="J2672" i="10" a="1"/>
  <c r="J1070" i="10" a="1"/>
  <c r="J807" i="10" a="1"/>
  <c r="J509" i="10" a="1"/>
  <c r="J2894" i="10" a="1"/>
  <c r="J1519" i="10" a="1"/>
  <c r="J2143" i="10" a="1"/>
  <c r="J1026" i="10" a="1"/>
  <c r="J891" i="10" a="1"/>
  <c r="J1637" i="10" a="1"/>
  <c r="J1915" i="10" a="1"/>
  <c r="J1579" i="10" a="1"/>
  <c r="J2310" i="10" a="1"/>
  <c r="J1448" i="10" a="1"/>
  <c r="J2585" i="10" a="1"/>
  <c r="J2249" i="10" a="1"/>
  <c r="J265" i="10" a="1"/>
  <c r="J1858" i="10" a="1"/>
  <c r="J30" i="10" a="1"/>
  <c r="J1069" i="10" a="1"/>
  <c r="J2658" i="10" a="1"/>
  <c r="J590" i="10" a="1"/>
  <c r="J2269" i="10" a="1"/>
  <c r="J818" i="10" a="1"/>
  <c r="J1377" i="10" a="1"/>
  <c r="J605" i="10" a="1"/>
  <c r="J1357" i="10" a="1"/>
  <c r="J530" i="10" a="1"/>
  <c r="J1999" i="10" a="1"/>
  <c r="J2136" i="10" a="1"/>
  <c r="J1048" i="10" a="1"/>
  <c r="J928" i="10" a="1"/>
  <c r="J1585" i="10" a="1"/>
  <c r="J2266" i="10" a="1"/>
  <c r="J736" i="10" a="1"/>
  <c r="J2348" i="10" a="1"/>
  <c r="J1725" i="10" a="1"/>
  <c r="J890" i="10" a="1"/>
  <c r="J1624" i="10" a="1"/>
  <c r="J2875" i="10" a="1"/>
  <c r="J1148" i="10" a="1"/>
  <c r="J1293" i="10" a="1"/>
  <c r="J939" i="10" a="1"/>
  <c r="J2216" i="10" a="1"/>
  <c r="J2867" i="10" a="1"/>
  <c r="J2643" i="10" a="1"/>
  <c r="J426" i="10" a="1"/>
  <c r="J1608" i="10" a="1"/>
  <c r="J1672" i="10" a="1"/>
  <c r="J2825" i="10" a="1"/>
  <c r="J1724" i="10" a="1"/>
  <c r="J2550" i="10" a="1"/>
  <c r="J2358" i="10" a="1"/>
  <c r="J2458" i="10" a="1"/>
  <c r="J1854" i="10" a="1"/>
  <c r="J2157" i="10" a="1"/>
  <c r="J1340" i="10" a="1"/>
  <c r="J127" i="10" a="1"/>
  <c r="J2854" i="10" a="1"/>
  <c r="J2144" i="10" a="1"/>
  <c r="J1800" i="10" a="1"/>
  <c r="J2445" i="10" a="1"/>
  <c r="J1910" i="10" a="1"/>
  <c r="J992" i="10" a="1"/>
  <c r="J2111" i="10" a="1"/>
  <c r="J2212" i="10" a="1"/>
  <c r="J2030" i="10" a="1"/>
  <c r="J1670" i="10" a="1"/>
  <c r="J2900" i="10" a="1"/>
  <c r="J2669" i="10" a="1"/>
  <c r="J2916" i="10" a="1"/>
  <c r="J1173" i="10" a="1"/>
  <c r="J1992" i="10" a="1"/>
  <c r="J2794" i="10" a="1"/>
  <c r="J1122" i="10" a="1"/>
  <c r="J2612" i="10" a="1"/>
  <c r="J2217" i="10" a="1"/>
  <c r="J1799" i="10" a="1"/>
  <c r="J434" i="10" a="1"/>
  <c r="J874" i="10" a="1"/>
  <c r="J525" i="10" a="1"/>
  <c r="J441" i="10" a="1"/>
  <c r="J2613" i="10" a="1"/>
  <c r="J287" i="10" a="1"/>
  <c r="J29" i="10" a="1"/>
  <c r="J608" i="10" a="1"/>
  <c r="J175" i="10" a="1"/>
  <c r="J2510" i="10" a="1"/>
  <c r="J1726" i="10" a="1"/>
  <c r="J46" i="10" a="1"/>
  <c r="J1688" i="10" a="1"/>
  <c r="J117" i="10" a="1"/>
  <c r="J511" i="10" a="1"/>
  <c r="J1662" i="10" a="1"/>
  <c r="J2547" i="10" a="1"/>
  <c r="J2579" i="10" a="1"/>
  <c r="J483" i="10" a="1"/>
  <c r="J2542" i="10" a="1"/>
  <c r="J252" i="10" a="1"/>
  <c r="J2583" i="10" a="1"/>
  <c r="J2382" i="10" a="1"/>
  <c r="J349" i="10" a="1"/>
  <c r="J688" i="10" a="1"/>
  <c r="J635" i="10" a="1"/>
  <c r="J1613" i="10" a="1"/>
  <c r="J1479" i="10" a="1"/>
  <c r="J2284" i="10" a="1"/>
  <c r="J484" i="10" a="1"/>
  <c r="J62" i="10" a="1"/>
  <c r="J2514" i="10" a="1"/>
  <c r="J1955" i="10" a="1"/>
  <c r="J82" i="10" a="1"/>
  <c r="J1582" i="10" a="1"/>
  <c r="J1358" i="10" a="1"/>
  <c r="J1464" i="10" a="1"/>
  <c r="J2072" i="10" a="1"/>
  <c r="J2757" i="10" a="1"/>
  <c r="J418" i="10" a="1"/>
  <c r="J742" i="10" a="1"/>
  <c r="J2489" i="10" a="1"/>
  <c r="J2395" i="10" a="1"/>
  <c r="J2170" i="10" a="1"/>
  <c r="J760" i="10" a="1"/>
  <c r="J1231" i="10" a="1"/>
  <c r="J2740" i="10" a="1"/>
  <c r="J2473" i="10" a="1"/>
  <c r="J2438" i="10" a="1"/>
  <c r="J386" i="10" a="1"/>
  <c r="J1978" i="10" a="1"/>
  <c r="J1045" i="10" a="1"/>
  <c r="J2128" i="10" a="1"/>
  <c r="J1301" i="10" a="1"/>
  <c r="J2471" i="10" a="1"/>
  <c r="J2381" i="10" a="1"/>
  <c r="J1919" i="10" a="1"/>
  <c r="J2057" i="10" a="1"/>
  <c r="J2010" i="10" a="1"/>
  <c r="J2880" i="10" a="1"/>
  <c r="J2299" i="10" a="1"/>
  <c r="J2009" i="10" a="1"/>
  <c r="J2868" i="10" a="1"/>
  <c r="J1574" i="10" a="1"/>
  <c r="J2343" i="10" a="1"/>
  <c r="J1241" i="10" a="1"/>
  <c r="J676" i="10" a="1"/>
  <c r="J2146" i="10" a="1"/>
  <c r="J2524" i="10" a="1"/>
  <c r="J2827" i="10" a="1"/>
  <c r="J1814" i="10" a="1"/>
  <c r="J1101" i="10" a="1"/>
  <c r="J599" i="10" a="1"/>
  <c r="J1337" i="10" a="1"/>
  <c r="J1232" i="10" a="1"/>
  <c r="J1251" i="10" a="1"/>
  <c r="J776" i="10" a="1"/>
  <c r="J1882" i="10" a="1"/>
  <c r="J1521" i="10" a="1"/>
  <c r="J102" i="10" a="1"/>
  <c r="J485" i="10" a="1"/>
  <c r="J1539" i="10" a="1"/>
  <c r="J637" i="10" a="1"/>
  <c r="J2692" i="10" a="1"/>
  <c r="J993" i="10" a="1"/>
  <c r="J329" i="10" a="1"/>
  <c r="J880" i="10" a="1"/>
  <c r="J1153" i="10" a="1"/>
  <c r="J429" i="10" a="1"/>
  <c r="J111" i="10" a="1"/>
  <c r="J1267" i="10" a="1"/>
  <c r="J1769" i="10" a="1"/>
  <c r="J1041" i="10" a="1"/>
  <c r="J1812" i="10" a="1"/>
  <c r="J887" i="10" a="1"/>
  <c r="J862" i="10" a="1"/>
  <c r="J2798" i="10" a="1"/>
  <c r="J2295" i="10" a="1"/>
  <c r="J2039" i="10" a="1"/>
  <c r="J703" i="10" a="1"/>
  <c r="J1210" i="10" a="1"/>
  <c r="J1830" i="10" a="1"/>
  <c r="J2890" i="10" a="1"/>
  <c r="J2051" i="10" a="1"/>
  <c r="J504" i="10" a="1"/>
  <c r="J23" i="10" a="1"/>
  <c r="J2071" i="10" a="1"/>
  <c r="J2731" i="10" a="1"/>
  <c r="J192" i="10" a="1"/>
  <c r="J1318" i="10" a="1"/>
  <c r="J2422" i="10" a="1"/>
  <c r="J1394" i="10" a="1"/>
  <c r="J1236" i="10" a="1"/>
  <c r="J996" i="10" a="1"/>
  <c r="J519" i="10" a="1"/>
  <c r="J2678" i="10" a="1"/>
  <c r="J1606" i="10" a="1"/>
  <c r="J2405" i="10" a="1"/>
  <c r="J535" i="10" a="1"/>
  <c r="J2197" i="10" a="1"/>
  <c r="J1007" i="10" a="1"/>
  <c r="J1160" i="10" a="1"/>
  <c r="J1727" i="10" a="1"/>
  <c r="J1970" i="10" a="1"/>
  <c r="J501" i="10" a="1"/>
  <c r="J855" i="10" a="1"/>
  <c r="J704" i="10" a="1"/>
  <c r="J2332" i="10" a="1"/>
  <c r="J898" i="10" a="1"/>
  <c r="J1451" i="10" a="1"/>
  <c r="J2223" i="10" a="1"/>
  <c r="J745" i="10" a="1"/>
  <c r="J1165" i="10" a="1"/>
  <c r="J2302" i="10" a="1"/>
  <c r="J2568" i="10" a="1"/>
  <c r="J1829" i="10" a="1"/>
  <c r="J1388" i="10" a="1"/>
  <c r="J275" i="10" a="1"/>
  <c r="J619" i="10" a="1"/>
  <c r="J2054" i="10" a="1"/>
  <c r="J3" i="10" a="1"/>
  <c r="J1602" i="10" a="1"/>
  <c r="J186" i="10" a="1"/>
  <c r="J2174" i="10" a="1"/>
  <c r="J2228" i="10" a="1"/>
  <c r="J2324" i="10" a="1"/>
  <c r="J726" i="10" a="1"/>
  <c r="J1288" i="10" a="1"/>
  <c r="J2699" i="10" a="1"/>
  <c r="J2710" i="10" a="1"/>
  <c r="J244" i="10" a="1"/>
  <c r="J2860" i="10" a="1"/>
  <c r="J142" i="10" a="1"/>
  <c r="J1912" i="10" a="1"/>
  <c r="J2837" i="10" a="1"/>
  <c r="J798" i="10" a="1"/>
  <c r="J1247" i="10" a="1"/>
  <c r="J185" i="10" a="1"/>
  <c r="J1885" i="10" a="1"/>
  <c r="J952" i="10" a="1"/>
  <c r="J166" i="10" a="1"/>
  <c r="J381" i="10" a="1"/>
  <c r="J997" i="10" a="1"/>
  <c r="J1261" i="10" a="1"/>
  <c r="J1832" i="10" a="1"/>
  <c r="J716" i="10" a="1"/>
  <c r="J1681" i="10" a="1"/>
  <c r="J2649" i="10" a="1"/>
  <c r="J2468" i="10" a="1"/>
  <c r="J824" i="10" a="1"/>
  <c r="J375" i="10" a="1"/>
  <c r="J1731" i="10" a="1"/>
  <c r="J2426" i="10" a="1"/>
  <c r="J714" i="10" a="1"/>
  <c r="J2089" i="10" a="1"/>
  <c r="J1945" i="10" a="1"/>
  <c r="J1047" i="10" a="1"/>
  <c r="J831" i="10" a="1"/>
  <c r="J148" i="10" a="1"/>
  <c r="J2763" i="10" a="1"/>
  <c r="J2888" i="10" a="1"/>
  <c r="J817" i="10" a="1"/>
  <c r="J882" i="10" a="1"/>
  <c r="J2083" i="10" a="1"/>
  <c r="J1717" i="10" a="1"/>
  <c r="J919" i="10" a="1"/>
  <c r="J481" i="10" a="1"/>
  <c r="J332" i="10" a="1"/>
  <c r="J28" i="10" a="1"/>
  <c r="J2008" i="10" a="1"/>
  <c r="J1118" i="10" a="1"/>
  <c r="J908" i="10" a="1"/>
  <c r="J2450" i="10" a="1"/>
  <c r="J2779" i="10" a="1"/>
  <c r="J2910" i="10" a="1"/>
  <c r="J228" i="10" a="1"/>
  <c r="J2711" i="10" a="1"/>
  <c r="J524" i="10" a="1"/>
  <c r="J1403" i="10" a="1"/>
  <c r="J985" i="10" a="1"/>
  <c r="J2022" i="10" a="1"/>
  <c r="J1154" i="10" a="1"/>
  <c r="J1286" i="10" a="1"/>
  <c r="J2214" i="10" a="1"/>
  <c r="J1855" i="10" a="1"/>
  <c r="J1504" i="10" a="1"/>
  <c r="J2378" i="10" a="1"/>
  <c r="J2572" i="10" a="1"/>
  <c r="J2770" i="10" a="1"/>
  <c r="J2172" i="10" a="1"/>
  <c r="J1680" i="10" a="1"/>
  <c r="J724" i="10" a="1"/>
  <c r="J2388" i="10" a="1"/>
  <c r="J2448" i="10" a="1"/>
  <c r="J1238" i="10" a="1"/>
  <c r="J2049" i="10" a="1"/>
  <c r="J2674" i="10" a="1"/>
  <c r="J2507" i="10" a="1"/>
  <c r="J2852" i="10" a="1"/>
  <c r="J1446" i="10" a="1"/>
  <c r="J2892" i="10" a="1"/>
  <c r="J2179" i="10" a="1"/>
  <c r="J2305" i="10" a="1"/>
  <c r="J1487" i="10" a="1"/>
  <c r="J1342" i="10" a="1"/>
  <c r="J1126" i="10" a="1"/>
  <c r="J695" i="10" a="1"/>
  <c r="J1805" i="10" a="1"/>
  <c r="J892" i="10" a="1"/>
  <c r="J1522" i="10" a="1"/>
  <c r="J211" i="10" a="1"/>
  <c r="J646" i="10" a="1"/>
  <c r="J1935" i="10" a="1"/>
  <c r="J1212" i="10" a="1"/>
  <c r="J839" i="10" a="1"/>
  <c r="J566" i="10" a="1"/>
  <c r="J221" i="10" a="1"/>
  <c r="J1696" i="10" a="1"/>
  <c r="J1979" i="10" a="1"/>
  <c r="J1202" i="10" a="1"/>
  <c r="J161" i="10" a="1"/>
  <c r="J2604" i="10" a="1"/>
  <c r="J2101" i="10" a="1"/>
  <c r="J1147" i="10" a="1"/>
  <c r="J1123" i="10" a="1"/>
  <c r="J1784" i="10" a="1"/>
  <c r="J1733" i="10" a="1"/>
  <c r="J592" i="10" a="1"/>
  <c r="J7" i="10" a="1"/>
  <c r="J768" i="10" a="1"/>
  <c r="J1833" i="10" a="1"/>
  <c r="J932" i="10" a="1"/>
  <c r="J2751" i="10" a="1"/>
  <c r="J1144" i="10" a="1"/>
  <c r="J2064" i="10" a="1"/>
  <c r="J820" i="10" a="1"/>
  <c r="J241" i="10" a="1"/>
  <c r="J1187" i="10" a="1"/>
  <c r="J2540" i="10" a="1"/>
  <c r="J764" i="10" a="1"/>
  <c r="J1296" i="10" a="1"/>
  <c r="J1245" i="10" a="1"/>
  <c r="J1510" i="10" a="1"/>
  <c r="J2688" i="10" a="1"/>
  <c r="J2105" i="10" a="1"/>
  <c r="J2241" i="10" a="1"/>
  <c r="J2584" i="10" a="1"/>
  <c r="J2781" i="10" a="1"/>
  <c r="J2099" i="10" a="1"/>
  <c r="J292" i="10" a="1"/>
  <c r="J2478" i="10" a="1"/>
  <c r="J2872" i="10" a="1"/>
  <c r="J343" i="10" a="1"/>
  <c r="J2124" i="10" a="1"/>
  <c r="J2024" i="10" a="1"/>
  <c r="J2734" i="10" a="1"/>
  <c r="J2712" i="10" a="1"/>
  <c r="J2488" i="10" a="1"/>
  <c r="J2380" i="10" a="1"/>
  <c r="J135" i="10" a="1"/>
  <c r="J2866" i="10" a="1"/>
  <c r="J427" i="10" a="1"/>
  <c r="J936" i="10" a="1"/>
  <c r="J1404" i="10" a="1"/>
  <c r="J786" i="10" a="1"/>
  <c r="J1432" i="10" a="1"/>
  <c r="J1796" i="10" a="1"/>
  <c r="J1736" i="10" a="1"/>
  <c r="J1570" i="10" a="1"/>
  <c r="J1645" i="10" a="1"/>
  <c r="J344" i="10" a="1"/>
  <c r="J1054" i="10" a="1"/>
  <c r="J1899" i="10" a="1"/>
  <c r="J757" i="10" a="1"/>
  <c r="J1883" i="10" a="1"/>
  <c r="J2141" i="10" a="1"/>
  <c r="J923" i="10" a="1"/>
  <c r="J1330" i="10" a="1"/>
  <c r="J780" i="10" a="1"/>
  <c r="J1277" i="10" a="1"/>
  <c r="J2384" i="10" a="1"/>
  <c r="J2415" i="10" a="1"/>
  <c r="J2727" i="10" a="1"/>
  <c r="J1197" i="10" a="1"/>
  <c r="J2198" i="10" a="1"/>
  <c r="J2363" i="10" a="1"/>
  <c r="J1708" i="10" a="1"/>
  <c r="J1931" i="10" a="1"/>
  <c r="J2523" i="10" a="1"/>
  <c r="J1995" i="10" a="1"/>
  <c r="J632" i="10" a="1"/>
  <c r="J2586" i="10" a="1"/>
  <c r="J2599" i="10" a="1"/>
  <c r="J2620" i="10" a="1"/>
  <c r="J868" i="10" a="1"/>
  <c r="J2323" i="10" a="1"/>
  <c r="J2811" i="10" a="1"/>
  <c r="J1012" i="10" a="1"/>
  <c r="J1021" i="10" a="1"/>
  <c r="J2370" i="10" a="1"/>
  <c r="J1485" i="10" a="1"/>
  <c r="J2806" i="10" a="1"/>
  <c r="J1986" i="10" a="1"/>
  <c r="J1907" i="10" a="1"/>
  <c r="J220" i="10" a="1"/>
  <c r="J359" i="10" a="1"/>
  <c r="J451" i="10" a="1"/>
  <c r="J1078" i="10" a="1"/>
  <c r="J1944" i="10" a="1"/>
  <c r="J1028" i="10" a="1"/>
  <c r="J615" i="10" a="1"/>
  <c r="J124" i="10" a="1"/>
  <c r="J551" i="10" a="1"/>
  <c r="J1038" i="10" a="1"/>
  <c r="J1580" i="10" a="1"/>
  <c r="J2671" i="10" a="1"/>
  <c r="J1823" i="10" a="1"/>
  <c r="J1471" i="10" a="1"/>
  <c r="J2555" i="10" a="1"/>
  <c r="J379" i="10" a="1"/>
  <c r="J122" i="10" a="1"/>
  <c r="J2919" i="10" a="1"/>
  <c r="J518" i="10" a="1"/>
  <c r="J2122" i="10" a="1"/>
  <c r="J1698" i="10" a="1"/>
  <c r="J2168" i="10" a="1"/>
  <c r="J2257" i="10" a="1"/>
  <c r="J630" i="10" a="1"/>
  <c r="J424" i="10" a="1"/>
  <c r="J385" i="10" a="1"/>
  <c r="J2314" i="10" a="1"/>
  <c r="J39" i="10" a="1"/>
  <c r="J1793" i="10" a="1"/>
  <c r="J412" i="10" a="1"/>
  <c r="J412" i="10" l="1"/>
  <c r="L412" i="10" s="1"/>
  <c r="J1793" i="10"/>
  <c r="L1793" i="10" s="1"/>
  <c r="J39" i="10"/>
  <c r="L39" i="10" s="1"/>
  <c r="J2314" i="10"/>
  <c r="L2314" i="10" s="1"/>
  <c r="J385" i="10"/>
  <c r="L385" i="10" s="1"/>
  <c r="J424" i="10"/>
  <c r="L424" i="10" s="1"/>
  <c r="J630" i="10"/>
  <c r="L630" i="10" s="1"/>
  <c r="J2257" i="10"/>
  <c r="L2257" i="10" s="1"/>
  <c r="J2168" i="10"/>
  <c r="L2168" i="10" s="1"/>
  <c r="J1698" i="10"/>
  <c r="L1698" i="10" s="1"/>
  <c r="J2122" i="10"/>
  <c r="L2122" i="10" s="1"/>
  <c r="J518" i="10"/>
  <c r="L518" i="10" s="1"/>
  <c r="J2919" i="10"/>
  <c r="L2919" i="10" s="1"/>
  <c r="J122" i="10"/>
  <c r="L122" i="10" s="1"/>
  <c r="J379" i="10"/>
  <c r="L379" i="10" s="1"/>
  <c r="J2555" i="10"/>
  <c r="L2555" i="10" s="1"/>
  <c r="J1471" i="10"/>
  <c r="L1471" i="10" s="1"/>
  <c r="J1823" i="10"/>
  <c r="L1823" i="10" s="1"/>
  <c r="J2671" i="10"/>
  <c r="L2671" i="10" s="1"/>
  <c r="J1580" i="10"/>
  <c r="L1580" i="10" s="1"/>
  <c r="J1038" i="10"/>
  <c r="L1038" i="10" s="1"/>
  <c r="J551" i="10"/>
  <c r="L551" i="10" s="1"/>
  <c r="J124" i="10"/>
  <c r="L124" i="10" s="1"/>
  <c r="J615" i="10"/>
  <c r="L615" i="10" s="1"/>
  <c r="J1028" i="10"/>
  <c r="L1028" i="10" s="1"/>
  <c r="J1944" i="10"/>
  <c r="L1944" i="10" s="1"/>
  <c r="J1078" i="10"/>
  <c r="L1078" i="10" s="1"/>
  <c r="J451" i="10"/>
  <c r="L451" i="10" s="1"/>
  <c r="J359" i="10"/>
  <c r="L359" i="10" s="1"/>
  <c r="J220" i="10"/>
  <c r="L220" i="10" s="1"/>
  <c r="J1907" i="10"/>
  <c r="L1907" i="10" s="1"/>
  <c r="J1986" i="10"/>
  <c r="L1986" i="10" s="1"/>
  <c r="J2806" i="10"/>
  <c r="L2806" i="10" s="1"/>
  <c r="J1485" i="10"/>
  <c r="L1485" i="10" s="1"/>
  <c r="J2370" i="10"/>
  <c r="L2370" i="10" s="1"/>
  <c r="J1021" i="10"/>
  <c r="L1021" i="10" s="1"/>
  <c r="J1012" i="10"/>
  <c r="L1012" i="10" s="1"/>
  <c r="J2811" i="10"/>
  <c r="L2811" i="10" s="1"/>
  <c r="J2323" i="10"/>
  <c r="L2323" i="10" s="1"/>
  <c r="J868" i="10"/>
  <c r="L868" i="10" s="1"/>
  <c r="J2620" i="10"/>
  <c r="L2620" i="10" s="1"/>
  <c r="J2599" i="10"/>
  <c r="L2599" i="10" s="1"/>
  <c r="J2586" i="10"/>
  <c r="L2586" i="10" s="1"/>
  <c r="J632" i="10"/>
  <c r="L632" i="10" s="1"/>
  <c r="J1995" i="10"/>
  <c r="L1995" i="10" s="1"/>
  <c r="J2523" i="10"/>
  <c r="L2523" i="10" s="1"/>
  <c r="J1931" i="10"/>
  <c r="L1931" i="10" s="1"/>
  <c r="J1708" i="10"/>
  <c r="L1708" i="10" s="1"/>
  <c r="J2363" i="10"/>
  <c r="L2363" i="10" s="1"/>
  <c r="J2198" i="10"/>
  <c r="L2198" i="10" s="1"/>
  <c r="J1197" i="10"/>
  <c r="L1197" i="10" s="1"/>
  <c r="J2727" i="10"/>
  <c r="L2727" i="10" s="1"/>
  <c r="J2415" i="10"/>
  <c r="L2415" i="10" s="1"/>
  <c r="J2384" i="10"/>
  <c r="L2384" i="10" s="1"/>
  <c r="J1277" i="10"/>
  <c r="L1277" i="10" s="1"/>
  <c r="J780" i="10"/>
  <c r="L780" i="10" s="1"/>
  <c r="J1330" i="10"/>
  <c r="L1330" i="10" s="1"/>
  <c r="J923" i="10"/>
  <c r="L923" i="10" s="1"/>
  <c r="J2141" i="10"/>
  <c r="L2141" i="10" s="1"/>
  <c r="J1883" i="10"/>
  <c r="L1883" i="10" s="1"/>
  <c r="J757" i="10"/>
  <c r="L757" i="10" s="1"/>
  <c r="J1899" i="10"/>
  <c r="L1899" i="10" s="1"/>
  <c r="J1054" i="10"/>
  <c r="L1054" i="10" s="1"/>
  <c r="J344" i="10"/>
  <c r="L344" i="10" s="1"/>
  <c r="J1645" i="10"/>
  <c r="L1645" i="10" s="1"/>
  <c r="J1570" i="10"/>
  <c r="L1570" i="10" s="1"/>
  <c r="J1736" i="10"/>
  <c r="L1736" i="10" s="1"/>
  <c r="J1796" i="10"/>
  <c r="L1796" i="10" s="1"/>
  <c r="J1432" i="10"/>
  <c r="L1432" i="10" s="1"/>
  <c r="J786" i="10"/>
  <c r="L786" i="10" s="1"/>
  <c r="J1404" i="10"/>
  <c r="L1404" i="10" s="1"/>
  <c r="J936" i="10"/>
  <c r="L936" i="10" s="1"/>
  <c r="J427" i="10"/>
  <c r="L427" i="10" s="1"/>
  <c r="J2866" i="10"/>
  <c r="L2866" i="10" s="1"/>
  <c r="J135" i="10"/>
  <c r="L135" i="10" s="1"/>
  <c r="J2380" i="10"/>
  <c r="L2380" i="10" s="1"/>
  <c r="J2488" i="10"/>
  <c r="L2488" i="10" s="1"/>
  <c r="J2712" i="10"/>
  <c r="L2712" i="10" s="1"/>
  <c r="J2734" i="10"/>
  <c r="L2734" i="10" s="1"/>
  <c r="J2024" i="10"/>
  <c r="L2024" i="10" s="1"/>
  <c r="J2124" i="10"/>
  <c r="L2124" i="10" s="1"/>
  <c r="J343" i="10"/>
  <c r="L343" i="10" s="1"/>
  <c r="J2872" i="10"/>
  <c r="L2872" i="10" s="1"/>
  <c r="J2478" i="10"/>
  <c r="L2478" i="10" s="1"/>
  <c r="J292" i="10"/>
  <c r="L292" i="10" s="1"/>
  <c r="J2099" i="10"/>
  <c r="L2099" i="10" s="1"/>
  <c r="J2781" i="10"/>
  <c r="L2781" i="10" s="1"/>
  <c r="J2584" i="10"/>
  <c r="L2584" i="10" s="1"/>
  <c r="J2241" i="10"/>
  <c r="L2241" i="10" s="1"/>
  <c r="J2105" i="10"/>
  <c r="L2105" i="10" s="1"/>
  <c r="J2688" i="10"/>
  <c r="L2688" i="10" s="1"/>
  <c r="J1510" i="10"/>
  <c r="L1510" i="10" s="1"/>
  <c r="J1245" i="10"/>
  <c r="L1245" i="10" s="1"/>
  <c r="J1296" i="10"/>
  <c r="L1296" i="10" s="1"/>
  <c r="J764" i="10"/>
  <c r="L764" i="10" s="1"/>
  <c r="J2540" i="10"/>
  <c r="L2540" i="10" s="1"/>
  <c r="J1187" i="10"/>
  <c r="L1187" i="10" s="1"/>
  <c r="J241" i="10"/>
  <c r="L241" i="10" s="1"/>
  <c r="J820" i="10"/>
  <c r="L820" i="10" s="1"/>
  <c r="J2064" i="10"/>
  <c r="L2064" i="10" s="1"/>
  <c r="J1144" i="10"/>
  <c r="L1144" i="10" s="1"/>
  <c r="J2751" i="10"/>
  <c r="L2751" i="10" s="1"/>
  <c r="J932" i="10"/>
  <c r="L932" i="10" s="1"/>
  <c r="J1833" i="10"/>
  <c r="L1833" i="10" s="1"/>
  <c r="J768" i="10"/>
  <c r="L768" i="10" s="1"/>
  <c r="J7" i="10"/>
  <c r="L7" i="10" s="1"/>
  <c r="J592" i="10"/>
  <c r="L592" i="10" s="1"/>
  <c r="J1733" i="10"/>
  <c r="L1733" i="10" s="1"/>
  <c r="J1784" i="10"/>
  <c r="L1784" i="10" s="1"/>
  <c r="J1123" i="10"/>
  <c r="L1123" i="10" s="1"/>
  <c r="J1147" i="10"/>
  <c r="L1147" i="10" s="1"/>
  <c r="J2101" i="10"/>
  <c r="L2101" i="10" s="1"/>
  <c r="J2604" i="10"/>
  <c r="L2604" i="10" s="1"/>
  <c r="J161" i="10"/>
  <c r="L161" i="10" s="1"/>
  <c r="J1202" i="10"/>
  <c r="L1202" i="10" s="1"/>
  <c r="J1979" i="10"/>
  <c r="L1979" i="10" s="1"/>
  <c r="J1696" i="10"/>
  <c r="L1696" i="10" s="1"/>
  <c r="J221" i="10"/>
  <c r="L221" i="10" s="1"/>
  <c r="J566" i="10"/>
  <c r="L566" i="10" s="1"/>
  <c r="J839" i="10"/>
  <c r="L839" i="10" s="1"/>
  <c r="J1212" i="10"/>
  <c r="L1212" i="10" s="1"/>
  <c r="J1935" i="10"/>
  <c r="L1935" i="10" s="1"/>
  <c r="J646" i="10"/>
  <c r="L646" i="10" s="1"/>
  <c r="J211" i="10"/>
  <c r="L211" i="10" s="1"/>
  <c r="J1522" i="10"/>
  <c r="L1522" i="10" s="1"/>
  <c r="J892" i="10"/>
  <c r="L892" i="10" s="1"/>
  <c r="J1805" i="10"/>
  <c r="L1805" i="10" s="1"/>
  <c r="J695" i="10"/>
  <c r="L695" i="10" s="1"/>
  <c r="J1126" i="10"/>
  <c r="L1126" i="10" s="1"/>
  <c r="J1342" i="10"/>
  <c r="L1342" i="10" s="1"/>
  <c r="J1487" i="10"/>
  <c r="L1487" i="10" s="1"/>
  <c r="J2305" i="10"/>
  <c r="L2305" i="10" s="1"/>
  <c r="J2179" i="10"/>
  <c r="L2179" i="10" s="1"/>
  <c r="J2892" i="10"/>
  <c r="L2892" i="10" s="1"/>
  <c r="J1446" i="10"/>
  <c r="L1446" i="10" s="1"/>
  <c r="J2852" i="10"/>
  <c r="L2852" i="10" s="1"/>
  <c r="J2507" i="10"/>
  <c r="L2507" i="10" s="1"/>
  <c r="J2674" i="10"/>
  <c r="L2674" i="10" s="1"/>
  <c r="J2049" i="10"/>
  <c r="L2049" i="10" s="1"/>
  <c r="J1238" i="10"/>
  <c r="L1238" i="10" s="1"/>
  <c r="J2448" i="10"/>
  <c r="L2448" i="10" s="1"/>
  <c r="J2388" i="10"/>
  <c r="L2388" i="10" s="1"/>
  <c r="J724" i="10"/>
  <c r="L724" i="10" s="1"/>
  <c r="J1680" i="10"/>
  <c r="L1680" i="10" s="1"/>
  <c r="J2172" i="10"/>
  <c r="L2172" i="10" s="1"/>
  <c r="J2770" i="10"/>
  <c r="L2770" i="10" s="1"/>
  <c r="J2572" i="10"/>
  <c r="L2572" i="10" s="1"/>
  <c r="J2378" i="10"/>
  <c r="L2378" i="10" s="1"/>
  <c r="J1504" i="10"/>
  <c r="L1504" i="10" s="1"/>
  <c r="J1855" i="10"/>
  <c r="L1855" i="10" s="1"/>
  <c r="J2214" i="10"/>
  <c r="L2214" i="10" s="1"/>
  <c r="J1286" i="10"/>
  <c r="L1286" i="10" s="1"/>
  <c r="J1154" i="10"/>
  <c r="L1154" i="10" s="1"/>
  <c r="J2022" i="10"/>
  <c r="L2022" i="10" s="1"/>
  <c r="J985" i="10"/>
  <c r="L985" i="10" s="1"/>
  <c r="J1403" i="10"/>
  <c r="L1403" i="10" s="1"/>
  <c r="J524" i="10"/>
  <c r="L524" i="10" s="1"/>
  <c r="J2711" i="10"/>
  <c r="L2711" i="10" s="1"/>
  <c r="J228" i="10"/>
  <c r="L228" i="10" s="1"/>
  <c r="J2910" i="10"/>
  <c r="L2910" i="10" s="1"/>
  <c r="J2779" i="10"/>
  <c r="L2779" i="10" s="1"/>
  <c r="J2450" i="10"/>
  <c r="L2450" i="10" s="1"/>
  <c r="J908" i="10"/>
  <c r="L908" i="10" s="1"/>
  <c r="J1118" i="10"/>
  <c r="L1118" i="10" s="1"/>
  <c r="J2008" i="10"/>
  <c r="L2008" i="10" s="1"/>
  <c r="J28" i="10"/>
  <c r="L28" i="10" s="1"/>
  <c r="J332" i="10"/>
  <c r="L332" i="10" s="1"/>
  <c r="J481" i="10"/>
  <c r="L481" i="10" s="1"/>
  <c r="J919" i="10"/>
  <c r="L919" i="10" s="1"/>
  <c r="J1717" i="10"/>
  <c r="L1717" i="10" s="1"/>
  <c r="J2083" i="10"/>
  <c r="L2083" i="10" s="1"/>
  <c r="J882" i="10"/>
  <c r="L882" i="10" s="1"/>
  <c r="J817" i="10"/>
  <c r="L817" i="10" s="1"/>
  <c r="J2888" i="10"/>
  <c r="L2888" i="10" s="1"/>
  <c r="J2763" i="10"/>
  <c r="L2763" i="10" s="1"/>
  <c r="J148" i="10"/>
  <c r="L148" i="10" s="1"/>
  <c r="J831" i="10"/>
  <c r="L831" i="10" s="1"/>
  <c r="J1047" i="10"/>
  <c r="L1047" i="10" s="1"/>
  <c r="J1945" i="10"/>
  <c r="L1945" i="10" s="1"/>
  <c r="J2089" i="10"/>
  <c r="L2089" i="10" s="1"/>
  <c r="J714" i="10"/>
  <c r="L714" i="10" s="1"/>
  <c r="J2426" i="10"/>
  <c r="L2426" i="10" s="1"/>
  <c r="J1731" i="10"/>
  <c r="L1731" i="10" s="1"/>
  <c r="J375" i="10"/>
  <c r="L375" i="10" s="1"/>
  <c r="J824" i="10"/>
  <c r="L824" i="10" s="1"/>
  <c r="J2468" i="10"/>
  <c r="L2468" i="10" s="1"/>
  <c r="J2649" i="10"/>
  <c r="L2649" i="10" s="1"/>
  <c r="J1681" i="10"/>
  <c r="L1681" i="10" s="1"/>
  <c r="J716" i="10"/>
  <c r="L716" i="10" s="1"/>
  <c r="J1832" i="10"/>
  <c r="L1832" i="10" s="1"/>
  <c r="J1261" i="10"/>
  <c r="L1261" i="10" s="1"/>
  <c r="J997" i="10"/>
  <c r="L997" i="10" s="1"/>
  <c r="J381" i="10"/>
  <c r="L381" i="10" s="1"/>
  <c r="J166" i="10"/>
  <c r="L166" i="10" s="1"/>
  <c r="J952" i="10"/>
  <c r="L952" i="10" s="1"/>
  <c r="J1885" i="10"/>
  <c r="L1885" i="10" s="1"/>
  <c r="J185" i="10"/>
  <c r="L185" i="10" s="1"/>
  <c r="J1247" i="10"/>
  <c r="L1247" i="10" s="1"/>
  <c r="J798" i="10"/>
  <c r="L798" i="10" s="1"/>
  <c r="J2837" i="10"/>
  <c r="L2837" i="10" s="1"/>
  <c r="J1912" i="10"/>
  <c r="L1912" i="10" s="1"/>
  <c r="J142" i="10"/>
  <c r="L142" i="10" s="1"/>
  <c r="J2860" i="10"/>
  <c r="L2860" i="10" s="1"/>
  <c r="J244" i="10"/>
  <c r="L244" i="10" s="1"/>
  <c r="J2710" i="10"/>
  <c r="L2710" i="10" s="1"/>
  <c r="J2699" i="10"/>
  <c r="L2699" i="10" s="1"/>
  <c r="J1288" i="10"/>
  <c r="L1288" i="10" s="1"/>
  <c r="J726" i="10"/>
  <c r="L726" i="10" s="1"/>
  <c r="J2324" i="10"/>
  <c r="L2324" i="10" s="1"/>
  <c r="J2228" i="10"/>
  <c r="L2228" i="10" s="1"/>
  <c r="J2174" i="10"/>
  <c r="L2174" i="10" s="1"/>
  <c r="J186" i="10"/>
  <c r="L186" i="10" s="1"/>
  <c r="J1602" i="10"/>
  <c r="L1602" i="10" s="1"/>
  <c r="J3" i="10"/>
  <c r="L3" i="10" s="1"/>
  <c r="J2054" i="10"/>
  <c r="L2054" i="10" s="1"/>
  <c r="J619" i="10"/>
  <c r="L619" i="10" s="1"/>
  <c r="J275" i="10"/>
  <c r="L275" i="10" s="1"/>
  <c r="J1388" i="10"/>
  <c r="L1388" i="10" s="1"/>
  <c r="J1829" i="10"/>
  <c r="L1829" i="10" s="1"/>
  <c r="J2568" i="10"/>
  <c r="L2568" i="10" s="1"/>
  <c r="J2302" i="10"/>
  <c r="L2302" i="10" s="1"/>
  <c r="J1165" i="10"/>
  <c r="L1165" i="10" s="1"/>
  <c r="J745" i="10"/>
  <c r="L745" i="10" s="1"/>
  <c r="J2223" i="10"/>
  <c r="L2223" i="10" s="1"/>
  <c r="J1451" i="10"/>
  <c r="L1451" i="10" s="1"/>
  <c r="J898" i="10"/>
  <c r="L898" i="10" s="1"/>
  <c r="J2332" i="10"/>
  <c r="L2332" i="10" s="1"/>
  <c r="J704" i="10"/>
  <c r="L704" i="10" s="1"/>
  <c r="J855" i="10"/>
  <c r="L855" i="10" s="1"/>
  <c r="J501" i="10"/>
  <c r="L501" i="10" s="1"/>
  <c r="J1970" i="10"/>
  <c r="L1970" i="10" s="1"/>
  <c r="J1727" i="10"/>
  <c r="L1727" i="10" s="1"/>
  <c r="J1160" i="10"/>
  <c r="L1160" i="10" s="1"/>
  <c r="J1007" i="10"/>
  <c r="L1007" i="10" s="1"/>
  <c r="J2197" i="10"/>
  <c r="L2197" i="10" s="1"/>
  <c r="J535" i="10"/>
  <c r="L535" i="10" s="1"/>
  <c r="J2405" i="10"/>
  <c r="L2405" i="10" s="1"/>
  <c r="J1606" i="10"/>
  <c r="L1606" i="10" s="1"/>
  <c r="J2678" i="10"/>
  <c r="L2678" i="10" s="1"/>
  <c r="J519" i="10"/>
  <c r="L519" i="10" s="1"/>
  <c r="J996" i="10"/>
  <c r="L996" i="10" s="1"/>
  <c r="J1236" i="10"/>
  <c r="L1236" i="10" s="1"/>
  <c r="J1394" i="10"/>
  <c r="L1394" i="10" s="1"/>
  <c r="J2422" i="10"/>
  <c r="L2422" i="10" s="1"/>
  <c r="J1318" i="10"/>
  <c r="L1318" i="10" s="1"/>
  <c r="J192" i="10"/>
  <c r="L192" i="10" s="1"/>
  <c r="J2731" i="10"/>
  <c r="L2731" i="10" s="1"/>
  <c r="J2071" i="10"/>
  <c r="L2071" i="10" s="1"/>
  <c r="J23" i="10"/>
  <c r="L23" i="10" s="1"/>
  <c r="J504" i="10"/>
  <c r="L504" i="10" s="1"/>
  <c r="J2051" i="10"/>
  <c r="L2051" i="10" s="1"/>
  <c r="J2890" i="10"/>
  <c r="L2890" i="10" s="1"/>
  <c r="J1830" i="10"/>
  <c r="L1830" i="10" s="1"/>
  <c r="J1210" i="10"/>
  <c r="L1210" i="10" s="1"/>
  <c r="J703" i="10"/>
  <c r="L703" i="10" s="1"/>
  <c r="J2039" i="10"/>
  <c r="L2039" i="10" s="1"/>
  <c r="J2295" i="10"/>
  <c r="L2295" i="10" s="1"/>
  <c r="J2798" i="10"/>
  <c r="L2798" i="10" s="1"/>
  <c r="J862" i="10"/>
  <c r="L862" i="10" s="1"/>
  <c r="J887" i="10"/>
  <c r="L887" i="10" s="1"/>
  <c r="J1812" i="10"/>
  <c r="L1812" i="10" s="1"/>
  <c r="J1041" i="10"/>
  <c r="L1041" i="10" s="1"/>
  <c r="J1769" i="10"/>
  <c r="L1769" i="10" s="1"/>
  <c r="J1267" i="10"/>
  <c r="L1267" i="10" s="1"/>
  <c r="J111" i="10"/>
  <c r="L111" i="10" s="1"/>
  <c r="J429" i="10"/>
  <c r="L429" i="10" s="1"/>
  <c r="J1153" i="10"/>
  <c r="L1153" i="10" s="1"/>
  <c r="J880" i="10"/>
  <c r="L880" i="10" s="1"/>
  <c r="J329" i="10"/>
  <c r="L329" i="10" s="1"/>
  <c r="J993" i="10"/>
  <c r="L993" i="10" s="1"/>
  <c r="J2692" i="10"/>
  <c r="L2692" i="10" s="1"/>
  <c r="J637" i="10"/>
  <c r="L637" i="10" s="1"/>
  <c r="J1539" i="10"/>
  <c r="L1539" i="10" s="1"/>
  <c r="J485" i="10"/>
  <c r="L485" i="10" s="1"/>
  <c r="J102" i="10"/>
  <c r="L102" i="10" s="1"/>
  <c r="J1521" i="10"/>
  <c r="L1521" i="10" s="1"/>
  <c r="J1882" i="10"/>
  <c r="L1882" i="10" s="1"/>
  <c r="J776" i="10"/>
  <c r="L776" i="10" s="1"/>
  <c r="J1251" i="10"/>
  <c r="L1251" i="10" s="1"/>
  <c r="J1232" i="10"/>
  <c r="L1232" i="10" s="1"/>
  <c r="J1337" i="10"/>
  <c r="L1337" i="10" s="1"/>
  <c r="J599" i="10"/>
  <c r="L599" i="10" s="1"/>
  <c r="J1101" i="10"/>
  <c r="L1101" i="10" s="1"/>
  <c r="J1814" i="10"/>
  <c r="L1814" i="10" s="1"/>
  <c r="J2827" i="10"/>
  <c r="L2827" i="10" s="1"/>
  <c r="J2524" i="10"/>
  <c r="L2524" i="10" s="1"/>
  <c r="J2146" i="10"/>
  <c r="L2146" i="10" s="1"/>
  <c r="J676" i="10"/>
  <c r="L676" i="10" s="1"/>
  <c r="J1241" i="10"/>
  <c r="L1241" i="10" s="1"/>
  <c r="J2343" i="10"/>
  <c r="L2343" i="10" s="1"/>
  <c r="J1574" i="10"/>
  <c r="L1574" i="10" s="1"/>
  <c r="J2868" i="10"/>
  <c r="L2868" i="10" s="1"/>
  <c r="J2009" i="10"/>
  <c r="L2009" i="10" s="1"/>
  <c r="J2299" i="10"/>
  <c r="L2299" i="10" s="1"/>
  <c r="J2880" i="10"/>
  <c r="L2880" i="10" s="1"/>
  <c r="J2010" i="10"/>
  <c r="L2010" i="10" s="1"/>
  <c r="J2057" i="10"/>
  <c r="L2057" i="10" s="1"/>
  <c r="J1919" i="10"/>
  <c r="L1919" i="10" s="1"/>
  <c r="J2381" i="10"/>
  <c r="L2381" i="10" s="1"/>
  <c r="J2471" i="10"/>
  <c r="L2471" i="10" s="1"/>
  <c r="J1301" i="10"/>
  <c r="L1301" i="10" s="1"/>
  <c r="J2128" i="10"/>
  <c r="L2128" i="10" s="1"/>
  <c r="J1045" i="10"/>
  <c r="L1045" i="10" s="1"/>
  <c r="J1978" i="10"/>
  <c r="L1978" i="10" s="1"/>
  <c r="J386" i="10"/>
  <c r="L386" i="10" s="1"/>
  <c r="J2438" i="10"/>
  <c r="L2438" i="10" s="1"/>
  <c r="J2473" i="10"/>
  <c r="L2473" i="10" s="1"/>
  <c r="J2740" i="10"/>
  <c r="L2740" i="10" s="1"/>
  <c r="J1231" i="10"/>
  <c r="L1231" i="10" s="1"/>
  <c r="J760" i="10"/>
  <c r="L760" i="10" s="1"/>
  <c r="J2170" i="10"/>
  <c r="L2170" i="10" s="1"/>
  <c r="J2395" i="10"/>
  <c r="L2395" i="10" s="1"/>
  <c r="J2489" i="10"/>
  <c r="L2489" i="10" s="1"/>
  <c r="J742" i="10"/>
  <c r="L742" i="10" s="1"/>
  <c r="J418" i="10"/>
  <c r="L418" i="10" s="1"/>
  <c r="J2757" i="10"/>
  <c r="L2757" i="10" s="1"/>
  <c r="J2072" i="10"/>
  <c r="L2072" i="10" s="1"/>
  <c r="J1464" i="10"/>
  <c r="L1464" i="10" s="1"/>
  <c r="J1358" i="10"/>
  <c r="L1358" i="10" s="1"/>
  <c r="J1582" i="10"/>
  <c r="L1582" i="10" s="1"/>
  <c r="J82" i="10"/>
  <c r="L82" i="10" s="1"/>
  <c r="J1955" i="10"/>
  <c r="L1955" i="10" s="1"/>
  <c r="J2514" i="10"/>
  <c r="L2514" i="10" s="1"/>
  <c r="J62" i="10"/>
  <c r="L62" i="10" s="1"/>
  <c r="J484" i="10"/>
  <c r="L484" i="10" s="1"/>
  <c r="J2284" i="10"/>
  <c r="L2284" i="10" s="1"/>
  <c r="J1479" i="10"/>
  <c r="L1479" i="10" s="1"/>
  <c r="J1613" i="10"/>
  <c r="L1613" i="10" s="1"/>
  <c r="J635" i="10"/>
  <c r="L635" i="10" s="1"/>
  <c r="J688" i="10"/>
  <c r="L688" i="10" s="1"/>
  <c r="J349" i="10"/>
  <c r="L349" i="10" s="1"/>
  <c r="J2382" i="10"/>
  <c r="L2382" i="10" s="1"/>
  <c r="J2583" i="10"/>
  <c r="L2583" i="10" s="1"/>
  <c r="J252" i="10"/>
  <c r="L252" i="10" s="1"/>
  <c r="J2542" i="10"/>
  <c r="L2542" i="10" s="1"/>
  <c r="J483" i="10"/>
  <c r="L483" i="10" s="1"/>
  <c r="J2579" i="10"/>
  <c r="L2579" i="10" s="1"/>
  <c r="J2547" i="10"/>
  <c r="L2547" i="10" s="1"/>
  <c r="J1662" i="10"/>
  <c r="L1662" i="10" s="1"/>
  <c r="J511" i="10"/>
  <c r="L511" i="10" s="1"/>
  <c r="J117" i="10"/>
  <c r="L117" i="10" s="1"/>
  <c r="J1688" i="10"/>
  <c r="L1688" i="10" s="1"/>
  <c r="J46" i="10"/>
  <c r="L46" i="10" s="1"/>
  <c r="J1726" i="10"/>
  <c r="L1726" i="10" s="1"/>
  <c r="J2510" i="10"/>
  <c r="L2510" i="10" s="1"/>
  <c r="J175" i="10"/>
  <c r="L175" i="10" s="1"/>
  <c r="J608" i="10"/>
  <c r="L608" i="10" s="1"/>
  <c r="J29" i="10"/>
  <c r="L29" i="10" s="1"/>
  <c r="J287" i="10"/>
  <c r="L287" i="10" s="1"/>
  <c r="J2613" i="10"/>
  <c r="L2613" i="10" s="1"/>
  <c r="J441" i="10"/>
  <c r="L441" i="10" s="1"/>
  <c r="J525" i="10"/>
  <c r="L525" i="10" s="1"/>
  <c r="J874" i="10"/>
  <c r="L874" i="10" s="1"/>
  <c r="J434" i="10"/>
  <c r="L434" i="10" s="1"/>
  <c r="J1799" i="10"/>
  <c r="L1799" i="10" s="1"/>
  <c r="J2217" i="10"/>
  <c r="L2217" i="10" s="1"/>
  <c r="J2612" i="10"/>
  <c r="L2612" i="10" s="1"/>
  <c r="J1122" i="10"/>
  <c r="L1122" i="10" s="1"/>
  <c r="J2794" i="10"/>
  <c r="L2794" i="10" s="1"/>
  <c r="J1992" i="10"/>
  <c r="L1992" i="10" s="1"/>
  <c r="J1173" i="10"/>
  <c r="L1173" i="10" s="1"/>
  <c r="J2916" i="10"/>
  <c r="L2916" i="10" s="1"/>
  <c r="J2669" i="10"/>
  <c r="L2669" i="10" s="1"/>
  <c r="J2900" i="10"/>
  <c r="L2900" i="10" s="1"/>
  <c r="J1670" i="10"/>
  <c r="L1670" i="10" s="1"/>
  <c r="J2030" i="10"/>
  <c r="L2030" i="10" s="1"/>
  <c r="J2212" i="10"/>
  <c r="L2212" i="10" s="1"/>
  <c r="J2111" i="10"/>
  <c r="L2111" i="10" s="1"/>
  <c r="J992" i="10"/>
  <c r="L992" i="10" s="1"/>
  <c r="J1910" i="10"/>
  <c r="L1910" i="10" s="1"/>
  <c r="J2445" i="10"/>
  <c r="L2445" i="10" s="1"/>
  <c r="J1800" i="10"/>
  <c r="L1800" i="10" s="1"/>
  <c r="J2144" i="10"/>
  <c r="L2144" i="10" s="1"/>
  <c r="J2854" i="10"/>
  <c r="L2854" i="10" s="1"/>
  <c r="J127" i="10"/>
  <c r="L127" i="10" s="1"/>
  <c r="J1340" i="10"/>
  <c r="L1340" i="10" s="1"/>
  <c r="J2157" i="10"/>
  <c r="L2157" i="10" s="1"/>
  <c r="J1854" i="10"/>
  <c r="L1854" i="10" s="1"/>
  <c r="J2458" i="10"/>
  <c r="L2458" i="10" s="1"/>
  <c r="J2358" i="10"/>
  <c r="L2358" i="10" s="1"/>
  <c r="J2550" i="10"/>
  <c r="L2550" i="10" s="1"/>
  <c r="J1724" i="10"/>
  <c r="L1724" i="10" s="1"/>
  <c r="J2825" i="10"/>
  <c r="L2825" i="10" s="1"/>
  <c r="J1672" i="10"/>
  <c r="L1672" i="10" s="1"/>
  <c r="J1608" i="10"/>
  <c r="L1608" i="10" s="1"/>
  <c r="J426" i="10"/>
  <c r="L426" i="10" s="1"/>
  <c r="J2643" i="10"/>
  <c r="L2643" i="10" s="1"/>
  <c r="J2867" i="10"/>
  <c r="L2867" i="10" s="1"/>
  <c r="J2216" i="10"/>
  <c r="L2216" i="10" s="1"/>
  <c r="J939" i="10"/>
  <c r="L939" i="10" s="1"/>
  <c r="J1293" i="10"/>
  <c r="L1293" i="10" s="1"/>
  <c r="J1148" i="10"/>
  <c r="L1148" i="10" s="1"/>
  <c r="J2875" i="10"/>
  <c r="L2875" i="10" s="1"/>
  <c r="J1624" i="10"/>
  <c r="L1624" i="10" s="1"/>
  <c r="J890" i="10"/>
  <c r="L890" i="10" s="1"/>
  <c r="J1725" i="10"/>
  <c r="L1725" i="10" s="1"/>
  <c r="J2348" i="10"/>
  <c r="L2348" i="10" s="1"/>
  <c r="J736" i="10"/>
  <c r="L736" i="10" s="1"/>
  <c r="J2266" i="10"/>
  <c r="L2266" i="10" s="1"/>
  <c r="J1585" i="10"/>
  <c r="L1585" i="10" s="1"/>
  <c r="J928" i="10"/>
  <c r="L928" i="10" s="1"/>
  <c r="J1048" i="10"/>
  <c r="L1048" i="10" s="1"/>
  <c r="J2136" i="10"/>
  <c r="L2136" i="10" s="1"/>
  <c r="J1999" i="10"/>
  <c r="L1999" i="10" s="1"/>
  <c r="J530" i="10"/>
  <c r="L530" i="10" s="1"/>
  <c r="J1357" i="10"/>
  <c r="L1357" i="10" s="1"/>
  <c r="J605" i="10"/>
  <c r="L605" i="10" s="1"/>
  <c r="J1377" i="10"/>
  <c r="L1377" i="10" s="1"/>
  <c r="J818" i="10"/>
  <c r="L818" i="10" s="1"/>
  <c r="J2269" i="10"/>
  <c r="L2269" i="10" s="1"/>
  <c r="J590" i="10"/>
  <c r="L590" i="10" s="1"/>
  <c r="J2658" i="10"/>
  <c r="L2658" i="10" s="1"/>
  <c r="J1069" i="10"/>
  <c r="L1069" i="10" s="1"/>
  <c r="J30" i="10"/>
  <c r="L30" i="10" s="1"/>
  <c r="J1858" i="10"/>
  <c r="L1858" i="10" s="1"/>
  <c r="J265" i="10"/>
  <c r="L265" i="10" s="1"/>
  <c r="J2249" i="10"/>
  <c r="L2249" i="10" s="1"/>
  <c r="J2585" i="10"/>
  <c r="L2585" i="10" s="1"/>
  <c r="J1448" i="10"/>
  <c r="L1448" i="10" s="1"/>
  <c r="J2310" i="10"/>
  <c r="L2310" i="10" s="1"/>
  <c r="J1579" i="10"/>
  <c r="L1579" i="10" s="1"/>
  <c r="J1915" i="10"/>
  <c r="L1915" i="10" s="1"/>
  <c r="J1637" i="10"/>
  <c r="L1637" i="10" s="1"/>
  <c r="J891" i="10"/>
  <c r="L891" i="10" s="1"/>
  <c r="J1026" i="10"/>
  <c r="L1026" i="10" s="1"/>
  <c r="J2143" i="10"/>
  <c r="L2143" i="10" s="1"/>
  <c r="J1519" i="10"/>
  <c r="L1519" i="10" s="1"/>
  <c r="J2894" i="10"/>
  <c r="L2894" i="10" s="1"/>
  <c r="J509" i="10"/>
  <c r="L509" i="10" s="1"/>
  <c r="J807" i="10"/>
  <c r="L807" i="10" s="1"/>
  <c r="J1070" i="10"/>
  <c r="L1070" i="10" s="1"/>
  <c r="J2672" i="10"/>
  <c r="L2672" i="10" s="1"/>
  <c r="J1893" i="10"/>
  <c r="L1893" i="10" s="1"/>
  <c r="J2346" i="10"/>
  <c r="L2346" i="10" s="1"/>
  <c r="J2067" i="10"/>
  <c r="L2067" i="10" s="1"/>
  <c r="J2433" i="10"/>
  <c r="L2433" i="10" s="1"/>
  <c r="J2365" i="10"/>
  <c r="L2365" i="10" s="1"/>
  <c r="J2551" i="10"/>
  <c r="L2551" i="10" s="1"/>
  <c r="J2761" i="10"/>
  <c r="L2761" i="10" s="1"/>
  <c r="J1086" i="10"/>
  <c r="L1086" i="10" s="1"/>
  <c r="J1163" i="10"/>
  <c r="L1163" i="10" s="1"/>
  <c r="J2037" i="10"/>
  <c r="L2037" i="10" s="1"/>
  <c r="J212" i="10"/>
  <c r="L212" i="10" s="1"/>
  <c r="J1184" i="10"/>
  <c r="L1184" i="10" s="1"/>
  <c r="J2196" i="10"/>
  <c r="L2196" i="10" s="1"/>
  <c r="J2772" i="10"/>
  <c r="L2772" i="10" s="1"/>
  <c r="J596" i="10"/>
  <c r="L596" i="10" s="1"/>
  <c r="J8" i="10"/>
  <c r="L8" i="10" s="1"/>
  <c r="J1711" i="10"/>
  <c r="L1711" i="10" s="1"/>
  <c r="J1578" i="10"/>
  <c r="L1578" i="10" s="1"/>
  <c r="J2423" i="10"/>
  <c r="L2423" i="10" s="1"/>
  <c r="J91" i="10"/>
  <c r="L91" i="10" s="1"/>
  <c r="J430" i="10"/>
  <c r="L430" i="10" s="1"/>
  <c r="J770" i="10"/>
  <c r="L770" i="10" s="1"/>
  <c r="J715" i="10"/>
  <c r="L715" i="10" s="1"/>
  <c r="J2286" i="10"/>
  <c r="L2286" i="10" s="1"/>
  <c r="J1064" i="10"/>
  <c r="L1064" i="10" s="1"/>
  <c r="J2618" i="10"/>
  <c r="L2618" i="10" s="1"/>
  <c r="J1287" i="10"/>
  <c r="L1287" i="10" s="1"/>
  <c r="J1666" i="10"/>
  <c r="L1666" i="10" s="1"/>
  <c r="J984" i="10"/>
  <c r="L984" i="10" s="1"/>
  <c r="J2355" i="10"/>
  <c r="L2355" i="10" s="1"/>
  <c r="J1581" i="10"/>
  <c r="L1581" i="10" s="1"/>
  <c r="J1234" i="10"/>
  <c r="L1234" i="10" s="1"/>
  <c r="J410" i="10"/>
  <c r="L410" i="10" s="1"/>
  <c r="J2716" i="10"/>
  <c r="L2716" i="10" s="1"/>
  <c r="J684" i="10"/>
  <c r="L684" i="10" s="1"/>
  <c r="J1831" i="10"/>
  <c r="L1831" i="10" s="1"/>
  <c r="J1524" i="10"/>
  <c r="L1524" i="10" s="1"/>
  <c r="J960" i="10"/>
  <c r="L960" i="10" s="1"/>
  <c r="J2394" i="10"/>
  <c r="L2394" i="10" s="1"/>
  <c r="J2886" i="10"/>
  <c r="L2886" i="10" s="1"/>
  <c r="J903" i="10"/>
  <c r="L903" i="10" s="1"/>
  <c r="J618" i="10"/>
  <c r="L618" i="10" s="1"/>
  <c r="J1484" i="10"/>
  <c r="L1484" i="10" s="1"/>
  <c r="J2398" i="10"/>
  <c r="L2398" i="10" s="1"/>
  <c r="J1827" i="10"/>
  <c r="L1827" i="10" s="1"/>
  <c r="J604" i="10"/>
  <c r="L604" i="10" s="1"/>
  <c r="J823" i="10"/>
  <c r="L823" i="10" s="1"/>
  <c r="J472" i="10"/>
  <c r="L472" i="10" s="1"/>
  <c r="J900" i="10"/>
  <c r="L900" i="10" s="1"/>
  <c r="J2023" i="10"/>
  <c r="L2023" i="10" s="1"/>
  <c r="J2845" i="10"/>
  <c r="L2845" i="10" s="1"/>
  <c r="J1709" i="10"/>
  <c r="L1709" i="10" s="1"/>
  <c r="J2830" i="10"/>
  <c r="L2830" i="10" s="1"/>
  <c r="J2463" i="10"/>
  <c r="L2463" i="10" s="1"/>
  <c r="J2326" i="10"/>
  <c r="L2326" i="10" s="1"/>
  <c r="J1758" i="10"/>
  <c r="L1758" i="10" s="1"/>
  <c r="J2648" i="10"/>
  <c r="L2648" i="10" s="1"/>
  <c r="J562" i="10"/>
  <c r="L562" i="10" s="1"/>
  <c r="J365" i="10"/>
  <c r="L365" i="10" s="1"/>
  <c r="J1526" i="10"/>
  <c r="L1526" i="10" s="1"/>
  <c r="J1735" i="10"/>
  <c r="L1735" i="10" s="1"/>
  <c r="J542" i="10"/>
  <c r="L542" i="10" s="1"/>
  <c r="J1410" i="10"/>
  <c r="L1410" i="10" s="1"/>
  <c r="J1639" i="10"/>
  <c r="L1639" i="10" s="1"/>
  <c r="J2318" i="10"/>
  <c r="L2318" i="10" s="1"/>
  <c r="J229" i="10"/>
  <c r="L229" i="10" s="1"/>
  <c r="J2533" i="10"/>
  <c r="L2533" i="10" s="1"/>
  <c r="J1626" i="10"/>
  <c r="L1626" i="10" s="1"/>
  <c r="J1906" i="10"/>
  <c r="L1906" i="10" s="1"/>
  <c r="J739" i="10"/>
  <c r="L739" i="10" s="1"/>
  <c r="J2454" i="10"/>
  <c r="L2454" i="10" s="1"/>
  <c r="J2077" i="10"/>
  <c r="L2077" i="10" s="1"/>
  <c r="J93" i="10"/>
  <c r="L93" i="10" s="1"/>
  <c r="J40" i="10"/>
  <c r="L40" i="10" s="1"/>
  <c r="J1111" i="10"/>
  <c r="L1111" i="10" s="1"/>
  <c r="J411" i="10"/>
  <c r="L411" i="10" s="1"/>
  <c r="J1911" i="10"/>
  <c r="L1911" i="10" s="1"/>
  <c r="J729" i="10"/>
  <c r="L729" i="10" s="1"/>
  <c r="J982" i="10"/>
  <c r="L982" i="10" s="1"/>
  <c r="J113" i="10"/>
  <c r="L113" i="10" s="1"/>
  <c r="J1063" i="10"/>
  <c r="L1063" i="10" s="1"/>
  <c r="J363" i="10"/>
  <c r="L363" i="10" s="1"/>
  <c r="J2778" i="10"/>
  <c r="L2778" i="10" s="1"/>
  <c r="J98" i="10"/>
  <c r="L98" i="10" s="1"/>
  <c r="J870" i="10"/>
  <c r="L870" i="10" s="1"/>
  <c r="J1434" i="10"/>
  <c r="L1434" i="10" s="1"/>
  <c r="J2539" i="10"/>
  <c r="L2539" i="10" s="1"/>
  <c r="J2506" i="10"/>
  <c r="L2506" i="10" s="1"/>
  <c r="J1121" i="10"/>
  <c r="L1121" i="10" s="1"/>
  <c r="J2456" i="10"/>
  <c r="L2456" i="10" s="1"/>
  <c r="J2685" i="10"/>
  <c r="L2685" i="10" s="1"/>
  <c r="J2076" i="10"/>
  <c r="L2076" i="10" s="1"/>
  <c r="J1954" i="10"/>
  <c r="L1954" i="10" s="1"/>
  <c r="J2004" i="10"/>
  <c r="L2004" i="10" s="1"/>
  <c r="J1470" i="10"/>
  <c r="L1470" i="10" s="1"/>
  <c r="J2905" i="10"/>
  <c r="L2905" i="10" s="1"/>
  <c r="J1490" i="10"/>
  <c r="L1490" i="10" s="1"/>
  <c r="J178" i="10"/>
  <c r="L178" i="10" s="1"/>
  <c r="J1415" i="10"/>
  <c r="L1415" i="10" s="1"/>
  <c r="J1456" i="10"/>
  <c r="L1456" i="10" s="1"/>
  <c r="J951" i="10"/>
  <c r="L951" i="10" s="1"/>
  <c r="J2661" i="10"/>
  <c r="L2661" i="10" s="1"/>
  <c r="J2810" i="10"/>
  <c r="L2810" i="10" s="1"/>
  <c r="J2250" i="10"/>
  <c r="L2250" i="10" s="1"/>
  <c r="J1384" i="10"/>
  <c r="L1384" i="10" s="1"/>
  <c r="J561" i="10"/>
  <c r="L561" i="10" s="1"/>
  <c r="J1852" i="10"/>
  <c r="L1852" i="10" s="1"/>
  <c r="J2060" i="10"/>
  <c r="L2060" i="10" s="1"/>
  <c r="J2237" i="10"/>
  <c r="L2237" i="10" s="1"/>
  <c r="J1423" i="10"/>
  <c r="L1423" i="10" s="1"/>
  <c r="J2190" i="10"/>
  <c r="L2190" i="10" s="1"/>
  <c r="J1795" i="10"/>
  <c r="L1795" i="10" s="1"/>
  <c r="J1766" i="10"/>
  <c r="L1766" i="10" s="1"/>
  <c r="J280" i="10"/>
  <c r="L280" i="10" s="1"/>
  <c r="J458" i="10"/>
  <c r="L458" i="10" s="1"/>
  <c r="J2453" i="10"/>
  <c r="L2453" i="10" s="1"/>
  <c r="J600" i="10"/>
  <c r="L600" i="10" s="1"/>
  <c r="J378" i="10"/>
  <c r="L378" i="10" s="1"/>
  <c r="J203" i="10"/>
  <c r="L203" i="10" s="1"/>
  <c r="J1185" i="10"/>
  <c r="L1185" i="10" s="1"/>
  <c r="J1182" i="10"/>
  <c r="L1182" i="10" s="1"/>
  <c r="J1266" i="10"/>
  <c r="L1266" i="10" s="1"/>
  <c r="J1627" i="10"/>
  <c r="L1627" i="10" s="1"/>
  <c r="J26" i="10"/>
  <c r="L26" i="10" s="1"/>
  <c r="J2160" i="10"/>
  <c r="L2160" i="10" s="1"/>
  <c r="J1705" i="10"/>
  <c r="L1705" i="10" s="1"/>
  <c r="J763" i="10"/>
  <c r="L763" i="10" s="1"/>
  <c r="J546" i="10"/>
  <c r="L546" i="10" s="1"/>
  <c r="J537" i="10"/>
  <c r="L537" i="10" s="1"/>
  <c r="J738" i="10"/>
  <c r="L738" i="10" s="1"/>
  <c r="J2151" i="10"/>
  <c r="L2151" i="10" s="1"/>
  <c r="J2750" i="10"/>
  <c r="L2750" i="10" s="1"/>
  <c r="J447" i="10"/>
  <c r="L447" i="10" s="1"/>
  <c r="J834" i="10"/>
  <c r="L834" i="10" s="1"/>
  <c r="J2630" i="10"/>
  <c r="L2630" i="10" s="1"/>
  <c r="J1905" i="10"/>
  <c r="L1905" i="10" s="1"/>
  <c r="J2350" i="10"/>
  <c r="L2350" i="10" s="1"/>
  <c r="J2192" i="10"/>
  <c r="L2192" i="10" s="1"/>
  <c r="J774" i="10"/>
  <c r="L774" i="10" s="1"/>
  <c r="J248" i="10"/>
  <c r="L248" i="10" s="1"/>
  <c r="J2881" i="10"/>
  <c r="L2881" i="10" s="1"/>
  <c r="J2519" i="10"/>
  <c r="L2519" i="10" s="1"/>
  <c r="J2747" i="10"/>
  <c r="L2747" i="10" s="1"/>
  <c r="J1767" i="10"/>
  <c r="L1767" i="10" s="1"/>
  <c r="J2682" i="10"/>
  <c r="L2682" i="10" s="1"/>
  <c r="J2785" i="10"/>
  <c r="L2785" i="10" s="1"/>
  <c r="J765" i="10"/>
  <c r="L765" i="10" s="1"/>
  <c r="J384" i="10"/>
  <c r="L384" i="10" s="1"/>
  <c r="J787" i="10"/>
  <c r="L787" i="10" s="1"/>
  <c r="J2567" i="10"/>
  <c r="L2567" i="10" s="1"/>
  <c r="J1807" i="10"/>
  <c r="L1807" i="10" s="1"/>
  <c r="J2885" i="10"/>
  <c r="L2885" i="10" s="1"/>
  <c r="J2552" i="10"/>
  <c r="L2552" i="10" s="1"/>
  <c r="J866" i="10"/>
  <c r="L866" i="10" s="1"/>
  <c r="J2641" i="10"/>
  <c r="L2641" i="10" s="1"/>
  <c r="J2375" i="10"/>
  <c r="L2375" i="10" s="1"/>
  <c r="J2142" i="10"/>
  <c r="L2142" i="10" s="1"/>
  <c r="J2360" i="10"/>
  <c r="L2360" i="10" s="1"/>
  <c r="J1573" i="10"/>
  <c r="L1573" i="10" s="1"/>
  <c r="J1701" i="10"/>
  <c r="L1701" i="10" s="1"/>
  <c r="J2843" i="10"/>
  <c r="L2843" i="10" s="1"/>
  <c r="J915" i="10"/>
  <c r="L915" i="10" s="1"/>
  <c r="J2078" i="10"/>
  <c r="L2078" i="10" s="1"/>
  <c r="J2581" i="10"/>
  <c r="L2581" i="10" s="1"/>
  <c r="J2005" i="10"/>
  <c r="L2005" i="10" s="1"/>
  <c r="J1491" i="10"/>
  <c r="L1491" i="10" s="1"/>
  <c r="J1871" i="10"/>
  <c r="L1871" i="10" s="1"/>
  <c r="J935" i="10"/>
  <c r="L935" i="10" s="1"/>
  <c r="J1383" i="10"/>
  <c r="L1383" i="10" s="1"/>
  <c r="J1116" i="10"/>
  <c r="L1116" i="10" s="1"/>
  <c r="J2487" i="10"/>
  <c r="L2487" i="10" s="1"/>
  <c r="J557" i="10"/>
  <c r="L557" i="10" s="1"/>
  <c r="J1889" i="10"/>
  <c r="L1889" i="10" s="1"/>
  <c r="J33" i="10"/>
  <c r="L33" i="10" s="1"/>
  <c r="J1517" i="10"/>
  <c r="L1517" i="10" s="1"/>
  <c r="J2298" i="10"/>
  <c r="L2298" i="10" s="1"/>
  <c r="J2690" i="10"/>
  <c r="L2690" i="10" s="1"/>
  <c r="J2717" i="10"/>
  <c r="L2717" i="10" s="1"/>
  <c r="J2268" i="10"/>
  <c r="L2268" i="10" s="1"/>
  <c r="J1878" i="10"/>
  <c r="L1878" i="10" s="1"/>
  <c r="J420" i="10"/>
  <c r="L420" i="10" s="1"/>
  <c r="J499" i="10"/>
  <c r="L499" i="10" s="1"/>
  <c r="J2087" i="10"/>
  <c r="L2087" i="10" s="1"/>
  <c r="J2634" i="10"/>
  <c r="L2634" i="10" s="1"/>
  <c r="J2404" i="10"/>
  <c r="L2404" i="10" s="1"/>
  <c r="J2904" i="10"/>
  <c r="L2904" i="10" s="1"/>
  <c r="J2235" i="10"/>
  <c r="L2235" i="10" s="1"/>
  <c r="J2624" i="10"/>
  <c r="L2624" i="10" s="1"/>
  <c r="J520" i="10"/>
  <c r="L520" i="10" s="1"/>
  <c r="J167" i="10"/>
  <c r="L167" i="10" s="1"/>
  <c r="J2571" i="10"/>
  <c r="L2571" i="10" s="1"/>
  <c r="J1762" i="10"/>
  <c r="L1762" i="10" s="1"/>
  <c r="J2046" i="10"/>
  <c r="L2046" i="10" s="1"/>
  <c r="J5" i="10"/>
  <c r="L5" i="10" s="1"/>
  <c r="J2368" i="10"/>
  <c r="L2368" i="10" s="1"/>
  <c r="J376" i="10"/>
  <c r="L376" i="10" s="1"/>
  <c r="J2636" i="10"/>
  <c r="L2636" i="10" s="1"/>
  <c r="J2166" i="10"/>
  <c r="L2166" i="10" s="1"/>
  <c r="J991" i="10"/>
  <c r="L991" i="10" s="1"/>
  <c r="J950" i="10"/>
  <c r="L950" i="10" s="1"/>
  <c r="J1322" i="10"/>
  <c r="L1322" i="10" s="1"/>
  <c r="J2871" i="10"/>
  <c r="L2871" i="10" s="1"/>
  <c r="J2074" i="10"/>
  <c r="L2074" i="10" s="1"/>
  <c r="J1372" i="10"/>
  <c r="L1372" i="10" s="1"/>
  <c r="J930" i="10"/>
  <c r="L930" i="10" s="1"/>
  <c r="J713" i="10"/>
  <c r="L713" i="10" s="1"/>
  <c r="J1619" i="10"/>
  <c r="L1619" i="10" s="1"/>
  <c r="J871" i="10"/>
  <c r="L871" i="10" s="1"/>
  <c r="J2045" i="10"/>
  <c r="L2045" i="10" s="1"/>
  <c r="J2782" i="10"/>
  <c r="L2782" i="10" s="1"/>
  <c r="J457" i="10"/>
  <c r="L457" i="10" s="1"/>
  <c r="J1780" i="10"/>
  <c r="L1780" i="10" s="1"/>
  <c r="J1936" i="10"/>
  <c r="L1936" i="10" s="1"/>
  <c r="J1953" i="10"/>
  <c r="L1953" i="10" s="1"/>
  <c r="J808" i="10"/>
  <c r="L808" i="10" s="1"/>
  <c r="J1428" i="10"/>
  <c r="L1428" i="10" s="1"/>
  <c r="J2106" i="10"/>
  <c r="L2106" i="10" s="1"/>
  <c r="J2791" i="10"/>
  <c r="L2791" i="10" s="1"/>
  <c r="J2796" i="10"/>
  <c r="L2796" i="10" s="1"/>
  <c r="J1011" i="10"/>
  <c r="L1011" i="10" s="1"/>
  <c r="J1875" i="10"/>
  <c r="L1875" i="10" s="1"/>
  <c r="J2862" i="10"/>
  <c r="L2862" i="10" s="1"/>
  <c r="J2870" i="10"/>
  <c r="L2870" i="10" s="1"/>
  <c r="J2096" i="10"/>
  <c r="L2096" i="10" s="1"/>
  <c r="J25" i="10"/>
  <c r="L25" i="10" s="1"/>
  <c r="J422" i="10"/>
  <c r="L422" i="10" s="1"/>
  <c r="J1422" i="10"/>
  <c r="L1422" i="10" s="1"/>
  <c r="J2080" i="10"/>
  <c r="L2080" i="10" s="1"/>
  <c r="J1186" i="10"/>
  <c r="L1186" i="10" s="1"/>
  <c r="J1750" i="10"/>
  <c r="L1750" i="10" s="1"/>
  <c r="J1732" i="10"/>
  <c r="L1732" i="10" s="1"/>
  <c r="J2499" i="10"/>
  <c r="L2499" i="10" s="1"/>
  <c r="J2498" i="10"/>
  <c r="L2498" i="10" s="1"/>
  <c r="J374" i="10"/>
  <c r="L374" i="10" s="1"/>
  <c r="J1253" i="10"/>
  <c r="L1253" i="10" s="1"/>
  <c r="J1480" i="10"/>
  <c r="L1480" i="10" s="1"/>
  <c r="J2420" i="10"/>
  <c r="L2420" i="10" s="1"/>
  <c r="J168" i="10"/>
  <c r="L168" i="10" s="1"/>
  <c r="J2402" i="10"/>
  <c r="L2402" i="10" s="1"/>
  <c r="J697" i="10"/>
  <c r="L697" i="10" s="1"/>
  <c r="J2700" i="10"/>
  <c r="L2700" i="10" s="1"/>
  <c r="J2154" i="10"/>
  <c r="L2154" i="10" s="1"/>
  <c r="J2021" i="10"/>
  <c r="L2021" i="10" s="1"/>
  <c r="J1798" i="10"/>
  <c r="L1798" i="10" s="1"/>
  <c r="J269" i="10"/>
  <c r="L269" i="10" s="1"/>
  <c r="J1356" i="10"/>
  <c r="L1356" i="10" s="1"/>
  <c r="J582" i="10"/>
  <c r="L582" i="10" s="1"/>
  <c r="J2718" i="10"/>
  <c r="L2718" i="10" s="1"/>
  <c r="J2654" i="10"/>
  <c r="L2654" i="10" s="1"/>
  <c r="J2697" i="10"/>
  <c r="L2697" i="10" s="1"/>
  <c r="J439" i="10"/>
  <c r="L439" i="10" s="1"/>
  <c r="J2462" i="10"/>
  <c r="L2462" i="10" s="1"/>
  <c r="J2186" i="10"/>
  <c r="L2186" i="10" s="1"/>
  <c r="J1156" i="10"/>
  <c r="L1156" i="10" s="1"/>
  <c r="J2397" i="10"/>
  <c r="L2397" i="10" s="1"/>
  <c r="J2069" i="10"/>
  <c r="L2069" i="10" s="1"/>
  <c r="J2006" i="10"/>
  <c r="L2006" i="10" s="1"/>
  <c r="J744" i="10"/>
  <c r="L744" i="10" s="1"/>
  <c r="J2184" i="10"/>
  <c r="L2184" i="10" s="1"/>
  <c r="J2164" i="10"/>
  <c r="L2164" i="10" s="1"/>
  <c r="J2559" i="10"/>
  <c r="L2559" i="10" s="1"/>
  <c r="J913" i="10"/>
  <c r="L913" i="10" s="1"/>
  <c r="J2311" i="10"/>
  <c r="L2311" i="10" s="1"/>
  <c r="J1255" i="10"/>
  <c r="L1255" i="10" s="1"/>
  <c r="J2597" i="10"/>
  <c r="L2597" i="10" s="1"/>
  <c r="J1240" i="10"/>
  <c r="L1240" i="10" s="1"/>
  <c r="J183" i="10"/>
  <c r="L183" i="10" s="1"/>
  <c r="J2575" i="10"/>
  <c r="L2575" i="10" s="1"/>
  <c r="J2247" i="10"/>
  <c r="L2247" i="10" s="1"/>
  <c r="J980" i="10"/>
  <c r="L980" i="10" s="1"/>
  <c r="J2167" i="10"/>
  <c r="L2167" i="10" s="1"/>
  <c r="J1131" i="10"/>
  <c r="L1131" i="10" s="1"/>
  <c r="J2606" i="10"/>
  <c r="L2606" i="10" s="1"/>
  <c r="J1775" i="10"/>
  <c r="L1775" i="10" s="1"/>
  <c r="J1730" i="10"/>
  <c r="L1730" i="10" s="1"/>
  <c r="J486" i="10"/>
  <c r="L486" i="10" s="1"/>
  <c r="J1969" i="10"/>
  <c r="L1969" i="10" s="1"/>
  <c r="J2361" i="10"/>
  <c r="L2361" i="10" s="1"/>
  <c r="J2647" i="10"/>
  <c r="L2647" i="10" s="1"/>
  <c r="J884" i="10"/>
  <c r="L884" i="10" s="1"/>
  <c r="J2686" i="10"/>
  <c r="L2686" i="10" s="1"/>
  <c r="J2765" i="10"/>
  <c r="L2765" i="10" s="1"/>
  <c r="J1466" i="10"/>
  <c r="L1466" i="10" s="1"/>
  <c r="J2589" i="10"/>
  <c r="L2589" i="10" s="1"/>
  <c r="J423" i="10"/>
  <c r="L423" i="10" s="1"/>
  <c r="J2090" i="10"/>
  <c r="L2090" i="10" s="1"/>
  <c r="J1223" i="10"/>
  <c r="L1223" i="10" s="1"/>
  <c r="J1099" i="10"/>
  <c r="L1099" i="10" s="1"/>
  <c r="J973" i="10"/>
  <c r="L973" i="10" s="1"/>
  <c r="J2092" i="10"/>
  <c r="L2092" i="10" s="1"/>
  <c r="J1215" i="10"/>
  <c r="L1215" i="10" s="1"/>
  <c r="J2520" i="10"/>
  <c r="L2520" i="10" s="1"/>
  <c r="J956" i="10"/>
  <c r="L956" i="10" s="1"/>
  <c r="J1439" i="10"/>
  <c r="L1439" i="10" s="1"/>
  <c r="J2296" i="10"/>
  <c r="L2296" i="10" s="1"/>
  <c r="J1946" i="10"/>
  <c r="L1946" i="10" s="1"/>
  <c r="J1292" i="10"/>
  <c r="L1292" i="10" s="1"/>
  <c r="J1511" i="10"/>
  <c r="L1511" i="10" s="1"/>
  <c r="J2215" i="10"/>
  <c r="L2215" i="10" s="1"/>
  <c r="J2907" i="10"/>
  <c r="L2907" i="10" s="1"/>
  <c r="J1183" i="10"/>
  <c r="L1183" i="10" s="1"/>
  <c r="J213" i="10"/>
  <c r="L213" i="10" s="1"/>
  <c r="J2742" i="10"/>
  <c r="L2742" i="10" s="1"/>
  <c r="J1801" i="10"/>
  <c r="L1801" i="10" s="1"/>
  <c r="J2414" i="10"/>
  <c r="L2414" i="10" s="1"/>
  <c r="J2203" i="10"/>
  <c r="L2203" i="10" s="1"/>
  <c r="J1176" i="10"/>
  <c r="L1176" i="10" s="1"/>
  <c r="J2421" i="10"/>
  <c r="L2421" i="10" s="1"/>
  <c r="J2840" i="10"/>
  <c r="L2840" i="10" s="1"/>
  <c r="J397" i="10"/>
  <c r="L397" i="10" s="1"/>
  <c r="J1497" i="10"/>
  <c r="L1497" i="10" s="1"/>
  <c r="J2383" i="10"/>
  <c r="L2383" i="10" s="1"/>
  <c r="J1472" i="10"/>
  <c r="L1472" i="10" s="1"/>
  <c r="J2012" i="10"/>
  <c r="L2012" i="10" s="1"/>
  <c r="J2812" i="10"/>
  <c r="L2812" i="10" s="1"/>
  <c r="J2435" i="10"/>
  <c r="L2435" i="10" s="1"/>
  <c r="J1341" i="10"/>
  <c r="L1341" i="10" s="1"/>
  <c r="J2704" i="10"/>
  <c r="L2704" i="10" s="1"/>
  <c r="J761" i="10"/>
  <c r="L761" i="10" s="1"/>
  <c r="J1991" i="10"/>
  <c r="L1991" i="10" s="1"/>
  <c r="J797" i="10"/>
  <c r="L797" i="10" s="1"/>
  <c r="J2913" i="10"/>
  <c r="L2913" i="10" s="1"/>
  <c r="J2185" i="10"/>
  <c r="L2185" i="10" s="1"/>
  <c r="J1268" i="10"/>
  <c r="L1268" i="10" s="1"/>
  <c r="J2434" i="10"/>
  <c r="L2434" i="10" s="1"/>
  <c r="J1675" i="10"/>
  <c r="L1675" i="10" s="1"/>
  <c r="J263" i="10"/>
  <c r="L263" i="10" s="1"/>
  <c r="J1973" i="10"/>
  <c r="L1973" i="10" s="1"/>
  <c r="J44" i="10"/>
  <c r="L44" i="10" s="1"/>
  <c r="J169" i="10"/>
  <c r="L169" i="10" s="1"/>
  <c r="J655" i="10"/>
  <c r="L655" i="10" s="1"/>
  <c r="J1960" i="10"/>
  <c r="L1960" i="10" s="1"/>
  <c r="J762" i="10"/>
  <c r="L762" i="10" s="1"/>
  <c r="J1329" i="10"/>
  <c r="L1329" i="10" s="1"/>
  <c r="J1386" i="10"/>
  <c r="L1386" i="10" s="1"/>
  <c r="J2239" i="10"/>
  <c r="L2239" i="10" s="1"/>
  <c r="J1105" i="10"/>
  <c r="L1105" i="10" s="1"/>
  <c r="J2227" i="10"/>
  <c r="L2227" i="10" s="1"/>
  <c r="J940" i="10"/>
  <c r="L940" i="10" s="1"/>
  <c r="J1430" i="10"/>
  <c r="L1430" i="10" s="1"/>
  <c r="J2563" i="10"/>
  <c r="L2563" i="10" s="1"/>
  <c r="J2882" i="10"/>
  <c r="L2882" i="10" s="1"/>
  <c r="J2631" i="10"/>
  <c r="L2631" i="10" s="1"/>
  <c r="J850" i="10"/>
  <c r="L850" i="10" s="1"/>
  <c r="J305" i="10"/>
  <c r="L305" i="10" s="1"/>
  <c r="J1263" i="10"/>
  <c r="L1263" i="10" s="1"/>
  <c r="J312" i="10"/>
  <c r="L312" i="10" s="1"/>
  <c r="J1734" i="10"/>
  <c r="L1734" i="10" s="1"/>
  <c r="J1555" i="10"/>
  <c r="L1555" i="10" s="1"/>
  <c r="J934" i="10"/>
  <c r="L934" i="10" s="1"/>
  <c r="J2070" i="10"/>
  <c r="L2070" i="10" s="1"/>
  <c r="J2416" i="10"/>
  <c r="L2416" i="10" s="1"/>
  <c r="J1363" i="10"/>
  <c r="L1363" i="10" s="1"/>
  <c r="J468" i="10"/>
  <c r="L468" i="10" s="1"/>
  <c r="J2823" i="10"/>
  <c r="L2823" i="10" s="1"/>
  <c r="J2094" i="10"/>
  <c r="L2094" i="10" s="1"/>
  <c r="J508" i="10"/>
  <c r="L508" i="10" s="1"/>
  <c r="J2058" i="10"/>
  <c r="L2058" i="10" s="1"/>
  <c r="J1943" i="10"/>
  <c r="L1943" i="10" s="1"/>
  <c r="J2897" i="10"/>
  <c r="L2897" i="10" s="1"/>
  <c r="J2842" i="10"/>
  <c r="L2842" i="10" s="1"/>
  <c r="J4" i="10"/>
  <c r="L4" i="10" s="1"/>
  <c r="J678" i="10"/>
  <c r="L678" i="10" s="1"/>
  <c r="J2376" i="10"/>
  <c r="L2376" i="10" s="1"/>
  <c r="J2508" i="10"/>
  <c r="L2508" i="10" s="1"/>
  <c r="J2851" i="10"/>
  <c r="L2851" i="10" s="1"/>
  <c r="J1381" i="10"/>
  <c r="L1381" i="10" s="1"/>
  <c r="J989" i="10"/>
  <c r="L989" i="10" s="1"/>
  <c r="J1661" i="10"/>
  <c r="L1661" i="10" s="1"/>
  <c r="J1634" i="10"/>
  <c r="L1634" i="10" s="1"/>
  <c r="J277" i="10"/>
  <c r="L277" i="10" s="1"/>
  <c r="J2632" i="10"/>
  <c r="L2632" i="10" s="1"/>
  <c r="J631" i="10"/>
  <c r="L631" i="10" s="1"/>
  <c r="J1124" i="10"/>
  <c r="L1124" i="10" s="1"/>
  <c r="J1437" i="10"/>
  <c r="L1437" i="10" s="1"/>
  <c r="J2660" i="10"/>
  <c r="L2660" i="10" s="1"/>
  <c r="J2138" i="10"/>
  <c r="L2138" i="10" s="1"/>
  <c r="J2705" i="10"/>
  <c r="L2705" i="10" s="1"/>
  <c r="J223" i="10"/>
  <c r="L223" i="10" s="1"/>
  <c r="J1848" i="10"/>
  <c r="L1848" i="10" s="1"/>
  <c r="J2" i="10"/>
  <c r="L2" i="10" s="1"/>
  <c r="J342" i="10"/>
  <c r="L342" i="10" s="1"/>
  <c r="J1507" i="10"/>
  <c r="L1507" i="10" s="1"/>
  <c r="J2281" i="10"/>
  <c r="L2281" i="10" s="1"/>
  <c r="J2513" i="10"/>
  <c r="L2513" i="10" s="1"/>
  <c r="J257" i="10"/>
  <c r="L257" i="10" s="1"/>
  <c r="J625" i="10"/>
  <c r="L625" i="10" s="1"/>
  <c r="J2587" i="10"/>
  <c r="L2587" i="10" s="1"/>
  <c r="J2909" i="10"/>
  <c r="L2909" i="10" s="1"/>
  <c r="J2062" i="10"/>
  <c r="L2062" i="10" s="1"/>
  <c r="J772" i="10"/>
  <c r="L772" i="10" s="1"/>
  <c r="J1864" i="10"/>
  <c r="L1864" i="10" s="1"/>
  <c r="J1370" i="10"/>
  <c r="L1370" i="10" s="1"/>
  <c r="J2132" i="10"/>
  <c r="L2132" i="10" s="1"/>
  <c r="J673" i="10"/>
  <c r="L673" i="10" s="1"/>
  <c r="J2182" i="10"/>
  <c r="L2182" i="10" s="1"/>
  <c r="J1959" i="10"/>
  <c r="L1959" i="10" s="1"/>
  <c r="J1030" i="10"/>
  <c r="L1030" i="10" s="1"/>
  <c r="J2838" i="10"/>
  <c r="L2838" i="10" s="1"/>
  <c r="J2787" i="10"/>
  <c r="L2787" i="10" s="1"/>
  <c r="J1542" i="10"/>
  <c r="L1542" i="10" s="1"/>
  <c r="J2472" i="10"/>
  <c r="L2472" i="10" s="1"/>
  <c r="J1441" i="10"/>
  <c r="L1441" i="10" s="1"/>
  <c r="J946" i="10"/>
  <c r="L946" i="10" s="1"/>
  <c r="J550" i="10"/>
  <c r="L550" i="10" s="1"/>
  <c r="J2333" i="10"/>
  <c r="L2333" i="10" s="1"/>
  <c r="J2531" i="10"/>
  <c r="L2531" i="10" s="1"/>
  <c r="J2291" i="10"/>
  <c r="L2291" i="10" s="1"/>
  <c r="J1916" i="10"/>
  <c r="L1916" i="10" s="1"/>
  <c r="J2502" i="10"/>
  <c r="L2502" i="10" s="1"/>
  <c r="J728" i="10"/>
  <c r="L728" i="10" s="1"/>
  <c r="J2377" i="10"/>
  <c r="L2377" i="10" s="1"/>
  <c r="J1980" i="10"/>
  <c r="L1980" i="10" s="1"/>
  <c r="J2056" i="10"/>
  <c r="L2056" i="10" s="1"/>
  <c r="J567" i="10"/>
  <c r="L567" i="10" s="1"/>
  <c r="J253" i="10"/>
  <c r="L253" i="10" s="1"/>
  <c r="J1043" i="10"/>
  <c r="L1043" i="10" s="1"/>
  <c r="J1278" i="10"/>
  <c r="L1278" i="10" s="1"/>
  <c r="J1942" i="10"/>
  <c r="L1942" i="10" s="1"/>
  <c r="J172" i="10"/>
  <c r="L172" i="10" s="1"/>
  <c r="J2918" i="10"/>
  <c r="L2918" i="10" s="1"/>
  <c r="J9" i="10"/>
  <c r="L9" i="10" s="1"/>
  <c r="J2689" i="10"/>
  <c r="L2689" i="10" s="1"/>
  <c r="J1880" i="10"/>
  <c r="L1880" i="10" s="1"/>
  <c r="J2698" i="10"/>
  <c r="L2698" i="10" s="1"/>
  <c r="J2429" i="10"/>
  <c r="L2429" i="10" s="1"/>
  <c r="J316" i="10"/>
  <c r="L316" i="10" s="1"/>
  <c r="J1161" i="10"/>
  <c r="L1161" i="10" s="1"/>
  <c r="J1928" i="10"/>
  <c r="L1928" i="10" s="1"/>
  <c r="J690" i="10"/>
  <c r="L690" i="10" s="1"/>
  <c r="J2189" i="10"/>
  <c r="L2189" i="10" s="1"/>
  <c r="J2898" i="10"/>
  <c r="L2898" i="10" s="1"/>
  <c r="J2159" i="10"/>
  <c r="L2159" i="10" s="1"/>
  <c r="J517" i="10"/>
  <c r="L517" i="10" s="1"/>
  <c r="J1617" i="10"/>
  <c r="L1617" i="10" s="1"/>
  <c r="J2848" i="10"/>
  <c r="L2848" i="10" s="1"/>
  <c r="J419" i="10"/>
  <c r="L419" i="10" s="1"/>
  <c r="J2391" i="10"/>
  <c r="L2391" i="10" s="1"/>
  <c r="J924" i="10"/>
  <c r="L924" i="10" s="1"/>
  <c r="J1924" i="10"/>
  <c r="L1924" i="10" s="1"/>
  <c r="J2036" i="10"/>
  <c r="L2036" i="10" s="1"/>
  <c r="J788" i="10"/>
  <c r="L788" i="10" s="1"/>
  <c r="J912" i="10"/>
  <c r="L912" i="10" s="1"/>
  <c r="J2113" i="10"/>
  <c r="L2113" i="10" s="1"/>
  <c r="J1317" i="10"/>
  <c r="L1317" i="10" s="1"/>
  <c r="J1429" i="10"/>
  <c r="L1429" i="10" s="1"/>
  <c r="J2449" i="10"/>
  <c r="L2449" i="10" s="1"/>
  <c r="J1768" i="10"/>
  <c r="L1768" i="10" s="1"/>
  <c r="J2393" i="10"/>
  <c r="L2393" i="10" s="1"/>
  <c r="J195" i="10"/>
  <c r="L195" i="10" s="1"/>
  <c r="J717" i="10"/>
  <c r="L717" i="10" s="1"/>
  <c r="J401" i="10"/>
  <c r="L401" i="10" s="1"/>
  <c r="J1939" i="10"/>
  <c r="L1939" i="10" s="1"/>
  <c r="J693" i="10"/>
  <c r="L693" i="10" s="1"/>
  <c r="J2775" i="10"/>
  <c r="L2775" i="10" s="1"/>
  <c r="J2133" i="10"/>
  <c r="L2133" i="10" s="1"/>
  <c r="J2248" i="10"/>
  <c r="L2248" i="10" s="1"/>
  <c r="J2447" i="10"/>
  <c r="L2447" i="10" s="1"/>
  <c r="J243" i="10"/>
  <c r="L243" i="10" s="1"/>
  <c r="J288" i="10"/>
  <c r="L288" i="10" s="1"/>
  <c r="J1773" i="10"/>
  <c r="L1773" i="10" s="1"/>
  <c r="J2373" i="10"/>
  <c r="L2373" i="10" s="1"/>
  <c r="J2263" i="10"/>
  <c r="L2263" i="10" s="1"/>
  <c r="J2703" i="10"/>
  <c r="L2703" i="10" s="1"/>
  <c r="J1853" i="10"/>
  <c r="L1853" i="10" s="1"/>
  <c r="J2676" i="10"/>
  <c r="L2676" i="10" s="1"/>
  <c r="J2815" i="10"/>
  <c r="L2815" i="10" s="1"/>
  <c r="J2684" i="10"/>
  <c r="L2684" i="10" s="1"/>
  <c r="J1869" i="10"/>
  <c r="L1869" i="10" s="1"/>
  <c r="J369" i="10"/>
  <c r="L369" i="10" s="1"/>
  <c r="J789" i="10"/>
  <c r="L789" i="10" s="1"/>
  <c r="J1106" i="10"/>
  <c r="L1106" i="10" s="1"/>
  <c r="J2687" i="10"/>
  <c r="L2687" i="10" s="1"/>
  <c r="J560" i="10"/>
  <c r="L560" i="10" s="1"/>
  <c r="J2025" i="10"/>
  <c r="L2025" i="10" s="1"/>
  <c r="J515" i="10"/>
  <c r="L515" i="10" s="1"/>
  <c r="J2884" i="10"/>
  <c r="L2884" i="10" s="1"/>
  <c r="J188" i="10"/>
  <c r="L188" i="10" s="1"/>
  <c r="J1994" i="10"/>
  <c r="L1994" i="10" s="1"/>
  <c r="J2595" i="10"/>
  <c r="L2595" i="10" s="1"/>
  <c r="J1379" i="10"/>
  <c r="L1379" i="10" s="1"/>
  <c r="J227" i="10"/>
  <c r="L227" i="10" s="1"/>
  <c r="J2874" i="10"/>
  <c r="L2874" i="10" s="1"/>
  <c r="J2494" i="10"/>
  <c r="L2494" i="10" s="1"/>
  <c r="J1361" i="10"/>
  <c r="L1361" i="10" s="1"/>
  <c r="J2680" i="10"/>
  <c r="L2680" i="10" s="1"/>
  <c r="J2073" i="10"/>
  <c r="L2073" i="10" s="1"/>
  <c r="J1008" i="10"/>
  <c r="L1008" i="10" s="1"/>
  <c r="J1841" i="10"/>
  <c r="L1841" i="10" s="1"/>
  <c r="J2773" i="10"/>
  <c r="L2773" i="10" s="1"/>
  <c r="J994" i="10"/>
  <c r="L994" i="10" s="1"/>
  <c r="J1224" i="10"/>
  <c r="L1224" i="10" s="1"/>
  <c r="J576" i="10"/>
  <c r="L576" i="10" s="1"/>
  <c r="J2813" i="10"/>
  <c r="L2813" i="10" s="1"/>
  <c r="J700" i="10"/>
  <c r="L700" i="10" s="1"/>
  <c r="J2557" i="10"/>
  <c r="L2557" i="10" s="1"/>
  <c r="J2231" i="10"/>
  <c r="L2231" i="10" s="1"/>
  <c r="J2797" i="10"/>
  <c r="L2797" i="10" s="1"/>
  <c r="J998" i="10"/>
  <c r="L998" i="10" s="1"/>
  <c r="J112" i="10"/>
  <c r="L112" i="10" s="1"/>
  <c r="J2677" i="10"/>
  <c r="L2677" i="10" s="1"/>
  <c r="J1847" i="10"/>
  <c r="L1847" i="10" s="1"/>
  <c r="J796" i="10"/>
  <c r="L796" i="10" s="1"/>
  <c r="J1373" i="10"/>
  <c r="L1373" i="10" s="1"/>
  <c r="J2011" i="10"/>
  <c r="L2011" i="10" s="1"/>
  <c r="J2207" i="10"/>
  <c r="L2207" i="10" s="1"/>
  <c r="J164" i="10"/>
  <c r="L164" i="10" s="1"/>
  <c r="J544" i="10"/>
  <c r="L544" i="10" s="1"/>
  <c r="J1414" i="10"/>
  <c r="L1414" i="10" s="1"/>
  <c r="J2656" i="10"/>
  <c r="L2656" i="10" s="1"/>
  <c r="J440" i="10"/>
  <c r="L440" i="10" s="1"/>
  <c r="J2792" i="10"/>
  <c r="L2792" i="10" s="1"/>
  <c r="J274" i="10"/>
  <c r="L274" i="10" s="1"/>
  <c r="J435" i="10"/>
  <c r="L435" i="10" s="1"/>
  <c r="J2234" i="10"/>
  <c r="L2234" i="10" s="1"/>
  <c r="J1179" i="10"/>
  <c r="L1179" i="10" s="1"/>
  <c r="J2251" i="10"/>
  <c r="L2251" i="10" s="1"/>
  <c r="J354" i="10"/>
  <c r="L354" i="10" s="1"/>
  <c r="J1867" i="10"/>
  <c r="L1867" i="10" s="1"/>
  <c r="J2745" i="10"/>
  <c r="L2745" i="10" s="1"/>
  <c r="J1826" i="10"/>
  <c r="L1826" i="10" s="1"/>
  <c r="J636" i="10"/>
  <c r="L636" i="10" s="1"/>
  <c r="J1598" i="10"/>
  <c r="L1598" i="10" s="1"/>
  <c r="J2125" i="10"/>
  <c r="L2125" i="10" s="1"/>
  <c r="J2098" i="10"/>
  <c r="L2098" i="10" s="1"/>
  <c r="J2615" i="10"/>
  <c r="L2615" i="10" s="1"/>
  <c r="J1425" i="10"/>
  <c r="L1425" i="10" s="1"/>
  <c r="J2627" i="10"/>
  <c r="L2627" i="10" s="1"/>
  <c r="J1169" i="10"/>
  <c r="L1169" i="10" s="1"/>
  <c r="J1168" i="10"/>
  <c r="L1168" i="10" s="1"/>
  <c r="J845" i="10"/>
  <c r="L845" i="10" s="1"/>
  <c r="J2807" i="10"/>
  <c r="L2807" i="10" s="1"/>
  <c r="J2556" i="10"/>
  <c r="L2556" i="10" s="1"/>
  <c r="J392" i="10"/>
  <c r="L392" i="10" s="1"/>
  <c r="J826" i="10"/>
  <c r="L826" i="10" s="1"/>
  <c r="J2103" i="10"/>
  <c r="L2103" i="10" s="1"/>
  <c r="J2917" i="10"/>
  <c r="L2917" i="10" s="1"/>
  <c r="J2455" i="10"/>
  <c r="L2455" i="10" s="1"/>
  <c r="J1455" i="10"/>
  <c r="L1455" i="10" s="1"/>
  <c r="J2570" i="10"/>
  <c r="L2570" i="10" s="1"/>
  <c r="J2202" i="10"/>
  <c r="L2202" i="10" s="1"/>
  <c r="J2165" i="10"/>
  <c r="L2165" i="10" s="1"/>
  <c r="J2834" i="10"/>
  <c r="L2834" i="10" s="1"/>
  <c r="J1135" i="10"/>
  <c r="L1135" i="10" s="1"/>
  <c r="J995" i="10"/>
  <c r="L995" i="10" s="1"/>
  <c r="J1917" i="10"/>
  <c r="L1917" i="10" s="1"/>
  <c r="J1652" i="10"/>
  <c r="L1652" i="10" s="1"/>
  <c r="J1660" i="10"/>
  <c r="L1660" i="10" s="1"/>
  <c r="J460" i="10"/>
  <c r="L460" i="10" s="1"/>
  <c r="J1246" i="10"/>
  <c r="L1246" i="10" s="1"/>
  <c r="J2528" i="10"/>
  <c r="L2528" i="10" s="1"/>
  <c r="J237" i="10"/>
  <c r="L237" i="10" s="1"/>
  <c r="J1157" i="10"/>
  <c r="L1157" i="10" s="1"/>
  <c r="J2352" i="10"/>
  <c r="L2352" i="10" s="1"/>
  <c r="J2367" i="10"/>
  <c r="L2367" i="10" s="1"/>
  <c r="J1929" i="10"/>
  <c r="L1929" i="10" s="1"/>
  <c r="J2741" i="10"/>
  <c r="L2741" i="10" s="1"/>
  <c r="J1993" i="10"/>
  <c r="L1993" i="10" s="1"/>
  <c r="J2925" i="10"/>
  <c r="L2925" i="10" s="1"/>
  <c r="J2663" i="10"/>
  <c r="L2663" i="10" s="1"/>
  <c r="J681" i="10"/>
  <c r="L681" i="10" s="1"/>
  <c r="J1820" i="10"/>
  <c r="L1820" i="10" s="1"/>
  <c r="J2746" i="10"/>
  <c r="L2746" i="10" s="1"/>
  <c r="J2427" i="10"/>
  <c r="L2427" i="10" s="1"/>
  <c r="J1601" i="10"/>
  <c r="L1601" i="10" s="1"/>
  <c r="J907" i="10"/>
  <c r="L907" i="10" s="1"/>
  <c r="J622" i="10"/>
  <c r="L622" i="10" s="1"/>
  <c r="J2621" i="10"/>
  <c r="L2621" i="10" s="1"/>
  <c r="J1492" i="10"/>
  <c r="L1492" i="10" s="1"/>
  <c r="J1501" i="10"/>
  <c r="L1501" i="10" s="1"/>
  <c r="J2137" i="10"/>
  <c r="L2137" i="10" s="1"/>
  <c r="J2764" i="10"/>
  <c r="L2764" i="10" s="1"/>
  <c r="J674" i="10"/>
  <c r="L674" i="10" s="1"/>
  <c r="J406" i="10"/>
  <c r="L406" i="10" s="1"/>
  <c r="J2790" i="10"/>
  <c r="L2790" i="10" s="1"/>
  <c r="J1447" i="10"/>
  <c r="L1447" i="10" s="1"/>
  <c r="J1607" i="10"/>
  <c r="L1607" i="10" s="1"/>
  <c r="J262" i="10"/>
  <c r="L262" i="10" s="1"/>
  <c r="J21" i="10"/>
  <c r="L21" i="10" s="1"/>
  <c r="J129" i="10"/>
  <c r="L129" i="10" s="1"/>
  <c r="J1755" i="10"/>
  <c r="L1755" i="10" s="1"/>
  <c r="J2428" i="10"/>
  <c r="L2428" i="10" s="1"/>
  <c r="J2043" i="10"/>
  <c r="L2043" i="10" s="1"/>
  <c r="J752" i="10"/>
  <c r="L752" i="10" s="1"/>
  <c r="J531" i="10"/>
  <c r="L531" i="10" s="1"/>
  <c r="J380" i="10"/>
  <c r="L380" i="10" s="1"/>
  <c r="J2175" i="10"/>
  <c r="L2175" i="10" s="1"/>
  <c r="J398" i="10"/>
  <c r="L398" i="10" s="1"/>
  <c r="J2713" i="10"/>
  <c r="L2713" i="10" s="1"/>
  <c r="J2490" i="10"/>
  <c r="L2490" i="10" s="1"/>
  <c r="J1405" i="10"/>
  <c r="L1405" i="10" s="1"/>
  <c r="J333" i="10"/>
  <c r="L333" i="10" s="1"/>
  <c r="J264" i="10"/>
  <c r="L264" i="10" s="1"/>
  <c r="J1909" i="10"/>
  <c r="L1909" i="10" s="1"/>
  <c r="J1543" i="10"/>
  <c r="L1543" i="10" s="1"/>
  <c r="J1822" i="10"/>
  <c r="L1822" i="10" s="1"/>
  <c r="J777" i="10"/>
  <c r="L777" i="10" s="1"/>
  <c r="J2549" i="10"/>
  <c r="L2549" i="10" s="1"/>
  <c r="J1269" i="10"/>
  <c r="L1269" i="10" s="1"/>
  <c r="J10" i="10"/>
  <c r="L10" i="10" s="1"/>
  <c r="J479" i="10"/>
  <c r="L479" i="10" s="1"/>
  <c r="J1149" i="10"/>
  <c r="L1149" i="10" s="1"/>
  <c r="J2844" i="10"/>
  <c r="L2844" i="10" s="1"/>
  <c r="J1400" i="10"/>
  <c r="L1400" i="10" s="1"/>
  <c r="J856" i="10"/>
  <c r="L856" i="10" s="1"/>
  <c r="J1866" i="10"/>
  <c r="L1866" i="10" s="1"/>
  <c r="J628" i="10"/>
  <c r="L628" i="10" s="1"/>
  <c r="J2856" i="10"/>
  <c r="L2856" i="10" s="1"/>
  <c r="J1941" i="10"/>
  <c r="L1941" i="10" s="1"/>
  <c r="J154" i="10"/>
  <c r="L154" i="10" s="1"/>
  <c r="J1576" i="10"/>
  <c r="L1576" i="10" s="1"/>
  <c r="J2853" i="10"/>
  <c r="L2853" i="10" s="1"/>
  <c r="J2187" i="10"/>
  <c r="L2187" i="10" s="1"/>
  <c r="J540" i="10"/>
  <c r="L540" i="10" s="1"/>
  <c r="J1537" i="10"/>
  <c r="L1537" i="10" s="1"/>
  <c r="J1457" i="10"/>
  <c r="L1457" i="10" s="1"/>
  <c r="J2728" i="10"/>
  <c r="L2728" i="10" s="1"/>
  <c r="J1564" i="10"/>
  <c r="L1564" i="10" s="1"/>
  <c r="J1032" i="10"/>
  <c r="L1032" i="10" s="1"/>
  <c r="J2582" i="10"/>
  <c r="L2582" i="10" s="1"/>
  <c r="J749" i="10"/>
  <c r="L749" i="10" s="1"/>
  <c r="J301" i="10"/>
  <c r="L301" i="10" s="1"/>
  <c r="J2601" i="10"/>
  <c r="L2601" i="10" s="1"/>
  <c r="J87" i="10"/>
  <c r="L87" i="10" s="1"/>
  <c r="J2245" i="10"/>
  <c r="L2245" i="10" s="1"/>
  <c r="J500" i="10"/>
  <c r="L500" i="10" s="1"/>
  <c r="J2279" i="10"/>
  <c r="L2279" i="10" s="1"/>
  <c r="J103" i="10"/>
  <c r="L103" i="10" s="1"/>
  <c r="J108" i="10"/>
  <c r="L108" i="10" s="1"/>
  <c r="J2522" i="10"/>
  <c r="L2522" i="10" s="1"/>
  <c r="J1229" i="10"/>
  <c r="L1229" i="10" s="1"/>
  <c r="J1424" i="10"/>
  <c r="L1424" i="10" s="1"/>
  <c r="J2924" i="10"/>
  <c r="L2924" i="10" s="1"/>
  <c r="J694" i="10"/>
  <c r="L694" i="10" s="1"/>
  <c r="J286" i="10"/>
  <c r="L286" i="10" s="1"/>
  <c r="J2264" i="10"/>
  <c r="L2264" i="10" s="1"/>
  <c r="J6" i="10"/>
  <c r="L6" i="10" s="1"/>
  <c r="J2481" i="10"/>
  <c r="L2481" i="10" s="1"/>
  <c r="J1284" i="10"/>
  <c r="L1284" i="10" s="1"/>
  <c r="J2662" i="10"/>
  <c r="L2662" i="10" s="1"/>
  <c r="J2805" i="10"/>
  <c r="L2805" i="10" s="1"/>
  <c r="J1222" i="10"/>
  <c r="L1222" i="10" s="1"/>
  <c r="J1062" i="10"/>
  <c r="L1062" i="10" s="1"/>
  <c r="J872" i="10"/>
  <c r="L872" i="10" s="1"/>
  <c r="J173" i="10"/>
  <c r="L173" i="10" s="1"/>
  <c r="J859" i="10"/>
  <c r="L859" i="10" s="1"/>
  <c r="J1489" i="10"/>
  <c r="L1489" i="10" s="1"/>
  <c r="J1164" i="10"/>
  <c r="L1164" i="10" s="1"/>
  <c r="J1977" i="10"/>
  <c r="L1977" i="10" s="1"/>
  <c r="J403" i="10"/>
  <c r="L403" i="10" s="1"/>
  <c r="J393" i="10"/>
  <c r="L393" i="10" s="1"/>
  <c r="J558" i="10"/>
  <c r="L558" i="10" s="1"/>
  <c r="J1270" i="10"/>
  <c r="L1270" i="10" s="1"/>
  <c r="J351" i="10"/>
  <c r="L351" i="10" s="1"/>
  <c r="J1687" i="10"/>
  <c r="L1687" i="10" s="1"/>
  <c r="J2657" i="10"/>
  <c r="L2657" i="10" s="1"/>
  <c r="J586" i="10"/>
  <c r="L586" i="10" s="1"/>
  <c r="J595" i="10"/>
  <c r="L595" i="10" s="1"/>
  <c r="J588" i="10"/>
  <c r="L588" i="10" s="1"/>
  <c r="J1139" i="10"/>
  <c r="L1139" i="10" s="1"/>
  <c r="J1189" i="10"/>
  <c r="L1189" i="10" s="1"/>
  <c r="J657" i="10"/>
  <c r="L657" i="10" s="1"/>
  <c r="J2344" i="10"/>
  <c r="L2344" i="10" s="1"/>
  <c r="J1612" i="10"/>
  <c r="L1612" i="10" s="1"/>
  <c r="J1298" i="10"/>
  <c r="L1298" i="10" s="1"/>
  <c r="J773" i="10"/>
  <c r="L773" i="10" s="1"/>
  <c r="J1195" i="10"/>
  <c r="L1195" i="10" s="1"/>
  <c r="J2714" i="10"/>
  <c r="L2714" i="10" s="1"/>
  <c r="J1181" i="10"/>
  <c r="L1181" i="10" s="1"/>
  <c r="J1158" i="10"/>
  <c r="L1158" i="10" s="1"/>
  <c r="J2028" i="10"/>
  <c r="L2028" i="10" s="1"/>
  <c r="J759" i="10"/>
  <c r="L759" i="10" s="1"/>
  <c r="J2130" i="10"/>
  <c r="L2130" i="10" s="1"/>
  <c r="J2922" i="10"/>
  <c r="L2922" i="10" s="1"/>
  <c r="J56" i="10"/>
  <c r="L56" i="10" s="1"/>
  <c r="J2715" i="10"/>
  <c r="L2715" i="10" s="1"/>
  <c r="J259" i="10"/>
  <c r="L259" i="10" s="1"/>
  <c r="J2914" i="10"/>
  <c r="L2914" i="10" s="1"/>
  <c r="J1729" i="10"/>
  <c r="L1729" i="10" s="1"/>
  <c r="J66" i="10"/>
  <c r="L66" i="10" s="1"/>
  <c r="J816" i="10"/>
  <c r="L816" i="10" s="1"/>
  <c r="J2115" i="10"/>
  <c r="L2115" i="10" s="1"/>
  <c r="J568" i="10"/>
  <c r="L568" i="10" s="1"/>
  <c r="J2617" i="10"/>
  <c r="L2617" i="10" s="1"/>
  <c r="J1382" i="10"/>
  <c r="L1382" i="10" s="1"/>
  <c r="J2362" i="10"/>
  <c r="L2362" i="10" s="1"/>
  <c r="J1194" i="10"/>
  <c r="L1194" i="10" s="1"/>
  <c r="J234" i="10"/>
  <c r="L234" i="10" s="1"/>
  <c r="J2534" i="10"/>
  <c r="L2534" i="10" s="1"/>
  <c r="J1208" i="10"/>
  <c r="L1208" i="10" s="1"/>
  <c r="J1976" i="10"/>
  <c r="L1976" i="10" s="1"/>
  <c r="J2345" i="10"/>
  <c r="L2345" i="10" s="1"/>
  <c r="J756" i="10"/>
  <c r="L756" i="10" s="1"/>
  <c r="J1488" i="10"/>
  <c r="L1488" i="10" s="1"/>
  <c r="J1593" i="10"/>
  <c r="L1593" i="10" s="1"/>
  <c r="J1640" i="10"/>
  <c r="L1640" i="10" s="1"/>
  <c r="J2780" i="10"/>
  <c r="L2780" i="10" s="1"/>
  <c r="J584" i="10"/>
  <c r="L584" i="10" s="1"/>
  <c r="J1956" i="10"/>
  <c r="L1956" i="10" s="1"/>
  <c r="J878" i="10"/>
  <c r="L878" i="10" s="1"/>
  <c r="J1987" i="10"/>
  <c r="L1987" i="10" s="1"/>
  <c r="J1702" i="10"/>
  <c r="L1702" i="10" s="1"/>
  <c r="J2670" i="10"/>
  <c r="L2670" i="10" s="1"/>
  <c r="J2153" i="10"/>
  <c r="L2153" i="10" s="1"/>
  <c r="J448" i="10"/>
  <c r="L448" i="10" s="1"/>
  <c r="J208" i="10"/>
  <c r="L208" i="10" s="1"/>
  <c r="J2659" i="10"/>
  <c r="L2659" i="10" s="1"/>
  <c r="J2424" i="10"/>
  <c r="L2424" i="10" s="1"/>
  <c r="J2548" i="10"/>
  <c r="L2548" i="10" s="1"/>
  <c r="J471" i="10"/>
  <c r="L471" i="10" s="1"/>
  <c r="J19" i="10"/>
  <c r="L19" i="10" s="1"/>
  <c r="J2329" i="10"/>
  <c r="L2329" i="10" s="1"/>
  <c r="J1493" i="10"/>
  <c r="L1493" i="10" s="1"/>
  <c r="J1872" i="10"/>
  <c r="L1872" i="10" s="1"/>
  <c r="J2055" i="10"/>
  <c r="L2055" i="10" s="1"/>
  <c r="J1575" i="10"/>
  <c r="L1575" i="10" s="1"/>
  <c r="J2091" i="10"/>
  <c r="L2091" i="10" s="1"/>
  <c r="J1745" i="10"/>
  <c r="L1745" i="10" s="1"/>
  <c r="J1283" i="10"/>
  <c r="L1283" i="10" s="1"/>
  <c r="J2826" i="10"/>
  <c r="L2826" i="10" s="1"/>
  <c r="J1433" i="10"/>
  <c r="L1433" i="10" s="1"/>
  <c r="J2262" i="10"/>
  <c r="L2262" i="10" s="1"/>
  <c r="J1794" i="10"/>
  <c r="L1794" i="10" s="1"/>
  <c r="J1677" i="10"/>
  <c r="L1677" i="10" s="1"/>
  <c r="J1614" i="10"/>
  <c r="L1614" i="10" s="1"/>
  <c r="J2330" i="10"/>
  <c r="L2330" i="10" s="1"/>
  <c r="J1285" i="10"/>
  <c r="L1285" i="10" s="1"/>
  <c r="J1100" i="10"/>
  <c r="L1100" i="10" s="1"/>
  <c r="J2701" i="10"/>
  <c r="L2701" i="10" s="1"/>
  <c r="J2889" i="10"/>
  <c r="L2889" i="10" s="1"/>
  <c r="J2691" i="10"/>
  <c r="L2691" i="10" s="1"/>
  <c r="J1776" i="10"/>
  <c r="L1776" i="10" s="1"/>
  <c r="J1252" i="10"/>
  <c r="L1252" i="10" s="1"/>
  <c r="J2719" i="10"/>
  <c r="L2719" i="10" s="1"/>
  <c r="J552" i="10"/>
  <c r="L552" i="10" s="1"/>
  <c r="J988" i="10"/>
  <c r="L988" i="10" s="1"/>
  <c r="J2457" i="10"/>
  <c r="L2457" i="10" s="1"/>
  <c r="J2893" i="10"/>
  <c r="L2893" i="10" s="1"/>
  <c r="J968" i="10"/>
  <c r="L968" i="10" s="1"/>
  <c r="J1282" i="10"/>
  <c r="L1282" i="10" s="1"/>
  <c r="J2409" i="10"/>
  <c r="L2409" i="10" s="1"/>
  <c r="J1206" i="10"/>
  <c r="L1206" i="10" s="1"/>
  <c r="J2075" i="10"/>
  <c r="L2075" i="10" s="1"/>
  <c r="J498" i="10"/>
  <c r="L498" i="10" s="1"/>
  <c r="J260" i="10"/>
  <c r="L260" i="10" s="1"/>
  <c r="J2887" i="10"/>
  <c r="L2887" i="10" s="1"/>
  <c r="J1309" i="10"/>
  <c r="L1309" i="10" s="1"/>
  <c r="J224" i="10"/>
  <c r="L224" i="10" s="1"/>
  <c r="J1280" i="10"/>
  <c r="L1280" i="10" s="1"/>
  <c r="J881" i="10"/>
  <c r="L881" i="10" s="1"/>
  <c r="J2328" i="10"/>
  <c r="L2328" i="10" s="1"/>
  <c r="J2270" i="10"/>
  <c r="L2270" i="10" s="1"/>
  <c r="J1262" i="10"/>
  <c r="L1262" i="10" s="1"/>
  <c r="J1264" i="10"/>
  <c r="L1264" i="10" s="1"/>
  <c r="J1463" i="10"/>
  <c r="L1463" i="10" s="1"/>
  <c r="J231" i="10"/>
  <c r="L231" i="10" s="1"/>
  <c r="J2562" i="10"/>
  <c r="L2562" i="10" s="1"/>
  <c r="J863" i="10"/>
  <c r="L863" i="10" s="1"/>
  <c r="J1481" i="10"/>
  <c r="L1481" i="10" s="1"/>
  <c r="J860" i="10"/>
  <c r="L860" i="10" s="1"/>
  <c r="J1025" i="10"/>
  <c r="L1025" i="10" s="1"/>
  <c r="J2097" i="10"/>
  <c r="L2097" i="10" s="1"/>
  <c r="J2385" i="10"/>
  <c r="L2385" i="10" s="1"/>
  <c r="J314" i="10"/>
  <c r="L314" i="10" s="1"/>
  <c r="J1311" i="10"/>
  <c r="L1311" i="10" s="1"/>
  <c r="J626" i="10"/>
  <c r="L626" i="10" s="1"/>
  <c r="J1009" i="10"/>
  <c r="L1009" i="10" s="1"/>
  <c r="J659" i="10"/>
  <c r="L659" i="10" s="1"/>
  <c r="J1244" i="10"/>
  <c r="L1244" i="10" s="1"/>
  <c r="J2633" i="10"/>
  <c r="L2633" i="10" s="1"/>
  <c r="J2312" i="10"/>
  <c r="L2312" i="10" s="1"/>
  <c r="J682" i="10"/>
  <c r="L682" i="10" s="1"/>
  <c r="J2899" i="10"/>
  <c r="L2899" i="10" s="1"/>
  <c r="J2491" i="10"/>
  <c r="L2491" i="10" s="1"/>
  <c r="J2086" i="10"/>
  <c r="L2086" i="10" s="1"/>
  <c r="J1378" i="10"/>
  <c r="L1378" i="10" s="1"/>
  <c r="J1143" i="10"/>
  <c r="L1143" i="10" s="1"/>
  <c r="J1416" i="10"/>
  <c r="L1416" i="10" s="1"/>
  <c r="J2273" i="10"/>
  <c r="L2273" i="10" s="1"/>
  <c r="J2364" i="10"/>
  <c r="L2364" i="10" s="1"/>
  <c r="J1512" i="10"/>
  <c r="L1512" i="10" s="1"/>
  <c r="J2814" i="10"/>
  <c r="L2814" i="10" s="1"/>
  <c r="J2267" i="10"/>
  <c r="L2267" i="10" s="1"/>
  <c r="J1257" i="10"/>
  <c r="L1257" i="10" s="1"/>
  <c r="J2545" i="10"/>
  <c r="L2545" i="10" s="1"/>
  <c r="J2120" i="10"/>
  <c r="L2120" i="10" s="1"/>
  <c r="J1503" i="10"/>
  <c r="L1503" i="10" s="1"/>
  <c r="J2835" i="10"/>
  <c r="L2835" i="10" s="1"/>
  <c r="J2265" i="10"/>
  <c r="L2265" i="10" s="1"/>
  <c r="J311" i="10"/>
  <c r="L311" i="10" s="1"/>
  <c r="J541" i="10"/>
  <c r="L541" i="10" s="1"/>
  <c r="J320" i="10"/>
  <c r="L320" i="10" s="1"/>
  <c r="J1839" i="10"/>
  <c r="L1839" i="10" s="1"/>
  <c r="J614" i="10"/>
  <c r="L614" i="10" s="1"/>
  <c r="J2537" i="10"/>
  <c r="L2537" i="10" s="1"/>
  <c r="J1971" i="10"/>
  <c r="L1971" i="10" s="1"/>
  <c r="J1894" i="10"/>
  <c r="L1894" i="10" s="1"/>
  <c r="J2171" i="10"/>
  <c r="L2171" i="10" s="1"/>
  <c r="J1742" i="10"/>
  <c r="L1742" i="10" s="1"/>
  <c r="J2027" i="10"/>
  <c r="L2027" i="10" s="1"/>
  <c r="J38" i="10"/>
  <c r="L38" i="10" s="1"/>
  <c r="J1804" i="10"/>
  <c r="L1804" i="10" s="1"/>
  <c r="J2158" i="10"/>
  <c r="L2158" i="10" s="1"/>
  <c r="J1036" i="10"/>
  <c r="L1036" i="10" s="1"/>
  <c r="J2285" i="10"/>
  <c r="L2285" i="10" s="1"/>
  <c r="J1486" i="10"/>
  <c r="L1486" i="10" s="1"/>
  <c r="J2119" i="10"/>
  <c r="L2119" i="10" s="1"/>
  <c r="J610" i="10"/>
  <c r="L610" i="10" s="1"/>
  <c r="J2652" i="10"/>
  <c r="L2652" i="10" s="1"/>
  <c r="J2839" i="10"/>
  <c r="L2839" i="10" s="1"/>
  <c r="J1838" i="10"/>
  <c r="L1838" i="10" s="1"/>
  <c r="J2614" i="10"/>
  <c r="L2614" i="10" s="1"/>
  <c r="J2116" i="10"/>
  <c r="L2116" i="10" s="1"/>
  <c r="J1549" i="10"/>
  <c r="L1549" i="10" s="1"/>
  <c r="J1538" i="10"/>
  <c r="L1538" i="10" s="1"/>
  <c r="J2732" i="10"/>
  <c r="L2732" i="10" s="1"/>
  <c r="J1354" i="10"/>
  <c r="L1354" i="10" s="1"/>
  <c r="J830" i="10"/>
  <c r="L830" i="10" s="1"/>
  <c r="J2059" i="10"/>
  <c r="L2059" i="10" s="1"/>
  <c r="J2282" i="10"/>
  <c r="L2282" i="10" s="1"/>
  <c r="J295" i="10"/>
  <c r="L295" i="10" s="1"/>
  <c r="J1098" i="10"/>
  <c r="L1098" i="10" s="1"/>
  <c r="J642" i="10"/>
  <c r="L642" i="10" s="1"/>
  <c r="J2645" i="10"/>
  <c r="L2645" i="10" s="1"/>
  <c r="J2140" i="10"/>
  <c r="L2140" i="10" s="1"/>
  <c r="J999" i="10"/>
  <c r="L999" i="10" s="1"/>
  <c r="J2121" i="10"/>
  <c r="L2121" i="10" s="1"/>
  <c r="J1961" i="10"/>
  <c r="L1961" i="10" s="1"/>
  <c r="J1216" i="10"/>
  <c r="L1216" i="10" s="1"/>
  <c r="J125" i="10"/>
  <c r="L125" i="10" s="1"/>
  <c r="J1015" i="10"/>
  <c r="L1015" i="10" s="1"/>
  <c r="J2841" i="10"/>
  <c r="L2841" i="10" s="1"/>
  <c r="J2477" i="10"/>
  <c r="L2477" i="10" s="1"/>
  <c r="J2485" i="10"/>
  <c r="L2485" i="10" s="1"/>
  <c r="J389" i="10"/>
  <c r="L389" i="10" s="1"/>
  <c r="J779" i="10"/>
  <c r="L779" i="10" s="1"/>
  <c r="J1494" i="10"/>
  <c r="L1494" i="10" s="1"/>
  <c r="J959" i="10"/>
  <c r="L959" i="10" s="1"/>
  <c r="J1344" i="10"/>
  <c r="L1344" i="10" s="1"/>
  <c r="J324" i="10"/>
  <c r="L324" i="10" s="1"/>
  <c r="J2303" i="10"/>
  <c r="L2303" i="10" s="1"/>
  <c r="J806" i="10"/>
  <c r="L806" i="10" s="1"/>
  <c r="J1739" i="10"/>
  <c r="L1739" i="10" s="1"/>
  <c r="J109" i="10"/>
  <c r="L109" i="10" s="1"/>
  <c r="J491" i="10"/>
  <c r="L491" i="10" s="1"/>
  <c r="J387" i="10"/>
  <c r="L387" i="10" s="1"/>
  <c r="J648" i="10"/>
  <c r="L648" i="10" s="1"/>
  <c r="J1890" i="10"/>
  <c r="L1890" i="10" s="1"/>
  <c r="J1988" i="10"/>
  <c r="L1988" i="10" s="1"/>
  <c r="J2538" i="10"/>
  <c r="L2538" i="10" s="1"/>
  <c r="J61" i="10"/>
  <c r="L61" i="10" s="1"/>
  <c r="J1435" i="10"/>
  <c r="L1435" i="10" s="1"/>
  <c r="J1079" i="10"/>
  <c r="L1079" i="10" s="1"/>
  <c r="J2876" i="10"/>
  <c r="L2876" i="10" s="1"/>
  <c r="J2386" i="10"/>
  <c r="L2386" i="10" s="1"/>
  <c r="J647" i="10"/>
  <c r="L647" i="10" s="1"/>
  <c r="J2176" i="10"/>
  <c r="L2176" i="10" s="1"/>
  <c r="J2236" i="10"/>
  <c r="L2236" i="10" s="1"/>
  <c r="J687" i="10"/>
  <c r="L687" i="10" s="1"/>
  <c r="J2600" i="10"/>
  <c r="L2600" i="10" s="1"/>
  <c r="J76" i="10"/>
  <c r="L76" i="10" s="1"/>
  <c r="J658" i="10"/>
  <c r="L658" i="10" s="1"/>
  <c r="J2218" i="10"/>
  <c r="L2218" i="10" s="1"/>
  <c r="J1080" i="10"/>
  <c r="L1080" i="10" s="1"/>
  <c r="J2007" i="10"/>
  <c r="L2007" i="10" s="1"/>
  <c r="J1450" i="10"/>
  <c r="L1450" i="10" s="1"/>
  <c r="J490" i="10"/>
  <c r="L490" i="10" s="1"/>
  <c r="J1922" i="10"/>
  <c r="L1922" i="10" s="1"/>
  <c r="J1900" i="10"/>
  <c r="L1900" i="10" s="1"/>
  <c r="J2590" i="10"/>
  <c r="L2590" i="10" s="1"/>
  <c r="J466" i="10"/>
  <c r="L466" i="10" s="1"/>
  <c r="J1336" i="10"/>
  <c r="L1336" i="10" s="1"/>
  <c r="J452" i="10"/>
  <c r="L452" i="10" s="1"/>
  <c r="J2110" i="10"/>
  <c r="L2110" i="10" s="1"/>
  <c r="J123" i="10"/>
  <c r="L123" i="10" s="1"/>
  <c r="J727" i="10"/>
  <c r="L727" i="10" s="1"/>
  <c r="J1453" i="10"/>
  <c r="L1453" i="10" s="1"/>
  <c r="J396" i="10"/>
  <c r="L396" i="10" s="1"/>
  <c r="J2178" i="10"/>
  <c r="L2178" i="10" s="1"/>
  <c r="J1948" i="10"/>
  <c r="L1948" i="10" s="1"/>
  <c r="J2923" i="10"/>
  <c r="L2923" i="10" s="1"/>
  <c r="J2574" i="10"/>
  <c r="L2574" i="10" s="1"/>
  <c r="J150" i="10"/>
  <c r="L150" i="10" s="1"/>
  <c r="J1697" i="10"/>
  <c r="L1697" i="10" s="1"/>
  <c r="J1851" i="10"/>
  <c r="L1851" i="10" s="1"/>
  <c r="J2278" i="10"/>
  <c r="L2278" i="10" s="1"/>
  <c r="J1017" i="10"/>
  <c r="L1017" i="10" s="1"/>
  <c r="J2470" i="10"/>
  <c r="L2470" i="10" s="1"/>
  <c r="J1704" i="10"/>
  <c r="L1704" i="10" s="1"/>
  <c r="J1409" i="10"/>
  <c r="L1409" i="10" s="1"/>
  <c r="J1913" i="10"/>
  <c r="L1913" i="10" s="1"/>
  <c r="J2640" i="10"/>
  <c r="L2640" i="10" s="1"/>
  <c r="J2644" i="10"/>
  <c r="L2644" i="10" s="1"/>
  <c r="J1452" i="10"/>
  <c r="L1452" i="10" s="1"/>
  <c r="J2504" i="10"/>
  <c r="L2504" i="10" s="1"/>
  <c r="J334" i="10"/>
  <c r="L334" i="10" s="1"/>
  <c r="J2474" i="10"/>
  <c r="L2474" i="10" s="1"/>
  <c r="J2229" i="10"/>
  <c r="L2229" i="10" s="1"/>
  <c r="J1013" i="10"/>
  <c r="L1013" i="10" s="1"/>
  <c r="J1609" i="10"/>
  <c r="L1609" i="10" s="1"/>
  <c r="J247" i="10"/>
  <c r="L247" i="10" s="1"/>
  <c r="J470" i="10"/>
  <c r="L470" i="10" s="1"/>
  <c r="J2588" i="10"/>
  <c r="L2588" i="10" s="1"/>
  <c r="J589" i="10"/>
  <c r="L589" i="10" s="1"/>
  <c r="J2653" i="10"/>
  <c r="L2653" i="10" s="1"/>
  <c r="J1366" i="10"/>
  <c r="L1366" i="10" s="1"/>
  <c r="J17" i="10"/>
  <c r="L17" i="10" s="1"/>
  <c r="J2635" i="10"/>
  <c r="L2635" i="10" s="1"/>
  <c r="J1248" i="10"/>
  <c r="L1248" i="10" s="1"/>
  <c r="J1902" i="10"/>
  <c r="L1902" i="10" s="1"/>
  <c r="J310" i="10"/>
  <c r="L310" i="10" s="1"/>
  <c r="J2565" i="10"/>
  <c r="L2565" i="10" s="1"/>
  <c r="J2313" i="10"/>
  <c r="L2313" i="10" s="1"/>
  <c r="J1632" i="10"/>
  <c r="L1632" i="10" s="1"/>
  <c r="J390" i="10"/>
  <c r="L390" i="10" s="1"/>
  <c r="J722" i="10"/>
  <c r="L722" i="10" s="1"/>
  <c r="J2509" i="10"/>
  <c r="L2509" i="10" s="1"/>
  <c r="J2139" i="10"/>
  <c r="L2139" i="10" s="1"/>
  <c r="J2399" i="10"/>
  <c r="L2399" i="10" s="1"/>
  <c r="J141" i="10"/>
  <c r="L141" i="10" s="1"/>
  <c r="J239" i="10"/>
  <c r="L239" i="10" s="1"/>
  <c r="J1884" i="10"/>
  <c r="L1884" i="10" s="1"/>
  <c r="J2372" i="10"/>
  <c r="L2372" i="10" s="1"/>
  <c r="J1020" i="10"/>
  <c r="L1020" i="10" s="1"/>
  <c r="J1066" i="10"/>
  <c r="L1066" i="10" s="1"/>
  <c r="J1873" i="10"/>
  <c r="L1873" i="10" s="1"/>
  <c r="J1207" i="10"/>
  <c r="L1207" i="10" s="1"/>
  <c r="J893" i="10"/>
  <c r="L893" i="10" s="1"/>
  <c r="J1520" i="10"/>
  <c r="L1520" i="10" s="1"/>
  <c r="J1082" i="10"/>
  <c r="L1082" i="10" s="1"/>
  <c r="J2359" i="10"/>
  <c r="L2359" i="10" s="1"/>
  <c r="J533" i="10"/>
  <c r="L533" i="10" s="1"/>
  <c r="J2459" i="10"/>
  <c r="L2459" i="10" s="1"/>
  <c r="J1990" i="10"/>
  <c r="L1990" i="10" s="1"/>
  <c r="J1930" i="10"/>
  <c r="L1930" i="10" s="1"/>
  <c r="J1445" i="10"/>
  <c r="L1445" i="10" s="1"/>
  <c r="J781" i="10"/>
  <c r="L781" i="10" s="1"/>
  <c r="J2769" i="10"/>
  <c r="L2769" i="10" s="1"/>
  <c r="J1933" i="10"/>
  <c r="L1933" i="10" s="1"/>
  <c r="J442" i="10"/>
  <c r="L442" i="10" s="1"/>
  <c r="J2118" i="10"/>
  <c r="L2118" i="10" s="1"/>
  <c r="J2642" i="10"/>
  <c r="L2642" i="10" s="1"/>
  <c r="J2544" i="10"/>
  <c r="L2544" i="10" s="1"/>
  <c r="J290" i="10"/>
  <c r="L290" i="10" s="1"/>
  <c r="J2068" i="10"/>
  <c r="L2068" i="10" s="1"/>
  <c r="J791" i="10"/>
  <c r="L791" i="10" s="1"/>
  <c r="J538" i="10"/>
  <c r="L538" i="10" s="1"/>
  <c r="J1056" i="10"/>
  <c r="L1056" i="10" s="1"/>
  <c r="J1125" i="10"/>
  <c r="L1125" i="10" s="1"/>
  <c r="J1239" i="10"/>
  <c r="L1239" i="10" s="1"/>
  <c r="J1561" i="10"/>
  <c r="L1561" i="10" s="1"/>
  <c r="J1256" i="10"/>
  <c r="L1256" i="10" s="1"/>
  <c r="J1605" i="10"/>
  <c r="L1605" i="10" s="1"/>
  <c r="J1615" i="10"/>
  <c r="L1615" i="10" s="1"/>
  <c r="J391" i="10"/>
  <c r="L391" i="10" s="1"/>
  <c r="J922" i="10"/>
  <c r="L922" i="10" s="1"/>
  <c r="J1509" i="10"/>
  <c r="L1509" i="10" s="1"/>
  <c r="J182" i="10"/>
  <c r="L182" i="10" s="1"/>
  <c r="J126" i="10"/>
  <c r="L126" i="10" s="1"/>
  <c r="J2541" i="10"/>
  <c r="L2541" i="10" s="1"/>
  <c r="J2465" i="10"/>
  <c r="L2465" i="10" s="1"/>
  <c r="J1797" i="10"/>
  <c r="L1797" i="10" s="1"/>
  <c r="J943" i="10"/>
  <c r="L943" i="10" s="1"/>
  <c r="J2901" i="10"/>
  <c r="L2901" i="10" s="1"/>
  <c r="J2891" i="10"/>
  <c r="L2891" i="10" s="1"/>
  <c r="J2554" i="10"/>
  <c r="L2554" i="10" s="1"/>
  <c r="J413" i="10"/>
  <c r="L413" i="10" s="1"/>
  <c r="J1254" i="10"/>
  <c r="L1254" i="10" s="1"/>
  <c r="J846" i="10"/>
  <c r="L846" i="10" s="1"/>
  <c r="J1110" i="10"/>
  <c r="L1110" i="10" s="1"/>
  <c r="J2616" i="10"/>
  <c r="L2616" i="10" s="1"/>
  <c r="J1676" i="10"/>
  <c r="L1676" i="10" s="1"/>
  <c r="J2371" i="10"/>
  <c r="L2371" i="10" s="1"/>
  <c r="J2721" i="10"/>
  <c r="L2721" i="10" s="1"/>
  <c r="J1891" i="10"/>
  <c r="L1891" i="10" s="1"/>
  <c r="J2219" i="10"/>
  <c r="L2219" i="10" s="1"/>
  <c r="J1870" i="10"/>
  <c r="L1870" i="10" s="1"/>
  <c r="J2759" i="10"/>
  <c r="L2759" i="10" s="1"/>
  <c r="J189" i="10"/>
  <c r="L189" i="10" s="1"/>
  <c r="J268" i="10"/>
  <c r="L268" i="10" s="1"/>
  <c r="J526" i="10"/>
  <c r="L526" i="10" s="1"/>
  <c r="J2443" i="10"/>
  <c r="L2443" i="10" s="1"/>
  <c r="J2729" i="10"/>
  <c r="L2729" i="10" s="1"/>
  <c r="J2883" i="10"/>
  <c r="L2883" i="10" s="1"/>
  <c r="J2334" i="10"/>
  <c r="L2334" i="10" s="1"/>
  <c r="J2869" i="10"/>
  <c r="L2869" i="10" s="1"/>
  <c r="J1926" i="10"/>
  <c r="L1926" i="10" s="1"/>
  <c r="J1747" i="10"/>
  <c r="L1747" i="10" s="1"/>
  <c r="J2440" i="10"/>
  <c r="L2440" i="10" s="1"/>
  <c r="J2743" i="10"/>
  <c r="L2743" i="10" s="1"/>
  <c r="J2148" i="10"/>
  <c r="L2148" i="10" s="1"/>
  <c r="J2026" i="10"/>
  <c r="L2026" i="10" s="1"/>
  <c r="J289" i="10"/>
  <c r="L289" i="10" s="1"/>
  <c r="J2855" i="10"/>
  <c r="L2855" i="10" s="1"/>
  <c r="J2029" i="10"/>
  <c r="L2029" i="10" s="1"/>
  <c r="J2706" i="10"/>
  <c r="L2706" i="10" s="1"/>
  <c r="J1777" i="10"/>
  <c r="L1777" i="10" s="1"/>
  <c r="J2277" i="10"/>
  <c r="L2277" i="10" s="1"/>
  <c r="J2327" i="10"/>
  <c r="L2327" i="10" s="1"/>
  <c r="J467" i="10"/>
  <c r="L467" i="10" s="1"/>
  <c r="J1975" i="10"/>
  <c r="L1975" i="10" s="1"/>
  <c r="J1569" i="10"/>
  <c r="L1569" i="10" s="1"/>
  <c r="J2683" i="10"/>
  <c r="L2683" i="10" s="1"/>
  <c r="J60" i="10"/>
  <c r="L60" i="10" s="1"/>
  <c r="J2442" i="10"/>
  <c r="L2442" i="10" s="1"/>
  <c r="J751" i="10"/>
  <c r="L751" i="10" s="1"/>
  <c r="J1743" i="10"/>
  <c r="L1743" i="10" s="1"/>
  <c r="J2403" i="10"/>
  <c r="L2403" i="10" s="1"/>
  <c r="J2808" i="10"/>
  <c r="L2808" i="10" s="1"/>
  <c r="J1968" i="10"/>
  <c r="L1968" i="10" s="1"/>
  <c r="J2694" i="10"/>
  <c r="L2694" i="10" s="1"/>
  <c r="J145" i="10"/>
  <c r="L145" i="10" s="1"/>
  <c r="J696" i="10"/>
  <c r="L696" i="10" s="1"/>
  <c r="J2191" i="10"/>
  <c r="L2191" i="10" s="1"/>
  <c r="J1710" i="10"/>
  <c r="L1710" i="10" s="1"/>
  <c r="J2726" i="10"/>
  <c r="L2726" i="10" s="1"/>
  <c r="J2637" i="10"/>
  <c r="L2637" i="10" s="1"/>
  <c r="J1965" i="10"/>
  <c r="L1965" i="10" s="1"/>
  <c r="J2762" i="10"/>
  <c r="L2762" i="10" s="1"/>
  <c r="J1393" i="10"/>
  <c r="L1393" i="10" s="1"/>
  <c r="J1868" i="10"/>
  <c r="L1868" i="10" s="1"/>
  <c r="J1454" i="10"/>
  <c r="L1454" i="10" s="1"/>
  <c r="J1029" i="10"/>
  <c r="L1029" i="10" s="1"/>
  <c r="J2040" i="10"/>
  <c r="L2040" i="10" s="1"/>
  <c r="J2331" i="10"/>
  <c r="L2331" i="10" s="1"/>
  <c r="J2525" i="10"/>
  <c r="L2525" i="10" s="1"/>
  <c r="J1737" i="10"/>
  <c r="L1737" i="10" s="1"/>
  <c r="J2591" i="10"/>
  <c r="L2591" i="10" s="1"/>
  <c r="J743" i="10"/>
  <c r="L743" i="10" s="1"/>
  <c r="J505" i="10"/>
  <c r="L505" i="10" s="1"/>
  <c r="J1566" i="10"/>
  <c r="L1566" i="10" s="1"/>
  <c r="J516" i="10"/>
  <c r="L516" i="10" s="1"/>
  <c r="J493" i="10"/>
  <c r="L493" i="10" s="1"/>
  <c r="J2553" i="10"/>
  <c r="L2553" i="10" s="1"/>
  <c r="J1319" i="10"/>
  <c r="L1319" i="10" s="1"/>
  <c r="J78" i="10"/>
  <c r="L78" i="10" s="1"/>
  <c r="J2301" i="10"/>
  <c r="L2301" i="10" s="1"/>
  <c r="J2181" i="10"/>
  <c r="L2181" i="10" s="1"/>
  <c r="J2793" i="10"/>
  <c r="L2793" i="10" s="1"/>
  <c r="J2188" i="10"/>
  <c r="L2188" i="10" s="1"/>
  <c r="J358" i="10"/>
  <c r="L358" i="10" s="1"/>
  <c r="J1553" i="10"/>
  <c r="L1553" i="10" s="1"/>
  <c r="J2149" i="10"/>
  <c r="L2149" i="10" s="1"/>
  <c r="J2230" i="10"/>
  <c r="L2230" i="10" s="1"/>
  <c r="J1740" i="10"/>
  <c r="L1740" i="10" s="1"/>
  <c r="J1974" i="10"/>
  <c r="L1974" i="10" s="1"/>
  <c r="J1046" i="10"/>
  <c r="L1046" i="10" s="1"/>
  <c r="J2650" i="10"/>
  <c r="L2650" i="10" s="1"/>
  <c r="J114" i="10"/>
  <c r="L114" i="10" s="1"/>
  <c r="J1199" i="10"/>
  <c r="L1199" i="10" s="1"/>
  <c r="J1359" i="10"/>
  <c r="L1359" i="10" s="1"/>
  <c r="J1050" i="10"/>
  <c r="L1050" i="10" s="1"/>
  <c r="J2594" i="10"/>
  <c r="L2594" i="10" s="1"/>
  <c r="J240" i="10"/>
  <c r="L240" i="10" s="1"/>
  <c r="J778" i="10"/>
  <c r="L778" i="10" s="1"/>
  <c r="J1390" i="10"/>
  <c r="L1390" i="10" s="1"/>
  <c r="J304" i="10"/>
  <c r="L304" i="10" s="1"/>
  <c r="J837" i="10"/>
  <c r="L837" i="10" s="1"/>
  <c r="J668" i="10"/>
  <c r="L668" i="10" s="1"/>
  <c r="J1427" i="10"/>
  <c r="L1427" i="10" s="1"/>
  <c r="J1938" i="10"/>
  <c r="L1938" i="10" s="1"/>
  <c r="J63" i="10"/>
  <c r="L63" i="10" s="1"/>
  <c r="J829" i="10"/>
  <c r="L829" i="10" s="1"/>
  <c r="J2665" i="10"/>
  <c r="L2665" i="10" s="1"/>
  <c r="J2104" i="10"/>
  <c r="L2104" i="10" s="1"/>
  <c r="J692" i="10"/>
  <c r="L692" i="10" s="1"/>
  <c r="J1937" i="10"/>
  <c r="L1937" i="10" s="1"/>
  <c r="J2749" i="10"/>
  <c r="L2749" i="10" s="1"/>
  <c r="J2484" i="10"/>
  <c r="L2484" i="10" s="1"/>
  <c r="J2846" i="10"/>
  <c r="L2846" i="10" s="1"/>
  <c r="J1191" i="10"/>
  <c r="L1191" i="10" s="1"/>
  <c r="J2857" i="10"/>
  <c r="L2857" i="10" s="1"/>
  <c r="J708" i="10"/>
  <c r="L708" i="10" s="1"/>
  <c r="J417" i="10"/>
  <c r="L417" i="10" s="1"/>
  <c r="J55" i="10"/>
  <c r="L55" i="10" s="1"/>
  <c r="J1478" i="10"/>
  <c r="L1478" i="10" s="1"/>
  <c r="J2309" i="10"/>
  <c r="L2309" i="10" s="1"/>
  <c r="J306" i="10"/>
  <c r="L306" i="10" s="1"/>
  <c r="J2858" i="10"/>
  <c r="L2858" i="10" s="1"/>
  <c r="J2626" i="10"/>
  <c r="L2626" i="10" s="1"/>
  <c r="J2920" i="10"/>
  <c r="L2920" i="10" s="1"/>
  <c r="J45" i="10"/>
  <c r="L45" i="10" s="1"/>
  <c r="J574" i="10"/>
  <c r="L574" i="10" s="1"/>
  <c r="J2503" i="10"/>
  <c r="L2503" i="10" s="1"/>
  <c r="J261" i="10"/>
  <c r="L261" i="10" s="1"/>
  <c r="J2679" i="10"/>
  <c r="L2679" i="10" s="1"/>
  <c r="J270" i="10"/>
  <c r="L270" i="10" s="1"/>
  <c r="J572" i="10"/>
  <c r="L572" i="10" s="1"/>
  <c r="J2293" i="10"/>
  <c r="L2293" i="10" s="1"/>
  <c r="J2667" i="10"/>
  <c r="L2667" i="10" s="1"/>
  <c r="J2903" i="10"/>
  <c r="L2903" i="10" s="1"/>
  <c r="J2319" i="10"/>
  <c r="L2319" i="10" s="1"/>
  <c r="J2200" i="10"/>
  <c r="L2200" i="10" s="1"/>
  <c r="J2430" i="10"/>
  <c r="L2430" i="10" s="1"/>
  <c r="J1482" i="10"/>
  <c r="L1482" i="10" s="1"/>
  <c r="J1989" i="10"/>
  <c r="L1989" i="10" s="1"/>
  <c r="J1299" i="10"/>
  <c r="L1299" i="10" s="1"/>
  <c r="J1442" i="10"/>
  <c r="L1442" i="10" s="1"/>
  <c r="J875" i="10"/>
  <c r="L875" i="10" s="1"/>
  <c r="J2325" i="10"/>
  <c r="L2325" i="10" s="1"/>
  <c r="J514" i="10"/>
  <c r="L514" i="10" s="1"/>
  <c r="J2108" i="10"/>
  <c r="L2108" i="10" s="1"/>
  <c r="J1874" i="10"/>
  <c r="L1874" i="10" s="1"/>
  <c r="J2558" i="10"/>
  <c r="L2558" i="10" s="1"/>
  <c r="J2829" i="10"/>
  <c r="L2829" i="10" s="1"/>
  <c r="J1001" i="10"/>
  <c r="L1001" i="10" s="1"/>
  <c r="J2289" i="10"/>
  <c r="L2289" i="10" s="1"/>
  <c r="J2861" i="10"/>
  <c r="L2861" i="10" s="1"/>
  <c r="J191" i="10"/>
  <c r="L191" i="10" s="1"/>
  <c r="J1752" i="10"/>
  <c r="L1752" i="10" s="1"/>
  <c r="J2602" i="10"/>
  <c r="L2602" i="10" s="1"/>
  <c r="J476" i="10"/>
  <c r="L476" i="10" s="1"/>
  <c r="J215" i="10"/>
  <c r="L215" i="10" s="1"/>
  <c r="J158" i="10"/>
  <c r="L158" i="10" s="1"/>
  <c r="J1789" i="10"/>
  <c r="L1789" i="10" s="1"/>
  <c r="J2408" i="10"/>
  <c r="L2408" i="10" s="1"/>
  <c r="J521" i="10"/>
  <c r="L521" i="10" s="1"/>
  <c r="J1170" i="10"/>
  <c r="L1170" i="10" s="1"/>
  <c r="J2396" i="10"/>
  <c r="L2396" i="10" s="1"/>
  <c r="J680" i="10"/>
  <c r="L680" i="10" s="1"/>
  <c r="J1787" i="10"/>
  <c r="L1787" i="10" s="1"/>
  <c r="J2873" i="10"/>
  <c r="L2873" i="10" s="1"/>
  <c r="J2315" i="10"/>
  <c r="L2315" i="10" s="1"/>
  <c r="J487" i="10"/>
  <c r="L487" i="10" s="1"/>
  <c r="J2292" i="10"/>
  <c r="L2292" i="10" s="1"/>
  <c r="J2112" i="10"/>
  <c r="L2112" i="10" s="1"/>
  <c r="J146" i="10"/>
  <c r="L146" i="10" s="1"/>
  <c r="J1825" i="10"/>
  <c r="L1825" i="10" s="1"/>
  <c r="J2709" i="10"/>
  <c r="L2709" i="10" s="1"/>
  <c r="J2908" i="10"/>
  <c r="L2908" i="10" s="1"/>
  <c r="J2061" i="10"/>
  <c r="L2061" i="10" s="1"/>
  <c r="J1586" i="10"/>
  <c r="L1586" i="10" s="1"/>
  <c r="J2733" i="10"/>
  <c r="L2733" i="10" s="1"/>
  <c r="J2521" i="10"/>
  <c r="L2521" i="10" s="1"/>
  <c r="J1192" i="10"/>
  <c r="L1192" i="10" s="1"/>
  <c r="J2505" i="10"/>
  <c r="L2505" i="10" s="1"/>
  <c r="J317" i="10"/>
  <c r="L317" i="10" s="1"/>
  <c r="J2668" i="10"/>
  <c r="L2668" i="10" s="1"/>
  <c r="J2493" i="10"/>
  <c r="L2493" i="10" s="1"/>
  <c r="J2611" i="10"/>
  <c r="L2611" i="10" s="1"/>
  <c r="J978" i="10"/>
  <c r="L978" i="10" s="1"/>
  <c r="J1810" i="10"/>
  <c r="L1810" i="10" s="1"/>
  <c r="J1473" i="10"/>
  <c r="L1473" i="10" s="1"/>
  <c r="J473" i="10"/>
  <c r="L473" i="10" s="1"/>
  <c r="J2492" i="10"/>
  <c r="L2492" i="10" s="1"/>
  <c r="J1347" i="10"/>
  <c r="L1347" i="10" s="1"/>
  <c r="J652" i="10"/>
  <c r="L652" i="10" s="1"/>
  <c r="J2758" i="10"/>
  <c r="L2758" i="10" s="1"/>
  <c r="J2608" i="10"/>
  <c r="L2608" i="10" s="1"/>
  <c r="J2799" i="10"/>
  <c r="L2799" i="10" s="1"/>
  <c r="J2833" i="10"/>
  <c r="L2833" i="10" s="1"/>
  <c r="J421" i="10"/>
  <c r="L421" i="10" s="1"/>
  <c r="J1665" i="10"/>
  <c r="L1665" i="10" s="1"/>
  <c r="J844" i="10"/>
  <c r="L844" i="10" s="1"/>
  <c r="J1242" i="10"/>
  <c r="L1242" i="10" s="1"/>
  <c r="J1499" i="10"/>
  <c r="L1499" i="10" s="1"/>
  <c r="J1331" i="10"/>
  <c r="L1331" i="10" s="1"/>
  <c r="J620" i="10"/>
  <c r="L620" i="10" s="1"/>
  <c r="J1155" i="10"/>
  <c r="L1155" i="10" s="1"/>
  <c r="J246" i="10"/>
  <c r="L246" i="10" s="1"/>
  <c r="J1532" i="10"/>
  <c r="L1532" i="10" s="1"/>
  <c r="J258" i="10"/>
  <c r="L258" i="10" s="1"/>
  <c r="J360" i="10"/>
  <c r="L360" i="10" s="1"/>
  <c r="J1345" i="10"/>
  <c r="L1345" i="10" s="1"/>
  <c r="J1067" i="10"/>
  <c r="L1067" i="10" s="1"/>
  <c r="J617" i="10"/>
  <c r="L617" i="10" s="1"/>
  <c r="J2767" i="10"/>
  <c r="L2767" i="10" s="1"/>
  <c r="J1201" i="10"/>
  <c r="L1201" i="10" s="1"/>
  <c r="J2320" i="10"/>
  <c r="L2320" i="10" s="1"/>
  <c r="J373" i="10"/>
  <c r="L373" i="10" s="1"/>
  <c r="J1678" i="10"/>
  <c r="L1678" i="10" s="1"/>
  <c r="J2180" i="10"/>
  <c r="L2180" i="10" s="1"/>
  <c r="J2013" i="10"/>
  <c r="L2013" i="10" s="1"/>
  <c r="J2619" i="10"/>
  <c r="L2619" i="10" s="1"/>
  <c r="J1235" i="10"/>
  <c r="L1235" i="10" s="1"/>
  <c r="J399" i="10"/>
  <c r="L399" i="10" s="1"/>
  <c r="J137" i="10"/>
  <c r="L137" i="10" s="1"/>
  <c r="J428" i="10"/>
  <c r="L428" i="10" s="1"/>
  <c r="J564" i="10"/>
  <c r="L564" i="10" s="1"/>
  <c r="J255" i="10"/>
  <c r="L255" i="10" s="1"/>
  <c r="J1920" i="10"/>
  <c r="L1920" i="10" s="1"/>
  <c r="J2283" i="10"/>
  <c r="L2283" i="10" s="1"/>
  <c r="J176" i="10"/>
  <c r="L176" i="10" s="1"/>
  <c r="J1642" i="10"/>
  <c r="L1642" i="10" s="1"/>
  <c r="J2019" i="10"/>
  <c r="L2019" i="10" s="1"/>
  <c r="J2353" i="10"/>
  <c r="L2353" i="10" s="1"/>
  <c r="J1312" i="10"/>
  <c r="L1312" i="10" s="1"/>
  <c r="J1498" i="10"/>
  <c r="L1498" i="10" s="1"/>
  <c r="J1221" i="10"/>
  <c r="L1221" i="10" s="1"/>
  <c r="J1073" i="10"/>
  <c r="L1073" i="10" s="1"/>
  <c r="J95" i="10"/>
  <c r="L95" i="10" s="1"/>
  <c r="J282" i="10"/>
  <c r="L282" i="10" s="1"/>
  <c r="J2495" i="10"/>
  <c r="L2495" i="10" s="1"/>
  <c r="J503" i="10"/>
  <c r="L503" i="10" s="1"/>
  <c r="J492" i="10"/>
  <c r="L492" i="10" s="1"/>
  <c r="J1380" i="10"/>
  <c r="L1380" i="10" s="1"/>
  <c r="J654" i="10"/>
  <c r="L654" i="10" s="1"/>
  <c r="J119" i="10"/>
  <c r="L119" i="10" s="1"/>
  <c r="J1502" i="10"/>
  <c r="L1502" i="10" s="1"/>
  <c r="J570" i="10"/>
  <c r="L570" i="10" s="1"/>
  <c r="J536" i="10"/>
  <c r="L536" i="10" s="1"/>
  <c r="J1587" i="10"/>
  <c r="L1587" i="10" s="1"/>
  <c r="J217" i="10"/>
  <c r="L217" i="10" s="1"/>
  <c r="J1842" i="10"/>
  <c r="L1842" i="10" s="1"/>
  <c r="J233" i="10"/>
  <c r="L233" i="10" s="1"/>
  <c r="J1914" i="10"/>
  <c r="L1914" i="10" s="1"/>
  <c r="J388" i="10"/>
  <c r="L388" i="10" s="1"/>
  <c r="J1360" i="10"/>
  <c r="L1360" i="10" s="1"/>
  <c r="J1097" i="10"/>
  <c r="L1097" i="10" s="1"/>
  <c r="J1686" i="10"/>
  <c r="L1686" i="10" s="1"/>
  <c r="J2162" i="10"/>
  <c r="L2162" i="10" s="1"/>
  <c r="J1716" i="10"/>
  <c r="L1716" i="10" s="1"/>
  <c r="J1408" i="10"/>
  <c r="L1408" i="10" s="1"/>
  <c r="J446" i="10"/>
  <c r="L446" i="10" s="1"/>
  <c r="J601" i="10"/>
  <c r="L601" i="10" s="1"/>
  <c r="J1333" i="10"/>
  <c r="L1333" i="10" s="1"/>
  <c r="J463" i="10"/>
  <c r="L463" i="10" s="1"/>
  <c r="J2003" i="10"/>
  <c r="L2003" i="10" s="1"/>
  <c r="J1879" i="10"/>
  <c r="L1879" i="10" s="1"/>
  <c r="J1128" i="10"/>
  <c r="L1128" i="10" s="1"/>
  <c r="J1327" i="10"/>
  <c r="L1327" i="10" s="1"/>
  <c r="J1065" i="10"/>
  <c r="L1065" i="10" s="1"/>
  <c r="J641" i="10"/>
  <c r="L641" i="10" s="1"/>
  <c r="J1402" i="10"/>
  <c r="L1402" i="10" s="1"/>
  <c r="J1984" i="10"/>
  <c r="L1984" i="10" s="1"/>
  <c r="J1304" i="10"/>
  <c r="L1304" i="10" s="1"/>
  <c r="J83" i="10"/>
  <c r="L83" i="10" s="1"/>
  <c r="J1227" i="10"/>
  <c r="L1227" i="10" s="1"/>
  <c r="J1534" i="10"/>
  <c r="L1534" i="10" s="1"/>
  <c r="J1689" i="10"/>
  <c r="L1689" i="10" s="1"/>
  <c r="J1528" i="10"/>
  <c r="L1528" i="10" s="1"/>
  <c r="J85" i="10"/>
  <c r="L85" i="10" s="1"/>
  <c r="J1295" i="10"/>
  <c r="L1295" i="10" s="1"/>
  <c r="J1307" i="10"/>
  <c r="L1307" i="10" s="1"/>
  <c r="J2000" i="10"/>
  <c r="L2000" i="10" s="1"/>
  <c r="J309" i="10"/>
  <c r="L309" i="10" s="1"/>
  <c r="J904" i="10"/>
  <c r="L904" i="10" s="1"/>
  <c r="J782" i="10"/>
  <c r="L782" i="10" s="1"/>
  <c r="J425" i="10"/>
  <c r="L425" i="10" s="1"/>
  <c r="J2818" i="10"/>
  <c r="L2818" i="10" s="1"/>
  <c r="J364" i="10"/>
  <c r="L364" i="10" s="1"/>
  <c r="J31" i="10"/>
  <c r="L31" i="10" s="1"/>
  <c r="J281" i="10"/>
  <c r="L281" i="10" s="1"/>
  <c r="J1349" i="10"/>
  <c r="L1349" i="10" s="1"/>
  <c r="J1033" i="10"/>
  <c r="L1033" i="10" s="1"/>
  <c r="J2412" i="10"/>
  <c r="L2412" i="10" s="1"/>
  <c r="J210" i="10"/>
  <c r="L210" i="10" s="1"/>
  <c r="J1843" i="10"/>
  <c r="L1843" i="10" s="1"/>
  <c r="J1545" i="10"/>
  <c r="L1545" i="10" s="1"/>
  <c r="J2461" i="10"/>
  <c r="L2461" i="10" s="1"/>
  <c r="J2596" i="10"/>
  <c r="L2596" i="10" s="1"/>
  <c r="J1320" i="10"/>
  <c r="L1320" i="10" s="1"/>
  <c r="J1821" i="10"/>
  <c r="L1821" i="10" s="1"/>
  <c r="J2795" i="10"/>
  <c r="L2795" i="10" s="1"/>
  <c r="J2444" i="10"/>
  <c r="L2444" i="10" s="1"/>
  <c r="J1925" i="10"/>
  <c r="L1925" i="10" s="1"/>
  <c r="J920" i="10"/>
  <c r="L920" i="10" s="1"/>
  <c r="J755" i="10"/>
  <c r="L755" i="10" s="1"/>
  <c r="J1091" i="10"/>
  <c r="L1091" i="10" s="1"/>
  <c r="J911" i="10"/>
  <c r="L911" i="10" s="1"/>
  <c r="J649" i="10"/>
  <c r="L649" i="10" s="1"/>
  <c r="J972" i="10"/>
  <c r="L972" i="10" s="1"/>
  <c r="J1076" i="10"/>
  <c r="L1076" i="10" s="1"/>
  <c r="J767" i="10"/>
  <c r="L767" i="10" s="1"/>
  <c r="J405" i="10"/>
  <c r="L405" i="10" s="1"/>
  <c r="J115" i="10"/>
  <c r="L115" i="10" s="1"/>
  <c r="J1290" i="10"/>
  <c r="L1290" i="10" s="1"/>
  <c r="J1949" i="10"/>
  <c r="L1949" i="10" s="1"/>
  <c r="J2183" i="10"/>
  <c r="L2183" i="10" s="1"/>
  <c r="J1671" i="10"/>
  <c r="L1671" i="10" s="1"/>
  <c r="J432" i="10"/>
  <c r="L432" i="10" s="1"/>
  <c r="J75" i="10"/>
  <c r="L75" i="10" s="1"/>
  <c r="J2276" i="10"/>
  <c r="L2276" i="10" s="1"/>
  <c r="J2609" i="10"/>
  <c r="L2609" i="10" s="1"/>
  <c r="J1568" i="10"/>
  <c r="L1568" i="10" s="1"/>
  <c r="J1754" i="10"/>
  <c r="L1754" i="10" s="1"/>
  <c r="J461" i="10"/>
  <c r="L461" i="10" s="1"/>
  <c r="J1962" i="10"/>
  <c r="L1962" i="10" s="1"/>
  <c r="J1643" i="10"/>
  <c r="L1643" i="10" s="1"/>
  <c r="J2564" i="10"/>
  <c r="L2564" i="10" s="1"/>
  <c r="J1719" i="10"/>
  <c r="L1719" i="10" s="1"/>
  <c r="J2031" i="10"/>
  <c r="L2031" i="10" s="1"/>
  <c r="J894" i="10"/>
  <c r="L894" i="10" s="1"/>
  <c r="J966" i="10"/>
  <c r="L966" i="10" s="1"/>
  <c r="J963" i="10"/>
  <c r="L963" i="10" s="1"/>
  <c r="J639" i="10"/>
  <c r="L639" i="10" s="1"/>
  <c r="J1594" i="10"/>
  <c r="L1594" i="10" s="1"/>
  <c r="J2337" i="10"/>
  <c r="L2337" i="10" s="1"/>
  <c r="J804" i="10"/>
  <c r="L804" i="10" s="1"/>
  <c r="J1324" i="10"/>
  <c r="L1324" i="10" s="1"/>
  <c r="J1412" i="10"/>
  <c r="L1412" i="10" s="1"/>
  <c r="J513" i="10"/>
  <c r="L513" i="10" s="1"/>
  <c r="J266" i="10"/>
  <c r="L266" i="10" s="1"/>
  <c r="J2801" i="10"/>
  <c r="L2801" i="10" s="1"/>
  <c r="J1114" i="10"/>
  <c r="L1114" i="10" s="1"/>
  <c r="J556" i="10"/>
  <c r="L556" i="10" s="1"/>
  <c r="J1365" i="10"/>
  <c r="L1365" i="10" s="1"/>
  <c r="J784" i="10"/>
  <c r="L784" i="10" s="1"/>
  <c r="J1693" i="10"/>
  <c r="L1693" i="10" s="1"/>
  <c r="J1027" i="10"/>
  <c r="L1027" i="10" s="1"/>
  <c r="J1861" i="10"/>
  <c r="L1861" i="10" s="1"/>
  <c r="J1302" i="10"/>
  <c r="L1302" i="10" s="1"/>
  <c r="J1392" i="10"/>
  <c r="L1392" i="10" s="1"/>
  <c r="J942" i="10"/>
  <c r="L942" i="10" s="1"/>
  <c r="J72" i="10"/>
  <c r="L72" i="10" s="1"/>
  <c r="J918" i="10"/>
  <c r="L918" i="10" s="1"/>
  <c r="J1896" i="10"/>
  <c r="L1896" i="10" s="1"/>
  <c r="J849" i="10"/>
  <c r="L849" i="10" s="1"/>
  <c r="J990" i="10"/>
  <c r="L990" i="10" s="1"/>
  <c r="J58" i="10"/>
  <c r="L58" i="10" s="1"/>
  <c r="J2768" i="10"/>
  <c r="L2768" i="10" s="1"/>
  <c r="J1075" i="10"/>
  <c r="L1075" i="10" s="1"/>
  <c r="J139" i="10"/>
  <c r="L139" i="10" s="1"/>
  <c r="J1656" i="10"/>
  <c r="L1656" i="10" s="1"/>
  <c r="J1213" i="10"/>
  <c r="L1213" i="10" s="1"/>
  <c r="J1651" i="10"/>
  <c r="L1651" i="10" s="1"/>
  <c r="J1003" i="10"/>
  <c r="L1003" i="10" s="1"/>
  <c r="J1352" i="10"/>
  <c r="L1352" i="10" s="1"/>
  <c r="J207" i="10"/>
  <c r="L207" i="10" s="1"/>
  <c r="J1629" i="10"/>
  <c r="L1629" i="10" s="1"/>
  <c r="J1389" i="10"/>
  <c r="L1389" i="10" s="1"/>
  <c r="J445" i="10"/>
  <c r="L445" i="10" s="1"/>
  <c r="J1071" i="10"/>
  <c r="L1071" i="10" s="1"/>
  <c r="J809" i="10"/>
  <c r="L809" i="10" s="1"/>
  <c r="J1146" i="10"/>
  <c r="L1146" i="10" s="1"/>
  <c r="J1592" i="10"/>
  <c r="L1592" i="10" s="1"/>
  <c r="J621" i="10"/>
  <c r="L621" i="10" s="1"/>
  <c r="J1249" i="10"/>
  <c r="L1249" i="10" s="1"/>
  <c r="J971" i="10"/>
  <c r="L971" i="10" s="1"/>
  <c r="J889" i="10"/>
  <c r="L889" i="10" s="1"/>
  <c r="J1621" i="10"/>
  <c r="L1621" i="10" s="1"/>
  <c r="J51" i="10"/>
  <c r="L51" i="10" s="1"/>
  <c r="J348" i="10"/>
  <c r="L348" i="10" s="1"/>
  <c r="J394" i="10"/>
  <c r="L394" i="10" s="1"/>
  <c r="J1014" i="10"/>
  <c r="L1014" i="10" s="1"/>
  <c r="J2560" i="10"/>
  <c r="L2560" i="10" s="1"/>
  <c r="J1364" i="10"/>
  <c r="L1364" i="10" s="1"/>
  <c r="J1530" i="10"/>
  <c r="L1530" i="10" s="1"/>
  <c r="J2859" i="10"/>
  <c r="L2859" i="10" s="1"/>
  <c r="J1713" i="10"/>
  <c r="L1713" i="10" s="1"/>
  <c r="J2280" i="10"/>
  <c r="L2280" i="10" s="1"/>
  <c r="J1541" i="10"/>
  <c r="L1541" i="10" s="1"/>
  <c r="J532" i="10"/>
  <c r="L532" i="10" s="1"/>
  <c r="J666" i="10"/>
  <c r="L666" i="10" s="1"/>
  <c r="J2486" i="10"/>
  <c r="L2486" i="10" s="1"/>
  <c r="J1772" i="10"/>
  <c r="L1772" i="10" s="1"/>
  <c r="J1436" i="10"/>
  <c r="L1436" i="10" s="1"/>
  <c r="J2573" i="10"/>
  <c r="L2573" i="10" s="1"/>
  <c r="J2822" i="10"/>
  <c r="L2822" i="10" s="1"/>
  <c r="J1214" i="10"/>
  <c r="L1214" i="10" s="1"/>
  <c r="J155" i="10"/>
  <c r="L155" i="10" s="1"/>
  <c r="J92" i="10"/>
  <c r="L92" i="10" s="1"/>
  <c r="J2921" i="10"/>
  <c r="L2921" i="10" s="1"/>
  <c r="J444" i="10"/>
  <c r="L444" i="10" s="1"/>
  <c r="J1996" i="10"/>
  <c r="L1996" i="10" s="1"/>
  <c r="J2307" i="10"/>
  <c r="L2307" i="10" s="1"/>
  <c r="J1536" i="10"/>
  <c r="L1536" i="10" s="1"/>
  <c r="J1638" i="10"/>
  <c r="L1638" i="10" s="1"/>
  <c r="J2638" i="10"/>
  <c r="L2638" i="10" s="1"/>
  <c r="J2225" i="10"/>
  <c r="L2225" i="10" s="1"/>
  <c r="J438" i="10"/>
  <c r="L438" i="10" s="1"/>
  <c r="J2760" i="10"/>
  <c r="L2760" i="10" s="1"/>
  <c r="J814" i="10"/>
  <c r="L814" i="10" s="1"/>
  <c r="J36" i="10"/>
  <c r="L36" i="10" s="1"/>
  <c r="J2117" i="10"/>
  <c r="L2117" i="10" s="1"/>
  <c r="J2518" i="10"/>
  <c r="L2518" i="10" s="1"/>
  <c r="J2622" i="10"/>
  <c r="L2622" i="10" s="1"/>
  <c r="J1622" i="10"/>
  <c r="L1622" i="10" s="1"/>
  <c r="J1765" i="10"/>
  <c r="L1765" i="10" s="1"/>
  <c r="J2093" i="10"/>
  <c r="L2093" i="10" s="1"/>
  <c r="J709" i="10"/>
  <c r="L709" i="10" s="1"/>
  <c r="J1558" i="10"/>
  <c r="L1558" i="10" s="1"/>
  <c r="J77" i="10"/>
  <c r="L77" i="10" s="1"/>
  <c r="J2126" i="10"/>
  <c r="L2126" i="10" s="1"/>
  <c r="J2666" i="10"/>
  <c r="L2666" i="10" s="1"/>
  <c r="J2379" i="10"/>
  <c r="L2379" i="10" s="1"/>
  <c r="J2206" i="10"/>
  <c r="L2206" i="10" s="1"/>
  <c r="J1419" i="10"/>
  <c r="L1419" i="10" s="1"/>
  <c r="J1040" i="10"/>
  <c r="L1040" i="10" s="1"/>
  <c r="J587" i="10"/>
  <c r="L587" i="10" s="1"/>
  <c r="J2788" i="10"/>
  <c r="L2788" i="10" s="1"/>
  <c r="J370" i="10"/>
  <c r="L370" i="10" s="1"/>
  <c r="J209" i="10"/>
  <c r="L209" i="10" s="1"/>
  <c r="J443" i="10"/>
  <c r="L443" i="10" s="1"/>
  <c r="J147" i="10"/>
  <c r="L147" i="10" s="1"/>
  <c r="J1103" i="10"/>
  <c r="L1103" i="10" s="1"/>
  <c r="J204" i="10"/>
  <c r="L204" i="10" s="1"/>
  <c r="J1525" i="10"/>
  <c r="L1525" i="10" s="1"/>
  <c r="J1272" i="10"/>
  <c r="L1272" i="10" s="1"/>
  <c r="J2222" i="10"/>
  <c r="L2222" i="10" s="1"/>
  <c r="J14" i="10"/>
  <c r="L14" i="10" s="1"/>
  <c r="J2820" i="10"/>
  <c r="L2820" i="10" s="1"/>
  <c r="J2050" i="10"/>
  <c r="L2050" i="10" s="1"/>
  <c r="J2287" i="10"/>
  <c r="L2287" i="10" s="1"/>
  <c r="J1150" i="10"/>
  <c r="L1150" i="10" s="1"/>
  <c r="J2646" i="10"/>
  <c r="L2646" i="10" s="1"/>
  <c r="J1760" i="10"/>
  <c r="L1760" i="10" s="1"/>
  <c r="J2135" i="10"/>
  <c r="L2135" i="10" s="1"/>
  <c r="J1225" i="10"/>
  <c r="L1225" i="10" s="1"/>
  <c r="J2338" i="10"/>
  <c r="L2338" i="10" s="1"/>
  <c r="J1132" i="10"/>
  <c r="L1132" i="10" s="1"/>
  <c r="J340" i="10"/>
  <c r="L340" i="10" s="1"/>
  <c r="J506" i="10"/>
  <c r="L506" i="10" s="1"/>
  <c r="J104" i="10"/>
  <c r="L104" i="10" s="1"/>
  <c r="J160" i="10"/>
  <c r="L160" i="10" s="1"/>
  <c r="J315" i="10"/>
  <c r="L315" i="10" s="1"/>
  <c r="J2002" i="10"/>
  <c r="L2002" i="10" s="1"/>
  <c r="J2014" i="10"/>
  <c r="L2014" i="10" s="1"/>
  <c r="J1808" i="10"/>
  <c r="L1808" i="10" s="1"/>
  <c r="J2623" i="10"/>
  <c r="L2623" i="10" s="1"/>
  <c r="J545" i="10"/>
  <c r="L545" i="10" s="1"/>
  <c r="J79" i="10"/>
  <c r="L79" i="10" s="1"/>
  <c r="J2163" i="10"/>
  <c r="L2163" i="10" s="1"/>
  <c r="J2479" i="10"/>
  <c r="L2479" i="10" s="1"/>
  <c r="J812" i="10"/>
  <c r="L812" i="10" s="1"/>
  <c r="J2625" i="10"/>
  <c r="L2625" i="10" s="1"/>
  <c r="J1107" i="10"/>
  <c r="L1107" i="10" s="1"/>
  <c r="J366" i="10"/>
  <c r="L366" i="10" s="1"/>
  <c r="J1741" i="10"/>
  <c r="L1741" i="10" s="1"/>
  <c r="J2569" i="10"/>
  <c r="L2569" i="10" s="1"/>
  <c r="J1346" i="10"/>
  <c r="L1346" i="10" s="1"/>
  <c r="J1715" i="10"/>
  <c r="L1715" i="10" s="1"/>
  <c r="J974" i="10"/>
  <c r="L974" i="10" s="1"/>
  <c r="J554" i="10"/>
  <c r="L554" i="10" s="1"/>
  <c r="J2752" i="10"/>
  <c r="L2752" i="10" s="1"/>
  <c r="J1571" i="10"/>
  <c r="L1571" i="10" s="1"/>
  <c r="J2020" i="10"/>
  <c r="L2020" i="10" s="1"/>
  <c r="J415" i="10"/>
  <c r="L415" i="10" s="1"/>
  <c r="J602" i="10"/>
  <c r="L602" i="10" s="1"/>
  <c r="J2467" i="10"/>
  <c r="L2467" i="10" s="1"/>
  <c r="J853" i="10"/>
  <c r="L853" i="10" s="1"/>
  <c r="J272" i="10"/>
  <c r="L272" i="10" s="1"/>
  <c r="J1271" i="10"/>
  <c r="L1271" i="10" s="1"/>
  <c r="J792" i="10"/>
  <c r="L792" i="10" s="1"/>
  <c r="J1683" i="10"/>
  <c r="L1683" i="10" s="1"/>
  <c r="J848" i="10"/>
  <c r="L848" i="10" s="1"/>
  <c r="J585" i="10"/>
  <c r="L585" i="10" s="1"/>
  <c r="J408" i="10"/>
  <c r="L408" i="10" s="1"/>
  <c r="J1706" i="10"/>
  <c r="L1706" i="10" s="1"/>
  <c r="J1053" i="10"/>
  <c r="L1053" i="10" s="1"/>
  <c r="J534" i="10"/>
  <c r="L534" i="10" s="1"/>
  <c r="J1395" i="10"/>
  <c r="L1395" i="10" s="1"/>
  <c r="J747" i="10"/>
  <c r="L747" i="10" s="1"/>
  <c r="J669" i="10"/>
  <c r="L669" i="10" s="1"/>
  <c r="J1016" i="10"/>
  <c r="L1016" i="10" s="1"/>
  <c r="J710" i="10"/>
  <c r="L710" i="10" s="1"/>
  <c r="J1397" i="10"/>
  <c r="L1397" i="10" s="1"/>
  <c r="J815" i="10"/>
  <c r="L815" i="10" s="1"/>
  <c r="J553" i="10"/>
  <c r="L553" i="10" s="1"/>
  <c r="J886" i="10"/>
  <c r="L886" i="10" s="1"/>
  <c r="J1860" i="10"/>
  <c r="L1860" i="10" s="1"/>
  <c r="J1039" i="10"/>
  <c r="L1039" i="10" s="1"/>
  <c r="J2789" i="10"/>
  <c r="L2789" i="10" s="1"/>
  <c r="J2803" i="10"/>
  <c r="L2803" i="10" s="1"/>
  <c r="J70" i="10"/>
  <c r="L70" i="10" s="1"/>
  <c r="J645" i="10"/>
  <c r="L645" i="10" s="1"/>
  <c r="J497" i="10"/>
  <c r="L497" i="10" s="1"/>
  <c r="J2452" i="10"/>
  <c r="L2452" i="10" s="1"/>
  <c r="J2226" i="10"/>
  <c r="L2226" i="10" s="1"/>
  <c r="J489" i="10"/>
  <c r="L489" i="10" s="1"/>
  <c r="J1963" i="10"/>
  <c r="L1963" i="10" s="1"/>
  <c r="J2696" i="10"/>
  <c r="L2696" i="10" s="1"/>
  <c r="J151" i="10"/>
  <c r="L151" i="10" s="1"/>
  <c r="J2828" i="10"/>
  <c r="L2828" i="10" s="1"/>
  <c r="J2804" i="10"/>
  <c r="L2804" i="10" s="1"/>
  <c r="J2392" i="10"/>
  <c r="L2392" i="10" s="1"/>
  <c r="J1712" i="10"/>
  <c r="L1712" i="10" s="1"/>
  <c r="J2100" i="10"/>
  <c r="L2100" i="10" s="1"/>
  <c r="J2702" i="10"/>
  <c r="L2702" i="10" s="1"/>
  <c r="J1690" i="10"/>
  <c r="L1690" i="10" s="1"/>
  <c r="J1654" i="10"/>
  <c r="L1654" i="10" s="1"/>
  <c r="J1074" i="10"/>
  <c r="L1074" i="10" s="1"/>
  <c r="J2439" i="10"/>
  <c r="L2439" i="10" s="1"/>
  <c r="J71" i="10"/>
  <c r="L71" i="10" s="1"/>
  <c r="J1369" i="10"/>
  <c r="L1369" i="10" s="1"/>
  <c r="J1368" i="10"/>
  <c r="L1368" i="10" s="1"/>
  <c r="J741" i="10"/>
  <c r="L741" i="10" s="1"/>
  <c r="J2316" i="10"/>
  <c r="L2316" i="10" s="1"/>
  <c r="J1399" i="10"/>
  <c r="L1399" i="10" s="1"/>
  <c r="J2232" i="10"/>
  <c r="L2232" i="10" s="1"/>
  <c r="J944" i="10"/>
  <c r="L944" i="10" s="1"/>
  <c r="J2926" i="10"/>
  <c r="L2926" i="10" s="1"/>
  <c r="J771" i="10"/>
  <c r="L771" i="10" s="1"/>
  <c r="J2357" i="10"/>
  <c r="L2357" i="10" s="1"/>
  <c r="J2536" i="10"/>
  <c r="L2536" i="10" s="1"/>
  <c r="J214" i="10"/>
  <c r="L214" i="10" s="1"/>
  <c r="J735" i="10"/>
  <c r="L735" i="10" s="1"/>
  <c r="J701" i="10"/>
  <c r="L701" i="10" s="1"/>
  <c r="J828" i="10"/>
  <c r="L828" i="10" s="1"/>
  <c r="J2413" i="10"/>
  <c r="L2413" i="10" s="1"/>
  <c r="J1738" i="10"/>
  <c r="L1738" i="10" s="1"/>
  <c r="J2341" i="10"/>
  <c r="L2341" i="10" s="1"/>
  <c r="J2085" i="10"/>
  <c r="L2085" i="10" s="1"/>
  <c r="J1544" i="10"/>
  <c r="L1544" i="10" s="1"/>
  <c r="J2501" i="10"/>
  <c r="L2501" i="10" s="1"/>
  <c r="J2177" i="10"/>
  <c r="L2177" i="10" s="1"/>
  <c r="J230" i="10"/>
  <c r="L230" i="10" s="1"/>
  <c r="J2651" i="10"/>
  <c r="L2651" i="10" s="1"/>
  <c r="J1597" i="10"/>
  <c r="L1597" i="10" s="1"/>
  <c r="J653" i="10"/>
  <c r="L653" i="10" s="1"/>
  <c r="J2374" i="10"/>
  <c r="L2374" i="10" s="1"/>
  <c r="J1707" i="10"/>
  <c r="L1707" i="10" s="1"/>
  <c r="J469" i="10"/>
  <c r="L469" i="10" s="1"/>
  <c r="J138" i="10"/>
  <c r="L138" i="10" s="1"/>
  <c r="J328" i="10"/>
  <c r="L328" i="10" s="1"/>
  <c r="J2304" i="10"/>
  <c r="L2304" i="10" s="1"/>
  <c r="J1108" i="10"/>
  <c r="L1108" i="10" s="1"/>
  <c r="J1274" i="10"/>
  <c r="L1274" i="10" s="1"/>
  <c r="J1089" i="10"/>
  <c r="L1089" i="10" s="1"/>
  <c r="J811" i="10"/>
  <c r="L811" i="10" s="1"/>
  <c r="J361" i="10"/>
  <c r="L361" i="10" s="1"/>
  <c r="J2511" i="10"/>
  <c r="L2511" i="10" s="1"/>
  <c r="J945" i="10"/>
  <c r="L945" i="10" s="1"/>
  <c r="J2744" i="10"/>
  <c r="L2744" i="10" s="1"/>
  <c r="J1816" i="10"/>
  <c r="L1816" i="10" s="1"/>
  <c r="J2035" i="10"/>
  <c r="L2035" i="10" s="1"/>
  <c r="J2336" i="10"/>
  <c r="L2336" i="10" s="1"/>
  <c r="J1908" i="10"/>
  <c r="L1908" i="10" s="1"/>
  <c r="J1600" i="10"/>
  <c r="L1600" i="10" s="1"/>
  <c r="J1500" i="10"/>
  <c r="L1500" i="10" s="1"/>
  <c r="J667" i="10"/>
  <c r="L667" i="10" s="1"/>
  <c r="J2724" i="10"/>
  <c r="L2724" i="10" s="1"/>
  <c r="J929" i="10"/>
  <c r="L929" i="10" s="1"/>
  <c r="J838" i="10"/>
  <c r="L838" i="10" s="1"/>
  <c r="J165" i="10"/>
  <c r="L165" i="10" s="1"/>
  <c r="J785" i="10"/>
  <c r="L785" i="10" s="1"/>
  <c r="J926" i="10"/>
  <c r="L926" i="10" s="1"/>
  <c r="J242" i="10"/>
  <c r="L242" i="10" s="1"/>
  <c r="J464" i="10"/>
  <c r="L464" i="10" s="1"/>
  <c r="J1209" i="10"/>
  <c r="L1209" i="10" s="1"/>
  <c r="J1751" i="10"/>
  <c r="L1751" i="10" s="1"/>
  <c r="J1090" i="10"/>
  <c r="L1090" i="10" s="1"/>
  <c r="J1328" i="10"/>
  <c r="L1328" i="10" s="1"/>
  <c r="J1002" i="10"/>
  <c r="L1002" i="10" s="1"/>
  <c r="J65" i="10"/>
  <c r="L65" i="10" s="1"/>
  <c r="J1610" i="10"/>
  <c r="L1610" i="10" s="1"/>
  <c r="J2437" i="10"/>
  <c r="L2437" i="10" s="1"/>
  <c r="J1000" i="10"/>
  <c r="L1000" i="10" s="1"/>
  <c r="J1792" i="10"/>
  <c r="L1792" i="10" s="1"/>
  <c r="J2335" i="10"/>
  <c r="L2335" i="10" s="1"/>
  <c r="J612" i="10"/>
  <c r="L612" i="10" s="1"/>
  <c r="J1771" i="10"/>
  <c r="L1771" i="10" s="1"/>
  <c r="J2387" i="10"/>
  <c r="L2387" i="10" s="1"/>
  <c r="J2252" i="10"/>
  <c r="L2252" i="10" s="1"/>
  <c r="J1334" i="10"/>
  <c r="L1334" i="10" s="1"/>
  <c r="J865" i="10"/>
  <c r="L865" i="10" s="1"/>
  <c r="J494" i="10"/>
  <c r="L494" i="10" s="1"/>
  <c r="J2725" i="10"/>
  <c r="L2725" i="10" s="1"/>
  <c r="J157" i="10"/>
  <c r="L157" i="10" s="1"/>
  <c r="J579" i="10"/>
  <c r="L579" i="10" s="1"/>
  <c r="J350" i="10"/>
  <c r="L350" i="10" s="1"/>
  <c r="J719" i="10"/>
  <c r="L719" i="10" s="1"/>
  <c r="J2261" i="10"/>
  <c r="L2261" i="10" s="1"/>
  <c r="J2145" i="10"/>
  <c r="L2145" i="10" s="1"/>
  <c r="J1714" i="10"/>
  <c r="L1714" i="10" s="1"/>
  <c r="J1583" i="10"/>
  <c r="L1583" i="10" s="1"/>
  <c r="J1321" i="10"/>
  <c r="L1321" i="10" s="1"/>
  <c r="J2911" i="10"/>
  <c r="L2911" i="10" s="1"/>
  <c r="J1203" i="10"/>
  <c r="L1203" i="10" s="1"/>
  <c r="J462" i="10"/>
  <c r="L462" i="10" s="1"/>
  <c r="J42" i="10"/>
  <c r="L42" i="10" s="1"/>
  <c r="J2240" i="10"/>
  <c r="L2240" i="10" s="1"/>
  <c r="J1059" i="10"/>
  <c r="L1059" i="10" s="1"/>
  <c r="J1904" i="10"/>
  <c r="L1904" i="10" s="1"/>
  <c r="J1205" i="10"/>
  <c r="L1205" i="10" s="1"/>
  <c r="J624" i="10"/>
  <c r="L624" i="10" s="1"/>
  <c r="J174" i="10"/>
  <c r="L174" i="10" s="1"/>
  <c r="J2242" i="10"/>
  <c r="L2242" i="10" s="1"/>
  <c r="J1061" i="10"/>
  <c r="L1061" i="10" s="1"/>
  <c r="J2864" i="10"/>
  <c r="L2864" i="10" s="1"/>
  <c r="J1171" i="10"/>
  <c r="L1171" i="10" s="1"/>
  <c r="J336" i="10"/>
  <c r="L336" i="10" s="1"/>
  <c r="J73" i="10"/>
  <c r="L73" i="10" s="1"/>
  <c r="J2720" i="10"/>
  <c r="L2720" i="10" s="1"/>
  <c r="J1141" i="10"/>
  <c r="L1141" i="10" s="1"/>
  <c r="J559" i="10"/>
  <c r="L559" i="10" s="1"/>
  <c r="J297" i="10"/>
  <c r="L297" i="10" s="1"/>
  <c r="J1921" i="10"/>
  <c r="L1921" i="10" s="1"/>
  <c r="J2127" i="10"/>
  <c r="L2127" i="10" s="1"/>
  <c r="J931" i="10"/>
  <c r="L931" i="10" s="1"/>
  <c r="J1375" i="10"/>
  <c r="L1375" i="10" s="1"/>
  <c r="J1562" i="10"/>
  <c r="L1562" i="10" s="1"/>
  <c r="J1964" i="10"/>
  <c r="L1964" i="10" s="1"/>
  <c r="J1175" i="10"/>
  <c r="L1175" i="10" s="1"/>
  <c r="J1636" i="10"/>
  <c r="L1636" i="10" s="1"/>
  <c r="J910" i="10"/>
  <c r="L910" i="10" s="1"/>
  <c r="J802" i="10"/>
  <c r="L802" i="10" s="1"/>
  <c r="J1518" i="10"/>
  <c r="L1518" i="10" s="1"/>
  <c r="J1865" i="10"/>
  <c r="L1865" i="10" s="1"/>
  <c r="J2195" i="10"/>
  <c r="L2195" i="10" s="1"/>
  <c r="J1603" i="10"/>
  <c r="L1603" i="10" s="1"/>
  <c r="J1374" i="10"/>
  <c r="L1374" i="10" s="1"/>
  <c r="J644" i="10"/>
  <c r="L644" i="10" s="1"/>
  <c r="J1616" i="10"/>
  <c r="L1616" i="10" s="1"/>
  <c r="J1353" i="10"/>
  <c r="L1353" i="10" s="1"/>
  <c r="J2033" i="10"/>
  <c r="L2033" i="10" s="1"/>
  <c r="J2342" i="10"/>
  <c r="L2342" i="10" s="1"/>
  <c r="J2123" i="10"/>
  <c r="L2123" i="10" s="1"/>
  <c r="J431" i="10"/>
  <c r="L431" i="10" s="1"/>
  <c r="J106" i="10"/>
  <c r="L106" i="10" s="1"/>
  <c r="J2483" i="10"/>
  <c r="L2483" i="10" s="1"/>
  <c r="J2784" i="10"/>
  <c r="L2784" i="10" s="1"/>
  <c r="J1567" i="10"/>
  <c r="L1567" i="10" s="1"/>
  <c r="J1817" i="10"/>
  <c r="L1817" i="10" s="1"/>
  <c r="J395" i="10"/>
  <c r="L395" i="10" s="1"/>
  <c r="J2018" i="10"/>
  <c r="L2018" i="10" s="1"/>
  <c r="J1778" i="10"/>
  <c r="L1778" i="10" s="1"/>
  <c r="J100" i="10"/>
  <c r="L100" i="10" s="1"/>
  <c r="J1259" i="10"/>
  <c r="L1259" i="10" s="1"/>
  <c r="J1862" i="10"/>
  <c r="L1862" i="10" s="1"/>
  <c r="J1220" i="10"/>
  <c r="L1220" i="10" s="1"/>
  <c r="J400" i="10"/>
  <c r="L400" i="10" s="1"/>
  <c r="J74" i="10"/>
  <c r="L74" i="10" s="1"/>
  <c r="J2756" i="10"/>
  <c r="L2756" i="10" s="1"/>
  <c r="J325" i="10"/>
  <c r="L325" i="10" s="1"/>
  <c r="J256" i="10"/>
  <c r="L256" i="10" s="1"/>
  <c r="J2655" i="10"/>
  <c r="L2655" i="10" s="1"/>
  <c r="J947" i="10"/>
  <c r="L947" i="10" s="1"/>
  <c r="J206" i="10"/>
  <c r="L206" i="10" s="1"/>
  <c r="J1641" i="10"/>
  <c r="L1641" i="10" s="1"/>
  <c r="J1981" i="10"/>
  <c r="L1981" i="10" s="1"/>
  <c r="J803" i="10"/>
  <c r="L803" i="10" s="1"/>
  <c r="J949" i="10"/>
  <c r="L949" i="10" s="1"/>
  <c r="J368" i="10"/>
  <c r="L368" i="10" s="1"/>
  <c r="J1803" i="10"/>
  <c r="L1803" i="10" s="1"/>
  <c r="J1983" i="10"/>
  <c r="L1983" i="10" s="1"/>
  <c r="J805" i="10"/>
  <c r="L805" i="10" s="1"/>
  <c r="J883" i="10"/>
  <c r="L883" i="10" s="1"/>
  <c r="J235" i="10"/>
  <c r="L235" i="10" s="1"/>
  <c r="J2722" i="10"/>
  <c r="L2722" i="10" s="1"/>
  <c r="J2753" i="10"/>
  <c r="L2753" i="10" s="1"/>
  <c r="J436" i="10"/>
  <c r="L436" i="10" s="1"/>
  <c r="J128" i="10"/>
  <c r="L128" i="10" s="1"/>
  <c r="J1051" i="10"/>
  <c r="L1051" i="10" s="1"/>
  <c r="J1623" i="10"/>
  <c r="L1623" i="10" s="1"/>
  <c r="J53" i="10"/>
  <c r="L53" i="10" s="1"/>
  <c r="J2150" i="10"/>
  <c r="L2150" i="10" s="1"/>
  <c r="J1178" i="10"/>
  <c r="L1178" i="10" s="1"/>
  <c r="J1888" i="10"/>
  <c r="L1888" i="10" s="1"/>
  <c r="J201" i="10"/>
  <c r="L201" i="10" s="1"/>
  <c r="J1565" i="10"/>
  <c r="L1565" i="10" s="1"/>
  <c r="J1757" i="10"/>
  <c r="L1757" i="10" s="1"/>
  <c r="J902" i="10"/>
  <c r="L902" i="10" s="1"/>
  <c r="J1845" i="10"/>
  <c r="L1845" i="10" s="1"/>
  <c r="J1112" i="10"/>
  <c r="L1112" i="10" s="1"/>
  <c r="J1314" i="10"/>
  <c r="L1314" i="10" s="1"/>
  <c r="J2748" i="10"/>
  <c r="L2748" i="10" s="1"/>
  <c r="J1172" i="10"/>
  <c r="L1172" i="10" s="1"/>
  <c r="J197" i="10"/>
  <c r="L197" i="10" s="1"/>
  <c r="J2156" i="10"/>
  <c r="L2156" i="10" s="1"/>
  <c r="J2824" i="10"/>
  <c r="L2824" i="10" s="1"/>
  <c r="J1276" i="10"/>
  <c r="L1276" i="10" s="1"/>
  <c r="J249" i="10"/>
  <c r="L249" i="10" s="1"/>
  <c r="J2253" i="10"/>
  <c r="L2253" i="10" s="1"/>
  <c r="J1367" i="10"/>
  <c r="L1367" i="10" s="1"/>
  <c r="J2193" i="10"/>
  <c r="L2193" i="10" s="1"/>
  <c r="J933" i="10"/>
  <c r="L933" i="10" s="1"/>
  <c r="J131" i="10"/>
  <c r="L131" i="10" s="1"/>
  <c r="J1694" i="10"/>
  <c r="L1694" i="10" s="1"/>
  <c r="J1966" i="10"/>
  <c r="L1966" i="10" s="1"/>
  <c r="J331" i="10"/>
  <c r="L331" i="10" s="1"/>
  <c r="J2532" i="10"/>
  <c r="L2532" i="10" s="1"/>
  <c r="J2865" i="10"/>
  <c r="L2865" i="10" s="1"/>
  <c r="J1824" i="10"/>
  <c r="L1824" i="10" s="1"/>
  <c r="J187" i="10"/>
  <c r="L187" i="10" s="1"/>
  <c r="J1728" i="10"/>
  <c r="L1728" i="10" s="1"/>
  <c r="J2339" i="10"/>
  <c r="L2339" i="10" s="1"/>
  <c r="J662" i="10"/>
  <c r="L662" i="10" s="1"/>
  <c r="J163" i="10"/>
  <c r="L163" i="10" s="1"/>
  <c r="J607" i="10"/>
  <c r="L607" i="10" s="1"/>
  <c r="J794" i="10"/>
  <c r="L794" i="10" s="1"/>
  <c r="J236" i="10"/>
  <c r="L236" i="10" s="1"/>
  <c r="J2410" i="10"/>
  <c r="L2410" i="10" s="1"/>
  <c r="J2664" i="10"/>
  <c r="L2664" i="10" s="1"/>
  <c r="J1590" i="10"/>
  <c r="L1590" i="10" s="1"/>
  <c r="J1219" i="10"/>
  <c r="L1219" i="10" s="1"/>
  <c r="J895" i="10"/>
  <c r="L895" i="10" s="1"/>
  <c r="J27" i="10"/>
  <c r="L27" i="10" s="1"/>
  <c r="J2593" i="10"/>
  <c r="L2593" i="10" s="1"/>
  <c r="J1060" i="10"/>
  <c r="L1060" i="10" s="1"/>
  <c r="J1513" i="10"/>
  <c r="L1513" i="10" s="1"/>
  <c r="J583" i="10"/>
  <c r="L583" i="10" s="1"/>
  <c r="J1668" i="10"/>
  <c r="L1668" i="10" s="1"/>
  <c r="J769" i="10"/>
  <c r="L769" i="10" s="1"/>
  <c r="J522" i="10"/>
  <c r="L522" i="10" s="1"/>
  <c r="J199" i="10"/>
  <c r="L199" i="10" s="1"/>
  <c r="J1130" i="10"/>
  <c r="L1130" i="10" s="1"/>
  <c r="J1058" i="10"/>
  <c r="L1058" i="10" s="1"/>
  <c r="J1811" i="10"/>
  <c r="L1811" i="10" s="1"/>
  <c r="J800" i="10"/>
  <c r="L800" i="10" s="1"/>
  <c r="J986" i="10"/>
  <c r="L986" i="10" s="1"/>
  <c r="J1648" i="10"/>
  <c r="L1648" i="10" s="1"/>
  <c r="J1198" i="10"/>
  <c r="L1198" i="10" s="1"/>
  <c r="J758" i="10"/>
  <c r="L758" i="10" s="1"/>
  <c r="J1554" i="10"/>
  <c r="L1554" i="10" s="1"/>
  <c r="J2194" i="10"/>
  <c r="L2194" i="10" s="1"/>
  <c r="J2460" i="10"/>
  <c r="L2460" i="10" s="1"/>
  <c r="J107" i="10"/>
  <c r="L107" i="10" s="1"/>
  <c r="J983" i="10"/>
  <c r="L983" i="10" s="1"/>
  <c r="J2129" i="10"/>
  <c r="L2129" i="10" s="1"/>
  <c r="J869" i="10"/>
  <c r="L869" i="10" s="1"/>
  <c r="J1243" i="10"/>
  <c r="L1243" i="10" s="1"/>
  <c r="J1190" i="10"/>
  <c r="L1190" i="10" s="1"/>
  <c r="J1815" i="10"/>
  <c r="L1815" i="10" s="1"/>
  <c r="J1462" i="10"/>
  <c r="L1462" i="10" s="1"/>
  <c r="J132" i="10"/>
  <c r="L132" i="10" s="1"/>
  <c r="J1104" i="10"/>
  <c r="L1104" i="10" s="1"/>
  <c r="J841" i="10"/>
  <c r="L841" i="10" s="1"/>
  <c r="J1094" i="10"/>
  <c r="L1094" i="10" s="1"/>
  <c r="J353" i="10"/>
  <c r="L353" i="10" s="1"/>
  <c r="J12" i="10"/>
  <c r="L12" i="10" s="1"/>
  <c r="J2213" i="10"/>
  <c r="L2213" i="10" s="1"/>
  <c r="J2530" i="10"/>
  <c r="L2530" i="10" s="1"/>
  <c r="J67" i="10"/>
  <c r="L67" i="10" s="1"/>
  <c r="J1723" i="10"/>
  <c r="L1723" i="10" s="1"/>
  <c r="J964" i="10"/>
  <c r="L964" i="10" s="1"/>
  <c r="J144" i="10"/>
  <c r="L144" i="10" s="1"/>
  <c r="J1673" i="10"/>
  <c r="L1673" i="10" s="1"/>
  <c r="J2500" i="10"/>
  <c r="L2500" i="10" s="1"/>
  <c r="J69" i="10"/>
  <c r="L69" i="10" s="1"/>
  <c r="J1791" i="10"/>
  <c r="L1791" i="10" s="1"/>
  <c r="J691" i="10"/>
  <c r="L691" i="10" s="1"/>
  <c r="J1835" i="10"/>
  <c r="L1835" i="10" s="1"/>
  <c r="J1385" i="10"/>
  <c r="L1385" i="10" s="1"/>
  <c r="J1589" i="10"/>
  <c r="L1589" i="10" s="1"/>
  <c r="J547" i="10"/>
  <c r="L547" i="10" s="1"/>
  <c r="J80" i="10"/>
  <c r="L80" i="10" s="1"/>
  <c r="J1951" i="10"/>
  <c r="L1951" i="10" s="1"/>
  <c r="J2464" i="10"/>
  <c r="L2464" i="10" s="1"/>
  <c r="J2431" i="10"/>
  <c r="L2431" i="10" s="1"/>
  <c r="J1440" i="10"/>
  <c r="L1440" i="10" s="1"/>
  <c r="J1595" i="10"/>
  <c r="L1595" i="10" s="1"/>
  <c r="J633" i="10"/>
  <c r="L633" i="10" s="1"/>
  <c r="J1004" i="10"/>
  <c r="L1004" i="10" s="1"/>
  <c r="J1217" i="10"/>
  <c r="L1217" i="10" s="1"/>
  <c r="J296" i="10"/>
  <c r="L296" i="10" s="1"/>
  <c r="J496" i="10"/>
  <c r="L496" i="10" s="1"/>
  <c r="J2821" i="10"/>
  <c r="L2821" i="10" s="1"/>
  <c r="J650" i="10"/>
  <c r="L650" i="10" s="1"/>
  <c r="J1159" i="10"/>
  <c r="L1159" i="10" s="1"/>
  <c r="J2628" i="10"/>
  <c r="L2628" i="10" s="1"/>
  <c r="J1250" i="10"/>
  <c r="L1250" i="10" s="1"/>
  <c r="J318" i="10"/>
  <c r="L318" i="10" s="1"/>
  <c r="J1031" i="10"/>
  <c r="L1031" i="10" s="1"/>
  <c r="J184" i="10"/>
  <c r="L184" i="10" s="1"/>
  <c r="J927" i="10"/>
  <c r="L927" i="10" s="1"/>
  <c r="J2102" i="10"/>
  <c r="L2102" i="10" s="1"/>
  <c r="J1748" i="10"/>
  <c r="L1748" i="10" s="1"/>
  <c r="J775" i="10"/>
  <c r="L775" i="10" s="1"/>
  <c r="J2042" i="10"/>
  <c r="L2042" i="10" s="1"/>
  <c r="J1127" i="10"/>
  <c r="L1127" i="10" s="1"/>
  <c r="J2475" i="10"/>
  <c r="L2475" i="10" s="1"/>
  <c r="J2819" i="10"/>
  <c r="L2819" i="10" s="1"/>
  <c r="J276" i="10"/>
  <c r="L276" i="10" s="1"/>
  <c r="J34" i="10"/>
  <c r="L34" i="10" s="1"/>
  <c r="J732" i="10"/>
  <c r="L732" i="10" s="1"/>
  <c r="J1226" i="10"/>
  <c r="L1226" i="10" s="1"/>
  <c r="J1850" i="10"/>
  <c r="L1850" i="10" s="1"/>
  <c r="J2476" i="10"/>
  <c r="L2476" i="10" s="1"/>
  <c r="J510" i="10"/>
  <c r="L510" i="10" s="1"/>
  <c r="J140" i="10"/>
  <c r="L140" i="10" s="1"/>
  <c r="J2774" i="10"/>
  <c r="L2774" i="10" s="1"/>
  <c r="J2878" i="10"/>
  <c r="L2878" i="10" s="1"/>
  <c r="J156" i="10"/>
  <c r="L156" i="10" s="1"/>
  <c r="J1505" i="10"/>
  <c r="L1505" i="10" s="1"/>
  <c r="J2169" i="10"/>
  <c r="L2169" i="10" s="1"/>
  <c r="J965" i="10"/>
  <c r="L965" i="10" s="1"/>
  <c r="J482" i="10"/>
  <c r="L482" i="10" s="1"/>
  <c r="J2347" i="10"/>
  <c r="L2347" i="10" s="1"/>
  <c r="J2877" i="10"/>
  <c r="L2877" i="10" s="1"/>
  <c r="J1325" i="10"/>
  <c r="L1325" i="10" s="1"/>
  <c r="J2300" i="10"/>
  <c r="L2300" i="10" s="1"/>
  <c r="J970" i="10"/>
  <c r="L970" i="10" s="1"/>
  <c r="J685" i="10"/>
  <c r="L685" i="10" s="1"/>
  <c r="J24" i="10"/>
  <c r="L24" i="10" s="1"/>
  <c r="J598" i="10"/>
  <c r="L598" i="10" s="1"/>
  <c r="J2246" i="10"/>
  <c r="L2246" i="10" s="1"/>
  <c r="J2366" i="10"/>
  <c r="L2366" i="10" s="1"/>
  <c r="J2400" i="10"/>
  <c r="L2400" i="10" s="1"/>
  <c r="J1722" i="10"/>
  <c r="L1722" i="10" s="1"/>
  <c r="J2173" i="10"/>
  <c r="L2173" i="10" s="1"/>
  <c r="J453" i="10"/>
  <c r="L453" i="10" s="1"/>
  <c r="J1857" i="10"/>
  <c r="L1857" i="10" s="1"/>
  <c r="J675" i="10"/>
  <c r="L675" i="10" s="1"/>
  <c r="J1119" i="10"/>
  <c r="L1119" i="10" s="1"/>
  <c r="J1306" i="10"/>
  <c r="L1306" i="10" s="1"/>
  <c r="J1557" i="10"/>
  <c r="L1557" i="10" s="1"/>
  <c r="J294" i="10"/>
  <c r="L294" i="10" s="1"/>
  <c r="J2306" i="10"/>
  <c r="L2306" i="10" s="1"/>
  <c r="J2543" i="10"/>
  <c r="L2543" i="10" s="1"/>
  <c r="J1406" i="10"/>
  <c r="L1406" i="10" s="1"/>
  <c r="J2776" i="10"/>
  <c r="L2776" i="10" s="1"/>
  <c r="J1927" i="10"/>
  <c r="L1927" i="10" s="1"/>
  <c r="J1982" i="10"/>
  <c r="L1982" i="10" s="1"/>
  <c r="J1475" i="10"/>
  <c r="L1475" i="10" s="1"/>
  <c r="J1151" i="10"/>
  <c r="L1151" i="10" s="1"/>
  <c r="J283" i="10"/>
  <c r="L283" i="10" s="1"/>
  <c r="J2849" i="10"/>
  <c r="L2849" i="10" s="1"/>
  <c r="J1316" i="10"/>
  <c r="L1316" i="10" s="1"/>
  <c r="J2233" i="10"/>
  <c r="L2233" i="10" s="1"/>
  <c r="J2598" i="10"/>
  <c r="L2598" i="10" s="1"/>
  <c r="J790" i="10"/>
  <c r="L790" i="10" s="1"/>
  <c r="J416" i="10"/>
  <c r="L416" i="10" s="1"/>
  <c r="J571" i="10"/>
  <c r="L571" i="10" s="1"/>
  <c r="J2260" i="10"/>
  <c r="L2260" i="10" s="1"/>
  <c r="J2271" i="10"/>
  <c r="L2271" i="10" s="1"/>
  <c r="J193" i="10"/>
  <c r="L193" i="10" s="1"/>
  <c r="J456" i="10"/>
  <c r="L456" i="10" s="1"/>
  <c r="J2879" i="10"/>
  <c r="L2879" i="10" s="1"/>
  <c r="J801" i="10"/>
  <c r="L801" i="10" s="1"/>
  <c r="J335" i="10"/>
  <c r="L335" i="10" s="1"/>
  <c r="J2419" i="10"/>
  <c r="L2419" i="10" s="1"/>
  <c r="J2735" i="10"/>
  <c r="L2735" i="10" s="1"/>
  <c r="J2052" i="10"/>
  <c r="L2052" i="10" s="1"/>
  <c r="J455" i="10"/>
  <c r="L455" i="10" s="1"/>
  <c r="J1085" i="10"/>
  <c r="L1085" i="10" s="1"/>
  <c r="J382" i="10"/>
  <c r="L382" i="10" s="1"/>
  <c r="J730" i="10"/>
  <c r="L730" i="10" s="1"/>
  <c r="J1230" i="10"/>
  <c r="L1230" i="10" s="1"/>
  <c r="J810" i="10"/>
  <c r="L810" i="10" s="1"/>
  <c r="J1068" i="10"/>
  <c r="L1068" i="10" s="1"/>
  <c r="J20" i="10"/>
  <c r="L20" i="10" s="1"/>
  <c r="J954" i="10"/>
  <c r="L954" i="10" s="1"/>
  <c r="J2566" i="10"/>
  <c r="L2566" i="10" s="1"/>
  <c r="J2340" i="10"/>
  <c r="L2340" i="10" s="1"/>
  <c r="J2673" i="10"/>
  <c r="L2673" i="10" s="1"/>
  <c r="J1746" i="10"/>
  <c r="L1746" i="10" s="1"/>
  <c r="J611" i="10"/>
  <c r="L611" i="10" s="1"/>
  <c r="J825" i="10"/>
  <c r="L825" i="10" s="1"/>
  <c r="J1137" i="10"/>
  <c r="L1137" i="10" s="1"/>
  <c r="J1351" i="10"/>
  <c r="L1351" i="10" s="1"/>
  <c r="J616" i="10"/>
  <c r="L616" i="10" s="1"/>
  <c r="J1136" i="10"/>
  <c r="L1136" i="10" s="1"/>
  <c r="J686" i="10"/>
  <c r="L686" i="10" s="1"/>
  <c r="J2754" i="10"/>
  <c r="L2754" i="10" s="1"/>
  <c r="J232" i="10"/>
  <c r="L232" i="10" s="1"/>
  <c r="J1806" i="10"/>
  <c r="L1806" i="10" s="1"/>
  <c r="J1449" i="10"/>
  <c r="L1449" i="10" s="1"/>
  <c r="J1967" i="10"/>
  <c r="L1967" i="10" s="1"/>
  <c r="J2272" i="10"/>
  <c r="L2272" i="10" s="1"/>
  <c r="J1055" i="10"/>
  <c r="L1055" i="10" s="1"/>
  <c r="J1305" i="10"/>
  <c r="L1305" i="10" s="1"/>
  <c r="J97" i="10"/>
  <c r="L97" i="10" s="1"/>
  <c r="J1611" i="10"/>
  <c r="L1611" i="10" s="1"/>
  <c r="J1952" i="10"/>
  <c r="L1952" i="10" s="1"/>
  <c r="J2274" i="10"/>
  <c r="L2274" i="10" s="1"/>
  <c r="J1233" i="10"/>
  <c r="L1233" i="10" s="1"/>
  <c r="J1467" i="10"/>
  <c r="L1467" i="10" s="1"/>
  <c r="J1679" i="10"/>
  <c r="L1679" i="10" s="1"/>
  <c r="J1417" i="10"/>
  <c r="L1417" i="10" s="1"/>
  <c r="J2244" i="10"/>
  <c r="L2244" i="10" s="1"/>
  <c r="J1844" i="10"/>
  <c r="L1844" i="10" s="1"/>
  <c r="J1535" i="10"/>
  <c r="L1535" i="10" s="1"/>
  <c r="J1547" i="10"/>
  <c r="L1547" i="10" s="1"/>
  <c r="J1591" i="10"/>
  <c r="L1591" i="10" s="1"/>
  <c r="J549" i="10"/>
  <c r="L549" i="10" s="1"/>
  <c r="J740" i="10"/>
  <c r="L740" i="10" s="1"/>
  <c r="J1022" i="10"/>
  <c r="L1022" i="10" s="1"/>
  <c r="J1177" i="10"/>
  <c r="L1177" i="10" s="1"/>
  <c r="J200" i="10"/>
  <c r="L200" i="10" s="1"/>
  <c r="J1604" i="10"/>
  <c r="L1604" i="10" s="1"/>
  <c r="J783" i="10"/>
  <c r="L783" i="10" s="1"/>
  <c r="J50" i="10"/>
  <c r="L50" i="10" s="1"/>
  <c r="J1785" i="10"/>
  <c r="L1785" i="10" s="1"/>
  <c r="J2349" i="10"/>
  <c r="L2349" i="10" s="1"/>
  <c r="J2220" i="10"/>
  <c r="L2220" i="10" s="1"/>
  <c r="J1115" i="10"/>
  <c r="L1115" i="10" s="1"/>
  <c r="J941" i="10"/>
  <c r="L941" i="10" s="1"/>
  <c r="J1461" i="10"/>
  <c r="L1461" i="10" s="1"/>
  <c r="J1335" i="10"/>
  <c r="L1335" i="10" s="1"/>
  <c r="J1958" i="10"/>
  <c r="L1958" i="10" s="1"/>
  <c r="J2406" i="10"/>
  <c r="L2406" i="10" s="1"/>
  <c r="J1895" i="10"/>
  <c r="L1895" i="10" s="1"/>
  <c r="J914" i="10"/>
  <c r="L914" i="10" s="1"/>
  <c r="J1362" i="10"/>
  <c r="L1362" i="10" s="1"/>
  <c r="J2107" i="10"/>
  <c r="L2107" i="10" s="1"/>
  <c r="J1495" i="10"/>
  <c r="L1495" i="10" s="1"/>
  <c r="J2535" i="10"/>
  <c r="L2535" i="10" s="1"/>
  <c r="J2155" i="10"/>
  <c r="L2155" i="10" s="1"/>
  <c r="J2605" i="10"/>
  <c r="L2605" i="10" s="1"/>
  <c r="J226" i="10"/>
  <c r="L226" i="10" s="1"/>
  <c r="J603" i="10"/>
  <c r="L603" i="10" s="1"/>
  <c r="J180" i="10"/>
  <c r="L180" i="10" s="1"/>
  <c r="J1663" i="10"/>
  <c r="L1663" i="10" s="1"/>
  <c r="J795" i="10"/>
  <c r="L795" i="10" s="1"/>
  <c r="J1010" i="10"/>
  <c r="L1010" i="10" s="1"/>
  <c r="J1828" i="10"/>
  <c r="L1828" i="10" s="1"/>
  <c r="J2850" i="10"/>
  <c r="L2850" i="10" s="1"/>
  <c r="J2048" i="10"/>
  <c r="L2048" i="10" s="1"/>
  <c r="J852" i="10"/>
  <c r="L852" i="10" s="1"/>
  <c r="J1018" i="10"/>
  <c r="L1018" i="10" s="1"/>
  <c r="J2201" i="10"/>
  <c r="L2201" i="10" s="1"/>
  <c r="J86" i="10"/>
  <c r="L86" i="10" s="1"/>
  <c r="J1458" i="10"/>
  <c r="L1458" i="10" s="1"/>
  <c r="J672" i="10"/>
  <c r="L672" i="10" s="1"/>
  <c r="J827" i="10"/>
  <c r="L827" i="10" s="1"/>
  <c r="J2516" i="10"/>
  <c r="L2516" i="10" s="1"/>
  <c r="J2527" i="10"/>
  <c r="L2527" i="10" s="1"/>
  <c r="J449" i="10"/>
  <c r="L449" i="10" s="1"/>
  <c r="J402" i="10"/>
  <c r="L402" i="10" s="1"/>
  <c r="J1957" i="10"/>
  <c r="L1957" i="10" s="1"/>
  <c r="J1523" i="10"/>
  <c r="L1523" i="10" s="1"/>
  <c r="J13" i="10"/>
  <c r="L13" i="10" s="1"/>
  <c r="J153" i="10"/>
  <c r="L153" i="10" s="1"/>
  <c r="J2034" i="10"/>
  <c r="L2034" i="10" s="1"/>
  <c r="J580" i="10"/>
  <c r="L580" i="10" s="1"/>
  <c r="J1646" i="10"/>
  <c r="L1646" i="10" s="1"/>
  <c r="J2896" i="10"/>
  <c r="L2896" i="10" s="1"/>
  <c r="J1188" i="10"/>
  <c r="L1188" i="10" s="1"/>
  <c r="J367" i="10"/>
  <c r="L367" i="10" s="1"/>
  <c r="J11" i="10"/>
  <c r="L11" i="10" s="1"/>
  <c r="J2065" i="10"/>
  <c r="L2065" i="10" s="1"/>
  <c r="J1044" i="10"/>
  <c r="L1044" i="10" s="1"/>
  <c r="J1783" i="10"/>
  <c r="L1783" i="10" s="1"/>
  <c r="J2831" i="10"/>
  <c r="L2831" i="10" s="1"/>
  <c r="J1635" i="10"/>
  <c r="L1635" i="10" s="1"/>
  <c r="J1849" i="10"/>
  <c r="L1849" i="10" s="1"/>
  <c r="J474" i="10"/>
  <c r="L474" i="10" s="1"/>
  <c r="J842" i="10"/>
  <c r="L842" i="10" s="1"/>
  <c r="J1469" i="10"/>
  <c r="L1469" i="10" s="1"/>
  <c r="J1093" i="10"/>
  <c r="L1093" i="10" s="1"/>
  <c r="J1024" i="10"/>
  <c r="L1024" i="10" s="1"/>
  <c r="J477" i="10"/>
  <c r="L477" i="10" s="1"/>
  <c r="J502" i="10"/>
  <c r="L502" i="10" s="1"/>
  <c r="J2114" i="10"/>
  <c r="L2114" i="10" s="1"/>
  <c r="J2351" i="10"/>
  <c r="L2351" i="10" s="1"/>
  <c r="J116" i="10"/>
  <c r="L116" i="10" s="1"/>
  <c r="J1599" i="10"/>
  <c r="L1599" i="10" s="1"/>
  <c r="J1881" i="10"/>
  <c r="L1881" i="10" s="1"/>
  <c r="J2603" i="10"/>
  <c r="L2603" i="10" s="1"/>
  <c r="J663" i="10"/>
  <c r="L663" i="10" s="1"/>
  <c r="J1459" i="10"/>
  <c r="L1459" i="10" s="1"/>
  <c r="J718" i="10"/>
  <c r="L718" i="10" s="1"/>
  <c r="J298" i="10"/>
  <c r="L298" i="10" s="1"/>
  <c r="J2496" i="10"/>
  <c r="L2496" i="10" s="1"/>
  <c r="J1315" i="10"/>
  <c r="L1315" i="10" s="1"/>
  <c r="J1418" i="10"/>
  <c r="L1418" i="10" s="1"/>
  <c r="J2515" i="10"/>
  <c r="L2515" i="10" s="1"/>
  <c r="J1350" i="10"/>
  <c r="L1350" i="10" s="1"/>
  <c r="J357" i="10"/>
  <c r="L357" i="10" s="1"/>
  <c r="J731" i="10"/>
  <c r="L731" i="10" s="1"/>
  <c r="J2730" i="10"/>
  <c r="L2730" i="10" s="1"/>
  <c r="J1550" i="10"/>
  <c r="L1550" i="10" s="1"/>
  <c r="J1193" i="10"/>
  <c r="L1193" i="10" s="1"/>
  <c r="J1560" i="10"/>
  <c r="L1560" i="10" s="1"/>
  <c r="J2015" i="10"/>
  <c r="L2015" i="10" s="1"/>
  <c r="J799" i="10"/>
  <c r="L799" i="10" s="1"/>
  <c r="J1049" i="10"/>
  <c r="L1049" i="10" s="1"/>
  <c r="J1355" i="10"/>
  <c r="L1355" i="10" s="1"/>
  <c r="J1533" i="10"/>
  <c r="L1533" i="10" s="1"/>
  <c r="J2017" i="10"/>
  <c r="L2017" i="10" s="1"/>
  <c r="J977" i="10"/>
  <c r="L977" i="10" s="1"/>
  <c r="J1211" i="10"/>
  <c r="L1211" i="10" s="1"/>
  <c r="J1129" i="10"/>
  <c r="L1129" i="10" s="1"/>
  <c r="J962" i="10"/>
  <c r="L962" i="10" s="1"/>
  <c r="J291" i="10"/>
  <c r="L291" i="10" s="1"/>
  <c r="J1744" i="10"/>
  <c r="L1744" i="10" s="1"/>
  <c r="J634" i="10"/>
  <c r="L634" i="10" s="1"/>
  <c r="J285" i="10"/>
  <c r="L285" i="10" s="1"/>
  <c r="J2800" i="10"/>
  <c r="L2800" i="10" s="1"/>
  <c r="J737" i="10"/>
  <c r="L737" i="10" s="1"/>
  <c r="J459" i="10"/>
  <c r="L459" i="10" s="1"/>
  <c r="J1339" i="10"/>
  <c r="L1339" i="10" s="1"/>
  <c r="J377" i="10"/>
  <c r="L377" i="10" s="1"/>
  <c r="J322" i="10"/>
  <c r="L322" i="10" s="1"/>
  <c r="J961" i="10"/>
  <c r="L961" i="10" s="1"/>
  <c r="J2592" i="10"/>
  <c r="L2592" i="10" s="1"/>
  <c r="J133" i="10"/>
  <c r="L133" i="10" s="1"/>
  <c r="J1856" i="10"/>
  <c r="L1856" i="10" s="1"/>
  <c r="J1934" i="10"/>
  <c r="L1934" i="10" s="1"/>
  <c r="J1084" i="10"/>
  <c r="L1084" i="10" s="1"/>
  <c r="J2041" i="10"/>
  <c r="L2041" i="10" s="1"/>
  <c r="J1779" i="10"/>
  <c r="L1779" i="10" s="1"/>
  <c r="J254" i="10"/>
  <c r="L254" i="10" s="1"/>
  <c r="J409" i="10"/>
  <c r="L409" i="10" s="1"/>
  <c r="J2290" i="10"/>
  <c r="L2290" i="10" s="1"/>
  <c r="J836" i="10"/>
  <c r="L836" i="10" s="1"/>
  <c r="J15" i="10"/>
  <c r="L15" i="10" s="1"/>
  <c r="J854" i="10"/>
  <c r="L854" i="10" s="1"/>
  <c r="J54" i="10"/>
  <c r="L54" i="10" s="1"/>
  <c r="J720" i="10"/>
  <c r="L720" i="10" s="1"/>
  <c r="J1465" i="10"/>
  <c r="L1465" i="10" s="1"/>
  <c r="J2066" i="10"/>
  <c r="L2066" i="10" s="1"/>
  <c r="J1685" i="10"/>
  <c r="L1685" i="10" s="1"/>
  <c r="J1584" i="10"/>
  <c r="L1584" i="10" s="1"/>
  <c r="J1258" i="10"/>
  <c r="L1258" i="10" s="1"/>
  <c r="J981" i="10"/>
  <c r="L981" i="10" s="1"/>
  <c r="J321" i="10"/>
  <c r="L321" i="10" s="1"/>
  <c r="J43" i="10"/>
  <c r="L43" i="10" s="1"/>
  <c r="J2693" i="10"/>
  <c r="L2693" i="10" s="1"/>
  <c r="J1618" i="10"/>
  <c r="L1618" i="10" s="1"/>
  <c r="J177" i="10"/>
  <c r="L177" i="10" s="1"/>
  <c r="J1218" i="10"/>
  <c r="L1218" i="10" s="1"/>
  <c r="J1140" i="10"/>
  <c r="L1140" i="10" s="1"/>
  <c r="J832" i="10"/>
  <c r="L832" i="10" s="1"/>
  <c r="J2915" i="10"/>
  <c r="L2915" i="10" s="1"/>
  <c r="J750" i="10"/>
  <c r="L750" i="10" s="1"/>
  <c r="J1846" i="10"/>
  <c r="L1846" i="10" s="1"/>
  <c r="J840" i="10"/>
  <c r="L840" i="10" s="1"/>
  <c r="J835" i="10"/>
  <c r="L835" i="10" s="1"/>
  <c r="J606" i="10"/>
  <c r="L606" i="10" s="1"/>
  <c r="J2737" i="10"/>
  <c r="L2737" i="10" s="1"/>
  <c r="J171" i="10"/>
  <c r="L171" i="10" s="1"/>
  <c r="J1834" i="10"/>
  <c r="L1834" i="10" s="1"/>
  <c r="J660" i="10"/>
  <c r="L660" i="10" s="1"/>
  <c r="J1120" i="10"/>
  <c r="L1120" i="10" s="1"/>
  <c r="J1275" i="10"/>
  <c r="L1275" i="10" s="1"/>
  <c r="J1133" i="10"/>
  <c r="L1133" i="10" s="1"/>
  <c r="J1903" i="10"/>
  <c r="L1903" i="10" s="1"/>
  <c r="J1476" i="10"/>
  <c r="L1476" i="10" s="1"/>
  <c r="J656" i="10"/>
  <c r="L656" i="10" s="1"/>
  <c r="J330" i="10"/>
  <c r="L330" i="10" s="1"/>
  <c r="J120" i="10"/>
  <c r="L120" i="10" s="1"/>
  <c r="J581" i="10"/>
  <c r="L581" i="10" s="1"/>
  <c r="J512" i="10"/>
  <c r="L512" i="10" s="1"/>
  <c r="J1788" i="10"/>
  <c r="L1788" i="10" s="1"/>
  <c r="J2161" i="10"/>
  <c r="L2161" i="10" s="1"/>
  <c r="J488" i="10"/>
  <c r="L488" i="10" s="1"/>
  <c r="J99" i="10"/>
  <c r="L99" i="10" s="1"/>
  <c r="J313" i="10"/>
  <c r="L313" i="10" s="1"/>
  <c r="J1516" i="10"/>
  <c r="L1516" i="10" s="1"/>
  <c r="J1162" i="10"/>
  <c r="L1162" i="10" s="1"/>
  <c r="J2259" i="10"/>
  <c r="L2259" i="10" s="1"/>
  <c r="J664" i="10"/>
  <c r="L664" i="10" s="1"/>
  <c r="J101" i="10"/>
  <c r="L101" i="10" s="1"/>
  <c r="J475" i="10"/>
  <c r="L475" i="10" s="1"/>
  <c r="J1294" i="10"/>
  <c r="L1294" i="10" s="1"/>
  <c r="J937" i="10"/>
  <c r="L937" i="10" s="1"/>
  <c r="J925" i="10"/>
  <c r="L925" i="10" s="1"/>
  <c r="J1653" i="10"/>
  <c r="L1653" i="10" s="1"/>
  <c r="J543" i="10"/>
  <c r="L543" i="10" s="1"/>
  <c r="J793" i="10"/>
  <c r="L793" i="10" s="1"/>
  <c r="J1985" i="10"/>
  <c r="L1985" i="10" s="1"/>
  <c r="J1588" i="10"/>
  <c r="L1588" i="10" s="1"/>
  <c r="J1279" i="10"/>
  <c r="L1279" i="10" s="1"/>
  <c r="J1326" i="10"/>
  <c r="L1326" i="10" s="1"/>
  <c r="J2836" i="10"/>
  <c r="L2836" i="10" s="1"/>
  <c r="J2832" i="10"/>
  <c r="L2832" i="10" s="1"/>
  <c r="J885" i="10"/>
  <c r="L885" i="10" s="1"/>
  <c r="J303" i="10"/>
  <c r="L303" i="10" s="1"/>
  <c r="J41" i="10"/>
  <c r="L41" i="10" s="1"/>
  <c r="J2389" i="10"/>
  <c r="L2389" i="10" s="1"/>
  <c r="J1763" i="10"/>
  <c r="L1763" i="10" s="1"/>
  <c r="J2297" i="10"/>
  <c r="L2297" i="10" s="1"/>
  <c r="J2199" i="10"/>
  <c r="L2199" i="10" s="1"/>
  <c r="J1102" i="10"/>
  <c r="L1102" i="10" s="1"/>
  <c r="J1006" i="10"/>
  <c r="L1006" i="10" s="1"/>
  <c r="J766" i="10"/>
  <c r="L766" i="10" s="1"/>
  <c r="J921" i="10"/>
  <c r="L921" i="10" s="1"/>
  <c r="J2802" i="10"/>
  <c r="L2802" i="10" s="1"/>
  <c r="J1348" i="10"/>
  <c r="L1348" i="10" s="1"/>
  <c r="J527" i="10"/>
  <c r="L527" i="10" s="1"/>
  <c r="J677" i="10"/>
  <c r="L677" i="10" s="1"/>
  <c r="J1297" i="10"/>
  <c r="L1297" i="10" s="1"/>
  <c r="J1438" i="10"/>
  <c r="L1438" i="10" s="1"/>
  <c r="J1559" i="10"/>
  <c r="L1559" i="10" s="1"/>
  <c r="J1506" i="10"/>
  <c r="L1506" i="10" s="1"/>
  <c r="J2221" i="10"/>
  <c r="L2221" i="10" s="1"/>
  <c r="J976" i="10"/>
  <c r="L976" i="10" s="1"/>
  <c r="J1721" i="10"/>
  <c r="L1721" i="10" s="1"/>
  <c r="J2322" i="10"/>
  <c r="L2322" i="10" s="1"/>
  <c r="J2032" i="10"/>
  <c r="L2032" i="10" s="1"/>
  <c r="J1840" i="10"/>
  <c r="L1840" i="10" s="1"/>
  <c r="J1514" i="10"/>
  <c r="L1514" i="10" s="1"/>
  <c r="J2356" i="10"/>
  <c r="L2356" i="10" s="1"/>
  <c r="J1548" i="10"/>
  <c r="L1548" i="10" s="1"/>
  <c r="J302" i="10"/>
  <c r="L302" i="10" s="1"/>
  <c r="J1756" i="10"/>
  <c r="L1756" i="10" s="1"/>
  <c r="J1749" i="10"/>
  <c r="L1749" i="10" s="1"/>
  <c r="J1892" i="10"/>
  <c r="L1892" i="10" s="1"/>
  <c r="J1166" i="10"/>
  <c r="L1166" i="10" s="1"/>
  <c r="J1468" i="10"/>
  <c r="L1468" i="10" s="1"/>
  <c r="J723" i="10"/>
  <c r="L723" i="10" s="1"/>
  <c r="J1774" i="10"/>
  <c r="L1774" i="10" s="1"/>
  <c r="J2134" i="10"/>
  <c r="L2134" i="10" s="1"/>
  <c r="J2451" i="10"/>
  <c r="L2451" i="10" s="1"/>
  <c r="J52" i="10"/>
  <c r="L52" i="10" s="1"/>
  <c r="J1630" i="10"/>
  <c r="L1630" i="10" s="1"/>
  <c r="J1684" i="10"/>
  <c r="L1684" i="10" s="1"/>
  <c r="J273" i="10"/>
  <c r="L273" i="10" s="1"/>
  <c r="J414" i="10"/>
  <c r="L414" i="10" s="1"/>
  <c r="J2561" i="10"/>
  <c r="L2561" i="10" s="1"/>
  <c r="J362" i="10"/>
  <c r="L362" i="10" s="1"/>
  <c r="J2739" i="10"/>
  <c r="L2739" i="10" s="1"/>
  <c r="J1477" i="10"/>
  <c r="L1477" i="10" s="1"/>
  <c r="J32" i="10"/>
  <c r="L32" i="10" s="1"/>
  <c r="J218" i="10"/>
  <c r="L218" i="10" s="1"/>
  <c r="J1289" i="10"/>
  <c r="L1289" i="10" s="1"/>
  <c r="J2418" i="10"/>
  <c r="L2418" i="10" s="1"/>
  <c r="J1972" i="10"/>
  <c r="L1972" i="10" s="1"/>
  <c r="J1664" i="10"/>
  <c r="L1664" i="10" s="1"/>
  <c r="J702" i="10"/>
  <c r="L702" i="10" s="1"/>
  <c r="J857" i="10"/>
  <c r="L857" i="10" s="1"/>
  <c r="J278" i="10"/>
  <c r="L278" i="10" s="1"/>
  <c r="J2809" i="10"/>
  <c r="L2809" i="10" s="1"/>
  <c r="J609" i="10"/>
  <c r="L609" i="10" s="1"/>
  <c r="J238" i="10"/>
  <c r="L238" i="10" s="1"/>
  <c r="J2469" i="10"/>
  <c r="L2469" i="10" s="1"/>
  <c r="J2786" i="10"/>
  <c r="L2786" i="10" s="1"/>
  <c r="J323" i="10"/>
  <c r="L323" i="10" s="1"/>
  <c r="J94" i="10"/>
  <c r="L94" i="10" s="1"/>
  <c r="J1308" i="10"/>
  <c r="L1308" i="10" s="1"/>
  <c r="J1809" i="10"/>
  <c r="L1809" i="10" s="1"/>
  <c r="J1411" i="10"/>
  <c r="L1411" i="10" s="1"/>
  <c r="J1087" i="10"/>
  <c r="L1087" i="10" s="1"/>
  <c r="J712" i="10"/>
  <c r="L712" i="10" s="1"/>
  <c r="J1633" i="10"/>
  <c r="L1633" i="10" s="1"/>
  <c r="J1228" i="10"/>
  <c r="L1228" i="10" s="1"/>
  <c r="J1897" i="10"/>
  <c r="L1897" i="10" s="1"/>
  <c r="J1413" i="10"/>
  <c r="L1413" i="10" s="1"/>
  <c r="J1265" i="10"/>
  <c r="L1265" i="10" s="1"/>
  <c r="J57" i="10"/>
  <c r="L57" i="10" s="1"/>
  <c r="J906" i="10"/>
  <c r="L906" i="10" s="1"/>
  <c r="J2001" i="10"/>
  <c r="L2001" i="10" s="1"/>
  <c r="J1887" i="10"/>
  <c r="L1887" i="10" s="1"/>
  <c r="J1876" i="10"/>
  <c r="L1876" i="10" s="1"/>
  <c r="J219" i="10"/>
  <c r="L219" i="10" s="1"/>
  <c r="J888" i="10"/>
  <c r="L888" i="10" s="1"/>
  <c r="J1655" i="10"/>
  <c r="L1655" i="10" s="1"/>
  <c r="J721" i="10"/>
  <c r="L721" i="10" s="1"/>
  <c r="J955" i="10"/>
  <c r="L955" i="10" s="1"/>
  <c r="J938" i="10"/>
  <c r="L938" i="10" s="1"/>
  <c r="J2610" i="10"/>
  <c r="L2610" i="10" s="1"/>
  <c r="J917" i="10"/>
  <c r="L917" i="10" s="1"/>
  <c r="J627" i="10"/>
  <c r="L627" i="10" s="1"/>
  <c r="J1802" i="10"/>
  <c r="L1802" i="10" s="1"/>
  <c r="J2466" i="10"/>
  <c r="L2466" i="10" s="1"/>
  <c r="J2208" i="10"/>
  <c r="L2208" i="10" s="1"/>
  <c r="J2088" i="10"/>
  <c r="L2088" i="10" s="1"/>
  <c r="J822" i="10"/>
  <c r="L822" i="10" s="1"/>
  <c r="J1037" i="10"/>
  <c r="L1037" i="10" s="1"/>
  <c r="J2044" i="10"/>
  <c r="L2044" i="10" s="1"/>
  <c r="J1529" i="10"/>
  <c r="L1529" i="10" s="1"/>
  <c r="J2906" i="10"/>
  <c r="L2906" i="10" s="1"/>
  <c r="J2847" i="10"/>
  <c r="L2847" i="10" s="1"/>
  <c r="J2580" i="10"/>
  <c r="L2580" i="10" s="1"/>
  <c r="J2576" i="10"/>
  <c r="L2576" i="10" s="1"/>
  <c r="J629" i="10"/>
  <c r="L629" i="10" s="1"/>
  <c r="J47" i="10"/>
  <c r="L47" i="10" s="1"/>
  <c r="J2436" i="10"/>
  <c r="L2436" i="10" s="1"/>
  <c r="J1407" i="10"/>
  <c r="L1407" i="10" s="1"/>
  <c r="J539" i="10"/>
  <c r="L539" i="10" s="1"/>
  <c r="J327" i="10"/>
  <c r="L327" i="10" s="1"/>
  <c r="J1572" i="10"/>
  <c r="L1572" i="10" s="1"/>
  <c r="J480" i="10"/>
  <c r="L480" i="10" s="1"/>
  <c r="J2038" i="10"/>
  <c r="L2038" i="10" s="1"/>
  <c r="J170" i="10"/>
  <c r="L170" i="10" s="1"/>
  <c r="J1813" i="10"/>
  <c r="L1813" i="10" s="1"/>
  <c r="J149" i="10"/>
  <c r="L149" i="10" s="1"/>
  <c r="J1281" i="10"/>
  <c r="L1281" i="10" s="1"/>
  <c r="J1034" i="10"/>
  <c r="L1034" i="10" s="1"/>
  <c r="J1527" i="10"/>
  <c r="L1527" i="10" s="1"/>
  <c r="J2152" i="10"/>
  <c r="L2152" i="10" s="1"/>
  <c r="J326" i="10"/>
  <c r="L326" i="10" s="1"/>
  <c r="J1142" i="10"/>
  <c r="L1142" i="10" s="1"/>
  <c r="J578" i="10"/>
  <c r="L578" i="10" s="1"/>
  <c r="J1057" i="10"/>
  <c r="L1057" i="10" s="1"/>
  <c r="J591" i="10"/>
  <c r="L591" i="10" s="1"/>
  <c r="J2675" i="10"/>
  <c r="L2675" i="10" s="1"/>
  <c r="J194" i="10"/>
  <c r="L194" i="10" s="1"/>
  <c r="J1387" i="10"/>
  <c r="L1387" i="10" s="1"/>
  <c r="J2308" i="10"/>
  <c r="L2308" i="10" s="1"/>
  <c r="J1138" i="10"/>
  <c r="L1138" i="10" s="1"/>
  <c r="J1682" i="10"/>
  <c r="L1682" i="10" s="1"/>
  <c r="J638" i="10"/>
  <c r="L638" i="10" s="1"/>
  <c r="J707" i="10"/>
  <c r="L707" i="10" s="1"/>
  <c r="J383" i="10"/>
  <c r="L383" i="10" s="1"/>
  <c r="J1338" i="10"/>
  <c r="L1338" i="10" s="1"/>
  <c r="J2081" i="10"/>
  <c r="L2081" i="10" s="1"/>
  <c r="J548" i="10"/>
  <c r="L548" i="10" s="1"/>
  <c r="J300" i="10"/>
  <c r="L300" i="10" s="1"/>
  <c r="J2063" i="10"/>
  <c r="L2063" i="10" s="1"/>
  <c r="J867" i="10"/>
  <c r="L867" i="10" s="1"/>
  <c r="J1081" i="10"/>
  <c r="L1081" i="10" s="1"/>
  <c r="J909" i="10"/>
  <c r="L909" i="10" s="1"/>
  <c r="J2777" i="10"/>
  <c r="L2777" i="10" s="1"/>
  <c r="J245" i="10"/>
  <c r="L245" i="10" s="1"/>
  <c r="J671" i="10"/>
  <c r="L671" i="10" s="1"/>
  <c r="J858" i="10"/>
  <c r="L858" i="10" s="1"/>
  <c r="J2723" i="10"/>
  <c r="L2723" i="10" s="1"/>
  <c r="J1109" i="10"/>
  <c r="L1109" i="10" s="1"/>
  <c r="J528" i="10"/>
  <c r="L528" i="10" s="1"/>
  <c r="J2204" i="10"/>
  <c r="L2204" i="10" s="1"/>
  <c r="J1674" i="10"/>
  <c r="L1674" i="10" s="1"/>
  <c r="J2771" i="10"/>
  <c r="L2771" i="10" s="1"/>
  <c r="J1859" i="10"/>
  <c r="L1859" i="10" s="1"/>
  <c r="J613" i="10"/>
  <c r="L613" i="10" s="1"/>
  <c r="J987" i="10"/>
  <c r="L987" i="10" s="1"/>
  <c r="J1898" i="10"/>
  <c r="L1898" i="10" s="1"/>
  <c r="J1460" i="10"/>
  <c r="L1460" i="10" s="1"/>
  <c r="J1152" i="10"/>
  <c r="L1152" i="10" s="1"/>
  <c r="J190" i="10"/>
  <c r="L190" i="10" s="1"/>
  <c r="J345" i="10"/>
  <c r="L345" i="10" s="1"/>
  <c r="J1077" i="10"/>
  <c r="L1077" i="10" s="1"/>
  <c r="J1863" i="10"/>
  <c r="L1863" i="10" s="1"/>
  <c r="J2895" i="10"/>
  <c r="L2895" i="10" s="1"/>
  <c r="J1699" i="10"/>
  <c r="L1699" i="10" s="1"/>
  <c r="J352" i="10"/>
  <c r="L352" i="10" s="1"/>
  <c r="J507" i="10"/>
  <c r="L507" i="10" s="1"/>
  <c r="J2736" i="10"/>
  <c r="L2736" i="10" s="1"/>
  <c r="J1669" i="10"/>
  <c r="L1669" i="10" s="1"/>
  <c r="J573" i="10"/>
  <c r="L573" i="10" s="1"/>
  <c r="J899" i="10"/>
  <c r="L899" i="10" s="1"/>
  <c r="J575" i="10"/>
  <c r="L575" i="10" s="1"/>
  <c r="J2738" i="10"/>
  <c r="L2738" i="10" s="1"/>
  <c r="J2816" i="10"/>
  <c r="L2816" i="10" s="1"/>
  <c r="J1620" i="10"/>
  <c r="L1620" i="10" s="1"/>
  <c r="J1786" i="10"/>
  <c r="L1786" i="10" s="1"/>
  <c r="J1691" i="10"/>
  <c r="L1691" i="10" s="1"/>
  <c r="J2209" i="10"/>
  <c r="L2209" i="10" s="1"/>
  <c r="J437" i="10"/>
  <c r="L437" i="10" s="1"/>
  <c r="J1647" i="10"/>
  <c r="L1647" i="10" s="1"/>
  <c r="J1291" i="10"/>
  <c r="L1291" i="10" s="1"/>
  <c r="J967" i="10"/>
  <c r="L967" i="10" s="1"/>
  <c r="J293" i="10"/>
  <c r="L293" i="10" s="1"/>
  <c r="J679" i="10"/>
  <c r="L679" i="10" s="1"/>
  <c r="J2354" i="10"/>
  <c r="L2354" i="10" s="1"/>
  <c r="J661" i="10"/>
  <c r="L661" i="10" s="1"/>
  <c r="J371" i="10"/>
  <c r="L371" i="10" s="1"/>
  <c r="J1546" i="10"/>
  <c r="L1546" i="10" s="1"/>
  <c r="J2210" i="10"/>
  <c r="L2210" i="10" s="1"/>
  <c r="J1083" i="10"/>
  <c r="L1083" i="10" s="1"/>
  <c r="J121" i="10"/>
  <c r="L121" i="10" s="1"/>
  <c r="J2783" i="10"/>
  <c r="L2783" i="10" s="1"/>
  <c r="J705" i="10"/>
  <c r="L705" i="10" s="1"/>
  <c r="J2109" i="10"/>
  <c r="L2109" i="10" s="1"/>
  <c r="J2529" i="10"/>
  <c r="L2529" i="10" s="1"/>
  <c r="J1720" i="10"/>
  <c r="L1720" i="10" s="1"/>
  <c r="J1260" i="10"/>
  <c r="L1260" i="10" s="1"/>
  <c r="J1313" i="10"/>
  <c r="L1313" i="10" s="1"/>
  <c r="J847" i="10"/>
  <c r="L847" i="10" s="1"/>
  <c r="J130" i="10"/>
  <c r="L130" i="10" s="1"/>
  <c r="J876" i="10"/>
  <c r="L876" i="10" s="1"/>
  <c r="J861" i="10"/>
  <c r="L861" i="10" s="1"/>
  <c r="J1923" i="10"/>
  <c r="L1923" i="10" s="1"/>
  <c r="J198" i="10"/>
  <c r="L198" i="10" s="1"/>
  <c r="J1444" i="10"/>
  <c r="L1444" i="10" s="1"/>
  <c r="J623" i="10"/>
  <c r="L623" i="10" s="1"/>
  <c r="J267" i="10"/>
  <c r="L267" i="10" s="1"/>
  <c r="J2321" i="10"/>
  <c r="L2321" i="10" s="1"/>
  <c r="J1300" i="10"/>
  <c r="L1300" i="10" s="1"/>
  <c r="J969" i="10"/>
  <c r="L969" i="10" s="1"/>
  <c r="J2082" i="10"/>
  <c r="L2082" i="10" s="1"/>
  <c r="J450" i="10"/>
  <c r="L450" i="10" s="1"/>
  <c r="J84" i="10"/>
  <c r="L84" i="10" s="1"/>
  <c r="J250" i="10"/>
  <c r="L250" i="10" s="1"/>
  <c r="J1695" i="10"/>
  <c r="L1695" i="10" s="1"/>
  <c r="J59" i="10"/>
  <c r="L59" i="10" s="1"/>
  <c r="J1628" i="10"/>
  <c r="L1628" i="10" s="1"/>
  <c r="J1650" i="10"/>
  <c r="L1650" i="10" s="1"/>
  <c r="J1552" i="10"/>
  <c r="L1552" i="10" s="1"/>
  <c r="J2607" i="10"/>
  <c r="L2607" i="10" s="1"/>
  <c r="J372" i="10"/>
  <c r="L372" i="10" s="1"/>
  <c r="J64" i="10"/>
  <c r="L64" i="10" s="1"/>
  <c r="J2147" i="10"/>
  <c r="L2147" i="10" s="1"/>
  <c r="J1644" i="10"/>
  <c r="L1644" i="10" s="1"/>
  <c r="J136" i="10"/>
  <c r="L136" i="10" s="1"/>
  <c r="J18" i="10"/>
  <c r="L18" i="10" s="1"/>
  <c r="J347" i="10"/>
  <c r="L347" i="10" s="1"/>
  <c r="J2755" i="10"/>
  <c r="L2755" i="10" s="1"/>
  <c r="J2369" i="10"/>
  <c r="L2369" i="10" s="1"/>
  <c r="J851" i="10"/>
  <c r="L851" i="10" s="1"/>
  <c r="J110" i="10"/>
  <c r="L110" i="10" s="1"/>
  <c r="J2294" i="10"/>
  <c r="L2294" i="10" s="1"/>
  <c r="J2084" i="10"/>
  <c r="L2084" i="10" s="1"/>
  <c r="J2417" i="10"/>
  <c r="L2417" i="10" s="1"/>
  <c r="J1174" i="10"/>
  <c r="L1174" i="10" s="1"/>
  <c r="J355" i="10"/>
  <c r="L355" i="10" s="1"/>
  <c r="J569" i="10"/>
  <c r="L569" i="10" s="1"/>
  <c r="J1426" i="10"/>
  <c r="L1426" i="10" s="1"/>
  <c r="J593" i="10"/>
  <c r="L593" i="10" s="1"/>
  <c r="J734" i="10"/>
  <c r="L734" i="10" s="1"/>
  <c r="J1657" i="10"/>
  <c r="L1657" i="10" s="1"/>
  <c r="J2512" i="10"/>
  <c r="L2512" i="10" s="1"/>
  <c r="J819" i="10"/>
  <c r="L819" i="10" s="1"/>
  <c r="J1431" i="10"/>
  <c r="L1431" i="10" s="1"/>
  <c r="J1204" i="10"/>
  <c r="L1204" i="10" s="1"/>
  <c r="J896" i="10"/>
  <c r="L896" i="10" s="1"/>
  <c r="J1819" i="10"/>
  <c r="L1819" i="10" s="1"/>
  <c r="J89" i="10"/>
  <c r="L89" i="10" s="1"/>
  <c r="J821" i="10"/>
  <c r="L821" i="10" s="1"/>
  <c r="J2639" i="10"/>
  <c r="L2639" i="10" s="1"/>
  <c r="J1443" i="10"/>
  <c r="L1443" i="10" s="1"/>
  <c r="J96" i="10"/>
  <c r="L96" i="10" s="1"/>
  <c r="J251" i="10"/>
  <c r="L251" i="10" s="1"/>
  <c r="J2480" i="10"/>
  <c r="L2480" i="10" s="1"/>
  <c r="J901" i="10"/>
  <c r="L901" i="10" s="1"/>
  <c r="J753" i="10"/>
  <c r="L753" i="10" s="1"/>
  <c r="J2708" i="10"/>
  <c r="L2708" i="10" s="1"/>
  <c r="J2425" i="10"/>
  <c r="L2425" i="10" s="1"/>
  <c r="J1877" i="10"/>
  <c r="L1877" i="10" s="1"/>
  <c r="J179" i="10"/>
  <c r="L179" i="10" s="1"/>
  <c r="J1323" i="10"/>
  <c r="L1323" i="10" s="1"/>
  <c r="J873" i="10"/>
  <c r="L873" i="10" s="1"/>
  <c r="J279" i="10"/>
  <c r="L279" i="10" s="1"/>
  <c r="J35" i="10"/>
  <c r="L35" i="10" s="1"/>
  <c r="J1947" i="10"/>
  <c r="L1947" i="10" s="1"/>
  <c r="J665" i="10"/>
  <c r="L665" i="10" s="1"/>
  <c r="J2546" i="10"/>
  <c r="L2546" i="10" s="1"/>
  <c r="J1092" i="10"/>
  <c r="L1092" i="10" s="1"/>
  <c r="J271" i="10"/>
  <c r="L271" i="10" s="1"/>
  <c r="J2411" i="10"/>
  <c r="L2411" i="10" s="1"/>
  <c r="J1273" i="10"/>
  <c r="L1273" i="10" s="1"/>
  <c r="J877" i="10"/>
  <c r="L877" i="10" s="1"/>
  <c r="J1700" i="10"/>
  <c r="L1700" i="10" s="1"/>
  <c r="J879" i="10"/>
  <c r="L879" i="10" s="1"/>
  <c r="J523" i="10"/>
  <c r="L523" i="10" s="1"/>
  <c r="J2577" i="10"/>
  <c r="L2577" i="10" s="1"/>
  <c r="J1556" i="10"/>
  <c r="L1556" i="10" s="1"/>
  <c r="J1117" i="10"/>
  <c r="L1117" i="10" s="1"/>
  <c r="J2254" i="10"/>
  <c r="L2254" i="10" s="1"/>
  <c r="J1237" i="10"/>
  <c r="L1237" i="10" s="1"/>
  <c r="J577" i="10"/>
  <c r="L577" i="10" s="1"/>
  <c r="J299" i="10"/>
  <c r="L299" i="10" s="1"/>
  <c r="J1196" i="10"/>
  <c r="L1196" i="10" s="1"/>
  <c r="J1997" i="10"/>
  <c r="L1997" i="10" s="1"/>
  <c r="J433" i="10"/>
  <c r="L433" i="10" s="1"/>
  <c r="J1096" i="10"/>
  <c r="L1096" i="10" s="1"/>
  <c r="J1781" i="10"/>
  <c r="L1781" i="10" s="1"/>
  <c r="J1396" i="10"/>
  <c r="L1396" i="10" s="1"/>
  <c r="J1088" i="10"/>
  <c r="L1088" i="10" s="1"/>
  <c r="J162" i="10"/>
  <c r="L162" i="10" s="1"/>
  <c r="J1371" i="10"/>
  <c r="L1371" i="10" s="1"/>
  <c r="J1692" i="10"/>
  <c r="L1692" i="10" s="1"/>
  <c r="J1095" i="10"/>
  <c r="L1095" i="10" s="1"/>
  <c r="J68" i="10"/>
  <c r="L68" i="10" s="1"/>
  <c r="J1134" i="10"/>
  <c r="L1134" i="10" s="1"/>
  <c r="J916" i="10"/>
  <c r="L916" i="10" s="1"/>
  <c r="J1376" i="10"/>
  <c r="L1376" i="10" s="1"/>
  <c r="J1531" i="10"/>
  <c r="L1531" i="10" s="1"/>
  <c r="J1718" i="10"/>
  <c r="L1718" i="10" s="1"/>
  <c r="J1761" i="10"/>
  <c r="L1761" i="10" s="1"/>
  <c r="J2238" i="10"/>
  <c r="L2238" i="10" s="1"/>
  <c r="J975" i="10"/>
  <c r="L975" i="10" s="1"/>
  <c r="J2517" i="10"/>
  <c r="L2517" i="10" s="1"/>
  <c r="J2401" i="10"/>
  <c r="L2401" i="10" s="1"/>
  <c r="J2047" i="10"/>
  <c r="L2047" i="10" s="1"/>
  <c r="J48" i="10"/>
  <c r="L48" i="10" s="1"/>
  <c r="J1577" i="10"/>
  <c r="L1577" i="10" s="1"/>
  <c r="J1932" i="10"/>
  <c r="L1932" i="10" s="1"/>
  <c r="J1837" i="10"/>
  <c r="L1837" i="10" s="1"/>
  <c r="J2095" i="10"/>
  <c r="L2095" i="10" s="1"/>
  <c r="J1667" i="10"/>
  <c r="L1667" i="10" s="1"/>
  <c r="J1343" i="10"/>
  <c r="L1343" i="10" s="1"/>
  <c r="J1398" i="10"/>
  <c r="L1398" i="10" s="1"/>
  <c r="J1764" i="10"/>
  <c r="L1764" i="10" s="1"/>
  <c r="J159" i="10"/>
  <c r="L159" i="10" s="1"/>
  <c r="J346" i="10"/>
  <c r="L346" i="10" s="1"/>
  <c r="J2211" i="10"/>
  <c r="L2211" i="10" s="1"/>
  <c r="J597" i="10"/>
  <c r="L597" i="10" s="1"/>
  <c r="J16" i="10"/>
  <c r="L16" i="10" s="1"/>
  <c r="J748" i="10"/>
  <c r="L748" i="10" s="1"/>
  <c r="J337" i="10"/>
  <c r="L337" i="10" s="1"/>
  <c r="J478" i="10"/>
  <c r="L478" i="10" s="1"/>
  <c r="J1401" i="10"/>
  <c r="L1401" i="10" s="1"/>
  <c r="J2256" i="10"/>
  <c r="L2256" i="10" s="1"/>
  <c r="J563" i="10"/>
  <c r="L563" i="10" s="1"/>
  <c r="J948" i="10"/>
  <c r="L948" i="10" s="1"/>
  <c r="J640" i="10"/>
  <c r="L640" i="10" s="1"/>
  <c r="J1563" i="10"/>
  <c r="L1563" i="10" s="1"/>
  <c r="J2258" i="10"/>
  <c r="L2258" i="10" s="1"/>
  <c r="J565" i="10"/>
  <c r="L565" i="10" s="1"/>
  <c r="J643" i="10"/>
  <c r="L643" i="10" s="1"/>
  <c r="J319" i="10"/>
  <c r="L319" i="10" s="1"/>
  <c r="J2482" i="10"/>
  <c r="L2482" i="10" s="1"/>
  <c r="J338" i="10"/>
  <c r="L338" i="10" s="1"/>
  <c r="J196" i="10"/>
  <c r="L196" i="10" s="1"/>
  <c r="J1167" i="10"/>
  <c r="L1167" i="10" s="1"/>
  <c r="J905" i="10"/>
  <c r="L905" i="10" s="1"/>
  <c r="J1596" i="10"/>
  <c r="L1596" i="10" s="1"/>
  <c r="J1332" i="10"/>
  <c r="L1332" i="10" s="1"/>
  <c r="J1023" i="10"/>
  <c r="L1023" i="10" s="1"/>
  <c r="J711" i="10"/>
  <c r="L711" i="10" s="1"/>
  <c r="J1703" i="10"/>
  <c r="L1703" i="10" s="1"/>
  <c r="J2695" i="10"/>
  <c r="L2695" i="10" s="1"/>
  <c r="J754" i="10"/>
  <c r="L754" i="10" s="1"/>
  <c r="J1625" i="10"/>
  <c r="L1625" i="10" s="1"/>
  <c r="J118" i="10"/>
  <c r="L118" i="10" s="1"/>
  <c r="J216" i="10"/>
  <c r="L216" i="10" s="1"/>
  <c r="J134" i="10"/>
  <c r="L134" i="10" s="1"/>
  <c r="J733" i="10"/>
  <c r="L733" i="10" s="1"/>
  <c r="J1901" i="10"/>
  <c r="L1901" i="10" s="1"/>
  <c r="J88" i="10"/>
  <c r="L88" i="10" s="1"/>
  <c r="J2863" i="10"/>
  <c r="L2863" i="10" s="1"/>
  <c r="J2912" i="10"/>
  <c r="L2912" i="10" s="1"/>
  <c r="J202" i="10"/>
  <c r="L202" i="10" s="1"/>
  <c r="J2432" i="10"/>
  <c r="L2432" i="10" s="1"/>
  <c r="J1421" i="10"/>
  <c r="L1421" i="10" s="1"/>
  <c r="J1474" i="10"/>
  <c r="L1474" i="10" s="1"/>
  <c r="J2497" i="10"/>
  <c r="L2497" i="10" s="1"/>
  <c r="J1782" i="10"/>
  <c r="L1782" i="10" s="1"/>
  <c r="J2446" i="10"/>
  <c r="L2446" i="10" s="1"/>
  <c r="J2016" i="10"/>
  <c r="L2016" i="10" s="1"/>
  <c r="J594" i="10"/>
  <c r="L594" i="10" s="1"/>
  <c r="J683" i="10"/>
  <c r="L683" i="10" s="1"/>
  <c r="J2526" i="10"/>
  <c r="L2526" i="10" s="1"/>
  <c r="J495" i="10"/>
  <c r="L495" i="10" s="1"/>
  <c r="J1918" i="10"/>
  <c r="L1918" i="10" s="1"/>
  <c r="J1540" i="10"/>
  <c r="L1540" i="10" s="1"/>
  <c r="J813" i="10"/>
  <c r="L813" i="10" s="1"/>
  <c r="J2053" i="10"/>
  <c r="L2053" i="10" s="1"/>
  <c r="J1420" i="10"/>
  <c r="L1420" i="10" s="1"/>
  <c r="J2902" i="10"/>
  <c r="L2902" i="10" s="1"/>
  <c r="J1310" i="10"/>
  <c r="L1310" i="10" s="1"/>
  <c r="J725" i="10"/>
  <c r="L725" i="10" s="1"/>
  <c r="J1759" i="10"/>
  <c r="L1759" i="10" s="1"/>
  <c r="J2681" i="10"/>
  <c r="L2681" i="10" s="1"/>
  <c r="J706" i="10"/>
  <c r="L706" i="10" s="1"/>
  <c r="J2629" i="10"/>
  <c r="L2629" i="10" s="1"/>
  <c r="J1753" i="10"/>
  <c r="L1753" i="10" s="1"/>
  <c r="J1042" i="10"/>
  <c r="L1042" i="10" s="1"/>
  <c r="J1659" i="10"/>
  <c r="L1659" i="10" s="1"/>
  <c r="J1496" i="10"/>
  <c r="L1496" i="10" s="1"/>
  <c r="J181" i="10"/>
  <c r="L181" i="10" s="1"/>
  <c r="J1391" i="10"/>
  <c r="L1391" i="10" s="1"/>
  <c r="J1035" i="10"/>
  <c r="L1035" i="10" s="1"/>
  <c r="J284" i="10"/>
  <c r="L284" i="10" s="1"/>
  <c r="J37" i="10"/>
  <c r="L37" i="10" s="1"/>
  <c r="J2578" i="10"/>
  <c r="L2578" i="10" s="1"/>
  <c r="J2288" i="10"/>
  <c r="L2288" i="10" s="1"/>
  <c r="J225" i="10"/>
  <c r="L225" i="10" s="1"/>
  <c r="J1770" i="10"/>
  <c r="L1770" i="10" s="1"/>
  <c r="J2441" i="10"/>
  <c r="L2441" i="10" s="1"/>
  <c r="J2766" i="10"/>
  <c r="L2766" i="10" s="1"/>
  <c r="J22" i="10"/>
  <c r="L22" i="10" s="1"/>
  <c r="J833" i="10"/>
  <c r="L833" i="10" s="1"/>
  <c r="J555" i="10"/>
  <c r="L555" i="10" s="1"/>
  <c r="J105" i="10"/>
  <c r="L105" i="10" s="1"/>
  <c r="J2255" i="10"/>
  <c r="L2255" i="10" s="1"/>
  <c r="J689" i="10"/>
  <c r="L689" i="10" s="1"/>
  <c r="J1649" i="10"/>
  <c r="L1649" i="10" s="1"/>
  <c r="J2205" i="10"/>
  <c r="L2205" i="10" s="1"/>
  <c r="J979" i="10"/>
  <c r="L979" i="10" s="1"/>
  <c r="J143" i="10"/>
  <c r="L143" i="10" s="1"/>
  <c r="J2390" i="10"/>
  <c r="L2390" i="10" s="1"/>
  <c r="J2707" i="10"/>
  <c r="L2707" i="10" s="1"/>
  <c r="J308" i="10"/>
  <c r="L308" i="10" s="1"/>
  <c r="J1886" i="10"/>
  <c r="L1886" i="10" s="1"/>
  <c r="J152" i="10"/>
  <c r="L152" i="10" s="1"/>
  <c r="J1940" i="10"/>
  <c r="L1940" i="10" s="1"/>
  <c r="J529" i="10"/>
  <c r="L529" i="10" s="1"/>
  <c r="J670" i="10"/>
  <c r="L670" i="10" s="1"/>
  <c r="J2817" i="10"/>
  <c r="L2817" i="10" s="1"/>
  <c r="J953" i="10"/>
  <c r="L953" i="10" s="1"/>
  <c r="J1180" i="10"/>
  <c r="L1180" i="10" s="1"/>
  <c r="J407" i="10"/>
  <c r="L407" i="10" s="1"/>
  <c r="J1072" i="10"/>
  <c r="L1072" i="10" s="1"/>
  <c r="J746" i="10"/>
  <c r="L746" i="10" s="1"/>
  <c r="J49" i="10"/>
  <c r="L49" i="10" s="1"/>
  <c r="J958" i="10"/>
  <c r="L958" i="10" s="1"/>
  <c r="J1113" i="10"/>
  <c r="L1113" i="10" s="1"/>
  <c r="J957" i="10"/>
  <c r="L957" i="10" s="1"/>
  <c r="J1005" i="10"/>
  <c r="L1005" i="10" s="1"/>
  <c r="J2407" i="10"/>
  <c r="L2407" i="10" s="1"/>
  <c r="J651" i="10"/>
  <c r="L651" i="10" s="1"/>
  <c r="J2275" i="10"/>
  <c r="L2275" i="10" s="1"/>
  <c r="J2079" i="10"/>
  <c r="L2079" i="10" s="1"/>
  <c r="J356" i="10"/>
  <c r="L356" i="10" s="1"/>
  <c r="J1515" i="10"/>
  <c r="L1515" i="10" s="1"/>
  <c r="J2131" i="10"/>
  <c r="L2131" i="10" s="1"/>
  <c r="J698" i="10"/>
  <c r="L698" i="10" s="1"/>
  <c r="J1303" i="10"/>
  <c r="L1303" i="10" s="1"/>
  <c r="J404" i="10"/>
  <c r="L404" i="10" s="1"/>
  <c r="J864" i="10"/>
  <c r="L864" i="10" s="1"/>
  <c r="J1019" i="10"/>
  <c r="L1019" i="10" s="1"/>
  <c r="J454" i="10"/>
  <c r="L454" i="10" s="1"/>
  <c r="J897" i="10"/>
  <c r="L897" i="10" s="1"/>
  <c r="J1658" i="10"/>
  <c r="L1658" i="10" s="1"/>
  <c r="J2243" i="10"/>
  <c r="L2243" i="10" s="1"/>
  <c r="J1836" i="10"/>
  <c r="L1836" i="10" s="1"/>
  <c r="J339" i="10"/>
  <c r="L339" i="10" s="1"/>
  <c r="J1483" i="10"/>
  <c r="L1483" i="10" s="1"/>
  <c r="J1508" i="10"/>
  <c r="L1508" i="10" s="1"/>
  <c r="J1790" i="10"/>
  <c r="L1790" i="10" s="1"/>
  <c r="J90" i="10"/>
  <c r="L90" i="10" s="1"/>
  <c r="J1950" i="10"/>
  <c r="L1950" i="10" s="1"/>
  <c r="J341" i="10"/>
  <c r="L341" i="10" s="1"/>
  <c r="J1551" i="10"/>
  <c r="L1551" i="10" s="1"/>
  <c r="J81" i="10"/>
  <c r="L81" i="10" s="1"/>
  <c r="J222" i="10"/>
  <c r="L222" i="10" s="1"/>
  <c r="J1145" i="10"/>
  <c r="L1145" i="10" s="1"/>
  <c r="J1998" i="10"/>
  <c r="L1998" i="10" s="1"/>
  <c r="J307" i="10"/>
  <c r="L307" i="10" s="1"/>
  <c r="J1631" i="10"/>
  <c r="L1631" i="10" s="1"/>
  <c r="J1818" i="10"/>
  <c r="L1818" i="10" s="1"/>
  <c r="J2224" i="10"/>
  <c r="L2224" i="10" s="1"/>
  <c r="J2317" i="10"/>
  <c r="L2317" i="10" s="1"/>
  <c r="J1200" i="10"/>
  <c r="L1200" i="10" s="1"/>
  <c r="J843" i="10"/>
  <c r="L843" i="10" s="1"/>
  <c r="J205" i="10"/>
  <c r="L205" i="10" s="1"/>
  <c r="J1052" i="10"/>
  <c r="L1052" i="10" s="1"/>
  <c r="J465" i="10"/>
  <c r="L465" i="10" s="1"/>
  <c r="J699" i="10"/>
  <c r="L699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Danilo Machado</author>
  </authors>
  <commentList>
    <comment ref="J1" authorId="0" shapeId="0" xr:uid="{D2C39CF1-88BB-448A-8F52-060BD09E3E76}">
      <text>
        <r>
          <rPr>
            <sz val="9"/>
            <color indexed="81"/>
            <rFont val="Segoe UI"/>
            <family val="2"/>
          </rPr>
          <t xml:space="preserve">Formula criada no chatgpt, para retornar os dias uteis do mês considerando sabado como 0,5 e domingo 0, e as datas que tem friado como 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Danilo Machado</author>
  </authors>
  <commentList>
    <comment ref="A1" authorId="0" shapeId="0" xr:uid="{FDEB6741-0077-4DE2-9629-B2CB6872DD4E}">
      <text>
        <r>
          <rPr>
            <b/>
            <sz val="9"/>
            <color indexed="81"/>
            <rFont val="Segoe UI"/>
            <family val="2"/>
          </rPr>
          <t>Equipe - Contrato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<sst xmlns="http://schemas.openxmlformats.org/spreadsheetml/2006/main" count="215" uniqueCount="39">
  <si>
    <t>Data</t>
  </si>
  <si>
    <t>Dia da Semana</t>
  </si>
  <si>
    <t>Feriado</t>
  </si>
  <si>
    <t>domingo</t>
  </si>
  <si>
    <t>Confraternização Universal</t>
  </si>
  <si>
    <t>segunda-feira</t>
  </si>
  <si>
    <t>Carnaval</t>
  </si>
  <si>
    <t>terça-feira</t>
  </si>
  <si>
    <t>sexta-feira</t>
  </si>
  <si>
    <t>Paixão de Cristo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</si>
  <si>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</si>
  <si>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</si>
  <si>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</si>
  <si>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</si>
  <si>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</si>
  <si>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</si>
  <si>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</si>
  <si>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quarta-feira</t>
  </si>
  <si>
    <t>Proclamação da República</t>
  </si>
  <si>
    <t>Natal</t>
  </si>
  <si>
    <t>sábado</t>
  </si>
  <si>
    <t>.</t>
  </si>
  <si>
    <t>fonte: https://www.anbima.com.br/feriados/feriados.asp</t>
  </si>
  <si>
    <t>data</t>
  </si>
  <si>
    <t>classificacao_dias</t>
  </si>
  <si>
    <t>equipe</t>
  </si>
  <si>
    <t>tipo_equipe</t>
  </si>
  <si>
    <t>dias_da_demana</t>
  </si>
  <si>
    <t>semana</t>
  </si>
  <si>
    <t>feriado</t>
  </si>
  <si>
    <t>dias_úteis_Mês</t>
  </si>
  <si>
    <t>meta_mensal</t>
  </si>
  <si>
    <t>meta</t>
  </si>
  <si>
    <t>data_inicio</t>
  </si>
  <si>
    <t>data_fim</t>
  </si>
  <si>
    <t>Copiar as formulas da linha para as outras linhas após a execução da macro</t>
  </si>
  <si>
    <t>Construção</t>
  </si>
  <si>
    <t>dia_semana</t>
  </si>
  <si>
    <t>tipo_equipe_id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</si>
</sst>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color indexed="8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3" fillId="0" borderId="0"/>
  </cellStyleXfs>
  <cellXfs count="37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4" fillId="0" borderId="0" xfId="0" applyFont="1"/>
    <xf numFmtId="44" fontId="1" fillId="2" borderId="0" xfId="1" applyFont="1" applyFill="1"/>
    <xf numFmtId="44" fontId="0" fillId="0" borderId="0" xfId="1" applyFont="1"/>
    <xf numFmtId="14" fontId="3" fillId="3" borderId="0" xfId="2" applyNumberFormat="1" applyFill="1"/>
    <xf numFmtId="0" fontId="3" fillId="3" borderId="0" xfId="2" applyFill="1"/>
    <xf numFmtId="14" fontId="3" fillId="0" borderId="0" xfId="2" applyNumberFormat="1"/>
    <xf numFmtId="0" fontId="3" fillId="0" borderId="0" xfId="2"/>
    <xf numFmtId="164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1" applyNumberFormat="1" applyFont="1"/>
    <xf numFmtId="14" fontId="0" fillId="0" borderId="0" xfId="1" applyNumberFormat="1" applyFont="1" applyAlignment="1">
      <alignment horizontal="center"/>
    </xf>
    <xf numFmtId="0" fontId="5" fillId="4" borderId="3" xfId="0" applyFont="1" applyFill="1" applyBorder="1" applyAlignment="1">
      <alignment horizontal="left" wrapText="1"/>
    </xf>
    <xf numFmtId="0" fontId="5" fillId="4" borderId="4" xfId="0" applyFont="1" applyFill="1" applyBorder="1" applyAlignment="1">
      <alignment horizontal="left" wrapText="1"/>
    </xf>
    <xf numFmtId="0" fontId="5" fillId="4" borderId="5" xfId="0" applyFont="1" applyFill="1" applyBorder="1" applyAlignment="1">
      <alignment horizontal="left" wrapText="1"/>
    </xf>
    <xf numFmtId="0" fontId="8" fillId="0" borderId="0" xfId="1" applyNumberFormat="1" applyFont="1" applyFill="1" applyBorder="1" applyAlignment="1">
      <alignment horizontal="center" vertical="center"/>
    </xf>
    <xf numFmtId="0" fontId="8" fillId="0" borderId="0" xfId="1" applyNumberFormat="1" applyFont="1" applyFill="1"/>
    <xf numFmtId="14" fontId="1" fillId="2" borderId="0" xfId="1" applyNumberFormat="1" applyFont="1" applyFill="1"/>
    <xf numFmtId="14" fontId="1" fillId="2" borderId="0" xfId="0" applyNumberFormat="1" applyFont="1" applyFill="1" applyAlignment="1">
      <alignment horizontal="center"/>
    </xf>
    <xf numFmtId="44" fontId="9" fillId="0" borderId="2" xfId="1" applyFont="1" applyFill="1" applyBorder="1" applyAlignment="1">
      <alignment horizontal="center" vertical="center"/>
    </xf>
    <xf numFmtId="44" fontId="6" fillId="0" borderId="0" xfId="1" applyFont="1" applyFill="1" applyBorder="1" applyAlignment="1">
      <alignment horizontal="center" vertical="center"/>
    </xf>
    <xf numFmtId="0" fontId="7" fillId="0" borderId="0" xfId="1" applyNumberFormat="1" applyFont="1" applyFill="1" applyBorder="1" applyAlignment="1">
      <alignment horizontal="center" vertical="center"/>
    </xf>
    <xf numFmtId="44" fontId="8" fillId="0" borderId="0" xfId="1" applyFont="1" applyFill="1" applyAlignment="1">
      <alignment horizontal="center" vertical="center"/>
    </xf>
    <xf numFmtId="44" fontId="8" fillId="0" borderId="0" xfId="1" applyFont="1" applyFill="1"/>
    <xf numFmtId="44" fontId="0" fillId="0" borderId="0" xfId="0" applyNumberFormat="1"/>
    <xf numFmtId="0" fontId="8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7" fillId="0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Moeda" xfId="1" builtinId="4"/>
    <cellStyle name="Normal" xfId="0" builtinId="0"/>
    <cellStyle name="Normal 3" xfId="2" xr:uid="{1314480B-C058-4D6E-8E56-376CF6661F0F}"/>
  </cellStyles>
  <dxfs count="22">
    <dxf>
      <numFmt numFmtId="19" formatCode="dd/mm/yyyy"/>
    </dxf>
    <dxf>
      <border outline="0">
        <top style="medium">
          <color indexed="23"/>
        </top>
      </border>
    </dxf>
    <dxf>
      <border outline="0">
        <bottom style="medium">
          <color indexed="2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fill>
        <patternFill patternType="solid">
          <fgColor indexed="64"/>
          <bgColor indexed="22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000000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</dxf>
    <dxf>
      <font>
        <b val="0"/>
        <color rgb="FF000000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color rgb="FF000000"/>
      </font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  <family val="2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129540</xdr:colOff>
          <xdr:row>0</xdr:row>
          <xdr:rowOff>60960</xdr:rowOff>
        </xdr:from>
        <xdr:to>
          <xdr:col>8</xdr:col>
          <xdr:colOff>982980</xdr:colOff>
          <xdr:row>1</xdr:row>
          <xdr:rowOff>53340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tudo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D9578B1-181D-4150-A425-30271072A2D6}" name="Metas_Diarias" displayName="Metas_Diarias" ref="B1:L2926" totalsRowShown="0" headerRowDxfId="21" dataDxfId="20">
  <autoFilter ref="B1:L2926" xr:uid="{0BF9ABF5-7612-4F5D-89C7-7FEA7F7271B0}"/>
  <tableColumns count="11">
    <tableColumn id="2" xr3:uid="{03DD35B2-7244-4CBF-9590-B171E5F32437}" name="data" dataDxfId="19"/>
    <tableColumn id="9" xr3:uid="{5C6F96CA-D6A2-4F87-865B-0609BD997583}" name="dia_semana" dataDxfId="18">
      <calculatedColumnFormula>TEXT(Metas_Diarias[[#This Row],[data]],"dddd")</calculatedColumnFormula>
    </tableColumn>
    <tableColumn id="1" xr3:uid="{BC245411-C247-4C65-9486-F0B0F525149E}" name="classificacao_dias" dataDxfId="17"/>
    <tableColumn id="4" xr3:uid="{1D07319D-B250-42B0-A872-18EB61D7B825}" name="tipo_equipe_id" dataDxfId="16"/>
    <tableColumn id="3" xr3:uid="{0C36C0FE-505D-4316-AA79-2E34A6253F40}" name="tipo_equipe" dataDxfId="15" dataCellStyle="Moeda"/>
    <tableColumn id="7" xr3:uid="{F4620D9D-E350-4711-9731-10560BFF7982}" name="dias_da_demana" dataDxfId="14" dataCellStyle="Moeda">
      <calculatedColumnFormula>WEEKDAY(Metas_Diarias[[#This Row],[data]])</calculatedColumnFormula>
    </tableColumn>
    <tableColumn id="10" xr3:uid="{625F3801-4449-44DE-99E4-FDE45CC6B001}" name="semana" dataDxfId="13" dataCellStyle="Moeda">
      <calculatedColumnFormula>IF(Metas_Diarias[[#This Row],[dias_da_demana]]=1,"domingo",IF(Metas_Diarias[[#This Row],[dias_da_demana]]=7,0.5,1))</calculatedColumnFormula>
    </tableColumn>
    <tableColumn id="11" xr3:uid="{E3E7F3D3-8AB1-4528-95B6-28EF6FC7C868}" name="feriado" dataDxfId="12" dataCellStyle="Moeda">
      <calculatedColumnFormula>_xlfn.XLOOKUP(Metas_Diarias[[#This Row],[data]],Feriados[Data],Feriados[Feriado],1)</calculatedColumnFormula>
    </tableColumn>
    <tableColumn id="8" xr3:uid="{67BB2EED-B0F1-4522-8A96-54C0C031FFFD}" name="dias_úteis_Mês" dataDxfId="11" dataCellStyle="Moeda">
      <calculatedColumnFormula array="1">SUMPRODUCT(IF((NOT(ISERROR(MATCH(ROW(INDIRECT(DATE(YEAR(B2),MONTH(B2),1)&amp;":"&amp;DATE(YEAR(B2),MONTH(B2)+1,0))),Feriados[Data],0))))=FALSE,
IF(WEEKDAY(ROW(INDIRECT(DATE(YEAR(B2),MONTH(B2),1)&amp;":"&amp;DATE(YEAR(B2),MONTH(B2)+1,0))),2)&lt;=5,1,IF(WEEKDAY(ROW(INDIRECT(DATE(YEAR(B2),MONTH(B2),1)&amp;":"&amp;DATE(YEAR(B2),MONTH(B2)+1,0))),2)=6,0.5,0)),0))</calculatedColumnFormula>
    </tableColumn>
    <tableColumn id="5" xr3:uid="{78639DB4-F134-4576-88F3-6BD8EE739573}" name="meta_mensal" dataDxfId="10" dataCellStyle="Moeda">
      <calculatedColumnFormula array="1">_xlfn.XLOOKUP(1,((Metas_Diarias[[#This Row],[tipo_equipe_id]]=Metas[equipe])*(Metas_Diarias[[#This Row],[data]]&gt;Metas[data_inicio])*(Metas_Diarias[[#This Row],[data]]&lt;Metas[data_fim])),Metas[meta_mensal],0)</calculatedColumnFormula>
    </tableColumn>
    <tableColumn id="6" xr3:uid="{CF93231C-0BCA-4189-BF63-EBB2BA1F4D6F}" name="meta" dataDxfId="9" dataCellStyle="Moeda">
      <calculatedColumnFormula>Metas_Diarias[[#This Row],[meta_mensal]]*IF(Metas_Diarias[[#This Row],[semana]]="domingo",0,Metas_Diarias[[#This Row],[semana]])*IF(Metas_Diarias[[#This Row],[feriado]]&lt;&gt;1,0,1)/Metas_Diarias[[#This Row],[dias_úteis_Mês]]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F4F980-0A54-448D-B8E8-2CB7E1E7F37D}" name="Metas" displayName="Metas" ref="A1:E9" totalsRowShown="0" headerRowDxfId="8">
  <autoFilter ref="A1:E9" xr:uid="{DAF4F980-0A54-448D-B8E8-2CB7E1E7F37D}"/>
  <sortState xmlns:xlrd2="http://schemas.microsoft.com/office/spreadsheetml/2017/richdata2" ref="A2:E15">
    <sortCondition ref="A1:A15"/>
  </sortState>
  <tableColumns count="5">
    <tableColumn id="1" xr3:uid="{79B40072-E970-4A15-8641-35A5AF459AB9}" name="equipe" dataDxfId="7"/>
    <tableColumn id="6" xr3:uid="{0CB8FC7A-AD5D-439C-A8E7-8BC0E5669331}" name="tipo_equipe" dataDxfId="6"/>
    <tableColumn id="3" xr3:uid="{A7BBE44E-C8A6-4F2B-9145-1593A2BD7077}" name="meta_mensal" dataCellStyle="Moeda"/>
    <tableColumn id="5" xr3:uid="{060F746D-F66A-491C-AB30-5BC9F32FF524}" name="data_inicio" dataDxfId="5" dataCellStyle="Moeda"/>
    <tableColumn id="7" xr3:uid="{5293D960-7287-4C7E-A1A3-A389DC064193}" name="data_fim" dataDxfId="4" dataCellStyle="Mo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2308E-D417-4444-B003-378636B56C71}" name="Feriados" displayName="Feriados" ref="A1:C97" totalsRowShown="0" headerRowDxfId="3" headerRowBorderDxfId="2" tableBorderDxfId="1">
  <autoFilter ref="A1:C97" xr:uid="{6902308E-D417-4444-B003-378636B56C71}"/>
  <tableColumns count="3">
    <tableColumn id="1" xr3:uid="{760251EB-1622-421A-9AC0-8A2F9A4567F9}" name="Data" dataDxfId="0" dataCellStyle="Normal 3"/>
    <tableColumn id="2" xr3:uid="{67BA3F4C-8DB5-4180-9894-6FF278C41945}" name="Dia da Semana" dataCellStyle="Normal 3"/>
    <tableColumn id="3" xr3:uid="{CD9DE3EA-F059-483B-A5C3-835A0753E970}" name="Feriado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5AB1F-7EC8-47F3-847E-2E24D319CF1C}">
  <sheetPr codeName="Planilha4"/>
  <dimension ref="A1:O2926"/>
  <sheetViews>
    <sheetView tabSelected="1" topLeftCell="H1" workbookViewId="0">
      <selection activeCell="Q19" sqref="Q19"/>
    </sheetView>
  </sheetViews>
  <sheetFormatPr defaultRowHeight="14.4" x14ac:dyDescent="0.3"/>
  <cols>
    <col min="1" max="2" width="16.44140625" style="11" customWidth="1"/>
    <col min="3" max="3" width="20.5546875" bestFit="1" customWidth="1"/>
    <col min="4" max="4" width="36.6640625" style="11" bestFit="1" customWidth="1"/>
    <col min="5" max="5" width="19.33203125" customWidth="1"/>
    <col min="6" max="6" width="18.77734375" bestFit="1" customWidth="1"/>
    <col min="7" max="7" width="15.88671875" customWidth="1"/>
    <col min="8" max="8" width="35.6640625" bestFit="1" customWidth="1"/>
    <col min="9" max="9" width="31.44140625" style="11" bestFit="1" customWidth="1"/>
    <col min="10" max="10" width="14.5546875" style="5" bestFit="1" customWidth="1"/>
    <col min="11" max="11" width="23.77734375" style="12" customWidth="1"/>
    <col min="12" max="12" width="13.33203125" style="5" bestFit="1" customWidth="1"/>
    <col min="13" max="14" width="13.33203125" style="10" customWidth="1"/>
    <col min="15" max="15" width="13.109375" style="1" customWidth="1"/>
    <col min="16" max="16" width="3" customWidth="1"/>
    <col min="17" max="17" width="12.109375" customWidth="1"/>
    <col min="18" max="18" width="3.44140625" customWidth="1"/>
  </cols>
  <sheetData>
    <row r="1" spans="2:15" ht="15" thickBot="1" x14ac:dyDescent="0.35">
      <c r="B1" s="27" t="s">
        <v>23</v>
      </c>
      <c r="C1" s="27" t="s">
        <v>37</v>
      </c>
      <c r="D1" s="28" t="s">
        <v>24</v>
      </c>
      <c r="E1" s="29" t="s">
        <v>38</v>
      </c>
      <c r="F1" s="28" t="s">
        <v>26</v>
      </c>
      <c r="G1" s="30" t="s">
        <v>27</v>
      </c>
      <c r="H1" s="30" t="s">
        <v>28</v>
      </c>
      <c r="I1" s="30" t="s">
        <v>29</v>
      </c>
      <c r="J1" s="27" t="s">
        <v>30</v>
      </c>
      <c r="K1" s="21" t="s">
        <v>31</v>
      </c>
      <c r="L1" s="25" t="s">
        <v>32</v>
      </c>
      <c r="M1"/>
      <c r="N1"/>
      <c r="O1" t="s">
        <v>21</v>
      </c>
    </row>
    <row r="2" spans="2:15" ht="15" thickTop="1" x14ac:dyDescent="0.3">
      <c r="B2" s="31">
        <v>45658</v>
      </c>
      <c r="C2" s="31" t="str">
        <f>TEXT(Metas_Diarias[[#This Row],[data]],"dddd")</f>
        <v>quarta-feira</v>
      </c>
      <c r="D2" s="30"/>
      <c r="E2" s="32"/>
      <c r="F2" s="17" t="s">
        <v>36</v>
      </c>
      <c r="G2" s="23">
        <f>WEEKDAY(Metas_Diarias[[#This Row],[data]])</f>
        <v>4</v>
      </c>
      <c r="H2" s="23">
        <f>IF(Metas_Diarias[[#This Row],[dias_da_demana]]=1,"domingo",IF(Metas_Diarias[[#This Row],[dias_da_demana]]=7,0.5,1))</f>
        <v>1</v>
      </c>
      <c r="I2" s="23" t="str">
        <f>_xlfn.XLOOKUP(Metas_Diarias[[#This Row],[data]],Feriados[Data],Feriados[Feriado],1)</f>
        <v>Confraternização Universal</v>
      </c>
      <c r="J2" s="33" cm="1">
        <f t="array" aca="1" ref="J2" ca="1">SUMPRODUCT(IF((NOT(ISERROR(MATCH(ROW(INDIRECT(DATE(YEAR(B2),MONTH(B2),1)&amp;":"&amp;DATE(YEAR(B2),MONTH(B2)+1,0))),Feriados[Data],0))))=FALSE,
IF(WEEKDAY(ROW(INDIRECT(DATE(YEAR(B2),MONTH(B2),1)&amp;":"&amp;DATE(YEAR(B2),MONTH(B2)+1,0))),2)&lt;=5,1,IF(WEEKDAY(ROW(INDIRECT(DATE(YEAR(B2),MONTH(B2),1)&amp;":"&amp;DATE(YEAR(B2),MONTH(B2)+1,0))),2)=6,0.5,0)),0))</f>
        <v>24</v>
      </c>
      <c r="K2" s="22" cm="1">
        <f t="array" ref="K2">_xlfn.XLOOKUP(1,((Metas_Diarias[[#This Row],[tipo_equipe_id]]=Metas[equipe])*(Metas_Diarias[[#This Row],[data]]&gt;Metas[data_inicio])*(Metas_Diarias[[#This Row],[data]]&lt;Metas[data_fim])),Metas[meta_mensal],0)</f>
        <v>0</v>
      </c>
      <c r="L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  <c r="M2" t="s">
        <v>35</v>
      </c>
      <c r="N2"/>
      <c r="O2"/>
    </row>
    <row r="3" spans="2:15" x14ac:dyDescent="0.3">
      <c r="B3" s="31">
        <v>45292</v>
      </c>
      <c r="C3" s="34"/>
      <c r="D3" s="30">
        <v>1</v>
      </c>
      <c r="E3" s="32">
        <v>1</v>
      </c>
      <c r="F3" s="17"/>
      <c r="G3" s="23"/>
      <c r="H3" s="23"/>
      <c r="I3" s="23"/>
      <c r="J3" s="33" cm="1">
        <f t="array" aca="1" ref="J3" ca="1">SUMPRODUCT(IF((NOT(ISERROR(MATCH(ROW(INDIRECT(DATE(YEAR(B3),MONTH(B3),1)&amp;":"&amp;DATE(YEAR(B3),MONTH(B3)+1,0))),Feriados[Data],0))))=FALSE,
IF(WEEKDAY(ROW(INDIRECT(DATE(YEAR(B3),MONTH(B3),1)&amp;":"&amp;DATE(YEAR(B3),MONTH(B3)+1,0))),2)&lt;=5,1,IF(WEEKDAY(ROW(INDIRECT(DATE(YEAR(B3),MONTH(B3),1)&amp;":"&amp;DATE(YEAR(B3),MONTH(B3)+1,0))),2)=6,0.5,0)),0))</f>
        <v>24</v>
      </c>
      <c r="K3" s="22" cm="1">
        <f t="array" ref="K3">_xlfn.XLOOKUP(1,((Metas_Diarias[[#This Row],[tipo_equipe_id]]=Metas[equipe])*(Metas_Diarias[[#This Row],[data]]&gt;Metas[data_inicio])*(Metas_Diarias[[#This Row],[data]]&lt;Metas[data_fim])),Metas[meta_mensal],0)</f>
        <v>0</v>
      </c>
      <c r="L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" spans="2:15" x14ac:dyDescent="0.3">
      <c r="B4" s="34">
        <v>45293</v>
      </c>
      <c r="C4" s="34" t="str">
        <f>TEXT(Metas_Diarias[[#This Row],[data]],"dddd")</f>
        <v>terça-feira</v>
      </c>
      <c r="D4" s="33">
        <v>1</v>
      </c>
      <c r="E4" s="33">
        <v>1</v>
      </c>
      <c r="F4" s="18"/>
      <c r="G4" s="35">
        <f>WEEKDAY(Metas_Diarias[[#This Row],[data]])</f>
        <v>3</v>
      </c>
      <c r="H4" s="35">
        <f>IF(Metas_Diarias[[#This Row],[dias_da_demana]]=1,"domingo",IF(Metas_Diarias[[#This Row],[dias_da_demana]]=7,0.5,1))</f>
        <v>1</v>
      </c>
      <c r="I4" s="35">
        <f>_xlfn.XLOOKUP(Metas_Diarias[[#This Row],[data]],Feriados[Data],Feriados[Feriado],1)</f>
        <v>1</v>
      </c>
      <c r="J4" s="33" cm="1">
        <f t="array" aca="1" ref="J4" ca="1">SUMPRODUCT(IF((NOT(ISERROR(MATCH(ROW(INDIRECT(DATE(YEAR(B4),MONTH(B4),1)&amp;":"&amp;DATE(YEAR(B4),MONTH(B4)+1,0))),Feriados[Data],0))))=FALSE,
IF(WEEKDAY(ROW(INDIRECT(DATE(YEAR(B4),MONTH(B4),1)&amp;":"&amp;DATE(YEAR(B4),MONTH(B4)+1,0))),2)&lt;=5,1,IF(WEEKDAY(ROW(INDIRECT(DATE(YEAR(B4),MONTH(B4),1)&amp;":"&amp;DATE(YEAR(B4),MONTH(B4)+1,0))),2)=6,0.5,0)),0))</f>
        <v>24</v>
      </c>
      <c r="K4" s="22" cm="1">
        <f t="array" ref="K4">_xlfn.XLOOKUP(1,((Metas_Diarias[[#This Row],[tipo_equipe_id]]=Metas[equipe])*(Metas_Diarias[[#This Row],[data]]&gt;Metas[data_inicio])*(Metas_Diarias[[#This Row],[data]]&lt;Metas[data_fim])),Metas[meta_mensal],0)</f>
        <v>160000</v>
      </c>
      <c r="L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5" spans="2:15" x14ac:dyDescent="0.3">
      <c r="B5" s="34">
        <v>45294</v>
      </c>
      <c r="C5" s="34" t="str">
        <f>TEXT(Metas_Diarias[[#This Row],[data]],"dddd")</f>
        <v>quarta-feira</v>
      </c>
      <c r="D5" s="33">
        <v>1</v>
      </c>
      <c r="E5" s="33">
        <v>1</v>
      </c>
      <c r="F5" s="18"/>
      <c r="G5" s="35">
        <f>WEEKDAY(Metas_Diarias[[#This Row],[data]])</f>
        <v>4</v>
      </c>
      <c r="H5" s="35">
        <f>IF(Metas_Diarias[[#This Row],[dias_da_demana]]=1,"domingo",IF(Metas_Diarias[[#This Row],[dias_da_demana]]=7,0.5,1))</f>
        <v>1</v>
      </c>
      <c r="I5" s="35">
        <f>_xlfn.XLOOKUP(Metas_Diarias[[#This Row],[data]],Feriados[Data],Feriados[Feriado],1)</f>
        <v>1</v>
      </c>
      <c r="J5" s="33" cm="1">
        <f t="array" aca="1" ref="J5" ca="1">SUMPRODUCT(IF((NOT(ISERROR(MATCH(ROW(INDIRECT(DATE(YEAR(B5),MONTH(B5),1)&amp;":"&amp;DATE(YEAR(B5),MONTH(B5)+1,0))),Feriados[Data],0))))=FALSE,
IF(WEEKDAY(ROW(INDIRECT(DATE(YEAR(B5),MONTH(B5),1)&amp;":"&amp;DATE(YEAR(B5),MONTH(B5)+1,0))),2)&lt;=5,1,IF(WEEKDAY(ROW(INDIRECT(DATE(YEAR(B5),MONTH(B5),1)&amp;":"&amp;DATE(YEAR(B5),MONTH(B5)+1,0))),2)=6,0.5,0)),0))</f>
        <v>24</v>
      </c>
      <c r="K5" s="22" cm="1">
        <f t="array" ref="K5">_xlfn.XLOOKUP(1,((Metas_Diarias[[#This Row],[tipo_equipe_id]]=Metas[equipe])*(Metas_Diarias[[#This Row],[data]]&gt;Metas[data_inicio])*(Metas_Diarias[[#This Row],[data]]&lt;Metas[data_fim])),Metas[meta_mensal],0)</f>
        <v>160000</v>
      </c>
      <c r="L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" spans="2:15" x14ac:dyDescent="0.3">
      <c r="B6" s="34">
        <v>45295</v>
      </c>
      <c r="C6" s="34" t="str">
        <f>TEXT(Metas_Diarias[[#This Row],[data]],"dddd")</f>
        <v>quinta-feira</v>
      </c>
      <c r="D6" s="33">
        <v>1</v>
      </c>
      <c r="E6" s="33">
        <v>1</v>
      </c>
      <c r="F6" s="18"/>
      <c r="G6" s="35">
        <f>WEEKDAY(Metas_Diarias[[#This Row],[data]])</f>
        <v>5</v>
      </c>
      <c r="H6" s="35">
        <f>IF(Metas_Diarias[[#This Row],[dias_da_demana]]=1,"domingo",IF(Metas_Diarias[[#This Row],[dias_da_demana]]=7,0.5,1))</f>
        <v>1</v>
      </c>
      <c r="I6" s="35">
        <f>_xlfn.XLOOKUP(Metas_Diarias[[#This Row],[data]],Feriados[Data],Feriados[Feriado],1)</f>
        <v>1</v>
      </c>
      <c r="J6" s="33" cm="1">
        <f t="array" aca="1" ref="J6" ca="1">SUMPRODUCT(IF((NOT(ISERROR(MATCH(ROW(INDIRECT(DATE(YEAR(B6),MONTH(B6),1)&amp;":"&amp;DATE(YEAR(B6),MONTH(B6)+1,0))),Feriados[Data],0))))=FALSE,
IF(WEEKDAY(ROW(INDIRECT(DATE(YEAR(B6),MONTH(B6),1)&amp;":"&amp;DATE(YEAR(B6),MONTH(B6)+1,0))),2)&lt;=5,1,IF(WEEKDAY(ROW(INDIRECT(DATE(YEAR(B6),MONTH(B6),1)&amp;":"&amp;DATE(YEAR(B6),MONTH(B6)+1,0))),2)=6,0.5,0)),0))</f>
        <v>24</v>
      </c>
      <c r="K6" s="22" cm="1">
        <f t="array" ref="K6">_xlfn.XLOOKUP(1,((Metas_Diarias[[#This Row],[tipo_equipe_id]]=Metas[equipe])*(Metas_Diarias[[#This Row],[data]]&gt;Metas[data_inicio])*(Metas_Diarias[[#This Row],[data]]&lt;Metas[data_fim])),Metas[meta_mensal],0)</f>
        <v>160000</v>
      </c>
      <c r="L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" spans="2:15" x14ac:dyDescent="0.3">
      <c r="B7" s="34">
        <v>45296</v>
      </c>
      <c r="C7" s="34" t="str">
        <f>TEXT(Metas_Diarias[[#This Row],[data]],"dddd")</f>
        <v>sexta-feira</v>
      </c>
      <c r="D7" s="33">
        <v>1</v>
      </c>
      <c r="E7" s="33">
        <v>1</v>
      </c>
      <c r="F7" s="18"/>
      <c r="G7" s="35">
        <f>WEEKDAY(Metas_Diarias[[#This Row],[data]])</f>
        <v>6</v>
      </c>
      <c r="H7" s="35">
        <f>IF(Metas_Diarias[[#This Row],[dias_da_demana]]=1,"domingo",IF(Metas_Diarias[[#This Row],[dias_da_demana]]=7,0.5,1))</f>
        <v>1</v>
      </c>
      <c r="I7" s="35">
        <f>_xlfn.XLOOKUP(Metas_Diarias[[#This Row],[data]],Feriados[Data],Feriados[Feriado],1)</f>
        <v>1</v>
      </c>
      <c r="J7" s="33" cm="1">
        <f t="array" aca="1" ref="J7" ca="1">SUMPRODUCT(IF((NOT(ISERROR(MATCH(ROW(INDIRECT(DATE(YEAR(B7),MONTH(B7),1)&amp;":"&amp;DATE(YEAR(B7),MONTH(B7)+1,0))),Feriados[Data],0))))=FALSE,
IF(WEEKDAY(ROW(INDIRECT(DATE(YEAR(B7),MONTH(B7),1)&amp;":"&amp;DATE(YEAR(B7),MONTH(B7)+1,0))),2)&lt;=5,1,IF(WEEKDAY(ROW(INDIRECT(DATE(YEAR(B7),MONTH(B7),1)&amp;":"&amp;DATE(YEAR(B7),MONTH(B7)+1,0))),2)=6,0.5,0)),0))</f>
        <v>24</v>
      </c>
      <c r="K7" s="22" cm="1">
        <f t="array" ref="K7">_xlfn.XLOOKUP(1,((Metas_Diarias[[#This Row],[tipo_equipe_id]]=Metas[equipe])*(Metas_Diarias[[#This Row],[data]]&gt;Metas[data_inicio])*(Metas_Diarias[[#This Row],[data]]&lt;Metas[data_fim])),Metas[meta_mensal],0)</f>
        <v>160000</v>
      </c>
      <c r="L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8" spans="2:15" x14ac:dyDescent="0.3">
      <c r="B8" s="34">
        <v>45297</v>
      </c>
      <c r="C8" s="34" t="str">
        <f>TEXT(Metas_Diarias[[#This Row],[data]],"dddd")</f>
        <v>sábado</v>
      </c>
      <c r="D8" s="33">
        <v>1</v>
      </c>
      <c r="E8" s="33">
        <v>1</v>
      </c>
      <c r="F8" s="18"/>
      <c r="G8" s="35">
        <f>WEEKDAY(Metas_Diarias[[#This Row],[data]])</f>
        <v>7</v>
      </c>
      <c r="H8" s="35">
        <f>IF(Metas_Diarias[[#This Row],[dias_da_demana]]=1,"domingo",IF(Metas_Diarias[[#This Row],[dias_da_demana]]=7,0.5,1))</f>
        <v>0.5</v>
      </c>
      <c r="I8" s="35">
        <f>_xlfn.XLOOKUP(Metas_Diarias[[#This Row],[data]],Feriados[Data],Feriados[Feriado],1)</f>
        <v>1</v>
      </c>
      <c r="J8" s="33" cm="1">
        <f t="array" aca="1" ref="J8" ca="1">SUMPRODUCT(IF((NOT(ISERROR(MATCH(ROW(INDIRECT(DATE(YEAR(B8),MONTH(B8),1)&amp;":"&amp;DATE(YEAR(B8),MONTH(B8)+1,0))),Feriados[Data],0))))=FALSE,
IF(WEEKDAY(ROW(INDIRECT(DATE(YEAR(B8),MONTH(B8),1)&amp;":"&amp;DATE(YEAR(B8),MONTH(B8)+1,0))),2)&lt;=5,1,IF(WEEKDAY(ROW(INDIRECT(DATE(YEAR(B8),MONTH(B8),1)&amp;":"&amp;DATE(YEAR(B8),MONTH(B8)+1,0))),2)=6,0.5,0)),0))</f>
        <v>24</v>
      </c>
      <c r="K8" s="22" cm="1">
        <f t="array" ref="K8">_xlfn.XLOOKUP(1,((Metas_Diarias[[#This Row],[tipo_equipe_id]]=Metas[equipe])*(Metas_Diarias[[#This Row],[data]]&gt;Metas[data_inicio])*(Metas_Diarias[[#This Row],[data]]&lt;Metas[data_fim])),Metas[meta_mensal],0)</f>
        <v>160000</v>
      </c>
      <c r="L8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9" spans="2:15" x14ac:dyDescent="0.3">
      <c r="B9" s="34">
        <v>45298</v>
      </c>
      <c r="C9" s="34" t="str">
        <f>TEXT(Metas_Diarias[[#This Row],[data]],"dddd")</f>
        <v>domingo</v>
      </c>
      <c r="D9" s="33">
        <v>1</v>
      </c>
      <c r="E9" s="33">
        <v>1</v>
      </c>
      <c r="F9" s="18"/>
      <c r="G9" s="35">
        <f>WEEKDAY(Metas_Diarias[[#This Row],[data]])</f>
        <v>1</v>
      </c>
      <c r="H9" s="35" t="str">
        <f>IF(Metas_Diarias[[#This Row],[dias_da_demana]]=1,"domingo",IF(Metas_Diarias[[#This Row],[dias_da_demana]]=7,0.5,1))</f>
        <v>domingo</v>
      </c>
      <c r="I9" s="35">
        <f>_xlfn.XLOOKUP(Metas_Diarias[[#This Row],[data]],Feriados[Data],Feriados[Feriado],1)</f>
        <v>1</v>
      </c>
      <c r="J9" s="33" cm="1">
        <f t="array" aca="1" ref="J9" ca="1">SUMPRODUCT(IF((NOT(ISERROR(MATCH(ROW(INDIRECT(DATE(YEAR(B9),MONTH(B9),1)&amp;":"&amp;DATE(YEAR(B9),MONTH(B9)+1,0))),Feriados[Data],0))))=FALSE,
IF(WEEKDAY(ROW(INDIRECT(DATE(YEAR(B9),MONTH(B9),1)&amp;":"&amp;DATE(YEAR(B9),MONTH(B9)+1,0))),2)&lt;=5,1,IF(WEEKDAY(ROW(INDIRECT(DATE(YEAR(B9),MONTH(B9),1)&amp;":"&amp;DATE(YEAR(B9),MONTH(B9)+1,0))),2)=6,0.5,0)),0))</f>
        <v>24</v>
      </c>
      <c r="K9" s="22" cm="1">
        <f t="array" ref="K9">_xlfn.XLOOKUP(1,((Metas_Diarias[[#This Row],[tipo_equipe_id]]=Metas[equipe])*(Metas_Diarias[[#This Row],[data]]&gt;Metas[data_inicio])*(Metas_Diarias[[#This Row],[data]]&lt;Metas[data_fim])),Metas[meta_mensal],0)</f>
        <v>160000</v>
      </c>
      <c r="L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" spans="2:15" x14ac:dyDescent="0.3">
      <c r="B10" s="34">
        <v>45299</v>
      </c>
      <c r="C10" s="34" t="str">
        <f>TEXT(Metas_Diarias[[#This Row],[data]],"dddd")</f>
        <v>segunda-feira</v>
      </c>
      <c r="D10" s="33">
        <v>1</v>
      </c>
      <c r="E10" s="33">
        <v>1</v>
      </c>
      <c r="F10" s="18"/>
      <c r="G10" s="35">
        <f>WEEKDAY(Metas_Diarias[[#This Row],[data]])</f>
        <v>2</v>
      </c>
      <c r="H10" s="35">
        <f>IF(Metas_Diarias[[#This Row],[dias_da_demana]]=1,"domingo",IF(Metas_Diarias[[#This Row],[dias_da_demana]]=7,0.5,1))</f>
        <v>1</v>
      </c>
      <c r="I10" s="35">
        <f>_xlfn.XLOOKUP(Metas_Diarias[[#This Row],[data]],Feriados[Data],Feriados[Feriado],1)</f>
        <v>1</v>
      </c>
      <c r="J10" s="33" cm="1">
        <f t="array" aca="1" ref="J10" ca="1">SUMPRODUCT(IF((NOT(ISERROR(MATCH(ROW(INDIRECT(DATE(YEAR(B10),MONTH(B10),1)&amp;":"&amp;DATE(YEAR(B10),MONTH(B10)+1,0))),Feriados[Data],0))))=FALSE,
IF(WEEKDAY(ROW(INDIRECT(DATE(YEAR(B10),MONTH(B10),1)&amp;":"&amp;DATE(YEAR(B10),MONTH(B10)+1,0))),2)&lt;=5,1,IF(WEEKDAY(ROW(INDIRECT(DATE(YEAR(B10),MONTH(B10),1)&amp;":"&amp;DATE(YEAR(B10),MONTH(B10)+1,0))),2)=6,0.5,0)),0))</f>
        <v>24</v>
      </c>
      <c r="K10" s="22" cm="1">
        <f t="array" ref="K10">_xlfn.XLOOKUP(1,((Metas_Diarias[[#This Row],[tipo_equipe_id]]=Metas[equipe])*(Metas_Diarias[[#This Row],[data]]&gt;Metas[data_inicio])*(Metas_Diarias[[#This Row],[data]]&lt;Metas[data_fim])),Metas[meta_mensal],0)</f>
        <v>160000</v>
      </c>
      <c r="L1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" spans="2:15" x14ac:dyDescent="0.3">
      <c r="B11" s="34">
        <v>45300</v>
      </c>
      <c r="C11" s="34" t="str">
        <f>TEXT(Metas_Diarias[[#This Row],[data]],"dddd")</f>
        <v>terça-feira</v>
      </c>
      <c r="D11" s="33">
        <v>1</v>
      </c>
      <c r="E11" s="33">
        <v>1</v>
      </c>
      <c r="F11" s="18"/>
      <c r="G11" s="35">
        <f>WEEKDAY(Metas_Diarias[[#This Row],[data]])</f>
        <v>3</v>
      </c>
      <c r="H11" s="35">
        <f>IF(Metas_Diarias[[#This Row],[dias_da_demana]]=1,"domingo",IF(Metas_Diarias[[#This Row],[dias_da_demana]]=7,0.5,1))</f>
        <v>1</v>
      </c>
      <c r="I11" s="35">
        <f>_xlfn.XLOOKUP(Metas_Diarias[[#This Row],[data]],Feriados[Data],Feriados[Feriado],1)</f>
        <v>1</v>
      </c>
      <c r="J11" s="33" cm="1">
        <f t="array" aca="1" ref="J11" ca="1">SUMPRODUCT(IF((NOT(ISERROR(MATCH(ROW(INDIRECT(DATE(YEAR(B11),MONTH(B11),1)&amp;":"&amp;DATE(YEAR(B11),MONTH(B11)+1,0))),Feriados[Data],0))))=FALSE,
IF(WEEKDAY(ROW(INDIRECT(DATE(YEAR(B11),MONTH(B11),1)&amp;":"&amp;DATE(YEAR(B11),MONTH(B11)+1,0))),2)&lt;=5,1,IF(WEEKDAY(ROW(INDIRECT(DATE(YEAR(B11),MONTH(B11),1)&amp;":"&amp;DATE(YEAR(B11),MONTH(B11)+1,0))),2)=6,0.5,0)),0))</f>
        <v>24</v>
      </c>
      <c r="K11" s="22" cm="1">
        <f t="array" ref="K11">_xlfn.XLOOKUP(1,((Metas_Diarias[[#This Row],[tipo_equipe_id]]=Metas[equipe])*(Metas_Diarias[[#This Row],[data]]&gt;Metas[data_inicio])*(Metas_Diarias[[#This Row],[data]]&lt;Metas[data_fim])),Metas[meta_mensal],0)</f>
        <v>160000</v>
      </c>
      <c r="L1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2" spans="2:15" x14ac:dyDescent="0.3">
      <c r="B12" s="34">
        <v>45301</v>
      </c>
      <c r="C12" s="34" t="str">
        <f>TEXT(Metas_Diarias[[#This Row],[data]],"dddd")</f>
        <v>quarta-feira</v>
      </c>
      <c r="D12" s="33">
        <v>1</v>
      </c>
      <c r="E12" s="33">
        <v>1</v>
      </c>
      <c r="F12" s="18"/>
      <c r="G12" s="35">
        <f>WEEKDAY(Metas_Diarias[[#This Row],[data]])</f>
        <v>4</v>
      </c>
      <c r="H12" s="35">
        <f>IF(Metas_Diarias[[#This Row],[dias_da_demana]]=1,"domingo",IF(Metas_Diarias[[#This Row],[dias_da_demana]]=7,0.5,1))</f>
        <v>1</v>
      </c>
      <c r="I12" s="35">
        <f>_xlfn.XLOOKUP(Metas_Diarias[[#This Row],[data]],Feriados[Data],Feriados[Feriado],1)</f>
        <v>1</v>
      </c>
      <c r="J12" s="33" cm="1">
        <f t="array" aca="1" ref="J12" ca="1">SUMPRODUCT(IF((NOT(ISERROR(MATCH(ROW(INDIRECT(DATE(YEAR(B12),MONTH(B12),1)&amp;":"&amp;DATE(YEAR(B12),MONTH(B12)+1,0))),Feriados[Data],0))))=FALSE,
IF(WEEKDAY(ROW(INDIRECT(DATE(YEAR(B12),MONTH(B12),1)&amp;":"&amp;DATE(YEAR(B12),MONTH(B12)+1,0))),2)&lt;=5,1,IF(WEEKDAY(ROW(INDIRECT(DATE(YEAR(B12),MONTH(B12),1)&amp;":"&amp;DATE(YEAR(B12),MONTH(B12)+1,0))),2)=6,0.5,0)),0))</f>
        <v>24</v>
      </c>
      <c r="K12" s="22" cm="1">
        <f t="array" ref="K12">_xlfn.XLOOKUP(1,((Metas_Diarias[[#This Row],[tipo_equipe_id]]=Metas[equipe])*(Metas_Diarias[[#This Row],[data]]&gt;Metas[data_inicio])*(Metas_Diarias[[#This Row],[data]]&lt;Metas[data_fim])),Metas[meta_mensal],0)</f>
        <v>160000</v>
      </c>
      <c r="L1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3" spans="2:15" x14ac:dyDescent="0.3">
      <c r="B13" s="34">
        <v>45302</v>
      </c>
      <c r="C13" s="34" t="str">
        <f>TEXT(Metas_Diarias[[#This Row],[data]],"dddd")</f>
        <v>quinta-feira</v>
      </c>
      <c r="D13" s="33">
        <v>1</v>
      </c>
      <c r="E13" s="33">
        <v>1</v>
      </c>
      <c r="F13" s="18"/>
      <c r="G13" s="35">
        <f>WEEKDAY(Metas_Diarias[[#This Row],[data]])</f>
        <v>5</v>
      </c>
      <c r="H13" s="35">
        <f>IF(Metas_Diarias[[#This Row],[dias_da_demana]]=1,"domingo",IF(Metas_Diarias[[#This Row],[dias_da_demana]]=7,0.5,1))</f>
        <v>1</v>
      </c>
      <c r="I13" s="35">
        <f>_xlfn.XLOOKUP(Metas_Diarias[[#This Row],[data]],Feriados[Data],Feriados[Feriado],1)</f>
        <v>1</v>
      </c>
      <c r="J13" s="33" cm="1">
        <f t="array" aca="1" ref="J13" ca="1">SUMPRODUCT(IF((NOT(ISERROR(MATCH(ROW(INDIRECT(DATE(YEAR(B13),MONTH(B13),1)&amp;":"&amp;DATE(YEAR(B13),MONTH(B13)+1,0))),Feriados[Data],0))))=FALSE,
IF(WEEKDAY(ROW(INDIRECT(DATE(YEAR(B13),MONTH(B13),1)&amp;":"&amp;DATE(YEAR(B13),MONTH(B13)+1,0))),2)&lt;=5,1,IF(WEEKDAY(ROW(INDIRECT(DATE(YEAR(B13),MONTH(B13),1)&amp;":"&amp;DATE(YEAR(B13),MONTH(B13)+1,0))),2)=6,0.5,0)),0))</f>
        <v>24</v>
      </c>
      <c r="K13" s="22" cm="1">
        <f t="array" ref="K13">_xlfn.XLOOKUP(1,((Metas_Diarias[[#This Row],[tipo_equipe_id]]=Metas[equipe])*(Metas_Diarias[[#This Row],[data]]&gt;Metas[data_inicio])*(Metas_Diarias[[#This Row],[data]]&lt;Metas[data_fim])),Metas[meta_mensal],0)</f>
        <v>160000</v>
      </c>
      <c r="L1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4" spans="2:15" x14ac:dyDescent="0.3">
      <c r="B14" s="34">
        <v>45303</v>
      </c>
      <c r="C14" s="34" t="str">
        <f>TEXT(Metas_Diarias[[#This Row],[data]],"dddd")</f>
        <v>sexta-feira</v>
      </c>
      <c r="D14" s="33">
        <v>1</v>
      </c>
      <c r="E14" s="33">
        <v>1</v>
      </c>
      <c r="F14" s="18"/>
      <c r="G14" s="35">
        <f>WEEKDAY(Metas_Diarias[[#This Row],[data]])</f>
        <v>6</v>
      </c>
      <c r="H14" s="35">
        <f>IF(Metas_Diarias[[#This Row],[dias_da_demana]]=1,"domingo",IF(Metas_Diarias[[#This Row],[dias_da_demana]]=7,0.5,1))</f>
        <v>1</v>
      </c>
      <c r="I14" s="35">
        <f>_xlfn.XLOOKUP(Metas_Diarias[[#This Row],[data]],Feriados[Data],Feriados[Feriado],1)</f>
        <v>1</v>
      </c>
      <c r="J14" s="33" cm="1">
        <f t="array" aca="1" ref="J14" ca="1">SUMPRODUCT(IF((NOT(ISERROR(MATCH(ROW(INDIRECT(DATE(YEAR(B14),MONTH(B14),1)&amp;":"&amp;DATE(YEAR(B14),MONTH(B14)+1,0))),Feriados[Data],0))))=FALSE,
IF(WEEKDAY(ROW(INDIRECT(DATE(YEAR(B14),MONTH(B14),1)&amp;":"&amp;DATE(YEAR(B14),MONTH(B14)+1,0))),2)&lt;=5,1,IF(WEEKDAY(ROW(INDIRECT(DATE(YEAR(B14),MONTH(B14),1)&amp;":"&amp;DATE(YEAR(B14),MONTH(B14)+1,0))),2)=6,0.5,0)),0))</f>
        <v>24</v>
      </c>
      <c r="K14" s="22" cm="1">
        <f t="array" ref="K14">_xlfn.XLOOKUP(1,((Metas_Diarias[[#This Row],[tipo_equipe_id]]=Metas[equipe])*(Metas_Diarias[[#This Row],[data]]&gt;Metas[data_inicio])*(Metas_Diarias[[#This Row],[data]]&lt;Metas[data_fim])),Metas[meta_mensal],0)</f>
        <v>160000</v>
      </c>
      <c r="L1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5" spans="2:15" x14ac:dyDescent="0.3">
      <c r="B15" s="34">
        <v>45304</v>
      </c>
      <c r="C15" s="34" t="str">
        <f>TEXT(Metas_Diarias[[#This Row],[data]],"dddd")</f>
        <v>sábado</v>
      </c>
      <c r="D15" s="33">
        <v>1</v>
      </c>
      <c r="E15" s="33">
        <v>1</v>
      </c>
      <c r="F15" s="18"/>
      <c r="G15" s="35">
        <f>WEEKDAY(Metas_Diarias[[#This Row],[data]])</f>
        <v>7</v>
      </c>
      <c r="H15" s="35">
        <f>IF(Metas_Diarias[[#This Row],[dias_da_demana]]=1,"domingo",IF(Metas_Diarias[[#This Row],[dias_da_demana]]=7,0.5,1))</f>
        <v>0.5</v>
      </c>
      <c r="I15" s="35">
        <f>_xlfn.XLOOKUP(Metas_Diarias[[#This Row],[data]],Feriados[Data],Feriados[Feriado],1)</f>
        <v>1</v>
      </c>
      <c r="J15" s="33" cm="1">
        <f t="array" aca="1" ref="J15" ca="1">SUMPRODUCT(IF((NOT(ISERROR(MATCH(ROW(INDIRECT(DATE(YEAR(B15),MONTH(B15),1)&amp;":"&amp;DATE(YEAR(B15),MONTH(B15)+1,0))),Feriados[Data],0))))=FALSE,
IF(WEEKDAY(ROW(INDIRECT(DATE(YEAR(B15),MONTH(B15),1)&amp;":"&amp;DATE(YEAR(B15),MONTH(B15)+1,0))),2)&lt;=5,1,IF(WEEKDAY(ROW(INDIRECT(DATE(YEAR(B15),MONTH(B15),1)&amp;":"&amp;DATE(YEAR(B15),MONTH(B15)+1,0))),2)=6,0.5,0)),0))</f>
        <v>24</v>
      </c>
      <c r="K15" s="22" cm="1">
        <f t="array" ref="K15">_xlfn.XLOOKUP(1,((Metas_Diarias[[#This Row],[tipo_equipe_id]]=Metas[equipe])*(Metas_Diarias[[#This Row],[data]]&gt;Metas[data_inicio])*(Metas_Diarias[[#This Row],[data]]&lt;Metas[data_fim])),Metas[meta_mensal],0)</f>
        <v>160000</v>
      </c>
      <c r="L15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16" spans="2:15" x14ac:dyDescent="0.3">
      <c r="B16" s="34">
        <v>45305</v>
      </c>
      <c r="C16" s="34" t="str">
        <f>TEXT(Metas_Diarias[[#This Row],[data]],"dddd")</f>
        <v>domingo</v>
      </c>
      <c r="D16" s="33">
        <v>1</v>
      </c>
      <c r="E16" s="33">
        <v>1</v>
      </c>
      <c r="F16" s="18"/>
      <c r="G16" s="35">
        <f>WEEKDAY(Metas_Diarias[[#This Row],[data]])</f>
        <v>1</v>
      </c>
      <c r="H16" s="35" t="str">
        <f>IF(Metas_Diarias[[#This Row],[dias_da_demana]]=1,"domingo",IF(Metas_Diarias[[#This Row],[dias_da_demana]]=7,0.5,1))</f>
        <v>domingo</v>
      </c>
      <c r="I16" s="35">
        <f>_xlfn.XLOOKUP(Metas_Diarias[[#This Row],[data]],Feriados[Data],Feriados[Feriado],1)</f>
        <v>1</v>
      </c>
      <c r="J16" s="33" cm="1">
        <f t="array" aca="1" ref="J16" ca="1">SUMPRODUCT(IF((NOT(ISERROR(MATCH(ROW(INDIRECT(DATE(YEAR(B16),MONTH(B16),1)&amp;":"&amp;DATE(YEAR(B16),MONTH(B16)+1,0))),Feriados[Data],0))))=FALSE,
IF(WEEKDAY(ROW(INDIRECT(DATE(YEAR(B16),MONTH(B16),1)&amp;":"&amp;DATE(YEAR(B16),MONTH(B16)+1,0))),2)&lt;=5,1,IF(WEEKDAY(ROW(INDIRECT(DATE(YEAR(B16),MONTH(B16),1)&amp;":"&amp;DATE(YEAR(B16),MONTH(B16)+1,0))),2)=6,0.5,0)),0))</f>
        <v>24</v>
      </c>
      <c r="K16" s="22" cm="1">
        <f t="array" ref="K16">_xlfn.XLOOKUP(1,((Metas_Diarias[[#This Row],[tipo_equipe_id]]=Metas[equipe])*(Metas_Diarias[[#This Row],[data]]&gt;Metas[data_inicio])*(Metas_Diarias[[#This Row],[data]]&lt;Metas[data_fim])),Metas[meta_mensal],0)</f>
        <v>160000</v>
      </c>
      <c r="L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" spans="2:12" x14ac:dyDescent="0.3">
      <c r="B17" s="34">
        <v>45306</v>
      </c>
      <c r="C17" s="34" t="str">
        <f>TEXT(Metas_Diarias[[#This Row],[data]],"dddd")</f>
        <v>segunda-feira</v>
      </c>
      <c r="D17" s="33">
        <v>1</v>
      </c>
      <c r="E17" s="33">
        <v>1</v>
      </c>
      <c r="F17" s="18"/>
      <c r="G17" s="35">
        <f>WEEKDAY(Metas_Diarias[[#This Row],[data]])</f>
        <v>2</v>
      </c>
      <c r="H17" s="35">
        <f>IF(Metas_Diarias[[#This Row],[dias_da_demana]]=1,"domingo",IF(Metas_Diarias[[#This Row],[dias_da_demana]]=7,0.5,1))</f>
        <v>1</v>
      </c>
      <c r="I17" s="35">
        <f>_xlfn.XLOOKUP(Metas_Diarias[[#This Row],[data]],Feriados[Data],Feriados[Feriado],1)</f>
        <v>1</v>
      </c>
      <c r="J17" s="33" cm="1">
        <f t="array" aca="1" ref="J17" ca="1">SUMPRODUCT(IF((NOT(ISERROR(MATCH(ROW(INDIRECT(DATE(YEAR(B17),MONTH(B17),1)&amp;":"&amp;DATE(YEAR(B17),MONTH(B17)+1,0))),Feriados[Data],0))))=FALSE,
IF(WEEKDAY(ROW(INDIRECT(DATE(YEAR(B17),MONTH(B17),1)&amp;":"&amp;DATE(YEAR(B17),MONTH(B17)+1,0))),2)&lt;=5,1,IF(WEEKDAY(ROW(INDIRECT(DATE(YEAR(B17),MONTH(B17),1)&amp;":"&amp;DATE(YEAR(B17),MONTH(B17)+1,0))),2)=6,0.5,0)),0))</f>
        <v>24</v>
      </c>
      <c r="K17" s="22" cm="1">
        <f t="array" ref="K17">_xlfn.XLOOKUP(1,((Metas_Diarias[[#This Row],[tipo_equipe_id]]=Metas[equipe])*(Metas_Diarias[[#This Row],[data]]&gt;Metas[data_inicio])*(Metas_Diarias[[#This Row],[data]]&lt;Metas[data_fim])),Metas[meta_mensal],0)</f>
        <v>160000</v>
      </c>
      <c r="L1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8" spans="2:12" x14ac:dyDescent="0.3">
      <c r="B18" s="34">
        <v>45307</v>
      </c>
      <c r="C18" s="34" t="str">
        <f>TEXT(Metas_Diarias[[#This Row],[data]],"dddd")</f>
        <v>terça-feira</v>
      </c>
      <c r="D18" s="33">
        <v>1</v>
      </c>
      <c r="E18" s="33">
        <v>1</v>
      </c>
      <c r="F18" s="18"/>
      <c r="G18" s="35">
        <f>WEEKDAY(Metas_Diarias[[#This Row],[data]])</f>
        <v>3</v>
      </c>
      <c r="H18" s="35">
        <f>IF(Metas_Diarias[[#This Row],[dias_da_demana]]=1,"domingo",IF(Metas_Diarias[[#This Row],[dias_da_demana]]=7,0.5,1))</f>
        <v>1</v>
      </c>
      <c r="I18" s="35">
        <f>_xlfn.XLOOKUP(Metas_Diarias[[#This Row],[data]],Feriados[Data],Feriados[Feriado],1)</f>
        <v>1</v>
      </c>
      <c r="J18" s="33" cm="1">
        <f t="array" aca="1" ref="J18" ca="1">SUMPRODUCT(IF((NOT(ISERROR(MATCH(ROW(INDIRECT(DATE(YEAR(B18),MONTH(B18),1)&amp;":"&amp;DATE(YEAR(B18),MONTH(B18)+1,0))),Feriados[Data],0))))=FALSE,
IF(WEEKDAY(ROW(INDIRECT(DATE(YEAR(B18),MONTH(B18),1)&amp;":"&amp;DATE(YEAR(B18),MONTH(B18)+1,0))),2)&lt;=5,1,IF(WEEKDAY(ROW(INDIRECT(DATE(YEAR(B18),MONTH(B18),1)&amp;":"&amp;DATE(YEAR(B18),MONTH(B18)+1,0))),2)=6,0.5,0)),0))</f>
        <v>24</v>
      </c>
      <c r="K18" s="22" cm="1">
        <f t="array" ref="K18">_xlfn.XLOOKUP(1,((Metas_Diarias[[#This Row],[tipo_equipe_id]]=Metas[equipe])*(Metas_Diarias[[#This Row],[data]]&gt;Metas[data_inicio])*(Metas_Diarias[[#This Row],[data]]&lt;Metas[data_fim])),Metas[meta_mensal],0)</f>
        <v>160000</v>
      </c>
      <c r="L1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9" spans="2:12" x14ac:dyDescent="0.3">
      <c r="B19" s="34">
        <v>45308</v>
      </c>
      <c r="C19" s="34" t="str">
        <f>TEXT(Metas_Diarias[[#This Row],[data]],"dddd")</f>
        <v>quarta-feira</v>
      </c>
      <c r="D19" s="33">
        <v>1</v>
      </c>
      <c r="E19" s="33">
        <v>1</v>
      </c>
      <c r="F19" s="18"/>
      <c r="G19" s="35">
        <f>WEEKDAY(Metas_Diarias[[#This Row],[data]])</f>
        <v>4</v>
      </c>
      <c r="H19" s="35">
        <f>IF(Metas_Diarias[[#This Row],[dias_da_demana]]=1,"domingo",IF(Metas_Diarias[[#This Row],[dias_da_demana]]=7,0.5,1))</f>
        <v>1</v>
      </c>
      <c r="I19" s="35">
        <f>_xlfn.XLOOKUP(Metas_Diarias[[#This Row],[data]],Feriados[Data],Feriados[Feriado],1)</f>
        <v>1</v>
      </c>
      <c r="J19" s="33" cm="1">
        <f t="array" aca="1" ref="J19" ca="1">SUMPRODUCT(IF((NOT(ISERROR(MATCH(ROW(INDIRECT(DATE(YEAR(B19),MONTH(B19),1)&amp;":"&amp;DATE(YEAR(B19),MONTH(B19)+1,0))),Feriados[Data],0))))=FALSE,
IF(WEEKDAY(ROW(INDIRECT(DATE(YEAR(B19),MONTH(B19),1)&amp;":"&amp;DATE(YEAR(B19),MONTH(B19)+1,0))),2)&lt;=5,1,IF(WEEKDAY(ROW(INDIRECT(DATE(YEAR(B19),MONTH(B19),1)&amp;":"&amp;DATE(YEAR(B19),MONTH(B19)+1,0))),2)=6,0.5,0)),0))</f>
        <v>24</v>
      </c>
      <c r="K19" s="22" cm="1">
        <f t="array" ref="K19">_xlfn.XLOOKUP(1,((Metas_Diarias[[#This Row],[tipo_equipe_id]]=Metas[equipe])*(Metas_Diarias[[#This Row],[data]]&gt;Metas[data_inicio])*(Metas_Diarias[[#This Row],[data]]&lt;Metas[data_fim])),Metas[meta_mensal],0)</f>
        <v>160000</v>
      </c>
      <c r="L19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20" spans="2:12" x14ac:dyDescent="0.3">
      <c r="B20" s="34">
        <v>45309</v>
      </c>
      <c r="C20" s="34" t="str">
        <f>TEXT(Metas_Diarias[[#This Row],[data]],"dddd")</f>
        <v>quinta-feira</v>
      </c>
      <c r="D20" s="33">
        <v>1</v>
      </c>
      <c r="E20" s="33">
        <v>1</v>
      </c>
      <c r="F20" s="18"/>
      <c r="G20" s="35">
        <f>WEEKDAY(Metas_Diarias[[#This Row],[data]])</f>
        <v>5</v>
      </c>
      <c r="H20" s="35">
        <f>IF(Metas_Diarias[[#This Row],[dias_da_demana]]=1,"domingo",IF(Metas_Diarias[[#This Row],[dias_da_demana]]=7,0.5,1))</f>
        <v>1</v>
      </c>
      <c r="I20" s="35">
        <f>_xlfn.XLOOKUP(Metas_Diarias[[#This Row],[data]],Feriados[Data],Feriados[Feriado],1)</f>
        <v>1</v>
      </c>
      <c r="J20" s="33" cm="1">
        <f t="array" aca="1" ref="J20" ca="1">SUMPRODUCT(IF((NOT(ISERROR(MATCH(ROW(INDIRECT(DATE(YEAR(B20),MONTH(B20),1)&amp;":"&amp;DATE(YEAR(B20),MONTH(B20)+1,0))),Feriados[Data],0))))=FALSE,
IF(WEEKDAY(ROW(INDIRECT(DATE(YEAR(B20),MONTH(B20),1)&amp;":"&amp;DATE(YEAR(B20),MONTH(B20)+1,0))),2)&lt;=5,1,IF(WEEKDAY(ROW(INDIRECT(DATE(YEAR(B20),MONTH(B20),1)&amp;":"&amp;DATE(YEAR(B20),MONTH(B20)+1,0))),2)=6,0.5,0)),0))</f>
        <v>24</v>
      </c>
      <c r="K20" s="22" cm="1">
        <f t="array" ref="K20">_xlfn.XLOOKUP(1,((Metas_Diarias[[#This Row],[tipo_equipe_id]]=Metas[equipe])*(Metas_Diarias[[#This Row],[data]]&gt;Metas[data_inicio])*(Metas_Diarias[[#This Row],[data]]&lt;Metas[data_fim])),Metas[meta_mensal],0)</f>
        <v>160000</v>
      </c>
      <c r="L2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21" spans="2:12" x14ac:dyDescent="0.3">
      <c r="B21" s="34">
        <v>45310</v>
      </c>
      <c r="C21" s="34" t="str">
        <f>TEXT(Metas_Diarias[[#This Row],[data]],"dddd")</f>
        <v>sexta-feira</v>
      </c>
      <c r="D21" s="33">
        <v>1</v>
      </c>
      <c r="E21" s="33">
        <v>1</v>
      </c>
      <c r="F21" s="18"/>
      <c r="G21" s="35">
        <f>WEEKDAY(Metas_Diarias[[#This Row],[data]])</f>
        <v>6</v>
      </c>
      <c r="H21" s="35">
        <f>IF(Metas_Diarias[[#This Row],[dias_da_demana]]=1,"domingo",IF(Metas_Diarias[[#This Row],[dias_da_demana]]=7,0.5,1))</f>
        <v>1</v>
      </c>
      <c r="I21" s="35">
        <f>_xlfn.XLOOKUP(Metas_Diarias[[#This Row],[data]],Feriados[Data],Feriados[Feriado],1)</f>
        <v>1</v>
      </c>
      <c r="J21" s="33" cm="1">
        <f t="array" aca="1" ref="J21" ca="1">SUMPRODUCT(IF((NOT(ISERROR(MATCH(ROW(INDIRECT(DATE(YEAR(B21),MONTH(B21),1)&amp;":"&amp;DATE(YEAR(B21),MONTH(B21)+1,0))),Feriados[Data],0))))=FALSE,
IF(WEEKDAY(ROW(INDIRECT(DATE(YEAR(B21),MONTH(B21),1)&amp;":"&amp;DATE(YEAR(B21),MONTH(B21)+1,0))),2)&lt;=5,1,IF(WEEKDAY(ROW(INDIRECT(DATE(YEAR(B21),MONTH(B21),1)&amp;":"&amp;DATE(YEAR(B21),MONTH(B21)+1,0))),2)=6,0.5,0)),0))</f>
        <v>24</v>
      </c>
      <c r="K21" s="22" cm="1">
        <f t="array" ref="K21">_xlfn.XLOOKUP(1,((Metas_Diarias[[#This Row],[tipo_equipe_id]]=Metas[equipe])*(Metas_Diarias[[#This Row],[data]]&gt;Metas[data_inicio])*(Metas_Diarias[[#This Row],[data]]&lt;Metas[data_fim])),Metas[meta_mensal],0)</f>
        <v>160000</v>
      </c>
      <c r="L2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22" spans="2:12" x14ac:dyDescent="0.3">
      <c r="B22" s="34">
        <v>45311</v>
      </c>
      <c r="C22" s="34" t="str">
        <f>TEXT(Metas_Diarias[[#This Row],[data]],"dddd")</f>
        <v>sábado</v>
      </c>
      <c r="D22" s="33">
        <v>1</v>
      </c>
      <c r="E22" s="33">
        <v>1</v>
      </c>
      <c r="F22" s="18"/>
      <c r="G22" s="35">
        <f>WEEKDAY(Metas_Diarias[[#This Row],[data]])</f>
        <v>7</v>
      </c>
      <c r="H22" s="35">
        <f>IF(Metas_Diarias[[#This Row],[dias_da_demana]]=1,"domingo",IF(Metas_Diarias[[#This Row],[dias_da_demana]]=7,0.5,1))</f>
        <v>0.5</v>
      </c>
      <c r="I22" s="35">
        <f>_xlfn.XLOOKUP(Metas_Diarias[[#This Row],[data]],Feriados[Data],Feriados[Feriado],1)</f>
        <v>1</v>
      </c>
      <c r="J22" s="33" cm="1">
        <f t="array" aca="1" ref="J22" ca="1">SUMPRODUCT(IF((NOT(ISERROR(MATCH(ROW(INDIRECT(DATE(YEAR(B22),MONTH(B22),1)&amp;":"&amp;DATE(YEAR(B22),MONTH(B22)+1,0))),Feriados[Data],0))))=FALSE,
IF(WEEKDAY(ROW(INDIRECT(DATE(YEAR(B22),MONTH(B22),1)&amp;":"&amp;DATE(YEAR(B22),MONTH(B22)+1,0))),2)&lt;=5,1,IF(WEEKDAY(ROW(INDIRECT(DATE(YEAR(B22),MONTH(B22),1)&amp;":"&amp;DATE(YEAR(B22),MONTH(B22)+1,0))),2)=6,0.5,0)),0))</f>
        <v>24</v>
      </c>
      <c r="K22" s="22" cm="1">
        <f t="array" ref="K22">_xlfn.XLOOKUP(1,((Metas_Diarias[[#This Row],[tipo_equipe_id]]=Metas[equipe])*(Metas_Diarias[[#This Row],[data]]&gt;Metas[data_inicio])*(Metas_Diarias[[#This Row],[data]]&lt;Metas[data_fim])),Metas[meta_mensal],0)</f>
        <v>160000</v>
      </c>
      <c r="L22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23" spans="2:12" x14ac:dyDescent="0.3">
      <c r="B23" s="34">
        <v>45312</v>
      </c>
      <c r="C23" s="34" t="str">
        <f>TEXT(Metas_Diarias[[#This Row],[data]],"dddd")</f>
        <v>domingo</v>
      </c>
      <c r="D23" s="33">
        <v>1</v>
      </c>
      <c r="E23" s="33">
        <v>1</v>
      </c>
      <c r="F23" s="18"/>
      <c r="G23" s="35">
        <f>WEEKDAY(Metas_Diarias[[#This Row],[data]])</f>
        <v>1</v>
      </c>
      <c r="H23" s="35" t="str">
        <f>IF(Metas_Diarias[[#This Row],[dias_da_demana]]=1,"domingo",IF(Metas_Diarias[[#This Row],[dias_da_demana]]=7,0.5,1))</f>
        <v>domingo</v>
      </c>
      <c r="I23" s="35">
        <f>_xlfn.XLOOKUP(Metas_Diarias[[#This Row],[data]],Feriados[Data],Feriados[Feriado],1)</f>
        <v>1</v>
      </c>
      <c r="J23" s="33" cm="1">
        <f t="array" aca="1" ref="J23" ca="1">SUMPRODUCT(IF((NOT(ISERROR(MATCH(ROW(INDIRECT(DATE(YEAR(B23),MONTH(B23),1)&amp;":"&amp;DATE(YEAR(B23),MONTH(B23)+1,0))),Feriados[Data],0))))=FALSE,
IF(WEEKDAY(ROW(INDIRECT(DATE(YEAR(B23),MONTH(B23),1)&amp;":"&amp;DATE(YEAR(B23),MONTH(B23)+1,0))),2)&lt;=5,1,IF(WEEKDAY(ROW(INDIRECT(DATE(YEAR(B23),MONTH(B23),1)&amp;":"&amp;DATE(YEAR(B23),MONTH(B23)+1,0))),2)=6,0.5,0)),0))</f>
        <v>24</v>
      </c>
      <c r="K23" s="22" cm="1">
        <f t="array" ref="K23">_xlfn.XLOOKUP(1,((Metas_Diarias[[#This Row],[tipo_equipe_id]]=Metas[equipe])*(Metas_Diarias[[#This Row],[data]]&gt;Metas[data_inicio])*(Metas_Diarias[[#This Row],[data]]&lt;Metas[data_fim])),Metas[meta_mensal],0)</f>
        <v>160000</v>
      </c>
      <c r="L2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" spans="2:12" x14ac:dyDescent="0.3">
      <c r="B24" s="34">
        <v>45313</v>
      </c>
      <c r="C24" s="34" t="str">
        <f>TEXT(Metas_Diarias[[#This Row],[data]],"dddd")</f>
        <v>segunda-feira</v>
      </c>
      <c r="D24" s="33">
        <v>1</v>
      </c>
      <c r="E24" s="33">
        <v>1</v>
      </c>
      <c r="F24" s="18"/>
      <c r="G24" s="35">
        <f>WEEKDAY(Metas_Diarias[[#This Row],[data]])</f>
        <v>2</v>
      </c>
      <c r="H24" s="35">
        <f>IF(Metas_Diarias[[#This Row],[dias_da_demana]]=1,"domingo",IF(Metas_Diarias[[#This Row],[dias_da_demana]]=7,0.5,1))</f>
        <v>1</v>
      </c>
      <c r="I24" s="35">
        <f>_xlfn.XLOOKUP(Metas_Diarias[[#This Row],[data]],Feriados[Data],Feriados[Feriado],1)</f>
        <v>1</v>
      </c>
      <c r="J24" s="33" cm="1">
        <f t="array" aca="1" ref="J24" ca="1">SUMPRODUCT(IF((NOT(ISERROR(MATCH(ROW(INDIRECT(DATE(YEAR(B24),MONTH(B24),1)&amp;":"&amp;DATE(YEAR(B24),MONTH(B24)+1,0))),Feriados[Data],0))))=FALSE,
IF(WEEKDAY(ROW(INDIRECT(DATE(YEAR(B24),MONTH(B24),1)&amp;":"&amp;DATE(YEAR(B24),MONTH(B24)+1,0))),2)&lt;=5,1,IF(WEEKDAY(ROW(INDIRECT(DATE(YEAR(B24),MONTH(B24),1)&amp;":"&amp;DATE(YEAR(B24),MONTH(B24)+1,0))),2)=6,0.5,0)),0))</f>
        <v>24</v>
      </c>
      <c r="K24" s="22" cm="1">
        <f t="array" ref="K24">_xlfn.XLOOKUP(1,((Metas_Diarias[[#This Row],[tipo_equipe_id]]=Metas[equipe])*(Metas_Diarias[[#This Row],[data]]&gt;Metas[data_inicio])*(Metas_Diarias[[#This Row],[data]]&lt;Metas[data_fim])),Metas[meta_mensal],0)</f>
        <v>160000</v>
      </c>
      <c r="L2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25" spans="2:12" x14ac:dyDescent="0.3">
      <c r="B25" s="34">
        <v>45314</v>
      </c>
      <c r="C25" s="34" t="str">
        <f>TEXT(Metas_Diarias[[#This Row],[data]],"dddd")</f>
        <v>terça-feira</v>
      </c>
      <c r="D25" s="33">
        <v>1</v>
      </c>
      <c r="E25" s="33">
        <v>1</v>
      </c>
      <c r="F25" s="18"/>
      <c r="G25" s="35">
        <f>WEEKDAY(Metas_Diarias[[#This Row],[data]])</f>
        <v>3</v>
      </c>
      <c r="H25" s="35">
        <f>IF(Metas_Diarias[[#This Row],[dias_da_demana]]=1,"domingo",IF(Metas_Diarias[[#This Row],[dias_da_demana]]=7,0.5,1))</f>
        <v>1</v>
      </c>
      <c r="I25" s="35">
        <f>_xlfn.XLOOKUP(Metas_Diarias[[#This Row],[data]],Feriados[Data],Feriados[Feriado],1)</f>
        <v>1</v>
      </c>
      <c r="J25" s="33" cm="1">
        <f t="array" aca="1" ref="J25" ca="1">SUMPRODUCT(IF((NOT(ISERROR(MATCH(ROW(INDIRECT(DATE(YEAR(B25),MONTH(B25),1)&amp;":"&amp;DATE(YEAR(B25),MONTH(B25)+1,0))),Feriados[Data],0))))=FALSE,
IF(WEEKDAY(ROW(INDIRECT(DATE(YEAR(B25),MONTH(B25),1)&amp;":"&amp;DATE(YEAR(B25),MONTH(B25)+1,0))),2)&lt;=5,1,IF(WEEKDAY(ROW(INDIRECT(DATE(YEAR(B25),MONTH(B25),1)&amp;":"&amp;DATE(YEAR(B25),MONTH(B25)+1,0))),2)=6,0.5,0)),0))</f>
        <v>24</v>
      </c>
      <c r="K25" s="22" cm="1">
        <f t="array" ref="K25">_xlfn.XLOOKUP(1,((Metas_Diarias[[#This Row],[tipo_equipe_id]]=Metas[equipe])*(Metas_Diarias[[#This Row],[data]]&gt;Metas[data_inicio])*(Metas_Diarias[[#This Row],[data]]&lt;Metas[data_fim])),Metas[meta_mensal],0)</f>
        <v>160000</v>
      </c>
      <c r="L2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26" spans="2:12" x14ac:dyDescent="0.3">
      <c r="B26" s="34">
        <v>45315</v>
      </c>
      <c r="C26" s="34" t="str">
        <f>TEXT(Metas_Diarias[[#This Row],[data]],"dddd")</f>
        <v>quarta-feira</v>
      </c>
      <c r="D26" s="33">
        <v>1</v>
      </c>
      <c r="E26" s="33">
        <v>1</v>
      </c>
      <c r="F26" s="18"/>
      <c r="G26" s="35">
        <f>WEEKDAY(Metas_Diarias[[#This Row],[data]])</f>
        <v>4</v>
      </c>
      <c r="H26" s="35">
        <f>IF(Metas_Diarias[[#This Row],[dias_da_demana]]=1,"domingo",IF(Metas_Diarias[[#This Row],[dias_da_demana]]=7,0.5,1))</f>
        <v>1</v>
      </c>
      <c r="I26" s="35">
        <f>_xlfn.XLOOKUP(Metas_Diarias[[#This Row],[data]],Feriados[Data],Feriados[Feriado],1)</f>
        <v>1</v>
      </c>
      <c r="J26" s="33" cm="1">
        <f t="array" aca="1" ref="J26" ca="1">SUMPRODUCT(IF((NOT(ISERROR(MATCH(ROW(INDIRECT(DATE(YEAR(B26),MONTH(B26),1)&amp;":"&amp;DATE(YEAR(B26),MONTH(B26)+1,0))),Feriados[Data],0))))=FALSE,
IF(WEEKDAY(ROW(INDIRECT(DATE(YEAR(B26),MONTH(B26),1)&amp;":"&amp;DATE(YEAR(B26),MONTH(B26)+1,0))),2)&lt;=5,1,IF(WEEKDAY(ROW(INDIRECT(DATE(YEAR(B26),MONTH(B26),1)&amp;":"&amp;DATE(YEAR(B26),MONTH(B26)+1,0))),2)=6,0.5,0)),0))</f>
        <v>24</v>
      </c>
      <c r="K26" s="22" cm="1">
        <f t="array" ref="K26">_xlfn.XLOOKUP(1,((Metas_Diarias[[#This Row],[tipo_equipe_id]]=Metas[equipe])*(Metas_Diarias[[#This Row],[data]]&gt;Metas[data_inicio])*(Metas_Diarias[[#This Row],[data]]&lt;Metas[data_fim])),Metas[meta_mensal],0)</f>
        <v>160000</v>
      </c>
      <c r="L2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27" spans="2:12" x14ac:dyDescent="0.3">
      <c r="B27" s="34">
        <v>45316</v>
      </c>
      <c r="C27" s="34" t="str">
        <f>TEXT(Metas_Diarias[[#This Row],[data]],"dddd")</f>
        <v>quinta-feira</v>
      </c>
      <c r="D27" s="33">
        <v>1</v>
      </c>
      <c r="E27" s="33">
        <v>1</v>
      </c>
      <c r="F27" s="18"/>
      <c r="G27" s="35">
        <f>WEEKDAY(Metas_Diarias[[#This Row],[data]])</f>
        <v>5</v>
      </c>
      <c r="H27" s="35">
        <f>IF(Metas_Diarias[[#This Row],[dias_da_demana]]=1,"domingo",IF(Metas_Diarias[[#This Row],[dias_da_demana]]=7,0.5,1))</f>
        <v>1</v>
      </c>
      <c r="I27" s="35">
        <f>_xlfn.XLOOKUP(Metas_Diarias[[#This Row],[data]],Feriados[Data],Feriados[Feriado],1)</f>
        <v>1</v>
      </c>
      <c r="J27" s="33" cm="1">
        <f t="array" aca="1" ref="J27" ca="1">SUMPRODUCT(IF((NOT(ISERROR(MATCH(ROW(INDIRECT(DATE(YEAR(B27),MONTH(B27),1)&amp;":"&amp;DATE(YEAR(B27),MONTH(B27)+1,0))),Feriados[Data],0))))=FALSE,
IF(WEEKDAY(ROW(INDIRECT(DATE(YEAR(B27),MONTH(B27),1)&amp;":"&amp;DATE(YEAR(B27),MONTH(B27)+1,0))),2)&lt;=5,1,IF(WEEKDAY(ROW(INDIRECT(DATE(YEAR(B27),MONTH(B27),1)&amp;":"&amp;DATE(YEAR(B27),MONTH(B27)+1,0))),2)=6,0.5,0)),0))</f>
        <v>24</v>
      </c>
      <c r="K27" s="22" cm="1">
        <f t="array" ref="K27">_xlfn.XLOOKUP(1,((Metas_Diarias[[#This Row],[tipo_equipe_id]]=Metas[equipe])*(Metas_Diarias[[#This Row],[data]]&gt;Metas[data_inicio])*(Metas_Diarias[[#This Row],[data]]&lt;Metas[data_fim])),Metas[meta_mensal],0)</f>
        <v>160000</v>
      </c>
      <c r="L2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28" spans="2:12" x14ac:dyDescent="0.3">
      <c r="B28" s="34">
        <v>45317</v>
      </c>
      <c r="C28" s="34" t="str">
        <f>TEXT(Metas_Diarias[[#This Row],[data]],"dddd")</f>
        <v>sexta-feira</v>
      </c>
      <c r="D28" s="33">
        <v>1</v>
      </c>
      <c r="E28" s="33">
        <v>1</v>
      </c>
      <c r="F28" s="18"/>
      <c r="G28" s="35">
        <f>WEEKDAY(Metas_Diarias[[#This Row],[data]])</f>
        <v>6</v>
      </c>
      <c r="H28" s="35">
        <f>IF(Metas_Diarias[[#This Row],[dias_da_demana]]=1,"domingo",IF(Metas_Diarias[[#This Row],[dias_da_demana]]=7,0.5,1))</f>
        <v>1</v>
      </c>
      <c r="I28" s="35">
        <f>_xlfn.XLOOKUP(Metas_Diarias[[#This Row],[data]],Feriados[Data],Feriados[Feriado],1)</f>
        <v>1</v>
      </c>
      <c r="J28" s="33" cm="1">
        <f t="array" aca="1" ref="J28" ca="1">SUMPRODUCT(IF((NOT(ISERROR(MATCH(ROW(INDIRECT(DATE(YEAR(B28),MONTH(B28),1)&amp;":"&amp;DATE(YEAR(B28),MONTH(B28)+1,0))),Feriados[Data],0))))=FALSE,
IF(WEEKDAY(ROW(INDIRECT(DATE(YEAR(B28),MONTH(B28),1)&amp;":"&amp;DATE(YEAR(B28),MONTH(B28)+1,0))),2)&lt;=5,1,IF(WEEKDAY(ROW(INDIRECT(DATE(YEAR(B28),MONTH(B28),1)&amp;":"&amp;DATE(YEAR(B28),MONTH(B28)+1,0))),2)=6,0.5,0)),0))</f>
        <v>24</v>
      </c>
      <c r="K28" s="22" cm="1">
        <f t="array" ref="K28">_xlfn.XLOOKUP(1,((Metas_Diarias[[#This Row],[tipo_equipe_id]]=Metas[equipe])*(Metas_Diarias[[#This Row],[data]]&gt;Metas[data_inicio])*(Metas_Diarias[[#This Row],[data]]&lt;Metas[data_fim])),Metas[meta_mensal],0)</f>
        <v>160000</v>
      </c>
      <c r="L2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29" spans="2:12" x14ac:dyDescent="0.3">
      <c r="B29" s="34">
        <v>45318</v>
      </c>
      <c r="C29" s="34" t="str">
        <f>TEXT(Metas_Diarias[[#This Row],[data]],"dddd")</f>
        <v>sábado</v>
      </c>
      <c r="D29" s="33">
        <v>1</v>
      </c>
      <c r="E29" s="33">
        <v>1</v>
      </c>
      <c r="F29" s="18"/>
      <c r="G29" s="35">
        <f>WEEKDAY(Metas_Diarias[[#This Row],[data]])</f>
        <v>7</v>
      </c>
      <c r="H29" s="35">
        <f>IF(Metas_Diarias[[#This Row],[dias_da_demana]]=1,"domingo",IF(Metas_Diarias[[#This Row],[dias_da_demana]]=7,0.5,1))</f>
        <v>0.5</v>
      </c>
      <c r="I29" s="35">
        <f>_xlfn.XLOOKUP(Metas_Diarias[[#This Row],[data]],Feriados[Data],Feriados[Feriado],1)</f>
        <v>1</v>
      </c>
      <c r="J29" s="33" cm="1">
        <f t="array" aca="1" ref="J29" ca="1">SUMPRODUCT(IF((NOT(ISERROR(MATCH(ROW(INDIRECT(DATE(YEAR(B29),MONTH(B29),1)&amp;":"&amp;DATE(YEAR(B29),MONTH(B29)+1,0))),Feriados[Data],0))))=FALSE,
IF(WEEKDAY(ROW(INDIRECT(DATE(YEAR(B29),MONTH(B29),1)&amp;":"&amp;DATE(YEAR(B29),MONTH(B29)+1,0))),2)&lt;=5,1,IF(WEEKDAY(ROW(INDIRECT(DATE(YEAR(B29),MONTH(B29),1)&amp;":"&amp;DATE(YEAR(B29),MONTH(B29)+1,0))),2)=6,0.5,0)),0))</f>
        <v>24</v>
      </c>
      <c r="K29" s="22" cm="1">
        <f t="array" ref="K29">_xlfn.XLOOKUP(1,((Metas_Diarias[[#This Row],[tipo_equipe_id]]=Metas[equipe])*(Metas_Diarias[[#This Row],[data]]&gt;Metas[data_inicio])*(Metas_Diarias[[#This Row],[data]]&lt;Metas[data_fim])),Metas[meta_mensal],0)</f>
        <v>160000</v>
      </c>
      <c r="L29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30" spans="2:12" x14ac:dyDescent="0.3">
      <c r="B30" s="34">
        <v>45319</v>
      </c>
      <c r="C30" s="34" t="str">
        <f>TEXT(Metas_Diarias[[#This Row],[data]],"dddd")</f>
        <v>domingo</v>
      </c>
      <c r="D30" s="33">
        <v>1</v>
      </c>
      <c r="E30" s="33">
        <v>1</v>
      </c>
      <c r="F30" s="18"/>
      <c r="G30" s="35">
        <f>WEEKDAY(Metas_Diarias[[#This Row],[data]])</f>
        <v>1</v>
      </c>
      <c r="H30" s="35" t="str">
        <f>IF(Metas_Diarias[[#This Row],[dias_da_demana]]=1,"domingo",IF(Metas_Diarias[[#This Row],[dias_da_demana]]=7,0.5,1))</f>
        <v>domingo</v>
      </c>
      <c r="I30" s="35">
        <f>_xlfn.XLOOKUP(Metas_Diarias[[#This Row],[data]],Feriados[Data],Feriados[Feriado],1)</f>
        <v>1</v>
      </c>
      <c r="J30" s="33" cm="1">
        <f t="array" aca="1" ref="J30" ca="1">SUMPRODUCT(IF((NOT(ISERROR(MATCH(ROW(INDIRECT(DATE(YEAR(B30),MONTH(B30),1)&amp;":"&amp;DATE(YEAR(B30),MONTH(B30)+1,0))),Feriados[Data],0))))=FALSE,
IF(WEEKDAY(ROW(INDIRECT(DATE(YEAR(B30),MONTH(B30),1)&amp;":"&amp;DATE(YEAR(B30),MONTH(B30)+1,0))),2)&lt;=5,1,IF(WEEKDAY(ROW(INDIRECT(DATE(YEAR(B30),MONTH(B30),1)&amp;":"&amp;DATE(YEAR(B30),MONTH(B30)+1,0))),2)=6,0.5,0)),0))</f>
        <v>24</v>
      </c>
      <c r="K30" s="22" cm="1">
        <f t="array" ref="K30">_xlfn.XLOOKUP(1,((Metas_Diarias[[#This Row],[tipo_equipe_id]]=Metas[equipe])*(Metas_Diarias[[#This Row],[data]]&gt;Metas[data_inicio])*(Metas_Diarias[[#This Row],[data]]&lt;Metas[data_fim])),Metas[meta_mensal],0)</f>
        <v>160000</v>
      </c>
      <c r="L3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1" spans="2:12" x14ac:dyDescent="0.3">
      <c r="B31" s="34">
        <v>45320</v>
      </c>
      <c r="C31" s="34" t="str">
        <f>TEXT(Metas_Diarias[[#This Row],[data]],"dddd")</f>
        <v>segunda-feira</v>
      </c>
      <c r="D31" s="33">
        <v>1</v>
      </c>
      <c r="E31" s="33">
        <v>1</v>
      </c>
      <c r="F31" s="18"/>
      <c r="G31" s="35">
        <f>WEEKDAY(Metas_Diarias[[#This Row],[data]])</f>
        <v>2</v>
      </c>
      <c r="H31" s="35">
        <f>IF(Metas_Diarias[[#This Row],[dias_da_demana]]=1,"domingo",IF(Metas_Diarias[[#This Row],[dias_da_demana]]=7,0.5,1))</f>
        <v>1</v>
      </c>
      <c r="I31" s="35">
        <f>_xlfn.XLOOKUP(Metas_Diarias[[#This Row],[data]],Feriados[Data],Feriados[Feriado],1)</f>
        <v>1</v>
      </c>
      <c r="J31" s="33" cm="1">
        <f t="array" aca="1" ref="J31" ca="1">SUMPRODUCT(IF((NOT(ISERROR(MATCH(ROW(INDIRECT(DATE(YEAR(B31),MONTH(B31),1)&amp;":"&amp;DATE(YEAR(B31),MONTH(B31)+1,0))),Feriados[Data],0))))=FALSE,
IF(WEEKDAY(ROW(INDIRECT(DATE(YEAR(B31),MONTH(B31),1)&amp;":"&amp;DATE(YEAR(B31),MONTH(B31)+1,0))),2)&lt;=5,1,IF(WEEKDAY(ROW(INDIRECT(DATE(YEAR(B31),MONTH(B31),1)&amp;":"&amp;DATE(YEAR(B31),MONTH(B31)+1,0))),2)=6,0.5,0)),0))</f>
        <v>24</v>
      </c>
      <c r="K31" s="22" cm="1">
        <f t="array" ref="K31">_xlfn.XLOOKUP(1,((Metas_Diarias[[#This Row],[tipo_equipe_id]]=Metas[equipe])*(Metas_Diarias[[#This Row],[data]]&gt;Metas[data_inicio])*(Metas_Diarias[[#This Row],[data]]&lt;Metas[data_fim])),Metas[meta_mensal],0)</f>
        <v>160000</v>
      </c>
      <c r="L3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2" spans="2:12" x14ac:dyDescent="0.3">
      <c r="B32" s="34">
        <v>45321</v>
      </c>
      <c r="C32" s="34" t="str">
        <f>TEXT(Metas_Diarias[[#This Row],[data]],"dddd")</f>
        <v>terça-feira</v>
      </c>
      <c r="D32" s="33">
        <v>1</v>
      </c>
      <c r="E32" s="33">
        <v>1</v>
      </c>
      <c r="F32" s="18"/>
      <c r="G32" s="35">
        <f>WEEKDAY(Metas_Diarias[[#This Row],[data]])</f>
        <v>3</v>
      </c>
      <c r="H32" s="35">
        <f>IF(Metas_Diarias[[#This Row],[dias_da_demana]]=1,"domingo",IF(Metas_Diarias[[#This Row],[dias_da_demana]]=7,0.5,1))</f>
        <v>1</v>
      </c>
      <c r="I32" s="35">
        <f>_xlfn.XLOOKUP(Metas_Diarias[[#This Row],[data]],Feriados[Data],Feriados[Feriado],1)</f>
        <v>1</v>
      </c>
      <c r="J32" s="33" cm="1">
        <f t="array" aca="1" ref="J32" ca="1">SUMPRODUCT(IF((NOT(ISERROR(MATCH(ROW(INDIRECT(DATE(YEAR(B32),MONTH(B32),1)&amp;":"&amp;DATE(YEAR(B32),MONTH(B32)+1,0))),Feriados[Data],0))))=FALSE,
IF(WEEKDAY(ROW(INDIRECT(DATE(YEAR(B32),MONTH(B32),1)&amp;":"&amp;DATE(YEAR(B32),MONTH(B32)+1,0))),2)&lt;=5,1,IF(WEEKDAY(ROW(INDIRECT(DATE(YEAR(B32),MONTH(B32),1)&amp;":"&amp;DATE(YEAR(B32),MONTH(B32)+1,0))),2)=6,0.5,0)),0))</f>
        <v>24</v>
      </c>
      <c r="K32" s="22" cm="1">
        <f t="array" ref="K32">_xlfn.XLOOKUP(1,((Metas_Diarias[[#This Row],[tipo_equipe_id]]=Metas[equipe])*(Metas_Diarias[[#This Row],[data]]&gt;Metas[data_inicio])*(Metas_Diarias[[#This Row],[data]]&lt;Metas[data_fim])),Metas[meta_mensal],0)</f>
        <v>160000</v>
      </c>
      <c r="L3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3" spans="2:12" x14ac:dyDescent="0.3">
      <c r="B33" s="34">
        <v>45322</v>
      </c>
      <c r="C33" s="34" t="str">
        <f>TEXT(Metas_Diarias[[#This Row],[data]],"dddd")</f>
        <v>quarta-feira</v>
      </c>
      <c r="D33" s="33">
        <v>1</v>
      </c>
      <c r="E33" s="33">
        <v>1</v>
      </c>
      <c r="F33" s="18"/>
      <c r="G33" s="35">
        <f>WEEKDAY(Metas_Diarias[[#This Row],[data]])</f>
        <v>4</v>
      </c>
      <c r="H33" s="35">
        <f>IF(Metas_Diarias[[#This Row],[dias_da_demana]]=1,"domingo",IF(Metas_Diarias[[#This Row],[dias_da_demana]]=7,0.5,1))</f>
        <v>1</v>
      </c>
      <c r="I33" s="35">
        <f>_xlfn.XLOOKUP(Metas_Diarias[[#This Row],[data]],Feriados[Data],Feriados[Feriado],1)</f>
        <v>1</v>
      </c>
      <c r="J33" s="33" cm="1">
        <f t="array" aca="1" ref="J33" ca="1">SUMPRODUCT(IF((NOT(ISERROR(MATCH(ROW(INDIRECT(DATE(YEAR(B33),MONTH(B33),1)&amp;":"&amp;DATE(YEAR(B33),MONTH(B33)+1,0))),Feriados[Data],0))))=FALSE,
IF(WEEKDAY(ROW(INDIRECT(DATE(YEAR(B33),MONTH(B33),1)&amp;":"&amp;DATE(YEAR(B33),MONTH(B33)+1,0))),2)&lt;=5,1,IF(WEEKDAY(ROW(INDIRECT(DATE(YEAR(B33),MONTH(B33),1)&amp;":"&amp;DATE(YEAR(B33),MONTH(B33)+1,0))),2)=6,0.5,0)),0))</f>
        <v>24</v>
      </c>
      <c r="K33" s="22" cm="1">
        <f t="array" ref="K33">_xlfn.XLOOKUP(1,((Metas_Diarias[[#This Row],[tipo_equipe_id]]=Metas[equipe])*(Metas_Diarias[[#This Row],[data]]&gt;Metas[data_inicio])*(Metas_Diarias[[#This Row],[data]]&lt;Metas[data_fim])),Metas[meta_mensal],0)</f>
        <v>160000</v>
      </c>
      <c r="L3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4" spans="2:12" x14ac:dyDescent="0.3">
      <c r="B34" s="34">
        <v>45323</v>
      </c>
      <c r="C34" s="34" t="str">
        <f>TEXT(Metas_Diarias[[#This Row],[data]],"dddd")</f>
        <v>quinta-feira</v>
      </c>
      <c r="D34" s="33">
        <v>1</v>
      </c>
      <c r="E34" s="33">
        <v>1</v>
      </c>
      <c r="F34" s="18"/>
      <c r="G34" s="35">
        <f>WEEKDAY(Metas_Diarias[[#This Row],[data]])</f>
        <v>5</v>
      </c>
      <c r="H34" s="35">
        <f>IF(Metas_Diarias[[#This Row],[dias_da_demana]]=1,"domingo",IF(Metas_Diarias[[#This Row],[dias_da_demana]]=7,0.5,1))</f>
        <v>1</v>
      </c>
      <c r="I34" s="35">
        <f>_xlfn.XLOOKUP(Metas_Diarias[[#This Row],[data]],Feriados[Data],Feriados[Feriado],1)</f>
        <v>1</v>
      </c>
      <c r="J34" s="33" cm="1">
        <f t="array" aca="1" ref="J34" ca="1">SUMPRODUCT(IF((NOT(ISERROR(MATCH(ROW(INDIRECT(DATE(YEAR(B34),MONTH(B34),1)&amp;":"&amp;DATE(YEAR(B34),MONTH(B34)+1,0))),Feriados[Data],0))))=FALSE,
IF(WEEKDAY(ROW(INDIRECT(DATE(YEAR(B34),MONTH(B34),1)&amp;":"&amp;DATE(YEAR(B34),MONTH(B34)+1,0))),2)&lt;=5,1,IF(WEEKDAY(ROW(INDIRECT(DATE(YEAR(B34),MONTH(B34),1)&amp;":"&amp;DATE(YEAR(B34),MONTH(B34)+1,0))),2)=6,0.5,0)),0))</f>
        <v>21</v>
      </c>
      <c r="K34" s="22" cm="1">
        <f t="array" ref="K34">_xlfn.XLOOKUP(1,((Metas_Diarias[[#This Row],[tipo_equipe_id]]=Metas[equipe])*(Metas_Diarias[[#This Row],[data]]&gt;Metas[data_inicio])*(Metas_Diarias[[#This Row],[data]]&lt;Metas[data_fim])),Metas[meta_mensal],0)</f>
        <v>160000</v>
      </c>
      <c r="L34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35" spans="2:12" x14ac:dyDescent="0.3">
      <c r="B35" s="34">
        <v>45324</v>
      </c>
      <c r="C35" s="34" t="str">
        <f>TEXT(Metas_Diarias[[#This Row],[data]],"dddd")</f>
        <v>sexta-feira</v>
      </c>
      <c r="D35" s="33">
        <v>1</v>
      </c>
      <c r="E35" s="33">
        <v>1</v>
      </c>
      <c r="F35" s="18"/>
      <c r="G35" s="35">
        <f>WEEKDAY(Metas_Diarias[[#This Row],[data]])</f>
        <v>6</v>
      </c>
      <c r="H35" s="35">
        <f>IF(Metas_Diarias[[#This Row],[dias_da_demana]]=1,"domingo",IF(Metas_Diarias[[#This Row],[dias_da_demana]]=7,0.5,1))</f>
        <v>1</v>
      </c>
      <c r="I35" s="35">
        <f>_xlfn.XLOOKUP(Metas_Diarias[[#This Row],[data]],Feriados[Data],Feriados[Feriado],1)</f>
        <v>1</v>
      </c>
      <c r="J35" s="33" cm="1">
        <f t="array" aca="1" ref="J35" ca="1">SUMPRODUCT(IF((NOT(ISERROR(MATCH(ROW(INDIRECT(DATE(YEAR(B35),MONTH(B35),1)&amp;":"&amp;DATE(YEAR(B35),MONTH(B35)+1,0))),Feriados[Data],0))))=FALSE,
IF(WEEKDAY(ROW(INDIRECT(DATE(YEAR(B35),MONTH(B35),1)&amp;":"&amp;DATE(YEAR(B35),MONTH(B35)+1,0))),2)&lt;=5,1,IF(WEEKDAY(ROW(INDIRECT(DATE(YEAR(B35),MONTH(B35),1)&amp;":"&amp;DATE(YEAR(B35),MONTH(B35)+1,0))),2)=6,0.5,0)),0))</f>
        <v>21</v>
      </c>
      <c r="K35" s="22" cm="1">
        <f t="array" ref="K35">_xlfn.XLOOKUP(1,((Metas_Diarias[[#This Row],[tipo_equipe_id]]=Metas[equipe])*(Metas_Diarias[[#This Row],[data]]&gt;Metas[data_inicio])*(Metas_Diarias[[#This Row],[data]]&lt;Metas[data_fim])),Metas[meta_mensal],0)</f>
        <v>160000</v>
      </c>
      <c r="L35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36" spans="2:12" x14ac:dyDescent="0.3">
      <c r="B36" s="34">
        <v>45325</v>
      </c>
      <c r="C36" s="34" t="str">
        <f>TEXT(Metas_Diarias[[#This Row],[data]],"dddd")</f>
        <v>sábado</v>
      </c>
      <c r="D36" s="33">
        <v>1</v>
      </c>
      <c r="E36" s="33">
        <v>1</v>
      </c>
      <c r="F36" s="18"/>
      <c r="G36" s="35">
        <f>WEEKDAY(Metas_Diarias[[#This Row],[data]])</f>
        <v>7</v>
      </c>
      <c r="H36" s="35">
        <f>IF(Metas_Diarias[[#This Row],[dias_da_demana]]=1,"domingo",IF(Metas_Diarias[[#This Row],[dias_da_demana]]=7,0.5,1))</f>
        <v>0.5</v>
      </c>
      <c r="I36" s="35">
        <f>_xlfn.XLOOKUP(Metas_Diarias[[#This Row],[data]],Feriados[Data],Feriados[Feriado],1)</f>
        <v>1</v>
      </c>
      <c r="J36" s="33" cm="1">
        <f t="array" aca="1" ref="J36" ca="1">SUMPRODUCT(IF((NOT(ISERROR(MATCH(ROW(INDIRECT(DATE(YEAR(B36),MONTH(B36),1)&amp;":"&amp;DATE(YEAR(B36),MONTH(B36)+1,0))),Feriados[Data],0))))=FALSE,
IF(WEEKDAY(ROW(INDIRECT(DATE(YEAR(B36),MONTH(B36),1)&amp;":"&amp;DATE(YEAR(B36),MONTH(B36)+1,0))),2)&lt;=5,1,IF(WEEKDAY(ROW(INDIRECT(DATE(YEAR(B36),MONTH(B36),1)&amp;":"&amp;DATE(YEAR(B36),MONTH(B36)+1,0))),2)=6,0.5,0)),0))</f>
        <v>21</v>
      </c>
      <c r="K36" s="22" cm="1">
        <f t="array" ref="K36">_xlfn.XLOOKUP(1,((Metas_Diarias[[#This Row],[tipo_equipe_id]]=Metas[equipe])*(Metas_Diarias[[#This Row],[data]]&gt;Metas[data_inicio])*(Metas_Diarias[[#This Row],[data]]&lt;Metas[data_fim])),Metas[meta_mensal],0)</f>
        <v>160000</v>
      </c>
      <c r="L36" s="24">
        <f ca="1">Metas_Diarias[[#This Row],[meta_mensal]]*IF(Metas_Diarias[[#This Row],[semana]]="domingo",0,Metas_Diarias[[#This Row],[semana]])*IF(Metas_Diarias[[#This Row],[feriado]]&lt;&gt;1,0,1)/Metas_Diarias[[#This Row],[dias_úteis_Mês]]</f>
        <v>3809.5238095238096</v>
      </c>
    </row>
    <row r="37" spans="2:12" x14ac:dyDescent="0.3">
      <c r="B37" s="34">
        <v>45326</v>
      </c>
      <c r="C37" s="34" t="str">
        <f>TEXT(Metas_Diarias[[#This Row],[data]],"dddd")</f>
        <v>domingo</v>
      </c>
      <c r="D37" s="33">
        <v>1</v>
      </c>
      <c r="E37" s="33">
        <v>1</v>
      </c>
      <c r="F37" s="18"/>
      <c r="G37" s="35">
        <f>WEEKDAY(Metas_Diarias[[#This Row],[data]])</f>
        <v>1</v>
      </c>
      <c r="H37" s="35" t="str">
        <f>IF(Metas_Diarias[[#This Row],[dias_da_demana]]=1,"domingo",IF(Metas_Diarias[[#This Row],[dias_da_demana]]=7,0.5,1))</f>
        <v>domingo</v>
      </c>
      <c r="I37" s="35">
        <f>_xlfn.XLOOKUP(Metas_Diarias[[#This Row],[data]],Feriados[Data],Feriados[Feriado],1)</f>
        <v>1</v>
      </c>
      <c r="J37" s="33" cm="1">
        <f t="array" aca="1" ref="J37" ca="1">SUMPRODUCT(IF((NOT(ISERROR(MATCH(ROW(INDIRECT(DATE(YEAR(B37),MONTH(B37),1)&amp;":"&amp;DATE(YEAR(B37),MONTH(B37)+1,0))),Feriados[Data],0))))=FALSE,
IF(WEEKDAY(ROW(INDIRECT(DATE(YEAR(B37),MONTH(B37),1)&amp;":"&amp;DATE(YEAR(B37),MONTH(B37)+1,0))),2)&lt;=5,1,IF(WEEKDAY(ROW(INDIRECT(DATE(YEAR(B37),MONTH(B37),1)&amp;":"&amp;DATE(YEAR(B37),MONTH(B37)+1,0))),2)=6,0.5,0)),0))</f>
        <v>21</v>
      </c>
      <c r="K37" s="22" cm="1">
        <f t="array" ref="K37">_xlfn.XLOOKUP(1,((Metas_Diarias[[#This Row],[tipo_equipe_id]]=Metas[equipe])*(Metas_Diarias[[#This Row],[data]]&gt;Metas[data_inicio])*(Metas_Diarias[[#This Row],[data]]&lt;Metas[data_fim])),Metas[meta_mensal],0)</f>
        <v>160000</v>
      </c>
      <c r="L3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8" spans="2:12" x14ac:dyDescent="0.3">
      <c r="B38" s="34">
        <v>45327</v>
      </c>
      <c r="C38" s="34" t="str">
        <f>TEXT(Metas_Diarias[[#This Row],[data]],"dddd")</f>
        <v>segunda-feira</v>
      </c>
      <c r="D38" s="33">
        <v>1</v>
      </c>
      <c r="E38" s="33">
        <v>1</v>
      </c>
      <c r="F38" s="18"/>
      <c r="G38" s="35">
        <f>WEEKDAY(Metas_Diarias[[#This Row],[data]])</f>
        <v>2</v>
      </c>
      <c r="H38" s="35">
        <f>IF(Metas_Diarias[[#This Row],[dias_da_demana]]=1,"domingo",IF(Metas_Diarias[[#This Row],[dias_da_demana]]=7,0.5,1))</f>
        <v>1</v>
      </c>
      <c r="I38" s="35">
        <f>_xlfn.XLOOKUP(Metas_Diarias[[#This Row],[data]],Feriados[Data],Feriados[Feriado],1)</f>
        <v>1</v>
      </c>
      <c r="J38" s="33" cm="1">
        <f t="array" aca="1" ref="J38" ca="1">SUMPRODUCT(IF((NOT(ISERROR(MATCH(ROW(INDIRECT(DATE(YEAR(B38),MONTH(B38),1)&amp;":"&amp;DATE(YEAR(B38),MONTH(B38)+1,0))),Feriados[Data],0))))=FALSE,
IF(WEEKDAY(ROW(INDIRECT(DATE(YEAR(B38),MONTH(B38),1)&amp;":"&amp;DATE(YEAR(B38),MONTH(B38)+1,0))),2)&lt;=5,1,IF(WEEKDAY(ROW(INDIRECT(DATE(YEAR(B38),MONTH(B38),1)&amp;":"&amp;DATE(YEAR(B38),MONTH(B38)+1,0))),2)=6,0.5,0)),0))</f>
        <v>21</v>
      </c>
      <c r="K38" s="22" cm="1">
        <f t="array" ref="K38">_xlfn.XLOOKUP(1,((Metas_Diarias[[#This Row],[tipo_equipe_id]]=Metas[equipe])*(Metas_Diarias[[#This Row],[data]]&gt;Metas[data_inicio])*(Metas_Diarias[[#This Row],[data]]&lt;Metas[data_fim])),Metas[meta_mensal],0)</f>
        <v>160000</v>
      </c>
      <c r="L38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39" spans="2:12" x14ac:dyDescent="0.3">
      <c r="B39" s="34">
        <v>45328</v>
      </c>
      <c r="C39" s="34" t="str">
        <f>TEXT(Metas_Diarias[[#This Row],[data]],"dddd")</f>
        <v>terça-feira</v>
      </c>
      <c r="D39" s="33">
        <v>1</v>
      </c>
      <c r="E39" s="33">
        <v>1</v>
      </c>
      <c r="F39" s="18"/>
      <c r="G39" s="35">
        <f>WEEKDAY(Metas_Diarias[[#This Row],[data]])</f>
        <v>3</v>
      </c>
      <c r="H39" s="35">
        <f>IF(Metas_Diarias[[#This Row],[dias_da_demana]]=1,"domingo",IF(Metas_Diarias[[#This Row],[dias_da_demana]]=7,0.5,1))</f>
        <v>1</v>
      </c>
      <c r="I39" s="35">
        <f>_xlfn.XLOOKUP(Metas_Diarias[[#This Row],[data]],Feriados[Data],Feriados[Feriado],1)</f>
        <v>1</v>
      </c>
      <c r="J39" s="33" cm="1">
        <f t="array" aca="1" ref="J39" ca="1">SUMPRODUCT(IF((NOT(ISERROR(MATCH(ROW(INDIRECT(DATE(YEAR(B39),MONTH(B39),1)&amp;":"&amp;DATE(YEAR(B39),MONTH(B39)+1,0))),Feriados[Data],0))))=FALSE,
IF(WEEKDAY(ROW(INDIRECT(DATE(YEAR(B39),MONTH(B39),1)&amp;":"&amp;DATE(YEAR(B39),MONTH(B39)+1,0))),2)&lt;=5,1,IF(WEEKDAY(ROW(INDIRECT(DATE(YEAR(B39),MONTH(B39),1)&amp;":"&amp;DATE(YEAR(B39),MONTH(B39)+1,0))),2)=6,0.5,0)),0))</f>
        <v>21</v>
      </c>
      <c r="K39" s="22" cm="1">
        <f t="array" ref="K39">_xlfn.XLOOKUP(1,((Metas_Diarias[[#This Row],[tipo_equipe_id]]=Metas[equipe])*(Metas_Diarias[[#This Row],[data]]&gt;Metas[data_inicio])*(Metas_Diarias[[#This Row],[data]]&lt;Metas[data_fim])),Metas[meta_mensal],0)</f>
        <v>160000</v>
      </c>
      <c r="L39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40" spans="2:12" x14ac:dyDescent="0.3">
      <c r="B40" s="34">
        <v>45329</v>
      </c>
      <c r="C40" s="34" t="str">
        <f>TEXT(Metas_Diarias[[#This Row],[data]],"dddd")</f>
        <v>quarta-feira</v>
      </c>
      <c r="D40" s="33">
        <v>1</v>
      </c>
      <c r="E40" s="33">
        <v>1</v>
      </c>
      <c r="F40" s="18"/>
      <c r="G40" s="35">
        <f>WEEKDAY(Metas_Diarias[[#This Row],[data]])</f>
        <v>4</v>
      </c>
      <c r="H40" s="35">
        <f>IF(Metas_Diarias[[#This Row],[dias_da_demana]]=1,"domingo",IF(Metas_Diarias[[#This Row],[dias_da_demana]]=7,0.5,1))</f>
        <v>1</v>
      </c>
      <c r="I40" s="35">
        <f>_xlfn.XLOOKUP(Metas_Diarias[[#This Row],[data]],Feriados[Data],Feriados[Feriado],1)</f>
        <v>1</v>
      </c>
      <c r="J40" s="33" cm="1">
        <f t="array" aca="1" ref="J40" ca="1">SUMPRODUCT(IF((NOT(ISERROR(MATCH(ROW(INDIRECT(DATE(YEAR(B40),MONTH(B40),1)&amp;":"&amp;DATE(YEAR(B40),MONTH(B40)+1,0))),Feriados[Data],0))))=FALSE,
IF(WEEKDAY(ROW(INDIRECT(DATE(YEAR(B40),MONTH(B40),1)&amp;":"&amp;DATE(YEAR(B40),MONTH(B40)+1,0))),2)&lt;=5,1,IF(WEEKDAY(ROW(INDIRECT(DATE(YEAR(B40),MONTH(B40),1)&amp;":"&amp;DATE(YEAR(B40),MONTH(B40)+1,0))),2)=6,0.5,0)),0))</f>
        <v>21</v>
      </c>
      <c r="K40" s="22" cm="1">
        <f t="array" ref="K40">_xlfn.XLOOKUP(1,((Metas_Diarias[[#This Row],[tipo_equipe_id]]=Metas[equipe])*(Metas_Diarias[[#This Row],[data]]&gt;Metas[data_inicio])*(Metas_Diarias[[#This Row],[data]]&lt;Metas[data_fim])),Metas[meta_mensal],0)</f>
        <v>160000</v>
      </c>
      <c r="L40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41" spans="2:12" x14ac:dyDescent="0.3">
      <c r="B41" s="34">
        <v>45330</v>
      </c>
      <c r="C41" s="34" t="str">
        <f>TEXT(Metas_Diarias[[#This Row],[data]],"dddd")</f>
        <v>quinta-feira</v>
      </c>
      <c r="D41" s="33">
        <v>1</v>
      </c>
      <c r="E41" s="33">
        <v>1</v>
      </c>
      <c r="F41" s="18"/>
      <c r="G41" s="35">
        <f>WEEKDAY(Metas_Diarias[[#This Row],[data]])</f>
        <v>5</v>
      </c>
      <c r="H41" s="35">
        <f>IF(Metas_Diarias[[#This Row],[dias_da_demana]]=1,"domingo",IF(Metas_Diarias[[#This Row],[dias_da_demana]]=7,0.5,1))</f>
        <v>1</v>
      </c>
      <c r="I41" s="35">
        <f>_xlfn.XLOOKUP(Metas_Diarias[[#This Row],[data]],Feriados[Data],Feriados[Feriado],1)</f>
        <v>1</v>
      </c>
      <c r="J41" s="33" cm="1">
        <f t="array" aca="1" ref="J41" ca="1">SUMPRODUCT(IF((NOT(ISERROR(MATCH(ROW(INDIRECT(DATE(YEAR(B41),MONTH(B41),1)&amp;":"&amp;DATE(YEAR(B41),MONTH(B41)+1,0))),Feriados[Data],0))))=FALSE,
IF(WEEKDAY(ROW(INDIRECT(DATE(YEAR(B41),MONTH(B41),1)&amp;":"&amp;DATE(YEAR(B41),MONTH(B41)+1,0))),2)&lt;=5,1,IF(WEEKDAY(ROW(INDIRECT(DATE(YEAR(B41),MONTH(B41),1)&amp;":"&amp;DATE(YEAR(B41),MONTH(B41)+1,0))),2)=6,0.5,0)),0))</f>
        <v>21</v>
      </c>
      <c r="K41" s="22" cm="1">
        <f t="array" ref="K41">_xlfn.XLOOKUP(1,((Metas_Diarias[[#This Row],[tipo_equipe_id]]=Metas[equipe])*(Metas_Diarias[[#This Row],[data]]&gt;Metas[data_inicio])*(Metas_Diarias[[#This Row],[data]]&lt;Metas[data_fim])),Metas[meta_mensal],0)</f>
        <v>160000</v>
      </c>
      <c r="L41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42" spans="2:12" x14ac:dyDescent="0.3">
      <c r="B42" s="34">
        <v>45331</v>
      </c>
      <c r="C42" s="34" t="str">
        <f>TEXT(Metas_Diarias[[#This Row],[data]],"dddd")</f>
        <v>sexta-feira</v>
      </c>
      <c r="D42" s="33">
        <v>1</v>
      </c>
      <c r="E42" s="33">
        <v>1</v>
      </c>
      <c r="F42" s="18"/>
      <c r="G42" s="35">
        <f>WEEKDAY(Metas_Diarias[[#This Row],[data]])</f>
        <v>6</v>
      </c>
      <c r="H42" s="35">
        <f>IF(Metas_Diarias[[#This Row],[dias_da_demana]]=1,"domingo",IF(Metas_Diarias[[#This Row],[dias_da_demana]]=7,0.5,1))</f>
        <v>1</v>
      </c>
      <c r="I42" s="35">
        <f>_xlfn.XLOOKUP(Metas_Diarias[[#This Row],[data]],Feriados[Data],Feriados[Feriado],1)</f>
        <v>1</v>
      </c>
      <c r="J42" s="33" cm="1">
        <f t="array" aca="1" ref="J42" ca="1">SUMPRODUCT(IF((NOT(ISERROR(MATCH(ROW(INDIRECT(DATE(YEAR(B42),MONTH(B42),1)&amp;":"&amp;DATE(YEAR(B42),MONTH(B42)+1,0))),Feriados[Data],0))))=FALSE,
IF(WEEKDAY(ROW(INDIRECT(DATE(YEAR(B42),MONTH(B42),1)&amp;":"&amp;DATE(YEAR(B42),MONTH(B42)+1,0))),2)&lt;=5,1,IF(WEEKDAY(ROW(INDIRECT(DATE(YEAR(B42),MONTH(B42),1)&amp;":"&amp;DATE(YEAR(B42),MONTH(B42)+1,0))),2)=6,0.5,0)),0))</f>
        <v>21</v>
      </c>
      <c r="K42" s="22" cm="1">
        <f t="array" ref="K42">_xlfn.XLOOKUP(1,((Metas_Diarias[[#This Row],[tipo_equipe_id]]=Metas[equipe])*(Metas_Diarias[[#This Row],[data]]&gt;Metas[data_inicio])*(Metas_Diarias[[#This Row],[data]]&lt;Metas[data_fim])),Metas[meta_mensal],0)</f>
        <v>160000</v>
      </c>
      <c r="L42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43" spans="2:12" x14ac:dyDescent="0.3">
      <c r="B43" s="34">
        <v>45332</v>
      </c>
      <c r="C43" s="34" t="str">
        <f>TEXT(Metas_Diarias[[#This Row],[data]],"dddd")</f>
        <v>sábado</v>
      </c>
      <c r="D43" s="33">
        <v>1</v>
      </c>
      <c r="E43" s="33">
        <v>1</v>
      </c>
      <c r="F43" s="18"/>
      <c r="G43" s="35">
        <f>WEEKDAY(Metas_Diarias[[#This Row],[data]])</f>
        <v>7</v>
      </c>
      <c r="H43" s="35">
        <f>IF(Metas_Diarias[[#This Row],[dias_da_demana]]=1,"domingo",IF(Metas_Diarias[[#This Row],[dias_da_demana]]=7,0.5,1))</f>
        <v>0.5</v>
      </c>
      <c r="I43" s="35">
        <f>_xlfn.XLOOKUP(Metas_Diarias[[#This Row],[data]],Feriados[Data],Feriados[Feriado],1)</f>
        <v>1</v>
      </c>
      <c r="J43" s="33" cm="1">
        <f t="array" aca="1" ref="J43" ca="1">SUMPRODUCT(IF((NOT(ISERROR(MATCH(ROW(INDIRECT(DATE(YEAR(B43),MONTH(B43),1)&amp;":"&amp;DATE(YEAR(B43),MONTH(B43)+1,0))),Feriados[Data],0))))=FALSE,
IF(WEEKDAY(ROW(INDIRECT(DATE(YEAR(B43),MONTH(B43),1)&amp;":"&amp;DATE(YEAR(B43),MONTH(B43)+1,0))),2)&lt;=5,1,IF(WEEKDAY(ROW(INDIRECT(DATE(YEAR(B43),MONTH(B43),1)&amp;":"&amp;DATE(YEAR(B43),MONTH(B43)+1,0))),2)=6,0.5,0)),0))</f>
        <v>21</v>
      </c>
      <c r="K43" s="22" cm="1">
        <f t="array" ref="K43">_xlfn.XLOOKUP(1,((Metas_Diarias[[#This Row],[tipo_equipe_id]]=Metas[equipe])*(Metas_Diarias[[#This Row],[data]]&gt;Metas[data_inicio])*(Metas_Diarias[[#This Row],[data]]&lt;Metas[data_fim])),Metas[meta_mensal],0)</f>
        <v>160000</v>
      </c>
      <c r="L43" s="24">
        <f ca="1">Metas_Diarias[[#This Row],[meta_mensal]]*IF(Metas_Diarias[[#This Row],[semana]]="domingo",0,Metas_Diarias[[#This Row],[semana]])*IF(Metas_Diarias[[#This Row],[feriado]]&lt;&gt;1,0,1)/Metas_Diarias[[#This Row],[dias_úteis_Mês]]</f>
        <v>3809.5238095238096</v>
      </c>
    </row>
    <row r="44" spans="2:12" x14ac:dyDescent="0.3">
      <c r="B44" s="34">
        <v>45333</v>
      </c>
      <c r="C44" s="34" t="str">
        <f>TEXT(Metas_Diarias[[#This Row],[data]],"dddd")</f>
        <v>domingo</v>
      </c>
      <c r="D44" s="33">
        <v>1</v>
      </c>
      <c r="E44" s="33">
        <v>1</v>
      </c>
      <c r="F44" s="18"/>
      <c r="G44" s="35">
        <f>WEEKDAY(Metas_Diarias[[#This Row],[data]])</f>
        <v>1</v>
      </c>
      <c r="H44" s="35" t="str">
        <f>IF(Metas_Diarias[[#This Row],[dias_da_demana]]=1,"domingo",IF(Metas_Diarias[[#This Row],[dias_da_demana]]=7,0.5,1))</f>
        <v>domingo</v>
      </c>
      <c r="I44" s="35">
        <f>_xlfn.XLOOKUP(Metas_Diarias[[#This Row],[data]],Feriados[Data],Feriados[Feriado],1)</f>
        <v>1</v>
      </c>
      <c r="J44" s="33" cm="1">
        <f t="array" aca="1" ref="J44" ca="1">SUMPRODUCT(IF((NOT(ISERROR(MATCH(ROW(INDIRECT(DATE(YEAR(B44),MONTH(B44),1)&amp;":"&amp;DATE(YEAR(B44),MONTH(B44)+1,0))),Feriados[Data],0))))=FALSE,
IF(WEEKDAY(ROW(INDIRECT(DATE(YEAR(B44),MONTH(B44),1)&amp;":"&amp;DATE(YEAR(B44),MONTH(B44)+1,0))),2)&lt;=5,1,IF(WEEKDAY(ROW(INDIRECT(DATE(YEAR(B44),MONTH(B44),1)&amp;":"&amp;DATE(YEAR(B44),MONTH(B44)+1,0))),2)=6,0.5,0)),0))</f>
        <v>21</v>
      </c>
      <c r="K44" s="22" cm="1">
        <f t="array" ref="K44">_xlfn.XLOOKUP(1,((Metas_Diarias[[#This Row],[tipo_equipe_id]]=Metas[equipe])*(Metas_Diarias[[#This Row],[data]]&gt;Metas[data_inicio])*(Metas_Diarias[[#This Row],[data]]&lt;Metas[data_fim])),Metas[meta_mensal],0)</f>
        <v>160000</v>
      </c>
      <c r="L4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5" spans="2:12" x14ac:dyDescent="0.3">
      <c r="B45" s="34">
        <v>45334</v>
      </c>
      <c r="C45" s="34" t="str">
        <f>TEXT(Metas_Diarias[[#This Row],[data]],"dddd")</f>
        <v>segunda-feira</v>
      </c>
      <c r="D45" s="33">
        <v>1</v>
      </c>
      <c r="E45" s="33">
        <v>1</v>
      </c>
      <c r="F45" s="18"/>
      <c r="G45" s="35">
        <f>WEEKDAY(Metas_Diarias[[#This Row],[data]])</f>
        <v>2</v>
      </c>
      <c r="H45" s="35">
        <f>IF(Metas_Diarias[[#This Row],[dias_da_demana]]=1,"domingo",IF(Metas_Diarias[[#This Row],[dias_da_demana]]=7,0.5,1))</f>
        <v>1</v>
      </c>
      <c r="I45" s="35" t="str">
        <f>_xlfn.XLOOKUP(Metas_Diarias[[#This Row],[data]],Feriados[Data],Feriados[Feriado],1)</f>
        <v>Carnaval</v>
      </c>
      <c r="J45" s="33" cm="1">
        <f t="array" aca="1" ref="J45" ca="1">SUMPRODUCT(IF((NOT(ISERROR(MATCH(ROW(INDIRECT(DATE(YEAR(B45),MONTH(B45),1)&amp;":"&amp;DATE(YEAR(B45),MONTH(B45)+1,0))),Feriados[Data],0))))=FALSE,
IF(WEEKDAY(ROW(INDIRECT(DATE(YEAR(B45),MONTH(B45),1)&amp;":"&amp;DATE(YEAR(B45),MONTH(B45)+1,0))),2)&lt;=5,1,IF(WEEKDAY(ROW(INDIRECT(DATE(YEAR(B45),MONTH(B45),1)&amp;":"&amp;DATE(YEAR(B45),MONTH(B45)+1,0))),2)=6,0.5,0)),0))</f>
        <v>21</v>
      </c>
      <c r="K45" s="22" cm="1">
        <f t="array" ref="K45">_xlfn.XLOOKUP(1,((Metas_Diarias[[#This Row],[tipo_equipe_id]]=Metas[equipe])*(Metas_Diarias[[#This Row],[data]]&gt;Metas[data_inicio])*(Metas_Diarias[[#This Row],[data]]&lt;Metas[data_fim])),Metas[meta_mensal],0)</f>
        <v>160000</v>
      </c>
      <c r="L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6" spans="2:12" x14ac:dyDescent="0.3">
      <c r="B46" s="34">
        <v>45335</v>
      </c>
      <c r="C46" s="34" t="str">
        <f>TEXT(Metas_Diarias[[#This Row],[data]],"dddd")</f>
        <v>terça-feira</v>
      </c>
      <c r="D46" s="33">
        <v>1</v>
      </c>
      <c r="E46" s="33">
        <v>1</v>
      </c>
      <c r="F46" s="18"/>
      <c r="G46" s="35">
        <f>WEEKDAY(Metas_Diarias[[#This Row],[data]])</f>
        <v>3</v>
      </c>
      <c r="H46" s="35">
        <f>IF(Metas_Diarias[[#This Row],[dias_da_demana]]=1,"domingo",IF(Metas_Diarias[[#This Row],[dias_da_demana]]=7,0.5,1))</f>
        <v>1</v>
      </c>
      <c r="I46" s="35" t="str">
        <f>_xlfn.XLOOKUP(Metas_Diarias[[#This Row],[data]],Feriados[Data],Feriados[Feriado],1)</f>
        <v>Carnaval</v>
      </c>
      <c r="J46" s="33" cm="1">
        <f t="array" aca="1" ref="J46" ca="1">SUMPRODUCT(IF((NOT(ISERROR(MATCH(ROW(INDIRECT(DATE(YEAR(B46),MONTH(B46),1)&amp;":"&amp;DATE(YEAR(B46),MONTH(B46)+1,0))),Feriados[Data],0))))=FALSE,
IF(WEEKDAY(ROW(INDIRECT(DATE(YEAR(B46),MONTH(B46),1)&amp;":"&amp;DATE(YEAR(B46),MONTH(B46)+1,0))),2)&lt;=5,1,IF(WEEKDAY(ROW(INDIRECT(DATE(YEAR(B46),MONTH(B46),1)&amp;":"&amp;DATE(YEAR(B46),MONTH(B46)+1,0))),2)=6,0.5,0)),0))</f>
        <v>21</v>
      </c>
      <c r="K46" s="22" cm="1">
        <f t="array" ref="K46">_xlfn.XLOOKUP(1,((Metas_Diarias[[#This Row],[tipo_equipe_id]]=Metas[equipe])*(Metas_Diarias[[#This Row],[data]]&gt;Metas[data_inicio])*(Metas_Diarias[[#This Row],[data]]&lt;Metas[data_fim])),Metas[meta_mensal],0)</f>
        <v>160000</v>
      </c>
      <c r="L4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7" spans="2:12" x14ac:dyDescent="0.3">
      <c r="B47" s="34">
        <v>45336</v>
      </c>
      <c r="C47" s="34" t="str">
        <f>TEXT(Metas_Diarias[[#This Row],[data]],"dddd")</f>
        <v>quarta-feira</v>
      </c>
      <c r="D47" s="33">
        <v>1</v>
      </c>
      <c r="E47" s="33">
        <v>1</v>
      </c>
      <c r="F47" s="18"/>
      <c r="G47" s="35">
        <f>WEEKDAY(Metas_Diarias[[#This Row],[data]])</f>
        <v>4</v>
      </c>
      <c r="H47" s="35">
        <f>IF(Metas_Diarias[[#This Row],[dias_da_demana]]=1,"domingo",IF(Metas_Diarias[[#This Row],[dias_da_demana]]=7,0.5,1))</f>
        <v>1</v>
      </c>
      <c r="I47" s="35">
        <f>_xlfn.XLOOKUP(Metas_Diarias[[#This Row],[data]],Feriados[Data],Feriados[Feriado],1)</f>
        <v>1</v>
      </c>
      <c r="J47" s="33" cm="1">
        <f t="array" aca="1" ref="J47" ca="1">SUMPRODUCT(IF((NOT(ISERROR(MATCH(ROW(INDIRECT(DATE(YEAR(B47),MONTH(B47),1)&amp;":"&amp;DATE(YEAR(B47),MONTH(B47)+1,0))),Feriados[Data],0))))=FALSE,
IF(WEEKDAY(ROW(INDIRECT(DATE(YEAR(B47),MONTH(B47),1)&amp;":"&amp;DATE(YEAR(B47),MONTH(B47)+1,0))),2)&lt;=5,1,IF(WEEKDAY(ROW(INDIRECT(DATE(YEAR(B47),MONTH(B47),1)&amp;":"&amp;DATE(YEAR(B47),MONTH(B47)+1,0))),2)=6,0.5,0)),0))</f>
        <v>21</v>
      </c>
      <c r="K47" s="22" cm="1">
        <f t="array" ref="K47">_xlfn.XLOOKUP(1,((Metas_Diarias[[#This Row],[tipo_equipe_id]]=Metas[equipe])*(Metas_Diarias[[#This Row],[data]]&gt;Metas[data_inicio])*(Metas_Diarias[[#This Row],[data]]&lt;Metas[data_fim])),Metas[meta_mensal],0)</f>
        <v>160000</v>
      </c>
      <c r="L47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48" spans="2:12" x14ac:dyDescent="0.3">
      <c r="B48" s="34">
        <v>45337</v>
      </c>
      <c r="C48" s="34" t="str">
        <f>TEXT(Metas_Diarias[[#This Row],[data]],"dddd")</f>
        <v>quinta-feira</v>
      </c>
      <c r="D48" s="33">
        <v>1</v>
      </c>
      <c r="E48" s="33">
        <v>1</v>
      </c>
      <c r="F48" s="18"/>
      <c r="G48" s="35">
        <f>WEEKDAY(Metas_Diarias[[#This Row],[data]])</f>
        <v>5</v>
      </c>
      <c r="H48" s="35">
        <f>IF(Metas_Diarias[[#This Row],[dias_da_demana]]=1,"domingo",IF(Metas_Diarias[[#This Row],[dias_da_demana]]=7,0.5,1))</f>
        <v>1</v>
      </c>
      <c r="I48" s="35">
        <f>_xlfn.XLOOKUP(Metas_Diarias[[#This Row],[data]],Feriados[Data],Feriados[Feriado],1)</f>
        <v>1</v>
      </c>
      <c r="J48" s="33" cm="1">
        <f t="array" aca="1" ref="J48" ca="1">SUMPRODUCT(IF((NOT(ISERROR(MATCH(ROW(INDIRECT(DATE(YEAR(B48),MONTH(B48),1)&amp;":"&amp;DATE(YEAR(B48),MONTH(B48)+1,0))),Feriados[Data],0))))=FALSE,
IF(WEEKDAY(ROW(INDIRECT(DATE(YEAR(B48),MONTH(B48),1)&amp;":"&amp;DATE(YEAR(B48),MONTH(B48)+1,0))),2)&lt;=5,1,IF(WEEKDAY(ROW(INDIRECT(DATE(YEAR(B48),MONTH(B48),1)&amp;":"&amp;DATE(YEAR(B48),MONTH(B48)+1,0))),2)=6,0.5,0)),0))</f>
        <v>21</v>
      </c>
      <c r="K48" s="22" cm="1">
        <f t="array" ref="K48">_xlfn.XLOOKUP(1,((Metas_Diarias[[#This Row],[tipo_equipe_id]]=Metas[equipe])*(Metas_Diarias[[#This Row],[data]]&gt;Metas[data_inicio])*(Metas_Diarias[[#This Row],[data]]&lt;Metas[data_fim])),Metas[meta_mensal],0)</f>
        <v>160000</v>
      </c>
      <c r="L48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49" spans="2:12" x14ac:dyDescent="0.3">
      <c r="B49" s="34">
        <v>45338</v>
      </c>
      <c r="C49" s="34" t="str">
        <f>TEXT(Metas_Diarias[[#This Row],[data]],"dddd")</f>
        <v>sexta-feira</v>
      </c>
      <c r="D49" s="33">
        <v>1</v>
      </c>
      <c r="E49" s="33">
        <v>1</v>
      </c>
      <c r="F49" s="18"/>
      <c r="G49" s="35">
        <f>WEEKDAY(Metas_Diarias[[#This Row],[data]])</f>
        <v>6</v>
      </c>
      <c r="H49" s="35">
        <f>IF(Metas_Diarias[[#This Row],[dias_da_demana]]=1,"domingo",IF(Metas_Diarias[[#This Row],[dias_da_demana]]=7,0.5,1))</f>
        <v>1</v>
      </c>
      <c r="I49" s="35">
        <f>_xlfn.XLOOKUP(Metas_Diarias[[#This Row],[data]],Feriados[Data],Feriados[Feriado],1)</f>
        <v>1</v>
      </c>
      <c r="J49" s="33" cm="1">
        <f t="array" aca="1" ref="J49" ca="1">SUMPRODUCT(IF((NOT(ISERROR(MATCH(ROW(INDIRECT(DATE(YEAR(B49),MONTH(B49),1)&amp;":"&amp;DATE(YEAR(B49),MONTH(B49)+1,0))),Feriados[Data],0))))=FALSE,
IF(WEEKDAY(ROW(INDIRECT(DATE(YEAR(B49),MONTH(B49),1)&amp;":"&amp;DATE(YEAR(B49),MONTH(B49)+1,0))),2)&lt;=5,1,IF(WEEKDAY(ROW(INDIRECT(DATE(YEAR(B49),MONTH(B49),1)&amp;":"&amp;DATE(YEAR(B49),MONTH(B49)+1,0))),2)=6,0.5,0)),0))</f>
        <v>21</v>
      </c>
      <c r="K49" s="22" cm="1">
        <f t="array" ref="K49">_xlfn.XLOOKUP(1,((Metas_Diarias[[#This Row],[tipo_equipe_id]]=Metas[equipe])*(Metas_Diarias[[#This Row],[data]]&gt;Metas[data_inicio])*(Metas_Diarias[[#This Row],[data]]&lt;Metas[data_fim])),Metas[meta_mensal],0)</f>
        <v>160000</v>
      </c>
      <c r="L49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50" spans="2:12" x14ac:dyDescent="0.3">
      <c r="B50" s="34">
        <v>45339</v>
      </c>
      <c r="C50" s="34" t="str">
        <f>TEXT(Metas_Diarias[[#This Row],[data]],"dddd")</f>
        <v>sábado</v>
      </c>
      <c r="D50" s="33">
        <v>1</v>
      </c>
      <c r="E50" s="33">
        <v>1</v>
      </c>
      <c r="F50" s="18"/>
      <c r="G50" s="35">
        <f>WEEKDAY(Metas_Diarias[[#This Row],[data]])</f>
        <v>7</v>
      </c>
      <c r="H50" s="35">
        <f>IF(Metas_Diarias[[#This Row],[dias_da_demana]]=1,"domingo",IF(Metas_Diarias[[#This Row],[dias_da_demana]]=7,0.5,1))</f>
        <v>0.5</v>
      </c>
      <c r="I50" s="35">
        <f>_xlfn.XLOOKUP(Metas_Diarias[[#This Row],[data]],Feriados[Data],Feriados[Feriado],1)</f>
        <v>1</v>
      </c>
      <c r="J50" s="33" cm="1">
        <f t="array" aca="1" ref="J50" ca="1">SUMPRODUCT(IF((NOT(ISERROR(MATCH(ROW(INDIRECT(DATE(YEAR(B50),MONTH(B50),1)&amp;":"&amp;DATE(YEAR(B50),MONTH(B50)+1,0))),Feriados[Data],0))))=FALSE,
IF(WEEKDAY(ROW(INDIRECT(DATE(YEAR(B50),MONTH(B50),1)&amp;":"&amp;DATE(YEAR(B50),MONTH(B50)+1,0))),2)&lt;=5,1,IF(WEEKDAY(ROW(INDIRECT(DATE(YEAR(B50),MONTH(B50),1)&amp;":"&amp;DATE(YEAR(B50),MONTH(B50)+1,0))),2)=6,0.5,0)),0))</f>
        <v>21</v>
      </c>
      <c r="K50" s="22" cm="1">
        <f t="array" ref="K50">_xlfn.XLOOKUP(1,((Metas_Diarias[[#This Row],[tipo_equipe_id]]=Metas[equipe])*(Metas_Diarias[[#This Row],[data]]&gt;Metas[data_inicio])*(Metas_Diarias[[#This Row],[data]]&lt;Metas[data_fim])),Metas[meta_mensal],0)</f>
        <v>160000</v>
      </c>
      <c r="L50" s="24">
        <f ca="1">Metas_Diarias[[#This Row],[meta_mensal]]*IF(Metas_Diarias[[#This Row],[semana]]="domingo",0,Metas_Diarias[[#This Row],[semana]])*IF(Metas_Diarias[[#This Row],[feriado]]&lt;&gt;1,0,1)/Metas_Diarias[[#This Row],[dias_úteis_Mês]]</f>
        <v>3809.5238095238096</v>
      </c>
    </row>
    <row r="51" spans="2:12" x14ac:dyDescent="0.3">
      <c r="B51" s="34">
        <v>45340</v>
      </c>
      <c r="C51" s="34" t="str">
        <f>TEXT(Metas_Diarias[[#This Row],[data]],"dddd")</f>
        <v>domingo</v>
      </c>
      <c r="D51" s="33">
        <v>1</v>
      </c>
      <c r="E51" s="33">
        <v>1</v>
      </c>
      <c r="F51" s="18"/>
      <c r="G51" s="35">
        <f>WEEKDAY(Metas_Diarias[[#This Row],[data]])</f>
        <v>1</v>
      </c>
      <c r="H51" s="35" t="str">
        <f>IF(Metas_Diarias[[#This Row],[dias_da_demana]]=1,"domingo",IF(Metas_Diarias[[#This Row],[dias_da_demana]]=7,0.5,1))</f>
        <v>domingo</v>
      </c>
      <c r="I51" s="35">
        <f>_xlfn.XLOOKUP(Metas_Diarias[[#This Row],[data]],Feriados[Data],Feriados[Feriado],1)</f>
        <v>1</v>
      </c>
      <c r="J51" s="33" cm="1">
        <f t="array" aca="1" ref="J51" ca="1">SUMPRODUCT(IF((NOT(ISERROR(MATCH(ROW(INDIRECT(DATE(YEAR(B51),MONTH(B51),1)&amp;":"&amp;DATE(YEAR(B51),MONTH(B51)+1,0))),Feriados[Data],0))))=FALSE,
IF(WEEKDAY(ROW(INDIRECT(DATE(YEAR(B51),MONTH(B51),1)&amp;":"&amp;DATE(YEAR(B51),MONTH(B51)+1,0))),2)&lt;=5,1,IF(WEEKDAY(ROW(INDIRECT(DATE(YEAR(B51),MONTH(B51),1)&amp;":"&amp;DATE(YEAR(B51),MONTH(B51)+1,0))),2)=6,0.5,0)),0))</f>
        <v>21</v>
      </c>
      <c r="K51" s="22" cm="1">
        <f t="array" ref="K51">_xlfn.XLOOKUP(1,((Metas_Diarias[[#This Row],[tipo_equipe_id]]=Metas[equipe])*(Metas_Diarias[[#This Row],[data]]&gt;Metas[data_inicio])*(Metas_Diarias[[#This Row],[data]]&lt;Metas[data_fim])),Metas[meta_mensal],0)</f>
        <v>160000</v>
      </c>
      <c r="L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2" spans="2:12" x14ac:dyDescent="0.3">
      <c r="B52" s="34">
        <v>45341</v>
      </c>
      <c r="C52" s="34" t="str">
        <f>TEXT(Metas_Diarias[[#This Row],[data]],"dddd")</f>
        <v>segunda-feira</v>
      </c>
      <c r="D52" s="33">
        <v>1</v>
      </c>
      <c r="E52" s="33">
        <v>1</v>
      </c>
      <c r="F52" s="18"/>
      <c r="G52" s="35">
        <f>WEEKDAY(Metas_Diarias[[#This Row],[data]])</f>
        <v>2</v>
      </c>
      <c r="H52" s="35">
        <f>IF(Metas_Diarias[[#This Row],[dias_da_demana]]=1,"domingo",IF(Metas_Diarias[[#This Row],[dias_da_demana]]=7,0.5,1))</f>
        <v>1</v>
      </c>
      <c r="I52" s="35">
        <f>_xlfn.XLOOKUP(Metas_Diarias[[#This Row],[data]],Feriados[Data],Feriados[Feriado],1)</f>
        <v>1</v>
      </c>
      <c r="J52" s="33" cm="1">
        <f t="array" aca="1" ref="J52" ca="1">SUMPRODUCT(IF((NOT(ISERROR(MATCH(ROW(INDIRECT(DATE(YEAR(B52),MONTH(B52),1)&amp;":"&amp;DATE(YEAR(B52),MONTH(B52)+1,0))),Feriados[Data],0))))=FALSE,
IF(WEEKDAY(ROW(INDIRECT(DATE(YEAR(B52),MONTH(B52),1)&amp;":"&amp;DATE(YEAR(B52),MONTH(B52)+1,0))),2)&lt;=5,1,IF(WEEKDAY(ROW(INDIRECT(DATE(YEAR(B52),MONTH(B52),1)&amp;":"&amp;DATE(YEAR(B52),MONTH(B52)+1,0))),2)=6,0.5,0)),0))</f>
        <v>21</v>
      </c>
      <c r="K52" s="22" cm="1">
        <f t="array" ref="K52">_xlfn.XLOOKUP(1,((Metas_Diarias[[#This Row],[tipo_equipe_id]]=Metas[equipe])*(Metas_Diarias[[#This Row],[data]]&gt;Metas[data_inicio])*(Metas_Diarias[[#This Row],[data]]&lt;Metas[data_fim])),Metas[meta_mensal],0)</f>
        <v>160000</v>
      </c>
      <c r="L52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53" spans="2:12" x14ac:dyDescent="0.3">
      <c r="B53" s="34">
        <v>45342</v>
      </c>
      <c r="C53" s="34" t="str">
        <f>TEXT(Metas_Diarias[[#This Row],[data]],"dddd")</f>
        <v>terça-feira</v>
      </c>
      <c r="D53" s="33">
        <v>1</v>
      </c>
      <c r="E53" s="33">
        <v>1</v>
      </c>
      <c r="F53" s="18"/>
      <c r="G53" s="35">
        <f>WEEKDAY(Metas_Diarias[[#This Row],[data]])</f>
        <v>3</v>
      </c>
      <c r="H53" s="35">
        <f>IF(Metas_Diarias[[#This Row],[dias_da_demana]]=1,"domingo",IF(Metas_Diarias[[#This Row],[dias_da_demana]]=7,0.5,1))</f>
        <v>1</v>
      </c>
      <c r="I53" s="35">
        <f>_xlfn.XLOOKUP(Metas_Diarias[[#This Row],[data]],Feriados[Data],Feriados[Feriado],1)</f>
        <v>1</v>
      </c>
      <c r="J53" s="33" cm="1">
        <f t="array" aca="1" ref="J53" ca="1">SUMPRODUCT(IF((NOT(ISERROR(MATCH(ROW(INDIRECT(DATE(YEAR(B53),MONTH(B53),1)&amp;":"&amp;DATE(YEAR(B53),MONTH(B53)+1,0))),Feriados[Data],0))))=FALSE,
IF(WEEKDAY(ROW(INDIRECT(DATE(YEAR(B53),MONTH(B53),1)&amp;":"&amp;DATE(YEAR(B53),MONTH(B53)+1,0))),2)&lt;=5,1,IF(WEEKDAY(ROW(INDIRECT(DATE(YEAR(B53),MONTH(B53),1)&amp;":"&amp;DATE(YEAR(B53),MONTH(B53)+1,0))),2)=6,0.5,0)),0))</f>
        <v>21</v>
      </c>
      <c r="K53" s="22" cm="1">
        <f t="array" ref="K53">_xlfn.XLOOKUP(1,((Metas_Diarias[[#This Row],[tipo_equipe_id]]=Metas[equipe])*(Metas_Diarias[[#This Row],[data]]&gt;Metas[data_inicio])*(Metas_Diarias[[#This Row],[data]]&lt;Metas[data_fim])),Metas[meta_mensal],0)</f>
        <v>160000</v>
      </c>
      <c r="L53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54" spans="2:12" x14ac:dyDescent="0.3">
      <c r="B54" s="34">
        <v>45343</v>
      </c>
      <c r="C54" s="34" t="str">
        <f>TEXT(Metas_Diarias[[#This Row],[data]],"dddd")</f>
        <v>quarta-feira</v>
      </c>
      <c r="D54" s="33">
        <v>1</v>
      </c>
      <c r="E54" s="33">
        <v>1</v>
      </c>
      <c r="F54" s="18"/>
      <c r="G54" s="35">
        <f>WEEKDAY(Metas_Diarias[[#This Row],[data]])</f>
        <v>4</v>
      </c>
      <c r="H54" s="35">
        <f>IF(Metas_Diarias[[#This Row],[dias_da_demana]]=1,"domingo",IF(Metas_Diarias[[#This Row],[dias_da_demana]]=7,0.5,1))</f>
        <v>1</v>
      </c>
      <c r="I54" s="35">
        <f>_xlfn.XLOOKUP(Metas_Diarias[[#This Row],[data]],Feriados[Data],Feriados[Feriado],1)</f>
        <v>1</v>
      </c>
      <c r="J54" s="33" cm="1">
        <f t="array" aca="1" ref="J54" ca="1">SUMPRODUCT(IF((NOT(ISERROR(MATCH(ROW(INDIRECT(DATE(YEAR(B54),MONTH(B54),1)&amp;":"&amp;DATE(YEAR(B54),MONTH(B54)+1,0))),Feriados[Data],0))))=FALSE,
IF(WEEKDAY(ROW(INDIRECT(DATE(YEAR(B54),MONTH(B54),1)&amp;":"&amp;DATE(YEAR(B54),MONTH(B54)+1,0))),2)&lt;=5,1,IF(WEEKDAY(ROW(INDIRECT(DATE(YEAR(B54),MONTH(B54),1)&amp;":"&amp;DATE(YEAR(B54),MONTH(B54)+1,0))),2)=6,0.5,0)),0))</f>
        <v>21</v>
      </c>
      <c r="K54" s="22" cm="1">
        <f t="array" ref="K54">_xlfn.XLOOKUP(1,((Metas_Diarias[[#This Row],[tipo_equipe_id]]=Metas[equipe])*(Metas_Diarias[[#This Row],[data]]&gt;Metas[data_inicio])*(Metas_Diarias[[#This Row],[data]]&lt;Metas[data_fim])),Metas[meta_mensal],0)</f>
        <v>160000</v>
      </c>
      <c r="L54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55" spans="2:12" x14ac:dyDescent="0.3">
      <c r="B55" s="34">
        <v>45344</v>
      </c>
      <c r="C55" s="34" t="str">
        <f>TEXT(Metas_Diarias[[#This Row],[data]],"dddd")</f>
        <v>quinta-feira</v>
      </c>
      <c r="D55" s="33">
        <v>1</v>
      </c>
      <c r="E55" s="33">
        <v>1</v>
      </c>
      <c r="F55" s="18"/>
      <c r="G55" s="35">
        <f>WEEKDAY(Metas_Diarias[[#This Row],[data]])</f>
        <v>5</v>
      </c>
      <c r="H55" s="35">
        <f>IF(Metas_Diarias[[#This Row],[dias_da_demana]]=1,"domingo",IF(Metas_Diarias[[#This Row],[dias_da_demana]]=7,0.5,1))</f>
        <v>1</v>
      </c>
      <c r="I55" s="35">
        <f>_xlfn.XLOOKUP(Metas_Diarias[[#This Row],[data]],Feriados[Data],Feriados[Feriado],1)</f>
        <v>1</v>
      </c>
      <c r="J55" s="33" cm="1">
        <f t="array" aca="1" ref="J55" ca="1">SUMPRODUCT(IF((NOT(ISERROR(MATCH(ROW(INDIRECT(DATE(YEAR(B55),MONTH(B55),1)&amp;":"&amp;DATE(YEAR(B55),MONTH(B55)+1,0))),Feriados[Data],0))))=FALSE,
IF(WEEKDAY(ROW(INDIRECT(DATE(YEAR(B55),MONTH(B55),1)&amp;":"&amp;DATE(YEAR(B55),MONTH(B55)+1,0))),2)&lt;=5,1,IF(WEEKDAY(ROW(INDIRECT(DATE(YEAR(B55),MONTH(B55),1)&amp;":"&amp;DATE(YEAR(B55),MONTH(B55)+1,0))),2)=6,0.5,0)),0))</f>
        <v>21</v>
      </c>
      <c r="K55" s="22" cm="1">
        <f t="array" ref="K55">_xlfn.XLOOKUP(1,((Metas_Diarias[[#This Row],[tipo_equipe_id]]=Metas[equipe])*(Metas_Diarias[[#This Row],[data]]&gt;Metas[data_inicio])*(Metas_Diarias[[#This Row],[data]]&lt;Metas[data_fim])),Metas[meta_mensal],0)</f>
        <v>160000</v>
      </c>
      <c r="L55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56" spans="2:12" x14ac:dyDescent="0.3">
      <c r="B56" s="34">
        <v>45345</v>
      </c>
      <c r="C56" s="34" t="str">
        <f>TEXT(Metas_Diarias[[#This Row],[data]],"dddd")</f>
        <v>sexta-feira</v>
      </c>
      <c r="D56" s="33">
        <v>1</v>
      </c>
      <c r="E56" s="33">
        <v>1</v>
      </c>
      <c r="F56" s="18"/>
      <c r="G56" s="35">
        <f>WEEKDAY(Metas_Diarias[[#This Row],[data]])</f>
        <v>6</v>
      </c>
      <c r="H56" s="35">
        <f>IF(Metas_Diarias[[#This Row],[dias_da_demana]]=1,"domingo",IF(Metas_Diarias[[#This Row],[dias_da_demana]]=7,0.5,1))</f>
        <v>1</v>
      </c>
      <c r="I56" s="35">
        <f>_xlfn.XLOOKUP(Metas_Diarias[[#This Row],[data]],Feriados[Data],Feriados[Feriado],1)</f>
        <v>1</v>
      </c>
      <c r="J56" s="33" cm="1">
        <f t="array" aca="1" ref="J56" ca="1">SUMPRODUCT(IF((NOT(ISERROR(MATCH(ROW(INDIRECT(DATE(YEAR(B56),MONTH(B56),1)&amp;":"&amp;DATE(YEAR(B56),MONTH(B56)+1,0))),Feriados[Data],0))))=FALSE,
IF(WEEKDAY(ROW(INDIRECT(DATE(YEAR(B56),MONTH(B56),1)&amp;":"&amp;DATE(YEAR(B56),MONTH(B56)+1,0))),2)&lt;=5,1,IF(WEEKDAY(ROW(INDIRECT(DATE(YEAR(B56),MONTH(B56),1)&amp;":"&amp;DATE(YEAR(B56),MONTH(B56)+1,0))),2)=6,0.5,0)),0))</f>
        <v>21</v>
      </c>
      <c r="K56" s="22" cm="1">
        <f t="array" ref="K56">_xlfn.XLOOKUP(1,((Metas_Diarias[[#This Row],[tipo_equipe_id]]=Metas[equipe])*(Metas_Diarias[[#This Row],[data]]&gt;Metas[data_inicio])*(Metas_Diarias[[#This Row],[data]]&lt;Metas[data_fim])),Metas[meta_mensal],0)</f>
        <v>160000</v>
      </c>
      <c r="L56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57" spans="2:12" x14ac:dyDescent="0.3">
      <c r="B57" s="34">
        <v>45346</v>
      </c>
      <c r="C57" s="34" t="str">
        <f>TEXT(Metas_Diarias[[#This Row],[data]],"dddd")</f>
        <v>sábado</v>
      </c>
      <c r="D57" s="33">
        <v>1</v>
      </c>
      <c r="E57" s="33">
        <v>1</v>
      </c>
      <c r="F57" s="18"/>
      <c r="G57" s="35">
        <f>WEEKDAY(Metas_Diarias[[#This Row],[data]])</f>
        <v>7</v>
      </c>
      <c r="H57" s="35">
        <f>IF(Metas_Diarias[[#This Row],[dias_da_demana]]=1,"domingo",IF(Metas_Diarias[[#This Row],[dias_da_demana]]=7,0.5,1))</f>
        <v>0.5</v>
      </c>
      <c r="I57" s="35">
        <f>_xlfn.XLOOKUP(Metas_Diarias[[#This Row],[data]],Feriados[Data],Feriados[Feriado],1)</f>
        <v>1</v>
      </c>
      <c r="J57" s="33" cm="1">
        <f t="array" aca="1" ref="J57" ca="1">SUMPRODUCT(IF((NOT(ISERROR(MATCH(ROW(INDIRECT(DATE(YEAR(B57),MONTH(B57),1)&amp;":"&amp;DATE(YEAR(B57),MONTH(B57)+1,0))),Feriados[Data],0))))=FALSE,
IF(WEEKDAY(ROW(INDIRECT(DATE(YEAR(B57),MONTH(B57),1)&amp;":"&amp;DATE(YEAR(B57),MONTH(B57)+1,0))),2)&lt;=5,1,IF(WEEKDAY(ROW(INDIRECT(DATE(YEAR(B57),MONTH(B57),1)&amp;":"&amp;DATE(YEAR(B57),MONTH(B57)+1,0))),2)=6,0.5,0)),0))</f>
        <v>21</v>
      </c>
      <c r="K57" s="22" cm="1">
        <f t="array" ref="K57">_xlfn.XLOOKUP(1,((Metas_Diarias[[#This Row],[tipo_equipe_id]]=Metas[equipe])*(Metas_Diarias[[#This Row],[data]]&gt;Metas[data_inicio])*(Metas_Diarias[[#This Row],[data]]&lt;Metas[data_fim])),Metas[meta_mensal],0)</f>
        <v>160000</v>
      </c>
      <c r="L57" s="24">
        <f ca="1">Metas_Diarias[[#This Row],[meta_mensal]]*IF(Metas_Diarias[[#This Row],[semana]]="domingo",0,Metas_Diarias[[#This Row],[semana]])*IF(Metas_Diarias[[#This Row],[feriado]]&lt;&gt;1,0,1)/Metas_Diarias[[#This Row],[dias_úteis_Mês]]</f>
        <v>3809.5238095238096</v>
      </c>
    </row>
    <row r="58" spans="2:12" x14ac:dyDescent="0.3">
      <c r="B58" s="34">
        <v>45347</v>
      </c>
      <c r="C58" s="34" t="str">
        <f>TEXT(Metas_Diarias[[#This Row],[data]],"dddd")</f>
        <v>domingo</v>
      </c>
      <c r="D58" s="33">
        <v>1</v>
      </c>
      <c r="E58" s="33">
        <v>1</v>
      </c>
      <c r="F58" s="18"/>
      <c r="G58" s="35">
        <f>WEEKDAY(Metas_Diarias[[#This Row],[data]])</f>
        <v>1</v>
      </c>
      <c r="H58" s="35" t="str">
        <f>IF(Metas_Diarias[[#This Row],[dias_da_demana]]=1,"domingo",IF(Metas_Diarias[[#This Row],[dias_da_demana]]=7,0.5,1))</f>
        <v>domingo</v>
      </c>
      <c r="I58" s="35">
        <f>_xlfn.XLOOKUP(Metas_Diarias[[#This Row],[data]],Feriados[Data],Feriados[Feriado],1)</f>
        <v>1</v>
      </c>
      <c r="J58" s="33" cm="1">
        <f t="array" aca="1" ref="J58" ca="1">SUMPRODUCT(IF((NOT(ISERROR(MATCH(ROW(INDIRECT(DATE(YEAR(B58),MONTH(B58),1)&amp;":"&amp;DATE(YEAR(B58),MONTH(B58)+1,0))),Feriados[Data],0))))=FALSE,
IF(WEEKDAY(ROW(INDIRECT(DATE(YEAR(B58),MONTH(B58),1)&amp;":"&amp;DATE(YEAR(B58),MONTH(B58)+1,0))),2)&lt;=5,1,IF(WEEKDAY(ROW(INDIRECT(DATE(YEAR(B58),MONTH(B58),1)&amp;":"&amp;DATE(YEAR(B58),MONTH(B58)+1,0))),2)=6,0.5,0)),0))</f>
        <v>21</v>
      </c>
      <c r="K58" s="22" cm="1">
        <f t="array" ref="K58">_xlfn.XLOOKUP(1,((Metas_Diarias[[#This Row],[tipo_equipe_id]]=Metas[equipe])*(Metas_Diarias[[#This Row],[data]]&gt;Metas[data_inicio])*(Metas_Diarias[[#This Row],[data]]&lt;Metas[data_fim])),Metas[meta_mensal],0)</f>
        <v>160000</v>
      </c>
      <c r="L5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9" spans="2:12" x14ac:dyDescent="0.3">
      <c r="B59" s="34">
        <v>45348</v>
      </c>
      <c r="C59" s="34" t="str">
        <f>TEXT(Metas_Diarias[[#This Row],[data]],"dddd")</f>
        <v>segunda-feira</v>
      </c>
      <c r="D59" s="33">
        <v>1</v>
      </c>
      <c r="E59" s="33">
        <v>1</v>
      </c>
      <c r="F59" s="18"/>
      <c r="G59" s="35">
        <f>WEEKDAY(Metas_Diarias[[#This Row],[data]])</f>
        <v>2</v>
      </c>
      <c r="H59" s="35">
        <f>IF(Metas_Diarias[[#This Row],[dias_da_demana]]=1,"domingo",IF(Metas_Diarias[[#This Row],[dias_da_demana]]=7,0.5,1))</f>
        <v>1</v>
      </c>
      <c r="I59" s="35">
        <f>_xlfn.XLOOKUP(Metas_Diarias[[#This Row],[data]],Feriados[Data],Feriados[Feriado],1)</f>
        <v>1</v>
      </c>
      <c r="J59" s="33" cm="1">
        <f t="array" aca="1" ref="J59" ca="1">SUMPRODUCT(IF((NOT(ISERROR(MATCH(ROW(INDIRECT(DATE(YEAR(B59),MONTH(B59),1)&amp;":"&amp;DATE(YEAR(B59),MONTH(B59)+1,0))),Feriados[Data],0))))=FALSE,
IF(WEEKDAY(ROW(INDIRECT(DATE(YEAR(B59),MONTH(B59),1)&amp;":"&amp;DATE(YEAR(B59),MONTH(B59)+1,0))),2)&lt;=5,1,IF(WEEKDAY(ROW(INDIRECT(DATE(YEAR(B59),MONTH(B59),1)&amp;":"&amp;DATE(YEAR(B59),MONTH(B59)+1,0))),2)=6,0.5,0)),0))</f>
        <v>21</v>
      </c>
      <c r="K59" s="22" cm="1">
        <f t="array" ref="K59">_xlfn.XLOOKUP(1,((Metas_Diarias[[#This Row],[tipo_equipe_id]]=Metas[equipe])*(Metas_Diarias[[#This Row],[data]]&gt;Metas[data_inicio])*(Metas_Diarias[[#This Row],[data]]&lt;Metas[data_fim])),Metas[meta_mensal],0)</f>
        <v>160000</v>
      </c>
      <c r="L59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60" spans="2:12" x14ac:dyDescent="0.3">
      <c r="B60" s="34">
        <v>45349</v>
      </c>
      <c r="C60" s="34" t="str">
        <f>TEXT(Metas_Diarias[[#This Row],[data]],"dddd")</f>
        <v>terça-feira</v>
      </c>
      <c r="D60" s="33">
        <v>1</v>
      </c>
      <c r="E60" s="33">
        <v>1</v>
      </c>
      <c r="F60" s="18"/>
      <c r="G60" s="35">
        <f>WEEKDAY(Metas_Diarias[[#This Row],[data]])</f>
        <v>3</v>
      </c>
      <c r="H60" s="35">
        <f>IF(Metas_Diarias[[#This Row],[dias_da_demana]]=1,"domingo",IF(Metas_Diarias[[#This Row],[dias_da_demana]]=7,0.5,1))</f>
        <v>1</v>
      </c>
      <c r="I60" s="35">
        <f>_xlfn.XLOOKUP(Metas_Diarias[[#This Row],[data]],Feriados[Data],Feriados[Feriado],1)</f>
        <v>1</v>
      </c>
      <c r="J60" s="33" cm="1">
        <f t="array" aca="1" ref="J60" ca="1">SUMPRODUCT(IF((NOT(ISERROR(MATCH(ROW(INDIRECT(DATE(YEAR(B60),MONTH(B60),1)&amp;":"&amp;DATE(YEAR(B60),MONTH(B60)+1,0))),Feriados[Data],0))))=FALSE,
IF(WEEKDAY(ROW(INDIRECT(DATE(YEAR(B60),MONTH(B60),1)&amp;":"&amp;DATE(YEAR(B60),MONTH(B60)+1,0))),2)&lt;=5,1,IF(WEEKDAY(ROW(INDIRECT(DATE(YEAR(B60),MONTH(B60),1)&amp;":"&amp;DATE(YEAR(B60),MONTH(B60)+1,0))),2)=6,0.5,0)),0))</f>
        <v>21</v>
      </c>
      <c r="K60" s="22" cm="1">
        <f t="array" ref="K60">_xlfn.XLOOKUP(1,((Metas_Diarias[[#This Row],[tipo_equipe_id]]=Metas[equipe])*(Metas_Diarias[[#This Row],[data]]&gt;Metas[data_inicio])*(Metas_Diarias[[#This Row],[data]]&lt;Metas[data_fim])),Metas[meta_mensal],0)</f>
        <v>160000</v>
      </c>
      <c r="L60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61" spans="2:12" x14ac:dyDescent="0.3">
      <c r="B61" s="34">
        <v>45350</v>
      </c>
      <c r="C61" s="34" t="str">
        <f>TEXT(Metas_Diarias[[#This Row],[data]],"dddd")</f>
        <v>quarta-feira</v>
      </c>
      <c r="D61" s="33">
        <v>1</v>
      </c>
      <c r="E61" s="33">
        <v>1</v>
      </c>
      <c r="F61" s="18"/>
      <c r="G61" s="35">
        <f>WEEKDAY(Metas_Diarias[[#This Row],[data]])</f>
        <v>4</v>
      </c>
      <c r="H61" s="35">
        <f>IF(Metas_Diarias[[#This Row],[dias_da_demana]]=1,"domingo",IF(Metas_Diarias[[#This Row],[dias_da_demana]]=7,0.5,1))</f>
        <v>1</v>
      </c>
      <c r="I61" s="35">
        <f>_xlfn.XLOOKUP(Metas_Diarias[[#This Row],[data]],Feriados[Data],Feriados[Feriado],1)</f>
        <v>1</v>
      </c>
      <c r="J61" s="33" cm="1">
        <f t="array" aca="1" ref="J61" ca="1">SUMPRODUCT(IF((NOT(ISERROR(MATCH(ROW(INDIRECT(DATE(YEAR(B61),MONTH(B61),1)&amp;":"&amp;DATE(YEAR(B61),MONTH(B61)+1,0))),Feriados[Data],0))))=FALSE,
IF(WEEKDAY(ROW(INDIRECT(DATE(YEAR(B61),MONTH(B61),1)&amp;":"&amp;DATE(YEAR(B61),MONTH(B61)+1,0))),2)&lt;=5,1,IF(WEEKDAY(ROW(INDIRECT(DATE(YEAR(B61),MONTH(B61),1)&amp;":"&amp;DATE(YEAR(B61),MONTH(B61)+1,0))),2)=6,0.5,0)),0))</f>
        <v>21</v>
      </c>
      <c r="K61" s="22" cm="1">
        <f t="array" ref="K61">_xlfn.XLOOKUP(1,((Metas_Diarias[[#This Row],[tipo_equipe_id]]=Metas[equipe])*(Metas_Diarias[[#This Row],[data]]&gt;Metas[data_inicio])*(Metas_Diarias[[#This Row],[data]]&lt;Metas[data_fim])),Metas[meta_mensal],0)</f>
        <v>160000</v>
      </c>
      <c r="L61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62" spans="2:12" x14ac:dyDescent="0.3">
      <c r="B62" s="34">
        <v>45351</v>
      </c>
      <c r="C62" s="34" t="str">
        <f>TEXT(Metas_Diarias[[#This Row],[data]],"dddd")</f>
        <v>quinta-feira</v>
      </c>
      <c r="D62" s="33">
        <v>1</v>
      </c>
      <c r="E62" s="33">
        <v>1</v>
      </c>
      <c r="F62" s="18"/>
      <c r="G62" s="35">
        <f>WEEKDAY(Metas_Diarias[[#This Row],[data]])</f>
        <v>5</v>
      </c>
      <c r="H62" s="35">
        <f>IF(Metas_Diarias[[#This Row],[dias_da_demana]]=1,"domingo",IF(Metas_Diarias[[#This Row],[dias_da_demana]]=7,0.5,1))</f>
        <v>1</v>
      </c>
      <c r="I62" s="35">
        <f>_xlfn.XLOOKUP(Metas_Diarias[[#This Row],[data]],Feriados[Data],Feriados[Feriado],1)</f>
        <v>1</v>
      </c>
      <c r="J62" s="33" cm="1">
        <f t="array" aca="1" ref="J62" ca="1">SUMPRODUCT(IF((NOT(ISERROR(MATCH(ROW(INDIRECT(DATE(YEAR(B62),MONTH(B62),1)&amp;":"&amp;DATE(YEAR(B62),MONTH(B62)+1,0))),Feriados[Data],0))))=FALSE,
IF(WEEKDAY(ROW(INDIRECT(DATE(YEAR(B62),MONTH(B62),1)&amp;":"&amp;DATE(YEAR(B62),MONTH(B62)+1,0))),2)&lt;=5,1,IF(WEEKDAY(ROW(INDIRECT(DATE(YEAR(B62),MONTH(B62),1)&amp;":"&amp;DATE(YEAR(B62),MONTH(B62)+1,0))),2)=6,0.5,0)),0))</f>
        <v>21</v>
      </c>
      <c r="K62" s="22" cm="1">
        <f t="array" ref="K62">_xlfn.XLOOKUP(1,((Metas_Diarias[[#This Row],[tipo_equipe_id]]=Metas[equipe])*(Metas_Diarias[[#This Row],[data]]&gt;Metas[data_inicio])*(Metas_Diarias[[#This Row],[data]]&lt;Metas[data_fim])),Metas[meta_mensal],0)</f>
        <v>160000</v>
      </c>
      <c r="L62" s="24">
        <f ca="1">Metas_Diarias[[#This Row],[meta_mensal]]*IF(Metas_Diarias[[#This Row],[semana]]="domingo",0,Metas_Diarias[[#This Row],[semana]])*IF(Metas_Diarias[[#This Row],[feriado]]&lt;&gt;1,0,1)/Metas_Diarias[[#This Row],[dias_úteis_Mês]]</f>
        <v>7619.0476190476193</v>
      </c>
    </row>
    <row r="63" spans="2:12" x14ac:dyDescent="0.3">
      <c r="B63" s="34">
        <v>45352</v>
      </c>
      <c r="C63" s="34" t="str">
        <f>TEXT(Metas_Diarias[[#This Row],[data]],"dddd")</f>
        <v>sexta-feira</v>
      </c>
      <c r="D63" s="33">
        <v>1</v>
      </c>
      <c r="E63" s="33">
        <v>1</v>
      </c>
      <c r="F63" s="18"/>
      <c r="G63" s="35">
        <f>WEEKDAY(Metas_Diarias[[#This Row],[data]])</f>
        <v>6</v>
      </c>
      <c r="H63" s="35">
        <f>IF(Metas_Diarias[[#This Row],[dias_da_demana]]=1,"domingo",IF(Metas_Diarias[[#This Row],[dias_da_demana]]=7,0.5,1))</f>
        <v>1</v>
      </c>
      <c r="I63" s="35">
        <f>_xlfn.XLOOKUP(Metas_Diarias[[#This Row],[data]],Feriados[Data],Feriados[Feriado],1)</f>
        <v>1</v>
      </c>
      <c r="J63" s="33" cm="1">
        <f t="array" aca="1" ref="J63" ca="1">SUMPRODUCT(IF((NOT(ISERROR(MATCH(ROW(INDIRECT(DATE(YEAR(B63),MONTH(B63),1)&amp;":"&amp;DATE(YEAR(B63),MONTH(B63)+1,0))),Feriados[Data],0))))=FALSE,
IF(WEEKDAY(ROW(INDIRECT(DATE(YEAR(B63),MONTH(B63),1)&amp;":"&amp;DATE(YEAR(B63),MONTH(B63)+1,0))),2)&lt;=5,1,IF(WEEKDAY(ROW(INDIRECT(DATE(YEAR(B63),MONTH(B63),1)&amp;":"&amp;DATE(YEAR(B63),MONTH(B63)+1,0))),2)=6,0.5,0)),0))</f>
        <v>22.5</v>
      </c>
      <c r="K63" s="22" cm="1">
        <f t="array" ref="K63">_xlfn.XLOOKUP(1,((Metas_Diarias[[#This Row],[tipo_equipe_id]]=Metas[equipe])*(Metas_Diarias[[#This Row],[data]]&gt;Metas[data_inicio])*(Metas_Diarias[[#This Row],[data]]&lt;Metas[data_fim])),Metas[meta_mensal],0)</f>
        <v>160000</v>
      </c>
      <c r="L63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64" spans="2:12" x14ac:dyDescent="0.3">
      <c r="B64" s="34">
        <v>45353</v>
      </c>
      <c r="C64" s="34" t="str">
        <f>TEXT(Metas_Diarias[[#This Row],[data]],"dddd")</f>
        <v>sábado</v>
      </c>
      <c r="D64" s="33">
        <v>1</v>
      </c>
      <c r="E64" s="33">
        <v>1</v>
      </c>
      <c r="F64" s="18"/>
      <c r="G64" s="35">
        <f>WEEKDAY(Metas_Diarias[[#This Row],[data]])</f>
        <v>7</v>
      </c>
      <c r="H64" s="35">
        <f>IF(Metas_Diarias[[#This Row],[dias_da_demana]]=1,"domingo",IF(Metas_Diarias[[#This Row],[dias_da_demana]]=7,0.5,1))</f>
        <v>0.5</v>
      </c>
      <c r="I64" s="35">
        <f>_xlfn.XLOOKUP(Metas_Diarias[[#This Row],[data]],Feriados[Data],Feriados[Feriado],1)</f>
        <v>1</v>
      </c>
      <c r="J64" s="33" cm="1">
        <f t="array" aca="1" ref="J64" ca="1">SUMPRODUCT(IF((NOT(ISERROR(MATCH(ROW(INDIRECT(DATE(YEAR(B64),MONTH(B64),1)&amp;":"&amp;DATE(YEAR(B64),MONTH(B64)+1,0))),Feriados[Data],0))))=FALSE,
IF(WEEKDAY(ROW(INDIRECT(DATE(YEAR(B64),MONTH(B64),1)&amp;":"&amp;DATE(YEAR(B64),MONTH(B64)+1,0))),2)&lt;=5,1,IF(WEEKDAY(ROW(INDIRECT(DATE(YEAR(B64),MONTH(B64),1)&amp;":"&amp;DATE(YEAR(B64),MONTH(B64)+1,0))),2)=6,0.5,0)),0))</f>
        <v>22.5</v>
      </c>
      <c r="K64" s="22" cm="1">
        <f t="array" ref="K64">_xlfn.XLOOKUP(1,((Metas_Diarias[[#This Row],[tipo_equipe_id]]=Metas[equipe])*(Metas_Diarias[[#This Row],[data]]&gt;Metas[data_inicio])*(Metas_Diarias[[#This Row],[data]]&lt;Metas[data_fim])),Metas[meta_mensal],0)</f>
        <v>160000</v>
      </c>
      <c r="L64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65" spans="2:12" x14ac:dyDescent="0.3">
      <c r="B65" s="34">
        <v>45354</v>
      </c>
      <c r="C65" s="34" t="str">
        <f>TEXT(Metas_Diarias[[#This Row],[data]],"dddd")</f>
        <v>domingo</v>
      </c>
      <c r="D65" s="33">
        <v>1</v>
      </c>
      <c r="E65" s="33">
        <v>1</v>
      </c>
      <c r="F65" s="18"/>
      <c r="G65" s="35">
        <f>WEEKDAY(Metas_Diarias[[#This Row],[data]])</f>
        <v>1</v>
      </c>
      <c r="H65" s="35" t="str">
        <f>IF(Metas_Diarias[[#This Row],[dias_da_demana]]=1,"domingo",IF(Metas_Diarias[[#This Row],[dias_da_demana]]=7,0.5,1))</f>
        <v>domingo</v>
      </c>
      <c r="I65" s="35">
        <f>_xlfn.XLOOKUP(Metas_Diarias[[#This Row],[data]],Feriados[Data],Feriados[Feriado],1)</f>
        <v>1</v>
      </c>
      <c r="J65" s="33" cm="1">
        <f t="array" aca="1" ref="J65" ca="1">SUMPRODUCT(IF((NOT(ISERROR(MATCH(ROW(INDIRECT(DATE(YEAR(B65),MONTH(B65),1)&amp;":"&amp;DATE(YEAR(B65),MONTH(B65)+1,0))),Feriados[Data],0))))=FALSE,
IF(WEEKDAY(ROW(INDIRECT(DATE(YEAR(B65),MONTH(B65),1)&amp;":"&amp;DATE(YEAR(B65),MONTH(B65)+1,0))),2)&lt;=5,1,IF(WEEKDAY(ROW(INDIRECT(DATE(YEAR(B65),MONTH(B65),1)&amp;":"&amp;DATE(YEAR(B65),MONTH(B65)+1,0))),2)=6,0.5,0)),0))</f>
        <v>22.5</v>
      </c>
      <c r="K65" s="22" cm="1">
        <f t="array" ref="K65">_xlfn.XLOOKUP(1,((Metas_Diarias[[#This Row],[tipo_equipe_id]]=Metas[equipe])*(Metas_Diarias[[#This Row],[data]]&gt;Metas[data_inicio])*(Metas_Diarias[[#This Row],[data]]&lt;Metas[data_fim])),Metas[meta_mensal],0)</f>
        <v>160000</v>
      </c>
      <c r="L6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6" spans="2:12" x14ac:dyDescent="0.3">
      <c r="B66" s="34">
        <v>45355</v>
      </c>
      <c r="C66" s="34" t="str">
        <f>TEXT(Metas_Diarias[[#This Row],[data]],"dddd")</f>
        <v>segunda-feira</v>
      </c>
      <c r="D66" s="33">
        <v>1</v>
      </c>
      <c r="E66" s="33">
        <v>1</v>
      </c>
      <c r="F66" s="18"/>
      <c r="G66" s="35">
        <f>WEEKDAY(Metas_Diarias[[#This Row],[data]])</f>
        <v>2</v>
      </c>
      <c r="H66" s="35">
        <f>IF(Metas_Diarias[[#This Row],[dias_da_demana]]=1,"domingo",IF(Metas_Diarias[[#This Row],[dias_da_demana]]=7,0.5,1))</f>
        <v>1</v>
      </c>
      <c r="I66" s="35">
        <f>_xlfn.XLOOKUP(Metas_Diarias[[#This Row],[data]],Feriados[Data],Feriados[Feriado],1)</f>
        <v>1</v>
      </c>
      <c r="J66" s="33" cm="1">
        <f t="array" aca="1" ref="J66" ca="1">SUMPRODUCT(IF((NOT(ISERROR(MATCH(ROW(INDIRECT(DATE(YEAR(B66),MONTH(B66),1)&amp;":"&amp;DATE(YEAR(B66),MONTH(B66)+1,0))),Feriados[Data],0))))=FALSE,
IF(WEEKDAY(ROW(INDIRECT(DATE(YEAR(B66),MONTH(B66),1)&amp;":"&amp;DATE(YEAR(B66),MONTH(B66)+1,0))),2)&lt;=5,1,IF(WEEKDAY(ROW(INDIRECT(DATE(YEAR(B66),MONTH(B66),1)&amp;":"&amp;DATE(YEAR(B66),MONTH(B66)+1,0))),2)=6,0.5,0)),0))</f>
        <v>22.5</v>
      </c>
      <c r="K66" s="22" cm="1">
        <f t="array" ref="K66">_xlfn.XLOOKUP(1,((Metas_Diarias[[#This Row],[tipo_equipe_id]]=Metas[equipe])*(Metas_Diarias[[#This Row],[data]]&gt;Metas[data_inicio])*(Metas_Diarias[[#This Row],[data]]&lt;Metas[data_fim])),Metas[meta_mensal],0)</f>
        <v>160000</v>
      </c>
      <c r="L66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67" spans="2:12" x14ac:dyDescent="0.3">
      <c r="B67" s="34">
        <v>45356</v>
      </c>
      <c r="C67" s="34" t="str">
        <f>TEXT(Metas_Diarias[[#This Row],[data]],"dddd")</f>
        <v>terça-feira</v>
      </c>
      <c r="D67" s="33">
        <v>1</v>
      </c>
      <c r="E67" s="33">
        <v>1</v>
      </c>
      <c r="F67" s="18"/>
      <c r="G67" s="35">
        <f>WEEKDAY(Metas_Diarias[[#This Row],[data]])</f>
        <v>3</v>
      </c>
      <c r="H67" s="35">
        <f>IF(Metas_Diarias[[#This Row],[dias_da_demana]]=1,"domingo",IF(Metas_Diarias[[#This Row],[dias_da_demana]]=7,0.5,1))</f>
        <v>1</v>
      </c>
      <c r="I67" s="35">
        <f>_xlfn.XLOOKUP(Metas_Diarias[[#This Row],[data]],Feriados[Data],Feriados[Feriado],1)</f>
        <v>1</v>
      </c>
      <c r="J67" s="33" cm="1">
        <f t="array" aca="1" ref="J67" ca="1">SUMPRODUCT(IF((NOT(ISERROR(MATCH(ROW(INDIRECT(DATE(YEAR(B67),MONTH(B67),1)&amp;":"&amp;DATE(YEAR(B67),MONTH(B67)+1,0))),Feriados[Data],0))))=FALSE,
IF(WEEKDAY(ROW(INDIRECT(DATE(YEAR(B67),MONTH(B67),1)&amp;":"&amp;DATE(YEAR(B67),MONTH(B67)+1,0))),2)&lt;=5,1,IF(WEEKDAY(ROW(INDIRECT(DATE(YEAR(B67),MONTH(B67),1)&amp;":"&amp;DATE(YEAR(B67),MONTH(B67)+1,0))),2)=6,0.5,0)),0))</f>
        <v>22.5</v>
      </c>
      <c r="K67" s="22" cm="1">
        <f t="array" ref="K67">_xlfn.XLOOKUP(1,((Metas_Diarias[[#This Row],[tipo_equipe_id]]=Metas[equipe])*(Metas_Diarias[[#This Row],[data]]&gt;Metas[data_inicio])*(Metas_Diarias[[#This Row],[data]]&lt;Metas[data_fim])),Metas[meta_mensal],0)</f>
        <v>160000</v>
      </c>
      <c r="L67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68" spans="2:12" x14ac:dyDescent="0.3">
      <c r="B68" s="34">
        <v>45357</v>
      </c>
      <c r="C68" s="34" t="str">
        <f>TEXT(Metas_Diarias[[#This Row],[data]],"dddd")</f>
        <v>quarta-feira</v>
      </c>
      <c r="D68" s="33">
        <v>1</v>
      </c>
      <c r="E68" s="33">
        <v>1</v>
      </c>
      <c r="F68" s="18"/>
      <c r="G68" s="35">
        <f>WEEKDAY(Metas_Diarias[[#This Row],[data]])</f>
        <v>4</v>
      </c>
      <c r="H68" s="35">
        <f>IF(Metas_Diarias[[#This Row],[dias_da_demana]]=1,"domingo",IF(Metas_Diarias[[#This Row],[dias_da_demana]]=7,0.5,1))</f>
        <v>1</v>
      </c>
      <c r="I68" s="35">
        <f>_xlfn.XLOOKUP(Metas_Diarias[[#This Row],[data]],Feriados[Data],Feriados[Feriado],1)</f>
        <v>1</v>
      </c>
      <c r="J68" s="33" cm="1">
        <f t="array" aca="1" ref="J68" ca="1">SUMPRODUCT(IF((NOT(ISERROR(MATCH(ROW(INDIRECT(DATE(YEAR(B68),MONTH(B68),1)&amp;":"&amp;DATE(YEAR(B68),MONTH(B68)+1,0))),Feriados[Data],0))))=FALSE,
IF(WEEKDAY(ROW(INDIRECT(DATE(YEAR(B68),MONTH(B68),1)&amp;":"&amp;DATE(YEAR(B68),MONTH(B68)+1,0))),2)&lt;=5,1,IF(WEEKDAY(ROW(INDIRECT(DATE(YEAR(B68),MONTH(B68),1)&amp;":"&amp;DATE(YEAR(B68),MONTH(B68)+1,0))),2)=6,0.5,0)),0))</f>
        <v>22.5</v>
      </c>
      <c r="K68" s="22" cm="1">
        <f t="array" ref="K68">_xlfn.XLOOKUP(1,((Metas_Diarias[[#This Row],[tipo_equipe_id]]=Metas[equipe])*(Metas_Diarias[[#This Row],[data]]&gt;Metas[data_inicio])*(Metas_Diarias[[#This Row],[data]]&lt;Metas[data_fim])),Metas[meta_mensal],0)</f>
        <v>160000</v>
      </c>
      <c r="L68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69" spans="2:12" x14ac:dyDescent="0.3">
      <c r="B69" s="34">
        <v>45358</v>
      </c>
      <c r="C69" s="34" t="str">
        <f>TEXT(Metas_Diarias[[#This Row],[data]],"dddd")</f>
        <v>quinta-feira</v>
      </c>
      <c r="D69" s="33">
        <v>1</v>
      </c>
      <c r="E69" s="33">
        <v>1</v>
      </c>
      <c r="F69" s="18"/>
      <c r="G69" s="35">
        <f>WEEKDAY(Metas_Diarias[[#This Row],[data]])</f>
        <v>5</v>
      </c>
      <c r="H69" s="35">
        <f>IF(Metas_Diarias[[#This Row],[dias_da_demana]]=1,"domingo",IF(Metas_Diarias[[#This Row],[dias_da_demana]]=7,0.5,1))</f>
        <v>1</v>
      </c>
      <c r="I69" s="35">
        <f>_xlfn.XLOOKUP(Metas_Diarias[[#This Row],[data]],Feriados[Data],Feriados[Feriado],1)</f>
        <v>1</v>
      </c>
      <c r="J69" s="33" cm="1">
        <f t="array" aca="1" ref="J69" ca="1">SUMPRODUCT(IF((NOT(ISERROR(MATCH(ROW(INDIRECT(DATE(YEAR(B69),MONTH(B69),1)&amp;":"&amp;DATE(YEAR(B69),MONTH(B69)+1,0))),Feriados[Data],0))))=FALSE,
IF(WEEKDAY(ROW(INDIRECT(DATE(YEAR(B69),MONTH(B69),1)&amp;":"&amp;DATE(YEAR(B69),MONTH(B69)+1,0))),2)&lt;=5,1,IF(WEEKDAY(ROW(INDIRECT(DATE(YEAR(B69),MONTH(B69),1)&amp;":"&amp;DATE(YEAR(B69),MONTH(B69)+1,0))),2)=6,0.5,0)),0))</f>
        <v>22.5</v>
      </c>
      <c r="K69" s="22" cm="1">
        <f t="array" ref="K69">_xlfn.XLOOKUP(1,((Metas_Diarias[[#This Row],[tipo_equipe_id]]=Metas[equipe])*(Metas_Diarias[[#This Row],[data]]&gt;Metas[data_inicio])*(Metas_Diarias[[#This Row],[data]]&lt;Metas[data_fim])),Metas[meta_mensal],0)</f>
        <v>160000</v>
      </c>
      <c r="L69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70" spans="2:12" x14ac:dyDescent="0.3">
      <c r="B70" s="34">
        <v>45359</v>
      </c>
      <c r="C70" s="34" t="str">
        <f>TEXT(Metas_Diarias[[#This Row],[data]],"dddd")</f>
        <v>sexta-feira</v>
      </c>
      <c r="D70" s="33">
        <v>1</v>
      </c>
      <c r="E70" s="33">
        <v>1</v>
      </c>
      <c r="F70" s="18"/>
      <c r="G70" s="35">
        <f>WEEKDAY(Metas_Diarias[[#This Row],[data]])</f>
        <v>6</v>
      </c>
      <c r="H70" s="35">
        <f>IF(Metas_Diarias[[#This Row],[dias_da_demana]]=1,"domingo",IF(Metas_Diarias[[#This Row],[dias_da_demana]]=7,0.5,1))</f>
        <v>1</v>
      </c>
      <c r="I70" s="35">
        <f>_xlfn.XLOOKUP(Metas_Diarias[[#This Row],[data]],Feriados[Data],Feriados[Feriado],1)</f>
        <v>1</v>
      </c>
      <c r="J70" s="33" cm="1">
        <f t="array" aca="1" ref="J70" ca="1">SUMPRODUCT(IF((NOT(ISERROR(MATCH(ROW(INDIRECT(DATE(YEAR(B70),MONTH(B70),1)&amp;":"&amp;DATE(YEAR(B70),MONTH(B70)+1,0))),Feriados[Data],0))))=FALSE,
IF(WEEKDAY(ROW(INDIRECT(DATE(YEAR(B70),MONTH(B70),1)&amp;":"&amp;DATE(YEAR(B70),MONTH(B70)+1,0))),2)&lt;=5,1,IF(WEEKDAY(ROW(INDIRECT(DATE(YEAR(B70),MONTH(B70),1)&amp;":"&amp;DATE(YEAR(B70),MONTH(B70)+1,0))),2)=6,0.5,0)),0))</f>
        <v>22.5</v>
      </c>
      <c r="K70" s="22" cm="1">
        <f t="array" ref="K70">_xlfn.XLOOKUP(1,((Metas_Diarias[[#This Row],[tipo_equipe_id]]=Metas[equipe])*(Metas_Diarias[[#This Row],[data]]&gt;Metas[data_inicio])*(Metas_Diarias[[#This Row],[data]]&lt;Metas[data_fim])),Metas[meta_mensal],0)</f>
        <v>160000</v>
      </c>
      <c r="L70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71" spans="2:12" x14ac:dyDescent="0.3">
      <c r="B71" s="34">
        <v>45360</v>
      </c>
      <c r="C71" s="34" t="str">
        <f>TEXT(Metas_Diarias[[#This Row],[data]],"dddd")</f>
        <v>sábado</v>
      </c>
      <c r="D71" s="33">
        <v>1</v>
      </c>
      <c r="E71" s="33">
        <v>1</v>
      </c>
      <c r="F71" s="18"/>
      <c r="G71" s="35">
        <f>WEEKDAY(Metas_Diarias[[#This Row],[data]])</f>
        <v>7</v>
      </c>
      <c r="H71" s="35">
        <f>IF(Metas_Diarias[[#This Row],[dias_da_demana]]=1,"domingo",IF(Metas_Diarias[[#This Row],[dias_da_demana]]=7,0.5,1))</f>
        <v>0.5</v>
      </c>
      <c r="I71" s="35">
        <f>_xlfn.XLOOKUP(Metas_Diarias[[#This Row],[data]],Feriados[Data],Feriados[Feriado],1)</f>
        <v>1</v>
      </c>
      <c r="J71" s="33" cm="1">
        <f t="array" aca="1" ref="J71" ca="1">SUMPRODUCT(IF((NOT(ISERROR(MATCH(ROW(INDIRECT(DATE(YEAR(B71),MONTH(B71),1)&amp;":"&amp;DATE(YEAR(B71),MONTH(B71)+1,0))),Feriados[Data],0))))=FALSE,
IF(WEEKDAY(ROW(INDIRECT(DATE(YEAR(B71),MONTH(B71),1)&amp;":"&amp;DATE(YEAR(B71),MONTH(B71)+1,0))),2)&lt;=5,1,IF(WEEKDAY(ROW(INDIRECT(DATE(YEAR(B71),MONTH(B71),1)&amp;":"&amp;DATE(YEAR(B71),MONTH(B71)+1,0))),2)=6,0.5,0)),0))</f>
        <v>22.5</v>
      </c>
      <c r="K71" s="22" cm="1">
        <f t="array" ref="K71">_xlfn.XLOOKUP(1,((Metas_Diarias[[#This Row],[tipo_equipe_id]]=Metas[equipe])*(Metas_Diarias[[#This Row],[data]]&gt;Metas[data_inicio])*(Metas_Diarias[[#This Row],[data]]&lt;Metas[data_fim])),Metas[meta_mensal],0)</f>
        <v>160000</v>
      </c>
      <c r="L71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72" spans="2:12" x14ac:dyDescent="0.3">
      <c r="B72" s="34">
        <v>45361</v>
      </c>
      <c r="C72" s="34" t="str">
        <f>TEXT(Metas_Diarias[[#This Row],[data]],"dddd")</f>
        <v>domingo</v>
      </c>
      <c r="D72" s="33">
        <v>1</v>
      </c>
      <c r="E72" s="33">
        <v>1</v>
      </c>
      <c r="F72" s="18"/>
      <c r="G72" s="35">
        <f>WEEKDAY(Metas_Diarias[[#This Row],[data]])</f>
        <v>1</v>
      </c>
      <c r="H72" s="35" t="str">
        <f>IF(Metas_Diarias[[#This Row],[dias_da_demana]]=1,"domingo",IF(Metas_Diarias[[#This Row],[dias_da_demana]]=7,0.5,1))</f>
        <v>domingo</v>
      </c>
      <c r="I72" s="35">
        <f>_xlfn.XLOOKUP(Metas_Diarias[[#This Row],[data]],Feriados[Data],Feriados[Feriado],1)</f>
        <v>1</v>
      </c>
      <c r="J72" s="33" cm="1">
        <f t="array" aca="1" ref="J72" ca="1">SUMPRODUCT(IF((NOT(ISERROR(MATCH(ROW(INDIRECT(DATE(YEAR(B72),MONTH(B72),1)&amp;":"&amp;DATE(YEAR(B72),MONTH(B72)+1,0))),Feriados[Data],0))))=FALSE,
IF(WEEKDAY(ROW(INDIRECT(DATE(YEAR(B72),MONTH(B72),1)&amp;":"&amp;DATE(YEAR(B72),MONTH(B72)+1,0))),2)&lt;=5,1,IF(WEEKDAY(ROW(INDIRECT(DATE(YEAR(B72),MONTH(B72),1)&amp;":"&amp;DATE(YEAR(B72),MONTH(B72)+1,0))),2)=6,0.5,0)),0))</f>
        <v>22.5</v>
      </c>
      <c r="K72" s="22" cm="1">
        <f t="array" ref="K72">_xlfn.XLOOKUP(1,((Metas_Diarias[[#This Row],[tipo_equipe_id]]=Metas[equipe])*(Metas_Diarias[[#This Row],[data]]&gt;Metas[data_inicio])*(Metas_Diarias[[#This Row],[data]]&lt;Metas[data_fim])),Metas[meta_mensal],0)</f>
        <v>160000</v>
      </c>
      <c r="L7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3" spans="2:12" x14ac:dyDescent="0.3">
      <c r="B73" s="34">
        <v>45362</v>
      </c>
      <c r="C73" s="34" t="str">
        <f>TEXT(Metas_Diarias[[#This Row],[data]],"dddd")</f>
        <v>segunda-feira</v>
      </c>
      <c r="D73" s="33">
        <v>1</v>
      </c>
      <c r="E73" s="33">
        <v>1</v>
      </c>
      <c r="F73" s="18"/>
      <c r="G73" s="35">
        <f>WEEKDAY(Metas_Diarias[[#This Row],[data]])</f>
        <v>2</v>
      </c>
      <c r="H73" s="35">
        <f>IF(Metas_Diarias[[#This Row],[dias_da_demana]]=1,"domingo",IF(Metas_Diarias[[#This Row],[dias_da_demana]]=7,0.5,1))</f>
        <v>1</v>
      </c>
      <c r="I73" s="35">
        <f>_xlfn.XLOOKUP(Metas_Diarias[[#This Row],[data]],Feriados[Data],Feriados[Feriado],1)</f>
        <v>1</v>
      </c>
      <c r="J73" s="33" cm="1">
        <f t="array" aca="1" ref="J73" ca="1">SUMPRODUCT(IF((NOT(ISERROR(MATCH(ROW(INDIRECT(DATE(YEAR(B73),MONTH(B73),1)&amp;":"&amp;DATE(YEAR(B73),MONTH(B73)+1,0))),Feriados[Data],0))))=FALSE,
IF(WEEKDAY(ROW(INDIRECT(DATE(YEAR(B73),MONTH(B73),1)&amp;":"&amp;DATE(YEAR(B73),MONTH(B73)+1,0))),2)&lt;=5,1,IF(WEEKDAY(ROW(INDIRECT(DATE(YEAR(B73),MONTH(B73),1)&amp;":"&amp;DATE(YEAR(B73),MONTH(B73)+1,0))),2)=6,0.5,0)),0))</f>
        <v>22.5</v>
      </c>
      <c r="K73" s="22" cm="1">
        <f t="array" ref="K73">_xlfn.XLOOKUP(1,((Metas_Diarias[[#This Row],[tipo_equipe_id]]=Metas[equipe])*(Metas_Diarias[[#This Row],[data]]&gt;Metas[data_inicio])*(Metas_Diarias[[#This Row],[data]]&lt;Metas[data_fim])),Metas[meta_mensal],0)</f>
        <v>160000</v>
      </c>
      <c r="L73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74" spans="2:12" x14ac:dyDescent="0.3">
      <c r="B74" s="34">
        <v>45363</v>
      </c>
      <c r="C74" s="34" t="str">
        <f>TEXT(Metas_Diarias[[#This Row],[data]],"dddd")</f>
        <v>terça-feira</v>
      </c>
      <c r="D74" s="33">
        <v>1</v>
      </c>
      <c r="E74" s="33">
        <v>1</v>
      </c>
      <c r="F74" s="18"/>
      <c r="G74" s="35">
        <f>WEEKDAY(Metas_Diarias[[#This Row],[data]])</f>
        <v>3</v>
      </c>
      <c r="H74" s="35">
        <f>IF(Metas_Diarias[[#This Row],[dias_da_demana]]=1,"domingo",IF(Metas_Diarias[[#This Row],[dias_da_demana]]=7,0.5,1))</f>
        <v>1</v>
      </c>
      <c r="I74" s="35">
        <f>_xlfn.XLOOKUP(Metas_Diarias[[#This Row],[data]],Feriados[Data],Feriados[Feriado],1)</f>
        <v>1</v>
      </c>
      <c r="J74" s="33" cm="1">
        <f t="array" aca="1" ref="J74" ca="1">SUMPRODUCT(IF((NOT(ISERROR(MATCH(ROW(INDIRECT(DATE(YEAR(B74),MONTH(B74),1)&amp;":"&amp;DATE(YEAR(B74),MONTH(B74)+1,0))),Feriados[Data],0))))=FALSE,
IF(WEEKDAY(ROW(INDIRECT(DATE(YEAR(B74),MONTH(B74),1)&amp;":"&amp;DATE(YEAR(B74),MONTH(B74)+1,0))),2)&lt;=5,1,IF(WEEKDAY(ROW(INDIRECT(DATE(YEAR(B74),MONTH(B74),1)&amp;":"&amp;DATE(YEAR(B74),MONTH(B74)+1,0))),2)=6,0.5,0)),0))</f>
        <v>22.5</v>
      </c>
      <c r="K74" s="22" cm="1">
        <f t="array" ref="K74">_xlfn.XLOOKUP(1,((Metas_Diarias[[#This Row],[tipo_equipe_id]]=Metas[equipe])*(Metas_Diarias[[#This Row],[data]]&gt;Metas[data_inicio])*(Metas_Diarias[[#This Row],[data]]&lt;Metas[data_fim])),Metas[meta_mensal],0)</f>
        <v>160000</v>
      </c>
      <c r="L74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75" spans="2:12" x14ac:dyDescent="0.3">
      <c r="B75" s="34">
        <v>45364</v>
      </c>
      <c r="C75" s="34" t="str">
        <f>TEXT(Metas_Diarias[[#This Row],[data]],"dddd")</f>
        <v>quarta-feira</v>
      </c>
      <c r="D75" s="33">
        <v>1</v>
      </c>
      <c r="E75" s="33">
        <v>1</v>
      </c>
      <c r="F75" s="18"/>
      <c r="G75" s="35">
        <f>WEEKDAY(Metas_Diarias[[#This Row],[data]])</f>
        <v>4</v>
      </c>
      <c r="H75" s="35">
        <f>IF(Metas_Diarias[[#This Row],[dias_da_demana]]=1,"domingo",IF(Metas_Diarias[[#This Row],[dias_da_demana]]=7,0.5,1))</f>
        <v>1</v>
      </c>
      <c r="I75" s="35">
        <f>_xlfn.XLOOKUP(Metas_Diarias[[#This Row],[data]],Feriados[Data],Feriados[Feriado],1)</f>
        <v>1</v>
      </c>
      <c r="J75" s="33" cm="1">
        <f t="array" aca="1" ref="J75" ca="1">SUMPRODUCT(IF((NOT(ISERROR(MATCH(ROW(INDIRECT(DATE(YEAR(B75),MONTH(B75),1)&amp;":"&amp;DATE(YEAR(B75),MONTH(B75)+1,0))),Feriados[Data],0))))=FALSE,
IF(WEEKDAY(ROW(INDIRECT(DATE(YEAR(B75),MONTH(B75),1)&amp;":"&amp;DATE(YEAR(B75),MONTH(B75)+1,0))),2)&lt;=5,1,IF(WEEKDAY(ROW(INDIRECT(DATE(YEAR(B75),MONTH(B75),1)&amp;":"&amp;DATE(YEAR(B75),MONTH(B75)+1,0))),2)=6,0.5,0)),0))</f>
        <v>22.5</v>
      </c>
      <c r="K75" s="22" cm="1">
        <f t="array" ref="K75">_xlfn.XLOOKUP(1,((Metas_Diarias[[#This Row],[tipo_equipe_id]]=Metas[equipe])*(Metas_Diarias[[#This Row],[data]]&gt;Metas[data_inicio])*(Metas_Diarias[[#This Row],[data]]&lt;Metas[data_fim])),Metas[meta_mensal],0)</f>
        <v>160000</v>
      </c>
      <c r="L75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76" spans="2:12" x14ac:dyDescent="0.3">
      <c r="B76" s="34">
        <v>45365</v>
      </c>
      <c r="C76" s="34" t="str">
        <f>TEXT(Metas_Diarias[[#This Row],[data]],"dddd")</f>
        <v>quinta-feira</v>
      </c>
      <c r="D76" s="33">
        <v>1</v>
      </c>
      <c r="E76" s="33">
        <v>1</v>
      </c>
      <c r="F76" s="18"/>
      <c r="G76" s="35">
        <f>WEEKDAY(Metas_Diarias[[#This Row],[data]])</f>
        <v>5</v>
      </c>
      <c r="H76" s="35">
        <f>IF(Metas_Diarias[[#This Row],[dias_da_demana]]=1,"domingo",IF(Metas_Diarias[[#This Row],[dias_da_demana]]=7,0.5,1))</f>
        <v>1</v>
      </c>
      <c r="I76" s="35">
        <f>_xlfn.XLOOKUP(Metas_Diarias[[#This Row],[data]],Feriados[Data],Feriados[Feriado],1)</f>
        <v>1</v>
      </c>
      <c r="J76" s="33" cm="1">
        <f t="array" aca="1" ref="J76" ca="1">SUMPRODUCT(IF((NOT(ISERROR(MATCH(ROW(INDIRECT(DATE(YEAR(B76),MONTH(B76),1)&amp;":"&amp;DATE(YEAR(B76),MONTH(B76)+1,0))),Feriados[Data],0))))=FALSE,
IF(WEEKDAY(ROW(INDIRECT(DATE(YEAR(B76),MONTH(B76),1)&amp;":"&amp;DATE(YEAR(B76),MONTH(B76)+1,0))),2)&lt;=5,1,IF(WEEKDAY(ROW(INDIRECT(DATE(YEAR(B76),MONTH(B76),1)&amp;":"&amp;DATE(YEAR(B76),MONTH(B76)+1,0))),2)=6,0.5,0)),0))</f>
        <v>22.5</v>
      </c>
      <c r="K76" s="22" cm="1">
        <f t="array" ref="K76">_xlfn.XLOOKUP(1,((Metas_Diarias[[#This Row],[tipo_equipe_id]]=Metas[equipe])*(Metas_Diarias[[#This Row],[data]]&gt;Metas[data_inicio])*(Metas_Diarias[[#This Row],[data]]&lt;Metas[data_fim])),Metas[meta_mensal],0)</f>
        <v>160000</v>
      </c>
      <c r="L76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77" spans="2:12" x14ac:dyDescent="0.3">
      <c r="B77" s="34">
        <v>45366</v>
      </c>
      <c r="C77" s="34" t="str">
        <f>TEXT(Metas_Diarias[[#This Row],[data]],"dddd")</f>
        <v>sexta-feira</v>
      </c>
      <c r="D77" s="33">
        <v>1</v>
      </c>
      <c r="E77" s="33">
        <v>1</v>
      </c>
      <c r="F77" s="18"/>
      <c r="G77" s="35">
        <f>WEEKDAY(Metas_Diarias[[#This Row],[data]])</f>
        <v>6</v>
      </c>
      <c r="H77" s="35">
        <f>IF(Metas_Diarias[[#This Row],[dias_da_demana]]=1,"domingo",IF(Metas_Diarias[[#This Row],[dias_da_demana]]=7,0.5,1))</f>
        <v>1</v>
      </c>
      <c r="I77" s="35">
        <f>_xlfn.XLOOKUP(Metas_Diarias[[#This Row],[data]],Feriados[Data],Feriados[Feriado],1)</f>
        <v>1</v>
      </c>
      <c r="J77" s="33" cm="1">
        <f t="array" aca="1" ref="J77" ca="1">SUMPRODUCT(IF((NOT(ISERROR(MATCH(ROW(INDIRECT(DATE(YEAR(B77),MONTH(B77),1)&amp;":"&amp;DATE(YEAR(B77),MONTH(B77)+1,0))),Feriados[Data],0))))=FALSE,
IF(WEEKDAY(ROW(INDIRECT(DATE(YEAR(B77),MONTH(B77),1)&amp;":"&amp;DATE(YEAR(B77),MONTH(B77)+1,0))),2)&lt;=5,1,IF(WEEKDAY(ROW(INDIRECT(DATE(YEAR(B77),MONTH(B77),1)&amp;":"&amp;DATE(YEAR(B77),MONTH(B77)+1,0))),2)=6,0.5,0)),0))</f>
        <v>22.5</v>
      </c>
      <c r="K77" s="22" cm="1">
        <f t="array" ref="K77">_xlfn.XLOOKUP(1,((Metas_Diarias[[#This Row],[tipo_equipe_id]]=Metas[equipe])*(Metas_Diarias[[#This Row],[data]]&gt;Metas[data_inicio])*(Metas_Diarias[[#This Row],[data]]&lt;Metas[data_fim])),Metas[meta_mensal],0)</f>
        <v>160000</v>
      </c>
      <c r="L77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78" spans="2:12" x14ac:dyDescent="0.3">
      <c r="B78" s="34">
        <v>45367</v>
      </c>
      <c r="C78" s="34" t="str">
        <f>TEXT(Metas_Diarias[[#This Row],[data]],"dddd")</f>
        <v>sábado</v>
      </c>
      <c r="D78" s="33">
        <v>1</v>
      </c>
      <c r="E78" s="33">
        <v>1</v>
      </c>
      <c r="F78" s="18"/>
      <c r="G78" s="35">
        <f>WEEKDAY(Metas_Diarias[[#This Row],[data]])</f>
        <v>7</v>
      </c>
      <c r="H78" s="35">
        <f>IF(Metas_Diarias[[#This Row],[dias_da_demana]]=1,"domingo",IF(Metas_Diarias[[#This Row],[dias_da_demana]]=7,0.5,1))</f>
        <v>0.5</v>
      </c>
      <c r="I78" s="35">
        <f>_xlfn.XLOOKUP(Metas_Diarias[[#This Row],[data]],Feriados[Data],Feriados[Feriado],1)</f>
        <v>1</v>
      </c>
      <c r="J78" s="33" cm="1">
        <f t="array" aca="1" ref="J78" ca="1">SUMPRODUCT(IF((NOT(ISERROR(MATCH(ROW(INDIRECT(DATE(YEAR(B78),MONTH(B78),1)&amp;":"&amp;DATE(YEAR(B78),MONTH(B78)+1,0))),Feriados[Data],0))))=FALSE,
IF(WEEKDAY(ROW(INDIRECT(DATE(YEAR(B78),MONTH(B78),1)&amp;":"&amp;DATE(YEAR(B78),MONTH(B78)+1,0))),2)&lt;=5,1,IF(WEEKDAY(ROW(INDIRECT(DATE(YEAR(B78),MONTH(B78),1)&amp;":"&amp;DATE(YEAR(B78),MONTH(B78)+1,0))),2)=6,0.5,0)),0))</f>
        <v>22.5</v>
      </c>
      <c r="K78" s="22" cm="1">
        <f t="array" ref="K78">_xlfn.XLOOKUP(1,((Metas_Diarias[[#This Row],[tipo_equipe_id]]=Metas[equipe])*(Metas_Diarias[[#This Row],[data]]&gt;Metas[data_inicio])*(Metas_Diarias[[#This Row],[data]]&lt;Metas[data_fim])),Metas[meta_mensal],0)</f>
        <v>160000</v>
      </c>
      <c r="L78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79" spans="2:12" x14ac:dyDescent="0.3">
      <c r="B79" s="34">
        <v>45368</v>
      </c>
      <c r="C79" s="34" t="str">
        <f>TEXT(Metas_Diarias[[#This Row],[data]],"dddd")</f>
        <v>domingo</v>
      </c>
      <c r="D79" s="33">
        <v>1</v>
      </c>
      <c r="E79" s="33">
        <v>1</v>
      </c>
      <c r="F79" s="18"/>
      <c r="G79" s="35">
        <f>WEEKDAY(Metas_Diarias[[#This Row],[data]])</f>
        <v>1</v>
      </c>
      <c r="H79" s="35" t="str">
        <f>IF(Metas_Diarias[[#This Row],[dias_da_demana]]=1,"domingo",IF(Metas_Diarias[[#This Row],[dias_da_demana]]=7,0.5,1))</f>
        <v>domingo</v>
      </c>
      <c r="I79" s="35">
        <f>_xlfn.XLOOKUP(Metas_Diarias[[#This Row],[data]],Feriados[Data],Feriados[Feriado],1)</f>
        <v>1</v>
      </c>
      <c r="J79" s="33" cm="1">
        <f t="array" aca="1" ref="J79" ca="1">SUMPRODUCT(IF((NOT(ISERROR(MATCH(ROW(INDIRECT(DATE(YEAR(B79),MONTH(B79),1)&amp;":"&amp;DATE(YEAR(B79),MONTH(B79)+1,0))),Feriados[Data],0))))=FALSE,
IF(WEEKDAY(ROW(INDIRECT(DATE(YEAR(B79),MONTH(B79),1)&amp;":"&amp;DATE(YEAR(B79),MONTH(B79)+1,0))),2)&lt;=5,1,IF(WEEKDAY(ROW(INDIRECT(DATE(YEAR(B79),MONTH(B79),1)&amp;":"&amp;DATE(YEAR(B79),MONTH(B79)+1,0))),2)=6,0.5,0)),0))</f>
        <v>22.5</v>
      </c>
      <c r="K79" s="22" cm="1">
        <f t="array" ref="K79">_xlfn.XLOOKUP(1,((Metas_Diarias[[#This Row],[tipo_equipe_id]]=Metas[equipe])*(Metas_Diarias[[#This Row],[data]]&gt;Metas[data_inicio])*(Metas_Diarias[[#This Row],[data]]&lt;Metas[data_fim])),Metas[meta_mensal],0)</f>
        <v>160000</v>
      </c>
      <c r="L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0" spans="2:12" x14ac:dyDescent="0.3">
      <c r="B80" s="34">
        <v>45369</v>
      </c>
      <c r="C80" s="34" t="str">
        <f>TEXT(Metas_Diarias[[#This Row],[data]],"dddd")</f>
        <v>segunda-feira</v>
      </c>
      <c r="D80" s="33">
        <v>1</v>
      </c>
      <c r="E80" s="33">
        <v>1</v>
      </c>
      <c r="F80" s="18"/>
      <c r="G80" s="35">
        <f>WEEKDAY(Metas_Diarias[[#This Row],[data]])</f>
        <v>2</v>
      </c>
      <c r="H80" s="35">
        <f>IF(Metas_Diarias[[#This Row],[dias_da_demana]]=1,"domingo",IF(Metas_Diarias[[#This Row],[dias_da_demana]]=7,0.5,1))</f>
        <v>1</v>
      </c>
      <c r="I80" s="35">
        <f>_xlfn.XLOOKUP(Metas_Diarias[[#This Row],[data]],Feriados[Data],Feriados[Feriado],1)</f>
        <v>1</v>
      </c>
      <c r="J80" s="33" cm="1">
        <f t="array" aca="1" ref="J80" ca="1">SUMPRODUCT(IF((NOT(ISERROR(MATCH(ROW(INDIRECT(DATE(YEAR(B80),MONTH(B80),1)&amp;":"&amp;DATE(YEAR(B80),MONTH(B80)+1,0))),Feriados[Data],0))))=FALSE,
IF(WEEKDAY(ROW(INDIRECT(DATE(YEAR(B80),MONTH(B80),1)&amp;":"&amp;DATE(YEAR(B80),MONTH(B80)+1,0))),2)&lt;=5,1,IF(WEEKDAY(ROW(INDIRECT(DATE(YEAR(B80),MONTH(B80),1)&amp;":"&amp;DATE(YEAR(B80),MONTH(B80)+1,0))),2)=6,0.5,0)),0))</f>
        <v>22.5</v>
      </c>
      <c r="K80" s="22" cm="1">
        <f t="array" ref="K80">_xlfn.XLOOKUP(1,((Metas_Diarias[[#This Row],[tipo_equipe_id]]=Metas[equipe])*(Metas_Diarias[[#This Row],[data]]&gt;Metas[data_inicio])*(Metas_Diarias[[#This Row],[data]]&lt;Metas[data_fim])),Metas[meta_mensal],0)</f>
        <v>160000</v>
      </c>
      <c r="L80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81" spans="2:12" x14ac:dyDescent="0.3">
      <c r="B81" s="34">
        <v>45370</v>
      </c>
      <c r="C81" s="34" t="str">
        <f>TEXT(Metas_Diarias[[#This Row],[data]],"dddd")</f>
        <v>terça-feira</v>
      </c>
      <c r="D81" s="33">
        <v>1</v>
      </c>
      <c r="E81" s="33">
        <v>1</v>
      </c>
      <c r="F81" s="18"/>
      <c r="G81" s="35">
        <f>WEEKDAY(Metas_Diarias[[#This Row],[data]])</f>
        <v>3</v>
      </c>
      <c r="H81" s="35">
        <f>IF(Metas_Diarias[[#This Row],[dias_da_demana]]=1,"domingo",IF(Metas_Diarias[[#This Row],[dias_da_demana]]=7,0.5,1))</f>
        <v>1</v>
      </c>
      <c r="I81" s="35">
        <f>_xlfn.XLOOKUP(Metas_Diarias[[#This Row],[data]],Feriados[Data],Feriados[Feriado],1)</f>
        <v>1</v>
      </c>
      <c r="J81" s="33" cm="1">
        <f t="array" aca="1" ref="J81" ca="1">SUMPRODUCT(IF((NOT(ISERROR(MATCH(ROW(INDIRECT(DATE(YEAR(B81),MONTH(B81),1)&amp;":"&amp;DATE(YEAR(B81),MONTH(B81)+1,0))),Feriados[Data],0))))=FALSE,
IF(WEEKDAY(ROW(INDIRECT(DATE(YEAR(B81),MONTH(B81),1)&amp;":"&amp;DATE(YEAR(B81),MONTH(B81)+1,0))),2)&lt;=5,1,IF(WEEKDAY(ROW(INDIRECT(DATE(YEAR(B81),MONTH(B81),1)&amp;":"&amp;DATE(YEAR(B81),MONTH(B81)+1,0))),2)=6,0.5,0)),0))</f>
        <v>22.5</v>
      </c>
      <c r="K81" s="22" cm="1">
        <f t="array" ref="K81">_xlfn.XLOOKUP(1,((Metas_Diarias[[#This Row],[tipo_equipe_id]]=Metas[equipe])*(Metas_Diarias[[#This Row],[data]]&gt;Metas[data_inicio])*(Metas_Diarias[[#This Row],[data]]&lt;Metas[data_fim])),Metas[meta_mensal],0)</f>
        <v>160000</v>
      </c>
      <c r="L81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82" spans="2:12" x14ac:dyDescent="0.3">
      <c r="B82" s="34">
        <v>45371</v>
      </c>
      <c r="C82" s="34" t="str">
        <f>TEXT(Metas_Diarias[[#This Row],[data]],"dddd")</f>
        <v>quarta-feira</v>
      </c>
      <c r="D82" s="33">
        <v>1</v>
      </c>
      <c r="E82" s="33">
        <v>1</v>
      </c>
      <c r="F82" s="18"/>
      <c r="G82" s="35">
        <f>WEEKDAY(Metas_Diarias[[#This Row],[data]])</f>
        <v>4</v>
      </c>
      <c r="H82" s="35">
        <f>IF(Metas_Diarias[[#This Row],[dias_da_demana]]=1,"domingo",IF(Metas_Diarias[[#This Row],[dias_da_demana]]=7,0.5,1))</f>
        <v>1</v>
      </c>
      <c r="I82" s="35">
        <f>_xlfn.XLOOKUP(Metas_Diarias[[#This Row],[data]],Feriados[Data],Feriados[Feriado],1)</f>
        <v>1</v>
      </c>
      <c r="J82" s="33" cm="1">
        <f t="array" aca="1" ref="J82" ca="1">SUMPRODUCT(IF((NOT(ISERROR(MATCH(ROW(INDIRECT(DATE(YEAR(B82),MONTH(B82),1)&amp;":"&amp;DATE(YEAR(B82),MONTH(B82)+1,0))),Feriados[Data],0))))=FALSE,
IF(WEEKDAY(ROW(INDIRECT(DATE(YEAR(B82),MONTH(B82),1)&amp;":"&amp;DATE(YEAR(B82),MONTH(B82)+1,0))),2)&lt;=5,1,IF(WEEKDAY(ROW(INDIRECT(DATE(YEAR(B82),MONTH(B82),1)&amp;":"&amp;DATE(YEAR(B82),MONTH(B82)+1,0))),2)=6,0.5,0)),0))</f>
        <v>22.5</v>
      </c>
      <c r="K82" s="22" cm="1">
        <f t="array" ref="K82">_xlfn.XLOOKUP(1,((Metas_Diarias[[#This Row],[tipo_equipe_id]]=Metas[equipe])*(Metas_Diarias[[#This Row],[data]]&gt;Metas[data_inicio])*(Metas_Diarias[[#This Row],[data]]&lt;Metas[data_fim])),Metas[meta_mensal],0)</f>
        <v>160000</v>
      </c>
      <c r="L82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83" spans="2:12" x14ac:dyDescent="0.3">
      <c r="B83" s="34">
        <v>45372</v>
      </c>
      <c r="C83" s="34" t="str">
        <f>TEXT(Metas_Diarias[[#This Row],[data]],"dddd")</f>
        <v>quinta-feira</v>
      </c>
      <c r="D83" s="33">
        <v>1</v>
      </c>
      <c r="E83" s="33">
        <v>1</v>
      </c>
      <c r="F83" s="18"/>
      <c r="G83" s="35">
        <f>WEEKDAY(Metas_Diarias[[#This Row],[data]])</f>
        <v>5</v>
      </c>
      <c r="H83" s="35">
        <f>IF(Metas_Diarias[[#This Row],[dias_da_demana]]=1,"domingo",IF(Metas_Diarias[[#This Row],[dias_da_demana]]=7,0.5,1))</f>
        <v>1</v>
      </c>
      <c r="I83" s="35">
        <f>_xlfn.XLOOKUP(Metas_Diarias[[#This Row],[data]],Feriados[Data],Feriados[Feriado],1)</f>
        <v>1</v>
      </c>
      <c r="J83" s="33" cm="1">
        <f t="array" aca="1" ref="J83" ca="1">SUMPRODUCT(IF((NOT(ISERROR(MATCH(ROW(INDIRECT(DATE(YEAR(B83),MONTH(B83),1)&amp;":"&amp;DATE(YEAR(B83),MONTH(B83)+1,0))),Feriados[Data],0))))=FALSE,
IF(WEEKDAY(ROW(INDIRECT(DATE(YEAR(B83),MONTH(B83),1)&amp;":"&amp;DATE(YEAR(B83),MONTH(B83)+1,0))),2)&lt;=5,1,IF(WEEKDAY(ROW(INDIRECT(DATE(YEAR(B83),MONTH(B83),1)&amp;":"&amp;DATE(YEAR(B83),MONTH(B83)+1,0))),2)=6,0.5,0)),0))</f>
        <v>22.5</v>
      </c>
      <c r="K83" s="22" cm="1">
        <f t="array" ref="K83">_xlfn.XLOOKUP(1,((Metas_Diarias[[#This Row],[tipo_equipe_id]]=Metas[equipe])*(Metas_Diarias[[#This Row],[data]]&gt;Metas[data_inicio])*(Metas_Diarias[[#This Row],[data]]&lt;Metas[data_fim])),Metas[meta_mensal],0)</f>
        <v>160000</v>
      </c>
      <c r="L83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84" spans="2:12" x14ac:dyDescent="0.3">
      <c r="B84" s="34">
        <v>45373</v>
      </c>
      <c r="C84" s="34" t="str">
        <f>TEXT(Metas_Diarias[[#This Row],[data]],"dddd")</f>
        <v>sexta-feira</v>
      </c>
      <c r="D84" s="33">
        <v>1</v>
      </c>
      <c r="E84" s="33">
        <v>1</v>
      </c>
      <c r="F84" s="18"/>
      <c r="G84" s="35">
        <f>WEEKDAY(Metas_Diarias[[#This Row],[data]])</f>
        <v>6</v>
      </c>
      <c r="H84" s="35">
        <f>IF(Metas_Diarias[[#This Row],[dias_da_demana]]=1,"domingo",IF(Metas_Diarias[[#This Row],[dias_da_demana]]=7,0.5,1))</f>
        <v>1</v>
      </c>
      <c r="I84" s="35">
        <f>_xlfn.XLOOKUP(Metas_Diarias[[#This Row],[data]],Feriados[Data],Feriados[Feriado],1)</f>
        <v>1</v>
      </c>
      <c r="J84" s="33" cm="1">
        <f t="array" aca="1" ref="J84" ca="1">SUMPRODUCT(IF((NOT(ISERROR(MATCH(ROW(INDIRECT(DATE(YEAR(B84),MONTH(B84),1)&amp;":"&amp;DATE(YEAR(B84),MONTH(B84)+1,0))),Feriados[Data],0))))=FALSE,
IF(WEEKDAY(ROW(INDIRECT(DATE(YEAR(B84),MONTH(B84),1)&amp;":"&amp;DATE(YEAR(B84),MONTH(B84)+1,0))),2)&lt;=5,1,IF(WEEKDAY(ROW(INDIRECT(DATE(YEAR(B84),MONTH(B84),1)&amp;":"&amp;DATE(YEAR(B84),MONTH(B84)+1,0))),2)=6,0.5,0)),0))</f>
        <v>22.5</v>
      </c>
      <c r="K84" s="22" cm="1">
        <f t="array" ref="K84">_xlfn.XLOOKUP(1,((Metas_Diarias[[#This Row],[tipo_equipe_id]]=Metas[equipe])*(Metas_Diarias[[#This Row],[data]]&gt;Metas[data_inicio])*(Metas_Diarias[[#This Row],[data]]&lt;Metas[data_fim])),Metas[meta_mensal],0)</f>
        <v>160000</v>
      </c>
      <c r="L84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85" spans="2:12" x14ac:dyDescent="0.3">
      <c r="B85" s="34">
        <v>45374</v>
      </c>
      <c r="C85" s="34" t="str">
        <f>TEXT(Metas_Diarias[[#This Row],[data]],"dddd")</f>
        <v>sábado</v>
      </c>
      <c r="D85" s="33">
        <v>1</v>
      </c>
      <c r="E85" s="33">
        <v>1</v>
      </c>
      <c r="F85" s="18"/>
      <c r="G85" s="35">
        <f>WEEKDAY(Metas_Diarias[[#This Row],[data]])</f>
        <v>7</v>
      </c>
      <c r="H85" s="35">
        <f>IF(Metas_Diarias[[#This Row],[dias_da_demana]]=1,"domingo",IF(Metas_Diarias[[#This Row],[dias_da_demana]]=7,0.5,1))</f>
        <v>0.5</v>
      </c>
      <c r="I85" s="35">
        <f>_xlfn.XLOOKUP(Metas_Diarias[[#This Row],[data]],Feriados[Data],Feriados[Feriado],1)</f>
        <v>1</v>
      </c>
      <c r="J85" s="33" cm="1">
        <f t="array" aca="1" ref="J85" ca="1">SUMPRODUCT(IF((NOT(ISERROR(MATCH(ROW(INDIRECT(DATE(YEAR(B85),MONTH(B85),1)&amp;":"&amp;DATE(YEAR(B85),MONTH(B85)+1,0))),Feriados[Data],0))))=FALSE,
IF(WEEKDAY(ROW(INDIRECT(DATE(YEAR(B85),MONTH(B85),1)&amp;":"&amp;DATE(YEAR(B85),MONTH(B85)+1,0))),2)&lt;=5,1,IF(WEEKDAY(ROW(INDIRECT(DATE(YEAR(B85),MONTH(B85),1)&amp;":"&amp;DATE(YEAR(B85),MONTH(B85)+1,0))),2)=6,0.5,0)),0))</f>
        <v>22.5</v>
      </c>
      <c r="K85" s="22" cm="1">
        <f t="array" ref="K85">_xlfn.XLOOKUP(1,((Metas_Diarias[[#This Row],[tipo_equipe_id]]=Metas[equipe])*(Metas_Diarias[[#This Row],[data]]&gt;Metas[data_inicio])*(Metas_Diarias[[#This Row],[data]]&lt;Metas[data_fim])),Metas[meta_mensal],0)</f>
        <v>160000</v>
      </c>
      <c r="L85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86" spans="2:12" x14ac:dyDescent="0.3">
      <c r="B86" s="34">
        <v>45375</v>
      </c>
      <c r="C86" s="34" t="str">
        <f>TEXT(Metas_Diarias[[#This Row],[data]],"dddd")</f>
        <v>domingo</v>
      </c>
      <c r="D86" s="33">
        <v>1</v>
      </c>
      <c r="E86" s="33">
        <v>1</v>
      </c>
      <c r="F86" s="18"/>
      <c r="G86" s="35">
        <f>WEEKDAY(Metas_Diarias[[#This Row],[data]])</f>
        <v>1</v>
      </c>
      <c r="H86" s="35" t="str">
        <f>IF(Metas_Diarias[[#This Row],[dias_da_demana]]=1,"domingo",IF(Metas_Diarias[[#This Row],[dias_da_demana]]=7,0.5,1))</f>
        <v>domingo</v>
      </c>
      <c r="I86" s="35">
        <f>_xlfn.XLOOKUP(Metas_Diarias[[#This Row],[data]],Feriados[Data],Feriados[Feriado],1)</f>
        <v>1</v>
      </c>
      <c r="J86" s="33" cm="1">
        <f t="array" aca="1" ref="J86" ca="1">SUMPRODUCT(IF((NOT(ISERROR(MATCH(ROW(INDIRECT(DATE(YEAR(B86),MONTH(B86),1)&amp;":"&amp;DATE(YEAR(B86),MONTH(B86)+1,0))),Feriados[Data],0))))=FALSE,
IF(WEEKDAY(ROW(INDIRECT(DATE(YEAR(B86),MONTH(B86),1)&amp;":"&amp;DATE(YEAR(B86),MONTH(B86)+1,0))),2)&lt;=5,1,IF(WEEKDAY(ROW(INDIRECT(DATE(YEAR(B86),MONTH(B86),1)&amp;":"&amp;DATE(YEAR(B86),MONTH(B86)+1,0))),2)=6,0.5,0)),0))</f>
        <v>22.5</v>
      </c>
      <c r="K86" s="22" cm="1">
        <f t="array" ref="K86">_xlfn.XLOOKUP(1,((Metas_Diarias[[#This Row],[tipo_equipe_id]]=Metas[equipe])*(Metas_Diarias[[#This Row],[data]]&gt;Metas[data_inicio])*(Metas_Diarias[[#This Row],[data]]&lt;Metas[data_fim])),Metas[meta_mensal],0)</f>
        <v>160000</v>
      </c>
      <c r="L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7" spans="2:12" x14ac:dyDescent="0.3">
      <c r="B87" s="34">
        <v>45376</v>
      </c>
      <c r="C87" s="34" t="str">
        <f>TEXT(Metas_Diarias[[#This Row],[data]],"dddd")</f>
        <v>segunda-feira</v>
      </c>
      <c r="D87" s="33">
        <v>1</v>
      </c>
      <c r="E87" s="33">
        <v>1</v>
      </c>
      <c r="F87" s="18"/>
      <c r="G87" s="35">
        <f>WEEKDAY(Metas_Diarias[[#This Row],[data]])</f>
        <v>2</v>
      </c>
      <c r="H87" s="35">
        <f>IF(Metas_Diarias[[#This Row],[dias_da_demana]]=1,"domingo",IF(Metas_Diarias[[#This Row],[dias_da_demana]]=7,0.5,1))</f>
        <v>1</v>
      </c>
      <c r="I87" s="35">
        <f>_xlfn.XLOOKUP(Metas_Diarias[[#This Row],[data]],Feriados[Data],Feriados[Feriado],1)</f>
        <v>1</v>
      </c>
      <c r="J87" s="33" cm="1">
        <f t="array" aca="1" ref="J87" ca="1">SUMPRODUCT(IF((NOT(ISERROR(MATCH(ROW(INDIRECT(DATE(YEAR(B87),MONTH(B87),1)&amp;":"&amp;DATE(YEAR(B87),MONTH(B87)+1,0))),Feriados[Data],0))))=FALSE,
IF(WEEKDAY(ROW(INDIRECT(DATE(YEAR(B87),MONTH(B87),1)&amp;":"&amp;DATE(YEAR(B87),MONTH(B87)+1,0))),2)&lt;=5,1,IF(WEEKDAY(ROW(INDIRECT(DATE(YEAR(B87),MONTH(B87),1)&amp;":"&amp;DATE(YEAR(B87),MONTH(B87)+1,0))),2)=6,0.5,0)),0))</f>
        <v>22.5</v>
      </c>
      <c r="K87" s="22" cm="1">
        <f t="array" ref="K87">_xlfn.XLOOKUP(1,((Metas_Diarias[[#This Row],[tipo_equipe_id]]=Metas[equipe])*(Metas_Diarias[[#This Row],[data]]&gt;Metas[data_inicio])*(Metas_Diarias[[#This Row],[data]]&lt;Metas[data_fim])),Metas[meta_mensal],0)</f>
        <v>160000</v>
      </c>
      <c r="L87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88" spans="2:12" x14ac:dyDescent="0.3">
      <c r="B88" s="34">
        <v>45377</v>
      </c>
      <c r="C88" s="34" t="str">
        <f>TEXT(Metas_Diarias[[#This Row],[data]],"dddd")</f>
        <v>terça-feira</v>
      </c>
      <c r="D88" s="33">
        <v>1</v>
      </c>
      <c r="E88" s="33">
        <v>1</v>
      </c>
      <c r="F88" s="18"/>
      <c r="G88" s="35">
        <f>WEEKDAY(Metas_Diarias[[#This Row],[data]])</f>
        <v>3</v>
      </c>
      <c r="H88" s="35">
        <f>IF(Metas_Diarias[[#This Row],[dias_da_demana]]=1,"domingo",IF(Metas_Diarias[[#This Row],[dias_da_demana]]=7,0.5,1))</f>
        <v>1</v>
      </c>
      <c r="I88" s="35">
        <f>_xlfn.XLOOKUP(Metas_Diarias[[#This Row],[data]],Feriados[Data],Feriados[Feriado],1)</f>
        <v>1</v>
      </c>
      <c r="J88" s="33" cm="1">
        <f t="array" aca="1" ref="J88" ca="1">SUMPRODUCT(IF((NOT(ISERROR(MATCH(ROW(INDIRECT(DATE(YEAR(B88),MONTH(B88),1)&amp;":"&amp;DATE(YEAR(B88),MONTH(B88)+1,0))),Feriados[Data],0))))=FALSE,
IF(WEEKDAY(ROW(INDIRECT(DATE(YEAR(B88),MONTH(B88),1)&amp;":"&amp;DATE(YEAR(B88),MONTH(B88)+1,0))),2)&lt;=5,1,IF(WEEKDAY(ROW(INDIRECT(DATE(YEAR(B88),MONTH(B88),1)&amp;":"&amp;DATE(YEAR(B88),MONTH(B88)+1,0))),2)=6,0.5,0)),0))</f>
        <v>22.5</v>
      </c>
      <c r="K88" s="22" cm="1">
        <f t="array" ref="K88">_xlfn.XLOOKUP(1,((Metas_Diarias[[#This Row],[tipo_equipe_id]]=Metas[equipe])*(Metas_Diarias[[#This Row],[data]]&gt;Metas[data_inicio])*(Metas_Diarias[[#This Row],[data]]&lt;Metas[data_fim])),Metas[meta_mensal],0)</f>
        <v>160000</v>
      </c>
      <c r="L88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89" spans="2:12" x14ac:dyDescent="0.3">
      <c r="B89" s="34">
        <v>45378</v>
      </c>
      <c r="C89" s="34" t="str">
        <f>TEXT(Metas_Diarias[[#This Row],[data]],"dddd")</f>
        <v>quarta-feira</v>
      </c>
      <c r="D89" s="33">
        <v>1</v>
      </c>
      <c r="E89" s="33">
        <v>1</v>
      </c>
      <c r="F89" s="18"/>
      <c r="G89" s="35">
        <f>WEEKDAY(Metas_Diarias[[#This Row],[data]])</f>
        <v>4</v>
      </c>
      <c r="H89" s="35">
        <f>IF(Metas_Diarias[[#This Row],[dias_da_demana]]=1,"domingo",IF(Metas_Diarias[[#This Row],[dias_da_demana]]=7,0.5,1))</f>
        <v>1</v>
      </c>
      <c r="I89" s="35">
        <f>_xlfn.XLOOKUP(Metas_Diarias[[#This Row],[data]],Feriados[Data],Feriados[Feriado],1)</f>
        <v>1</v>
      </c>
      <c r="J89" s="33" cm="1">
        <f t="array" aca="1" ref="J89" ca="1">SUMPRODUCT(IF((NOT(ISERROR(MATCH(ROW(INDIRECT(DATE(YEAR(B89),MONTH(B89),1)&amp;":"&amp;DATE(YEAR(B89),MONTH(B89)+1,0))),Feriados[Data],0))))=FALSE,
IF(WEEKDAY(ROW(INDIRECT(DATE(YEAR(B89),MONTH(B89),1)&amp;":"&amp;DATE(YEAR(B89),MONTH(B89)+1,0))),2)&lt;=5,1,IF(WEEKDAY(ROW(INDIRECT(DATE(YEAR(B89),MONTH(B89),1)&amp;":"&amp;DATE(YEAR(B89),MONTH(B89)+1,0))),2)=6,0.5,0)),0))</f>
        <v>22.5</v>
      </c>
      <c r="K89" s="22" cm="1">
        <f t="array" ref="K89">_xlfn.XLOOKUP(1,((Metas_Diarias[[#This Row],[tipo_equipe_id]]=Metas[equipe])*(Metas_Diarias[[#This Row],[data]]&gt;Metas[data_inicio])*(Metas_Diarias[[#This Row],[data]]&lt;Metas[data_fim])),Metas[meta_mensal],0)</f>
        <v>160000</v>
      </c>
      <c r="L89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90" spans="2:12" x14ac:dyDescent="0.3">
      <c r="B90" s="34">
        <v>45379</v>
      </c>
      <c r="C90" s="34" t="str">
        <f>TEXT(Metas_Diarias[[#This Row],[data]],"dddd")</f>
        <v>quinta-feira</v>
      </c>
      <c r="D90" s="33">
        <v>1</v>
      </c>
      <c r="E90" s="33">
        <v>1</v>
      </c>
      <c r="F90" s="18"/>
      <c r="G90" s="35">
        <f>WEEKDAY(Metas_Diarias[[#This Row],[data]])</f>
        <v>5</v>
      </c>
      <c r="H90" s="35">
        <f>IF(Metas_Diarias[[#This Row],[dias_da_demana]]=1,"domingo",IF(Metas_Diarias[[#This Row],[dias_da_demana]]=7,0.5,1))</f>
        <v>1</v>
      </c>
      <c r="I90" s="35">
        <f>_xlfn.XLOOKUP(Metas_Diarias[[#This Row],[data]],Feriados[Data],Feriados[Feriado],1)</f>
        <v>1</v>
      </c>
      <c r="J90" s="33" cm="1">
        <f t="array" aca="1" ref="J90" ca="1">SUMPRODUCT(IF((NOT(ISERROR(MATCH(ROW(INDIRECT(DATE(YEAR(B90),MONTH(B90),1)&amp;":"&amp;DATE(YEAR(B90),MONTH(B90)+1,0))),Feriados[Data],0))))=FALSE,
IF(WEEKDAY(ROW(INDIRECT(DATE(YEAR(B90),MONTH(B90),1)&amp;":"&amp;DATE(YEAR(B90),MONTH(B90)+1,0))),2)&lt;=5,1,IF(WEEKDAY(ROW(INDIRECT(DATE(YEAR(B90),MONTH(B90),1)&amp;":"&amp;DATE(YEAR(B90),MONTH(B90)+1,0))),2)=6,0.5,0)),0))</f>
        <v>22.5</v>
      </c>
      <c r="K90" s="22" cm="1">
        <f t="array" ref="K90">_xlfn.XLOOKUP(1,((Metas_Diarias[[#This Row],[tipo_equipe_id]]=Metas[equipe])*(Metas_Diarias[[#This Row],[data]]&gt;Metas[data_inicio])*(Metas_Diarias[[#This Row],[data]]&lt;Metas[data_fim])),Metas[meta_mensal],0)</f>
        <v>160000</v>
      </c>
      <c r="L90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91" spans="2:12" x14ac:dyDescent="0.3">
      <c r="B91" s="34">
        <v>45380</v>
      </c>
      <c r="C91" s="34" t="str">
        <f>TEXT(Metas_Diarias[[#This Row],[data]],"dddd")</f>
        <v>sexta-feira</v>
      </c>
      <c r="D91" s="33">
        <v>1</v>
      </c>
      <c r="E91" s="33">
        <v>1</v>
      </c>
      <c r="F91" s="18"/>
      <c r="G91" s="35">
        <f>WEEKDAY(Metas_Diarias[[#This Row],[data]])</f>
        <v>6</v>
      </c>
      <c r="H91" s="35">
        <f>IF(Metas_Diarias[[#This Row],[dias_da_demana]]=1,"domingo",IF(Metas_Diarias[[#This Row],[dias_da_demana]]=7,0.5,1))</f>
        <v>1</v>
      </c>
      <c r="I91" s="35" t="str">
        <f>_xlfn.XLOOKUP(Metas_Diarias[[#This Row],[data]],Feriados[Data],Feriados[Feriado],1)</f>
        <v>Paixão de Cristo</v>
      </c>
      <c r="J91" s="33" cm="1">
        <f t="array" aca="1" ref="J91" ca="1">SUMPRODUCT(IF((NOT(ISERROR(MATCH(ROW(INDIRECT(DATE(YEAR(B91),MONTH(B91),1)&amp;":"&amp;DATE(YEAR(B91),MONTH(B91)+1,0))),Feriados[Data],0))))=FALSE,
IF(WEEKDAY(ROW(INDIRECT(DATE(YEAR(B91),MONTH(B91),1)&amp;":"&amp;DATE(YEAR(B91),MONTH(B91)+1,0))),2)&lt;=5,1,IF(WEEKDAY(ROW(INDIRECT(DATE(YEAR(B91),MONTH(B91),1)&amp;":"&amp;DATE(YEAR(B91),MONTH(B91)+1,0))),2)=6,0.5,0)),0))</f>
        <v>22.5</v>
      </c>
      <c r="K91" s="22" cm="1">
        <f t="array" ref="K91">_xlfn.XLOOKUP(1,((Metas_Diarias[[#This Row],[tipo_equipe_id]]=Metas[equipe])*(Metas_Diarias[[#This Row],[data]]&gt;Metas[data_inicio])*(Metas_Diarias[[#This Row],[data]]&lt;Metas[data_fim])),Metas[meta_mensal],0)</f>
        <v>160000</v>
      </c>
      <c r="L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2" spans="2:12" x14ac:dyDescent="0.3">
      <c r="B92" s="34">
        <v>45381</v>
      </c>
      <c r="C92" s="34" t="str">
        <f>TEXT(Metas_Diarias[[#This Row],[data]],"dddd")</f>
        <v>sábado</v>
      </c>
      <c r="D92" s="33">
        <v>1</v>
      </c>
      <c r="E92" s="33">
        <v>1</v>
      </c>
      <c r="F92" s="18"/>
      <c r="G92" s="35">
        <f>WEEKDAY(Metas_Diarias[[#This Row],[data]])</f>
        <v>7</v>
      </c>
      <c r="H92" s="35">
        <f>IF(Metas_Diarias[[#This Row],[dias_da_demana]]=1,"domingo",IF(Metas_Diarias[[#This Row],[dias_da_demana]]=7,0.5,1))</f>
        <v>0.5</v>
      </c>
      <c r="I92" s="35">
        <f>_xlfn.XLOOKUP(Metas_Diarias[[#This Row],[data]],Feriados[Data],Feriados[Feriado],1)</f>
        <v>1</v>
      </c>
      <c r="J92" s="33" cm="1">
        <f t="array" aca="1" ref="J92" ca="1">SUMPRODUCT(IF((NOT(ISERROR(MATCH(ROW(INDIRECT(DATE(YEAR(B92),MONTH(B92),1)&amp;":"&amp;DATE(YEAR(B92),MONTH(B92)+1,0))),Feriados[Data],0))))=FALSE,
IF(WEEKDAY(ROW(INDIRECT(DATE(YEAR(B92),MONTH(B92),1)&amp;":"&amp;DATE(YEAR(B92),MONTH(B92)+1,0))),2)&lt;=5,1,IF(WEEKDAY(ROW(INDIRECT(DATE(YEAR(B92),MONTH(B92),1)&amp;":"&amp;DATE(YEAR(B92),MONTH(B92)+1,0))),2)=6,0.5,0)),0))</f>
        <v>22.5</v>
      </c>
      <c r="K92" s="22" cm="1">
        <f t="array" ref="K92">_xlfn.XLOOKUP(1,((Metas_Diarias[[#This Row],[tipo_equipe_id]]=Metas[equipe])*(Metas_Diarias[[#This Row],[data]]&gt;Metas[data_inicio])*(Metas_Diarias[[#This Row],[data]]&lt;Metas[data_fim])),Metas[meta_mensal],0)</f>
        <v>160000</v>
      </c>
      <c r="L92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93" spans="2:12" x14ac:dyDescent="0.3">
      <c r="B93" s="34">
        <v>45382</v>
      </c>
      <c r="C93" s="34" t="str">
        <f>TEXT(Metas_Diarias[[#This Row],[data]],"dddd")</f>
        <v>domingo</v>
      </c>
      <c r="D93" s="33">
        <v>1</v>
      </c>
      <c r="E93" s="33">
        <v>1</v>
      </c>
      <c r="F93" s="18"/>
      <c r="G93" s="35">
        <f>WEEKDAY(Metas_Diarias[[#This Row],[data]])</f>
        <v>1</v>
      </c>
      <c r="H93" s="35" t="str">
        <f>IF(Metas_Diarias[[#This Row],[dias_da_demana]]=1,"domingo",IF(Metas_Diarias[[#This Row],[dias_da_demana]]=7,0.5,1))</f>
        <v>domingo</v>
      </c>
      <c r="I93" s="35">
        <f>_xlfn.XLOOKUP(Metas_Diarias[[#This Row],[data]],Feriados[Data],Feriados[Feriado],1)</f>
        <v>1</v>
      </c>
      <c r="J93" s="33" cm="1">
        <f t="array" aca="1" ref="J93" ca="1">SUMPRODUCT(IF((NOT(ISERROR(MATCH(ROW(INDIRECT(DATE(YEAR(B93),MONTH(B93),1)&amp;":"&amp;DATE(YEAR(B93),MONTH(B93)+1,0))),Feriados[Data],0))))=FALSE,
IF(WEEKDAY(ROW(INDIRECT(DATE(YEAR(B93),MONTH(B93),1)&amp;":"&amp;DATE(YEAR(B93),MONTH(B93)+1,0))),2)&lt;=5,1,IF(WEEKDAY(ROW(INDIRECT(DATE(YEAR(B93),MONTH(B93),1)&amp;":"&amp;DATE(YEAR(B93),MONTH(B93)+1,0))),2)=6,0.5,0)),0))</f>
        <v>22.5</v>
      </c>
      <c r="K93" s="22" cm="1">
        <f t="array" ref="K93">_xlfn.XLOOKUP(1,((Metas_Diarias[[#This Row],[tipo_equipe_id]]=Metas[equipe])*(Metas_Diarias[[#This Row],[data]]&gt;Metas[data_inicio])*(Metas_Diarias[[#This Row],[data]]&lt;Metas[data_fim])),Metas[meta_mensal],0)</f>
        <v>160000</v>
      </c>
      <c r="L9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4" spans="2:12" x14ac:dyDescent="0.3">
      <c r="B94" s="34">
        <v>45383</v>
      </c>
      <c r="C94" s="34" t="str">
        <f>TEXT(Metas_Diarias[[#This Row],[data]],"dddd")</f>
        <v>segunda-feira</v>
      </c>
      <c r="D94" s="33">
        <v>1</v>
      </c>
      <c r="E94" s="33">
        <v>1</v>
      </c>
      <c r="F94" s="18"/>
      <c r="G94" s="35">
        <f>WEEKDAY(Metas_Diarias[[#This Row],[data]])</f>
        <v>2</v>
      </c>
      <c r="H94" s="35">
        <f>IF(Metas_Diarias[[#This Row],[dias_da_demana]]=1,"domingo",IF(Metas_Diarias[[#This Row],[dias_da_demana]]=7,0.5,1))</f>
        <v>1</v>
      </c>
      <c r="I94" s="35">
        <f>_xlfn.XLOOKUP(Metas_Diarias[[#This Row],[data]],Feriados[Data],Feriados[Feriado],1)</f>
        <v>1</v>
      </c>
      <c r="J94" s="33" cm="1">
        <f t="array" aca="1" ref="J94" ca="1">SUMPRODUCT(IF((NOT(ISERROR(MATCH(ROW(INDIRECT(DATE(YEAR(B94),MONTH(B94),1)&amp;":"&amp;DATE(YEAR(B94),MONTH(B94)+1,0))),Feriados[Data],0))))=FALSE,
IF(WEEKDAY(ROW(INDIRECT(DATE(YEAR(B94),MONTH(B94),1)&amp;":"&amp;DATE(YEAR(B94),MONTH(B94)+1,0))),2)&lt;=5,1,IF(WEEKDAY(ROW(INDIRECT(DATE(YEAR(B94),MONTH(B94),1)&amp;":"&amp;DATE(YEAR(B94),MONTH(B94)+1,0))),2)=6,0.5,0)),0))</f>
        <v>24</v>
      </c>
      <c r="K94" s="22" cm="1">
        <f t="array" ref="K94">_xlfn.XLOOKUP(1,((Metas_Diarias[[#This Row],[tipo_equipe_id]]=Metas[equipe])*(Metas_Diarias[[#This Row],[data]]&gt;Metas[data_inicio])*(Metas_Diarias[[#This Row],[data]]&lt;Metas[data_fim])),Metas[meta_mensal],0)</f>
        <v>160000</v>
      </c>
      <c r="L9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95" spans="2:12" x14ac:dyDescent="0.3">
      <c r="B95" s="34">
        <v>45384</v>
      </c>
      <c r="C95" s="34" t="str">
        <f>TEXT(Metas_Diarias[[#This Row],[data]],"dddd")</f>
        <v>terça-feira</v>
      </c>
      <c r="D95" s="33">
        <v>1</v>
      </c>
      <c r="E95" s="33">
        <v>1</v>
      </c>
      <c r="F95" s="18"/>
      <c r="G95" s="35">
        <f>WEEKDAY(Metas_Diarias[[#This Row],[data]])</f>
        <v>3</v>
      </c>
      <c r="H95" s="35">
        <f>IF(Metas_Diarias[[#This Row],[dias_da_demana]]=1,"domingo",IF(Metas_Diarias[[#This Row],[dias_da_demana]]=7,0.5,1))</f>
        <v>1</v>
      </c>
      <c r="I95" s="35">
        <f>_xlfn.XLOOKUP(Metas_Diarias[[#This Row],[data]],Feriados[Data],Feriados[Feriado],1)</f>
        <v>1</v>
      </c>
      <c r="J95" s="33" cm="1">
        <f t="array" aca="1" ref="J95" ca="1">SUMPRODUCT(IF((NOT(ISERROR(MATCH(ROW(INDIRECT(DATE(YEAR(B95),MONTH(B95),1)&amp;":"&amp;DATE(YEAR(B95),MONTH(B95)+1,0))),Feriados[Data],0))))=FALSE,
IF(WEEKDAY(ROW(INDIRECT(DATE(YEAR(B95),MONTH(B95),1)&amp;":"&amp;DATE(YEAR(B95),MONTH(B95)+1,0))),2)&lt;=5,1,IF(WEEKDAY(ROW(INDIRECT(DATE(YEAR(B95),MONTH(B95),1)&amp;":"&amp;DATE(YEAR(B95),MONTH(B95)+1,0))),2)=6,0.5,0)),0))</f>
        <v>24</v>
      </c>
      <c r="K95" s="22" cm="1">
        <f t="array" ref="K95">_xlfn.XLOOKUP(1,((Metas_Diarias[[#This Row],[tipo_equipe_id]]=Metas[equipe])*(Metas_Diarias[[#This Row],[data]]&gt;Metas[data_inicio])*(Metas_Diarias[[#This Row],[data]]&lt;Metas[data_fim])),Metas[meta_mensal],0)</f>
        <v>160000</v>
      </c>
      <c r="L9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96" spans="2:12" x14ac:dyDescent="0.3">
      <c r="B96" s="34">
        <v>45385</v>
      </c>
      <c r="C96" s="34" t="str">
        <f>TEXT(Metas_Diarias[[#This Row],[data]],"dddd")</f>
        <v>quarta-feira</v>
      </c>
      <c r="D96" s="33">
        <v>1</v>
      </c>
      <c r="E96" s="33">
        <v>1</v>
      </c>
      <c r="F96" s="18"/>
      <c r="G96" s="35">
        <f>WEEKDAY(Metas_Diarias[[#This Row],[data]])</f>
        <v>4</v>
      </c>
      <c r="H96" s="35">
        <f>IF(Metas_Diarias[[#This Row],[dias_da_demana]]=1,"domingo",IF(Metas_Diarias[[#This Row],[dias_da_demana]]=7,0.5,1))</f>
        <v>1</v>
      </c>
      <c r="I96" s="35">
        <f>_xlfn.XLOOKUP(Metas_Diarias[[#This Row],[data]],Feriados[Data],Feriados[Feriado],1)</f>
        <v>1</v>
      </c>
      <c r="J96" s="33" cm="1">
        <f t="array" aca="1" ref="J96" ca="1">SUMPRODUCT(IF((NOT(ISERROR(MATCH(ROW(INDIRECT(DATE(YEAR(B96),MONTH(B96),1)&amp;":"&amp;DATE(YEAR(B96),MONTH(B96)+1,0))),Feriados[Data],0))))=FALSE,
IF(WEEKDAY(ROW(INDIRECT(DATE(YEAR(B96),MONTH(B96),1)&amp;":"&amp;DATE(YEAR(B96),MONTH(B96)+1,0))),2)&lt;=5,1,IF(WEEKDAY(ROW(INDIRECT(DATE(YEAR(B96),MONTH(B96),1)&amp;":"&amp;DATE(YEAR(B96),MONTH(B96)+1,0))),2)=6,0.5,0)),0))</f>
        <v>24</v>
      </c>
      <c r="K96" s="22" cm="1">
        <f t="array" ref="K96">_xlfn.XLOOKUP(1,((Metas_Diarias[[#This Row],[tipo_equipe_id]]=Metas[equipe])*(Metas_Diarias[[#This Row],[data]]&gt;Metas[data_inicio])*(Metas_Diarias[[#This Row],[data]]&lt;Metas[data_fim])),Metas[meta_mensal],0)</f>
        <v>160000</v>
      </c>
      <c r="L9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97" spans="2:12" x14ac:dyDescent="0.3">
      <c r="B97" s="34">
        <v>45386</v>
      </c>
      <c r="C97" s="34" t="str">
        <f>TEXT(Metas_Diarias[[#This Row],[data]],"dddd")</f>
        <v>quinta-feira</v>
      </c>
      <c r="D97" s="33">
        <v>1</v>
      </c>
      <c r="E97" s="33">
        <v>1</v>
      </c>
      <c r="F97" s="18"/>
      <c r="G97" s="35">
        <f>WEEKDAY(Metas_Diarias[[#This Row],[data]])</f>
        <v>5</v>
      </c>
      <c r="H97" s="35">
        <f>IF(Metas_Diarias[[#This Row],[dias_da_demana]]=1,"domingo",IF(Metas_Diarias[[#This Row],[dias_da_demana]]=7,0.5,1))</f>
        <v>1</v>
      </c>
      <c r="I97" s="35">
        <f>_xlfn.XLOOKUP(Metas_Diarias[[#This Row],[data]],Feriados[Data],Feriados[Feriado],1)</f>
        <v>1</v>
      </c>
      <c r="J97" s="33" cm="1">
        <f t="array" aca="1" ref="J97" ca="1">SUMPRODUCT(IF((NOT(ISERROR(MATCH(ROW(INDIRECT(DATE(YEAR(B97),MONTH(B97),1)&amp;":"&amp;DATE(YEAR(B97),MONTH(B97)+1,0))),Feriados[Data],0))))=FALSE,
IF(WEEKDAY(ROW(INDIRECT(DATE(YEAR(B97),MONTH(B97),1)&amp;":"&amp;DATE(YEAR(B97),MONTH(B97)+1,0))),2)&lt;=5,1,IF(WEEKDAY(ROW(INDIRECT(DATE(YEAR(B97),MONTH(B97),1)&amp;":"&amp;DATE(YEAR(B97),MONTH(B97)+1,0))),2)=6,0.5,0)),0))</f>
        <v>24</v>
      </c>
      <c r="K97" s="22" cm="1">
        <f t="array" ref="K97">_xlfn.XLOOKUP(1,((Metas_Diarias[[#This Row],[tipo_equipe_id]]=Metas[equipe])*(Metas_Diarias[[#This Row],[data]]&gt;Metas[data_inicio])*(Metas_Diarias[[#This Row],[data]]&lt;Metas[data_fim])),Metas[meta_mensal],0)</f>
        <v>160000</v>
      </c>
      <c r="L9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98" spans="2:12" x14ac:dyDescent="0.3">
      <c r="B98" s="34">
        <v>45387</v>
      </c>
      <c r="C98" s="34" t="str">
        <f>TEXT(Metas_Diarias[[#This Row],[data]],"dddd")</f>
        <v>sexta-feira</v>
      </c>
      <c r="D98" s="33">
        <v>1</v>
      </c>
      <c r="E98" s="33">
        <v>1</v>
      </c>
      <c r="F98" s="18"/>
      <c r="G98" s="35">
        <f>WEEKDAY(Metas_Diarias[[#This Row],[data]])</f>
        <v>6</v>
      </c>
      <c r="H98" s="35">
        <f>IF(Metas_Diarias[[#This Row],[dias_da_demana]]=1,"domingo",IF(Metas_Diarias[[#This Row],[dias_da_demana]]=7,0.5,1))</f>
        <v>1</v>
      </c>
      <c r="I98" s="35">
        <f>_xlfn.XLOOKUP(Metas_Diarias[[#This Row],[data]],Feriados[Data],Feriados[Feriado],1)</f>
        <v>1</v>
      </c>
      <c r="J98" s="33" cm="1">
        <f t="array" aca="1" ref="J98" ca="1">SUMPRODUCT(IF((NOT(ISERROR(MATCH(ROW(INDIRECT(DATE(YEAR(B98),MONTH(B98),1)&amp;":"&amp;DATE(YEAR(B98),MONTH(B98)+1,0))),Feriados[Data],0))))=FALSE,
IF(WEEKDAY(ROW(INDIRECT(DATE(YEAR(B98),MONTH(B98),1)&amp;":"&amp;DATE(YEAR(B98),MONTH(B98)+1,0))),2)&lt;=5,1,IF(WEEKDAY(ROW(INDIRECT(DATE(YEAR(B98),MONTH(B98),1)&amp;":"&amp;DATE(YEAR(B98),MONTH(B98)+1,0))),2)=6,0.5,0)),0))</f>
        <v>24</v>
      </c>
      <c r="K98" s="22" cm="1">
        <f t="array" ref="K98">_xlfn.XLOOKUP(1,((Metas_Diarias[[#This Row],[tipo_equipe_id]]=Metas[equipe])*(Metas_Diarias[[#This Row],[data]]&gt;Metas[data_inicio])*(Metas_Diarias[[#This Row],[data]]&lt;Metas[data_fim])),Metas[meta_mensal],0)</f>
        <v>160000</v>
      </c>
      <c r="L9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99" spans="2:12" x14ac:dyDescent="0.3">
      <c r="B99" s="34">
        <v>45388</v>
      </c>
      <c r="C99" s="34" t="str">
        <f>TEXT(Metas_Diarias[[#This Row],[data]],"dddd")</f>
        <v>sábado</v>
      </c>
      <c r="D99" s="33">
        <v>1</v>
      </c>
      <c r="E99" s="33">
        <v>1</v>
      </c>
      <c r="F99" s="18"/>
      <c r="G99" s="35">
        <f>WEEKDAY(Metas_Diarias[[#This Row],[data]])</f>
        <v>7</v>
      </c>
      <c r="H99" s="35">
        <f>IF(Metas_Diarias[[#This Row],[dias_da_demana]]=1,"domingo",IF(Metas_Diarias[[#This Row],[dias_da_demana]]=7,0.5,1))</f>
        <v>0.5</v>
      </c>
      <c r="I99" s="35">
        <f>_xlfn.XLOOKUP(Metas_Diarias[[#This Row],[data]],Feriados[Data],Feriados[Feriado],1)</f>
        <v>1</v>
      </c>
      <c r="J99" s="33" cm="1">
        <f t="array" aca="1" ref="J99" ca="1">SUMPRODUCT(IF((NOT(ISERROR(MATCH(ROW(INDIRECT(DATE(YEAR(B99),MONTH(B99),1)&amp;":"&amp;DATE(YEAR(B99),MONTH(B99)+1,0))),Feriados[Data],0))))=FALSE,
IF(WEEKDAY(ROW(INDIRECT(DATE(YEAR(B99),MONTH(B99),1)&amp;":"&amp;DATE(YEAR(B99),MONTH(B99)+1,0))),2)&lt;=5,1,IF(WEEKDAY(ROW(INDIRECT(DATE(YEAR(B99),MONTH(B99),1)&amp;":"&amp;DATE(YEAR(B99),MONTH(B99)+1,0))),2)=6,0.5,0)),0))</f>
        <v>24</v>
      </c>
      <c r="K99" s="22" cm="1">
        <f t="array" ref="K99">_xlfn.XLOOKUP(1,((Metas_Diarias[[#This Row],[tipo_equipe_id]]=Metas[equipe])*(Metas_Diarias[[#This Row],[data]]&gt;Metas[data_inicio])*(Metas_Diarias[[#This Row],[data]]&lt;Metas[data_fim])),Metas[meta_mensal],0)</f>
        <v>160000</v>
      </c>
      <c r="L99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100" spans="2:12" x14ac:dyDescent="0.3">
      <c r="B100" s="34">
        <v>45389</v>
      </c>
      <c r="C100" s="34" t="str">
        <f>TEXT(Metas_Diarias[[#This Row],[data]],"dddd")</f>
        <v>domingo</v>
      </c>
      <c r="D100" s="33">
        <v>1</v>
      </c>
      <c r="E100" s="33">
        <v>1</v>
      </c>
      <c r="F100" s="18"/>
      <c r="G100" s="35">
        <f>WEEKDAY(Metas_Diarias[[#This Row],[data]])</f>
        <v>1</v>
      </c>
      <c r="H100" s="35" t="str">
        <f>IF(Metas_Diarias[[#This Row],[dias_da_demana]]=1,"domingo",IF(Metas_Diarias[[#This Row],[dias_da_demana]]=7,0.5,1))</f>
        <v>domingo</v>
      </c>
      <c r="I100" s="35">
        <f>_xlfn.XLOOKUP(Metas_Diarias[[#This Row],[data]],Feriados[Data],Feriados[Feriado],1)</f>
        <v>1</v>
      </c>
      <c r="J100" s="33" cm="1">
        <f t="array" aca="1" ref="J100" ca="1">SUMPRODUCT(IF((NOT(ISERROR(MATCH(ROW(INDIRECT(DATE(YEAR(B100),MONTH(B100),1)&amp;":"&amp;DATE(YEAR(B100),MONTH(B100)+1,0))),Feriados[Data],0))))=FALSE,
IF(WEEKDAY(ROW(INDIRECT(DATE(YEAR(B100),MONTH(B100),1)&amp;":"&amp;DATE(YEAR(B100),MONTH(B100)+1,0))),2)&lt;=5,1,IF(WEEKDAY(ROW(INDIRECT(DATE(YEAR(B100),MONTH(B100),1)&amp;":"&amp;DATE(YEAR(B100),MONTH(B100)+1,0))),2)=6,0.5,0)),0))</f>
        <v>24</v>
      </c>
      <c r="K100" s="22" cm="1">
        <f t="array" ref="K100">_xlfn.XLOOKUP(1,((Metas_Diarias[[#This Row],[tipo_equipe_id]]=Metas[equipe])*(Metas_Diarias[[#This Row],[data]]&gt;Metas[data_inicio])*(Metas_Diarias[[#This Row],[data]]&lt;Metas[data_fim])),Metas[meta_mensal],0)</f>
        <v>160000</v>
      </c>
      <c r="L10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1" spans="2:12" x14ac:dyDescent="0.3">
      <c r="B101" s="34">
        <v>45390</v>
      </c>
      <c r="C101" s="34" t="str">
        <f>TEXT(Metas_Diarias[[#This Row],[data]],"dddd")</f>
        <v>segunda-feira</v>
      </c>
      <c r="D101" s="33">
        <v>1</v>
      </c>
      <c r="E101" s="33">
        <v>1</v>
      </c>
      <c r="F101" s="18"/>
      <c r="G101" s="35">
        <f>WEEKDAY(Metas_Diarias[[#This Row],[data]])</f>
        <v>2</v>
      </c>
      <c r="H101" s="35">
        <f>IF(Metas_Diarias[[#This Row],[dias_da_demana]]=1,"domingo",IF(Metas_Diarias[[#This Row],[dias_da_demana]]=7,0.5,1))</f>
        <v>1</v>
      </c>
      <c r="I101" s="35">
        <f>_xlfn.XLOOKUP(Metas_Diarias[[#This Row],[data]],Feriados[Data],Feriados[Feriado],1)</f>
        <v>1</v>
      </c>
      <c r="J101" s="33" cm="1">
        <f t="array" aca="1" ref="J101" ca="1">SUMPRODUCT(IF((NOT(ISERROR(MATCH(ROW(INDIRECT(DATE(YEAR(B101),MONTH(B101),1)&amp;":"&amp;DATE(YEAR(B101),MONTH(B101)+1,0))),Feriados[Data],0))))=FALSE,
IF(WEEKDAY(ROW(INDIRECT(DATE(YEAR(B101),MONTH(B101),1)&amp;":"&amp;DATE(YEAR(B101),MONTH(B101)+1,0))),2)&lt;=5,1,IF(WEEKDAY(ROW(INDIRECT(DATE(YEAR(B101),MONTH(B101),1)&amp;":"&amp;DATE(YEAR(B101),MONTH(B101)+1,0))),2)=6,0.5,0)),0))</f>
        <v>24</v>
      </c>
      <c r="K101" s="22" cm="1">
        <f t="array" ref="K101">_xlfn.XLOOKUP(1,((Metas_Diarias[[#This Row],[tipo_equipe_id]]=Metas[equipe])*(Metas_Diarias[[#This Row],[data]]&gt;Metas[data_inicio])*(Metas_Diarias[[#This Row],[data]]&lt;Metas[data_fim])),Metas[meta_mensal],0)</f>
        <v>160000</v>
      </c>
      <c r="L10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02" spans="2:12" x14ac:dyDescent="0.3">
      <c r="B102" s="34">
        <v>45391</v>
      </c>
      <c r="C102" s="34" t="str">
        <f>TEXT(Metas_Diarias[[#This Row],[data]],"dddd")</f>
        <v>terça-feira</v>
      </c>
      <c r="D102" s="33">
        <v>1</v>
      </c>
      <c r="E102" s="33">
        <v>1</v>
      </c>
      <c r="F102" s="18"/>
      <c r="G102" s="35">
        <f>WEEKDAY(Metas_Diarias[[#This Row],[data]])</f>
        <v>3</v>
      </c>
      <c r="H102" s="35">
        <f>IF(Metas_Diarias[[#This Row],[dias_da_demana]]=1,"domingo",IF(Metas_Diarias[[#This Row],[dias_da_demana]]=7,0.5,1))</f>
        <v>1</v>
      </c>
      <c r="I102" s="35">
        <f>_xlfn.XLOOKUP(Metas_Diarias[[#This Row],[data]],Feriados[Data],Feriados[Feriado],1)</f>
        <v>1</v>
      </c>
      <c r="J102" s="33" cm="1">
        <f t="array" aca="1" ref="J102" ca="1">SUMPRODUCT(IF((NOT(ISERROR(MATCH(ROW(INDIRECT(DATE(YEAR(B102),MONTH(B102),1)&amp;":"&amp;DATE(YEAR(B102),MONTH(B102)+1,0))),Feriados[Data],0))))=FALSE,
IF(WEEKDAY(ROW(INDIRECT(DATE(YEAR(B102),MONTH(B102),1)&amp;":"&amp;DATE(YEAR(B102),MONTH(B102)+1,0))),2)&lt;=5,1,IF(WEEKDAY(ROW(INDIRECT(DATE(YEAR(B102),MONTH(B102),1)&amp;":"&amp;DATE(YEAR(B102),MONTH(B102)+1,0))),2)=6,0.5,0)),0))</f>
        <v>24</v>
      </c>
      <c r="K102" s="22" cm="1">
        <f t="array" ref="K102">_xlfn.XLOOKUP(1,((Metas_Diarias[[#This Row],[tipo_equipe_id]]=Metas[equipe])*(Metas_Diarias[[#This Row],[data]]&gt;Metas[data_inicio])*(Metas_Diarias[[#This Row],[data]]&lt;Metas[data_fim])),Metas[meta_mensal],0)</f>
        <v>160000</v>
      </c>
      <c r="L10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03" spans="2:12" x14ac:dyDescent="0.3">
      <c r="B103" s="34">
        <v>45392</v>
      </c>
      <c r="C103" s="34" t="str">
        <f>TEXT(Metas_Diarias[[#This Row],[data]],"dddd")</f>
        <v>quarta-feira</v>
      </c>
      <c r="D103" s="33">
        <v>1</v>
      </c>
      <c r="E103" s="33">
        <v>1</v>
      </c>
      <c r="F103" s="18"/>
      <c r="G103" s="35">
        <f>WEEKDAY(Metas_Diarias[[#This Row],[data]])</f>
        <v>4</v>
      </c>
      <c r="H103" s="35">
        <f>IF(Metas_Diarias[[#This Row],[dias_da_demana]]=1,"domingo",IF(Metas_Diarias[[#This Row],[dias_da_demana]]=7,0.5,1))</f>
        <v>1</v>
      </c>
      <c r="I103" s="35">
        <f>_xlfn.XLOOKUP(Metas_Diarias[[#This Row],[data]],Feriados[Data],Feriados[Feriado],1)</f>
        <v>1</v>
      </c>
      <c r="J103" s="33" cm="1">
        <f t="array" aca="1" ref="J103" ca="1">SUMPRODUCT(IF((NOT(ISERROR(MATCH(ROW(INDIRECT(DATE(YEAR(B103),MONTH(B103),1)&amp;":"&amp;DATE(YEAR(B103),MONTH(B103)+1,0))),Feriados[Data],0))))=FALSE,
IF(WEEKDAY(ROW(INDIRECT(DATE(YEAR(B103),MONTH(B103),1)&amp;":"&amp;DATE(YEAR(B103),MONTH(B103)+1,0))),2)&lt;=5,1,IF(WEEKDAY(ROW(INDIRECT(DATE(YEAR(B103),MONTH(B103),1)&amp;":"&amp;DATE(YEAR(B103),MONTH(B103)+1,0))),2)=6,0.5,0)),0))</f>
        <v>24</v>
      </c>
      <c r="K103" s="22" cm="1">
        <f t="array" ref="K103">_xlfn.XLOOKUP(1,((Metas_Diarias[[#This Row],[tipo_equipe_id]]=Metas[equipe])*(Metas_Diarias[[#This Row],[data]]&gt;Metas[data_inicio])*(Metas_Diarias[[#This Row],[data]]&lt;Metas[data_fim])),Metas[meta_mensal],0)</f>
        <v>160000</v>
      </c>
      <c r="L10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04" spans="2:12" x14ac:dyDescent="0.3">
      <c r="B104" s="34">
        <v>45393</v>
      </c>
      <c r="C104" s="34" t="str">
        <f>TEXT(Metas_Diarias[[#This Row],[data]],"dddd")</f>
        <v>quinta-feira</v>
      </c>
      <c r="D104" s="33">
        <v>1</v>
      </c>
      <c r="E104" s="33">
        <v>1</v>
      </c>
      <c r="F104" s="18"/>
      <c r="G104" s="35">
        <f>WEEKDAY(Metas_Diarias[[#This Row],[data]])</f>
        <v>5</v>
      </c>
      <c r="H104" s="35">
        <f>IF(Metas_Diarias[[#This Row],[dias_da_demana]]=1,"domingo",IF(Metas_Diarias[[#This Row],[dias_da_demana]]=7,0.5,1))</f>
        <v>1</v>
      </c>
      <c r="I104" s="35">
        <f>_xlfn.XLOOKUP(Metas_Diarias[[#This Row],[data]],Feriados[Data],Feriados[Feriado],1)</f>
        <v>1</v>
      </c>
      <c r="J104" s="33" cm="1">
        <f t="array" aca="1" ref="J104" ca="1">SUMPRODUCT(IF((NOT(ISERROR(MATCH(ROW(INDIRECT(DATE(YEAR(B104),MONTH(B104),1)&amp;":"&amp;DATE(YEAR(B104),MONTH(B104)+1,0))),Feriados[Data],0))))=FALSE,
IF(WEEKDAY(ROW(INDIRECT(DATE(YEAR(B104),MONTH(B104),1)&amp;":"&amp;DATE(YEAR(B104),MONTH(B104)+1,0))),2)&lt;=5,1,IF(WEEKDAY(ROW(INDIRECT(DATE(YEAR(B104),MONTH(B104),1)&amp;":"&amp;DATE(YEAR(B104),MONTH(B104)+1,0))),2)=6,0.5,0)),0))</f>
        <v>24</v>
      </c>
      <c r="K104" s="22" cm="1">
        <f t="array" ref="K104">_xlfn.XLOOKUP(1,((Metas_Diarias[[#This Row],[tipo_equipe_id]]=Metas[equipe])*(Metas_Diarias[[#This Row],[data]]&gt;Metas[data_inicio])*(Metas_Diarias[[#This Row],[data]]&lt;Metas[data_fim])),Metas[meta_mensal],0)</f>
        <v>160000</v>
      </c>
      <c r="L10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05" spans="2:12" x14ac:dyDescent="0.3">
      <c r="B105" s="34">
        <v>45394</v>
      </c>
      <c r="C105" s="34" t="str">
        <f>TEXT(Metas_Diarias[[#This Row],[data]],"dddd")</f>
        <v>sexta-feira</v>
      </c>
      <c r="D105" s="33">
        <v>1</v>
      </c>
      <c r="E105" s="33">
        <v>1</v>
      </c>
      <c r="F105" s="18"/>
      <c r="G105" s="35">
        <f>WEEKDAY(Metas_Diarias[[#This Row],[data]])</f>
        <v>6</v>
      </c>
      <c r="H105" s="35">
        <f>IF(Metas_Diarias[[#This Row],[dias_da_demana]]=1,"domingo",IF(Metas_Diarias[[#This Row],[dias_da_demana]]=7,0.5,1))</f>
        <v>1</v>
      </c>
      <c r="I105" s="35">
        <f>_xlfn.XLOOKUP(Metas_Diarias[[#This Row],[data]],Feriados[Data],Feriados[Feriado],1)</f>
        <v>1</v>
      </c>
      <c r="J105" s="33" cm="1">
        <f t="array" aca="1" ref="J105" ca="1">SUMPRODUCT(IF((NOT(ISERROR(MATCH(ROW(INDIRECT(DATE(YEAR(B105),MONTH(B105),1)&amp;":"&amp;DATE(YEAR(B105),MONTH(B105)+1,0))),Feriados[Data],0))))=FALSE,
IF(WEEKDAY(ROW(INDIRECT(DATE(YEAR(B105),MONTH(B105),1)&amp;":"&amp;DATE(YEAR(B105),MONTH(B105)+1,0))),2)&lt;=5,1,IF(WEEKDAY(ROW(INDIRECT(DATE(YEAR(B105),MONTH(B105),1)&amp;":"&amp;DATE(YEAR(B105),MONTH(B105)+1,0))),2)=6,0.5,0)),0))</f>
        <v>24</v>
      </c>
      <c r="K105" s="22" cm="1">
        <f t="array" ref="K105">_xlfn.XLOOKUP(1,((Metas_Diarias[[#This Row],[tipo_equipe_id]]=Metas[equipe])*(Metas_Diarias[[#This Row],[data]]&gt;Metas[data_inicio])*(Metas_Diarias[[#This Row],[data]]&lt;Metas[data_fim])),Metas[meta_mensal],0)</f>
        <v>160000</v>
      </c>
      <c r="L10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06" spans="2:12" x14ac:dyDescent="0.3">
      <c r="B106" s="34">
        <v>45395</v>
      </c>
      <c r="C106" s="34" t="str">
        <f>TEXT(Metas_Diarias[[#This Row],[data]],"dddd")</f>
        <v>sábado</v>
      </c>
      <c r="D106" s="33">
        <v>1</v>
      </c>
      <c r="E106" s="33">
        <v>1</v>
      </c>
      <c r="F106" s="18"/>
      <c r="G106" s="35">
        <f>WEEKDAY(Metas_Diarias[[#This Row],[data]])</f>
        <v>7</v>
      </c>
      <c r="H106" s="35">
        <f>IF(Metas_Diarias[[#This Row],[dias_da_demana]]=1,"domingo",IF(Metas_Diarias[[#This Row],[dias_da_demana]]=7,0.5,1))</f>
        <v>0.5</v>
      </c>
      <c r="I106" s="35">
        <f>_xlfn.XLOOKUP(Metas_Diarias[[#This Row],[data]],Feriados[Data],Feriados[Feriado],1)</f>
        <v>1</v>
      </c>
      <c r="J106" s="33" cm="1">
        <f t="array" aca="1" ref="J106" ca="1">SUMPRODUCT(IF((NOT(ISERROR(MATCH(ROW(INDIRECT(DATE(YEAR(B106),MONTH(B106),1)&amp;":"&amp;DATE(YEAR(B106),MONTH(B106)+1,0))),Feriados[Data],0))))=FALSE,
IF(WEEKDAY(ROW(INDIRECT(DATE(YEAR(B106),MONTH(B106),1)&amp;":"&amp;DATE(YEAR(B106),MONTH(B106)+1,0))),2)&lt;=5,1,IF(WEEKDAY(ROW(INDIRECT(DATE(YEAR(B106),MONTH(B106),1)&amp;":"&amp;DATE(YEAR(B106),MONTH(B106)+1,0))),2)=6,0.5,0)),0))</f>
        <v>24</v>
      </c>
      <c r="K106" s="22" cm="1">
        <f t="array" ref="K106">_xlfn.XLOOKUP(1,((Metas_Diarias[[#This Row],[tipo_equipe_id]]=Metas[equipe])*(Metas_Diarias[[#This Row],[data]]&gt;Metas[data_inicio])*(Metas_Diarias[[#This Row],[data]]&lt;Metas[data_fim])),Metas[meta_mensal],0)</f>
        <v>160000</v>
      </c>
      <c r="L106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107" spans="2:12" x14ac:dyDescent="0.3">
      <c r="B107" s="34">
        <v>45396</v>
      </c>
      <c r="C107" s="34" t="str">
        <f>TEXT(Metas_Diarias[[#This Row],[data]],"dddd")</f>
        <v>domingo</v>
      </c>
      <c r="D107" s="33">
        <v>1</v>
      </c>
      <c r="E107" s="33">
        <v>1</v>
      </c>
      <c r="F107" s="18"/>
      <c r="G107" s="35">
        <f>WEEKDAY(Metas_Diarias[[#This Row],[data]])</f>
        <v>1</v>
      </c>
      <c r="H107" s="35" t="str">
        <f>IF(Metas_Diarias[[#This Row],[dias_da_demana]]=1,"domingo",IF(Metas_Diarias[[#This Row],[dias_da_demana]]=7,0.5,1))</f>
        <v>domingo</v>
      </c>
      <c r="I107" s="35">
        <f>_xlfn.XLOOKUP(Metas_Diarias[[#This Row],[data]],Feriados[Data],Feriados[Feriado],1)</f>
        <v>1</v>
      </c>
      <c r="J107" s="33" cm="1">
        <f t="array" aca="1" ref="J107" ca="1">SUMPRODUCT(IF((NOT(ISERROR(MATCH(ROW(INDIRECT(DATE(YEAR(B107),MONTH(B107),1)&amp;":"&amp;DATE(YEAR(B107),MONTH(B107)+1,0))),Feriados[Data],0))))=FALSE,
IF(WEEKDAY(ROW(INDIRECT(DATE(YEAR(B107),MONTH(B107),1)&amp;":"&amp;DATE(YEAR(B107),MONTH(B107)+1,0))),2)&lt;=5,1,IF(WEEKDAY(ROW(INDIRECT(DATE(YEAR(B107),MONTH(B107),1)&amp;":"&amp;DATE(YEAR(B107),MONTH(B107)+1,0))),2)=6,0.5,0)),0))</f>
        <v>24</v>
      </c>
      <c r="K107" s="22" cm="1">
        <f t="array" ref="K107">_xlfn.XLOOKUP(1,((Metas_Diarias[[#This Row],[tipo_equipe_id]]=Metas[equipe])*(Metas_Diarias[[#This Row],[data]]&gt;Metas[data_inicio])*(Metas_Diarias[[#This Row],[data]]&lt;Metas[data_fim])),Metas[meta_mensal],0)</f>
        <v>160000</v>
      </c>
      <c r="L1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8" spans="2:12" x14ac:dyDescent="0.3">
      <c r="B108" s="34">
        <v>45397</v>
      </c>
      <c r="C108" s="34" t="str">
        <f>TEXT(Metas_Diarias[[#This Row],[data]],"dddd")</f>
        <v>segunda-feira</v>
      </c>
      <c r="D108" s="33">
        <v>1</v>
      </c>
      <c r="E108" s="33">
        <v>1</v>
      </c>
      <c r="F108" s="18"/>
      <c r="G108" s="35">
        <f>WEEKDAY(Metas_Diarias[[#This Row],[data]])</f>
        <v>2</v>
      </c>
      <c r="H108" s="35">
        <f>IF(Metas_Diarias[[#This Row],[dias_da_demana]]=1,"domingo",IF(Metas_Diarias[[#This Row],[dias_da_demana]]=7,0.5,1))</f>
        <v>1</v>
      </c>
      <c r="I108" s="35">
        <f>_xlfn.XLOOKUP(Metas_Diarias[[#This Row],[data]],Feriados[Data],Feriados[Feriado],1)</f>
        <v>1</v>
      </c>
      <c r="J108" s="33" cm="1">
        <f t="array" aca="1" ref="J108" ca="1">SUMPRODUCT(IF((NOT(ISERROR(MATCH(ROW(INDIRECT(DATE(YEAR(B108),MONTH(B108),1)&amp;":"&amp;DATE(YEAR(B108),MONTH(B108)+1,0))),Feriados[Data],0))))=FALSE,
IF(WEEKDAY(ROW(INDIRECT(DATE(YEAR(B108),MONTH(B108),1)&amp;":"&amp;DATE(YEAR(B108),MONTH(B108)+1,0))),2)&lt;=5,1,IF(WEEKDAY(ROW(INDIRECT(DATE(YEAR(B108),MONTH(B108),1)&amp;":"&amp;DATE(YEAR(B108),MONTH(B108)+1,0))),2)=6,0.5,0)),0))</f>
        <v>24</v>
      </c>
      <c r="K108" s="22" cm="1">
        <f t="array" ref="K108">_xlfn.XLOOKUP(1,((Metas_Diarias[[#This Row],[tipo_equipe_id]]=Metas[equipe])*(Metas_Diarias[[#This Row],[data]]&gt;Metas[data_inicio])*(Metas_Diarias[[#This Row],[data]]&lt;Metas[data_fim])),Metas[meta_mensal],0)</f>
        <v>160000</v>
      </c>
      <c r="L10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09" spans="2:12" x14ac:dyDescent="0.3">
      <c r="B109" s="34">
        <v>45398</v>
      </c>
      <c r="C109" s="34" t="str">
        <f>TEXT(Metas_Diarias[[#This Row],[data]],"dddd")</f>
        <v>terça-feira</v>
      </c>
      <c r="D109" s="33">
        <v>1</v>
      </c>
      <c r="E109" s="33">
        <v>1</v>
      </c>
      <c r="F109" s="18"/>
      <c r="G109" s="35">
        <f>WEEKDAY(Metas_Diarias[[#This Row],[data]])</f>
        <v>3</v>
      </c>
      <c r="H109" s="35">
        <f>IF(Metas_Diarias[[#This Row],[dias_da_demana]]=1,"domingo",IF(Metas_Diarias[[#This Row],[dias_da_demana]]=7,0.5,1))</f>
        <v>1</v>
      </c>
      <c r="I109" s="35">
        <f>_xlfn.XLOOKUP(Metas_Diarias[[#This Row],[data]],Feriados[Data],Feriados[Feriado],1)</f>
        <v>1</v>
      </c>
      <c r="J109" s="33" cm="1">
        <f t="array" aca="1" ref="J109" ca="1">SUMPRODUCT(IF((NOT(ISERROR(MATCH(ROW(INDIRECT(DATE(YEAR(B109),MONTH(B109),1)&amp;":"&amp;DATE(YEAR(B109),MONTH(B109)+1,0))),Feriados[Data],0))))=FALSE,
IF(WEEKDAY(ROW(INDIRECT(DATE(YEAR(B109),MONTH(B109),1)&amp;":"&amp;DATE(YEAR(B109),MONTH(B109)+1,0))),2)&lt;=5,1,IF(WEEKDAY(ROW(INDIRECT(DATE(YEAR(B109),MONTH(B109),1)&amp;":"&amp;DATE(YEAR(B109),MONTH(B109)+1,0))),2)=6,0.5,0)),0))</f>
        <v>24</v>
      </c>
      <c r="K109" s="22" cm="1">
        <f t="array" ref="K109">_xlfn.XLOOKUP(1,((Metas_Diarias[[#This Row],[tipo_equipe_id]]=Metas[equipe])*(Metas_Diarias[[#This Row],[data]]&gt;Metas[data_inicio])*(Metas_Diarias[[#This Row],[data]]&lt;Metas[data_fim])),Metas[meta_mensal],0)</f>
        <v>160000</v>
      </c>
      <c r="L109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0" spans="2:12" x14ac:dyDescent="0.3">
      <c r="B110" s="34">
        <v>45399</v>
      </c>
      <c r="C110" s="34" t="str">
        <f>TEXT(Metas_Diarias[[#This Row],[data]],"dddd")</f>
        <v>quarta-feira</v>
      </c>
      <c r="D110" s="33">
        <v>1</v>
      </c>
      <c r="E110" s="33">
        <v>1</v>
      </c>
      <c r="F110" s="18"/>
      <c r="G110" s="35">
        <f>WEEKDAY(Metas_Diarias[[#This Row],[data]])</f>
        <v>4</v>
      </c>
      <c r="H110" s="35">
        <f>IF(Metas_Diarias[[#This Row],[dias_da_demana]]=1,"domingo",IF(Metas_Diarias[[#This Row],[dias_da_demana]]=7,0.5,1))</f>
        <v>1</v>
      </c>
      <c r="I110" s="35">
        <f>_xlfn.XLOOKUP(Metas_Diarias[[#This Row],[data]],Feriados[Data],Feriados[Feriado],1)</f>
        <v>1</v>
      </c>
      <c r="J110" s="33" cm="1">
        <f t="array" aca="1" ref="J110" ca="1">SUMPRODUCT(IF((NOT(ISERROR(MATCH(ROW(INDIRECT(DATE(YEAR(B110),MONTH(B110),1)&amp;":"&amp;DATE(YEAR(B110),MONTH(B110)+1,0))),Feriados[Data],0))))=FALSE,
IF(WEEKDAY(ROW(INDIRECT(DATE(YEAR(B110),MONTH(B110),1)&amp;":"&amp;DATE(YEAR(B110),MONTH(B110)+1,0))),2)&lt;=5,1,IF(WEEKDAY(ROW(INDIRECT(DATE(YEAR(B110),MONTH(B110),1)&amp;":"&amp;DATE(YEAR(B110),MONTH(B110)+1,0))),2)=6,0.5,0)),0))</f>
        <v>24</v>
      </c>
      <c r="K110" s="22" cm="1">
        <f t="array" ref="K110">_xlfn.XLOOKUP(1,((Metas_Diarias[[#This Row],[tipo_equipe_id]]=Metas[equipe])*(Metas_Diarias[[#This Row],[data]]&gt;Metas[data_inicio])*(Metas_Diarias[[#This Row],[data]]&lt;Metas[data_fim])),Metas[meta_mensal],0)</f>
        <v>160000</v>
      </c>
      <c r="L11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1" spans="2:12" x14ac:dyDescent="0.3">
      <c r="B111" s="34">
        <v>45400</v>
      </c>
      <c r="C111" s="34" t="str">
        <f>TEXT(Metas_Diarias[[#This Row],[data]],"dddd")</f>
        <v>quinta-feira</v>
      </c>
      <c r="D111" s="33">
        <v>1</v>
      </c>
      <c r="E111" s="33">
        <v>1</v>
      </c>
      <c r="F111" s="18"/>
      <c r="G111" s="35">
        <f>WEEKDAY(Metas_Diarias[[#This Row],[data]])</f>
        <v>5</v>
      </c>
      <c r="H111" s="35">
        <f>IF(Metas_Diarias[[#This Row],[dias_da_demana]]=1,"domingo",IF(Metas_Diarias[[#This Row],[dias_da_demana]]=7,0.5,1))</f>
        <v>1</v>
      </c>
      <c r="I111" s="35">
        <f>_xlfn.XLOOKUP(Metas_Diarias[[#This Row],[data]],Feriados[Data],Feriados[Feriado],1)</f>
        <v>1</v>
      </c>
      <c r="J111" s="33" cm="1">
        <f t="array" aca="1" ref="J111" ca="1">SUMPRODUCT(IF((NOT(ISERROR(MATCH(ROW(INDIRECT(DATE(YEAR(B111),MONTH(B111),1)&amp;":"&amp;DATE(YEAR(B111),MONTH(B111)+1,0))),Feriados[Data],0))))=FALSE,
IF(WEEKDAY(ROW(INDIRECT(DATE(YEAR(B111),MONTH(B111),1)&amp;":"&amp;DATE(YEAR(B111),MONTH(B111)+1,0))),2)&lt;=5,1,IF(WEEKDAY(ROW(INDIRECT(DATE(YEAR(B111),MONTH(B111),1)&amp;":"&amp;DATE(YEAR(B111),MONTH(B111)+1,0))),2)=6,0.5,0)),0))</f>
        <v>24</v>
      </c>
      <c r="K111" s="22" cm="1">
        <f t="array" ref="K111">_xlfn.XLOOKUP(1,((Metas_Diarias[[#This Row],[tipo_equipe_id]]=Metas[equipe])*(Metas_Diarias[[#This Row],[data]]&gt;Metas[data_inicio])*(Metas_Diarias[[#This Row],[data]]&lt;Metas[data_fim])),Metas[meta_mensal],0)</f>
        <v>160000</v>
      </c>
      <c r="L11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2" spans="2:12" x14ac:dyDescent="0.3">
      <c r="B112" s="34">
        <v>45401</v>
      </c>
      <c r="C112" s="34" t="str">
        <f>TEXT(Metas_Diarias[[#This Row],[data]],"dddd")</f>
        <v>sexta-feira</v>
      </c>
      <c r="D112" s="33">
        <v>1</v>
      </c>
      <c r="E112" s="33">
        <v>1</v>
      </c>
      <c r="F112" s="18"/>
      <c r="G112" s="35">
        <f>WEEKDAY(Metas_Diarias[[#This Row],[data]])</f>
        <v>6</v>
      </c>
      <c r="H112" s="35">
        <f>IF(Metas_Diarias[[#This Row],[dias_da_demana]]=1,"domingo",IF(Metas_Diarias[[#This Row],[dias_da_demana]]=7,0.5,1))</f>
        <v>1</v>
      </c>
      <c r="I112" s="35">
        <f>_xlfn.XLOOKUP(Metas_Diarias[[#This Row],[data]],Feriados[Data],Feriados[Feriado],1)</f>
        <v>1</v>
      </c>
      <c r="J112" s="33" cm="1">
        <f t="array" aca="1" ref="J112" ca="1">SUMPRODUCT(IF((NOT(ISERROR(MATCH(ROW(INDIRECT(DATE(YEAR(B112),MONTH(B112),1)&amp;":"&amp;DATE(YEAR(B112),MONTH(B112)+1,0))),Feriados[Data],0))))=FALSE,
IF(WEEKDAY(ROW(INDIRECT(DATE(YEAR(B112),MONTH(B112),1)&amp;":"&amp;DATE(YEAR(B112),MONTH(B112)+1,0))),2)&lt;=5,1,IF(WEEKDAY(ROW(INDIRECT(DATE(YEAR(B112),MONTH(B112),1)&amp;":"&amp;DATE(YEAR(B112),MONTH(B112)+1,0))),2)=6,0.5,0)),0))</f>
        <v>24</v>
      </c>
      <c r="K112" s="22" cm="1">
        <f t="array" ref="K112">_xlfn.XLOOKUP(1,((Metas_Diarias[[#This Row],[tipo_equipe_id]]=Metas[equipe])*(Metas_Diarias[[#This Row],[data]]&gt;Metas[data_inicio])*(Metas_Diarias[[#This Row],[data]]&lt;Metas[data_fim])),Metas[meta_mensal],0)</f>
        <v>160000</v>
      </c>
      <c r="L11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3" spans="2:12" x14ac:dyDescent="0.3">
      <c r="B113" s="34">
        <v>45402</v>
      </c>
      <c r="C113" s="34" t="str">
        <f>TEXT(Metas_Diarias[[#This Row],[data]],"dddd")</f>
        <v>sábado</v>
      </c>
      <c r="D113" s="33">
        <v>1</v>
      </c>
      <c r="E113" s="33">
        <v>1</v>
      </c>
      <c r="F113" s="18"/>
      <c r="G113" s="35">
        <f>WEEKDAY(Metas_Diarias[[#This Row],[data]])</f>
        <v>7</v>
      </c>
      <c r="H113" s="35">
        <f>IF(Metas_Diarias[[#This Row],[dias_da_demana]]=1,"domingo",IF(Metas_Diarias[[#This Row],[dias_da_demana]]=7,0.5,1))</f>
        <v>0.5</v>
      </c>
      <c r="I113" s="35">
        <f>_xlfn.XLOOKUP(Metas_Diarias[[#This Row],[data]],Feriados[Data],Feriados[Feriado],1)</f>
        <v>1</v>
      </c>
      <c r="J113" s="33" cm="1">
        <f t="array" aca="1" ref="J113" ca="1">SUMPRODUCT(IF((NOT(ISERROR(MATCH(ROW(INDIRECT(DATE(YEAR(B113),MONTH(B113),1)&amp;":"&amp;DATE(YEAR(B113),MONTH(B113)+1,0))),Feriados[Data],0))))=FALSE,
IF(WEEKDAY(ROW(INDIRECT(DATE(YEAR(B113),MONTH(B113),1)&amp;":"&amp;DATE(YEAR(B113),MONTH(B113)+1,0))),2)&lt;=5,1,IF(WEEKDAY(ROW(INDIRECT(DATE(YEAR(B113),MONTH(B113),1)&amp;":"&amp;DATE(YEAR(B113),MONTH(B113)+1,0))),2)=6,0.5,0)),0))</f>
        <v>24</v>
      </c>
      <c r="K113" s="22" cm="1">
        <f t="array" ref="K113">_xlfn.XLOOKUP(1,((Metas_Diarias[[#This Row],[tipo_equipe_id]]=Metas[equipe])*(Metas_Diarias[[#This Row],[data]]&gt;Metas[data_inicio])*(Metas_Diarias[[#This Row],[data]]&lt;Metas[data_fim])),Metas[meta_mensal],0)</f>
        <v>160000</v>
      </c>
      <c r="L113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114" spans="2:12" x14ac:dyDescent="0.3">
      <c r="B114" s="34">
        <v>45403</v>
      </c>
      <c r="C114" s="34" t="str">
        <f>TEXT(Metas_Diarias[[#This Row],[data]],"dddd")</f>
        <v>domingo</v>
      </c>
      <c r="D114" s="33">
        <v>1</v>
      </c>
      <c r="E114" s="33">
        <v>1</v>
      </c>
      <c r="F114" s="18"/>
      <c r="G114" s="35">
        <f>WEEKDAY(Metas_Diarias[[#This Row],[data]])</f>
        <v>1</v>
      </c>
      <c r="H114" s="35" t="str">
        <f>IF(Metas_Diarias[[#This Row],[dias_da_demana]]=1,"domingo",IF(Metas_Diarias[[#This Row],[dias_da_demana]]=7,0.5,1))</f>
        <v>domingo</v>
      </c>
      <c r="I114" s="35" t="str">
        <f>_xlfn.XLOOKUP(Metas_Diarias[[#This Row],[data]],Feriados[Data],Feriados[Feriado],1)</f>
        <v>Tiradentes</v>
      </c>
      <c r="J114" s="33" cm="1">
        <f t="array" aca="1" ref="J114" ca="1">SUMPRODUCT(IF((NOT(ISERROR(MATCH(ROW(INDIRECT(DATE(YEAR(B114),MONTH(B114),1)&amp;":"&amp;DATE(YEAR(B114),MONTH(B114)+1,0))),Feriados[Data],0))))=FALSE,
IF(WEEKDAY(ROW(INDIRECT(DATE(YEAR(B114),MONTH(B114),1)&amp;":"&amp;DATE(YEAR(B114),MONTH(B114)+1,0))),2)&lt;=5,1,IF(WEEKDAY(ROW(INDIRECT(DATE(YEAR(B114),MONTH(B114),1)&amp;":"&amp;DATE(YEAR(B114),MONTH(B114)+1,0))),2)=6,0.5,0)),0))</f>
        <v>24</v>
      </c>
      <c r="K114" s="22" cm="1">
        <f t="array" ref="K114">_xlfn.XLOOKUP(1,((Metas_Diarias[[#This Row],[tipo_equipe_id]]=Metas[equipe])*(Metas_Diarias[[#This Row],[data]]&gt;Metas[data_inicio])*(Metas_Diarias[[#This Row],[data]]&lt;Metas[data_fim])),Metas[meta_mensal],0)</f>
        <v>160000</v>
      </c>
      <c r="L1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5" spans="2:12" x14ac:dyDescent="0.3">
      <c r="B115" s="34">
        <v>45404</v>
      </c>
      <c r="C115" s="34" t="str">
        <f>TEXT(Metas_Diarias[[#This Row],[data]],"dddd")</f>
        <v>segunda-feira</v>
      </c>
      <c r="D115" s="33">
        <v>1</v>
      </c>
      <c r="E115" s="33">
        <v>1</v>
      </c>
      <c r="F115" s="18"/>
      <c r="G115" s="35">
        <f>WEEKDAY(Metas_Diarias[[#This Row],[data]])</f>
        <v>2</v>
      </c>
      <c r="H115" s="35">
        <f>IF(Metas_Diarias[[#This Row],[dias_da_demana]]=1,"domingo",IF(Metas_Diarias[[#This Row],[dias_da_demana]]=7,0.5,1))</f>
        <v>1</v>
      </c>
      <c r="I115" s="35">
        <f>_xlfn.XLOOKUP(Metas_Diarias[[#This Row],[data]],Feriados[Data],Feriados[Feriado],1)</f>
        <v>1</v>
      </c>
      <c r="J115" s="33" cm="1">
        <f t="array" aca="1" ref="J115" ca="1">SUMPRODUCT(IF((NOT(ISERROR(MATCH(ROW(INDIRECT(DATE(YEAR(B115),MONTH(B115),1)&amp;":"&amp;DATE(YEAR(B115),MONTH(B115)+1,0))),Feriados[Data],0))))=FALSE,
IF(WEEKDAY(ROW(INDIRECT(DATE(YEAR(B115),MONTH(B115),1)&amp;":"&amp;DATE(YEAR(B115),MONTH(B115)+1,0))),2)&lt;=5,1,IF(WEEKDAY(ROW(INDIRECT(DATE(YEAR(B115),MONTH(B115),1)&amp;":"&amp;DATE(YEAR(B115),MONTH(B115)+1,0))),2)=6,0.5,0)),0))</f>
        <v>24</v>
      </c>
      <c r="K115" s="22" cm="1">
        <f t="array" ref="K115">_xlfn.XLOOKUP(1,((Metas_Diarias[[#This Row],[tipo_equipe_id]]=Metas[equipe])*(Metas_Diarias[[#This Row],[data]]&gt;Metas[data_inicio])*(Metas_Diarias[[#This Row],[data]]&lt;Metas[data_fim])),Metas[meta_mensal],0)</f>
        <v>160000</v>
      </c>
      <c r="L11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6" spans="2:12" x14ac:dyDescent="0.3">
      <c r="B116" s="34">
        <v>45405</v>
      </c>
      <c r="C116" s="34" t="str">
        <f>TEXT(Metas_Diarias[[#This Row],[data]],"dddd")</f>
        <v>terça-feira</v>
      </c>
      <c r="D116" s="33">
        <v>1</v>
      </c>
      <c r="E116" s="33">
        <v>1</v>
      </c>
      <c r="F116" s="18"/>
      <c r="G116" s="35">
        <f>WEEKDAY(Metas_Diarias[[#This Row],[data]])</f>
        <v>3</v>
      </c>
      <c r="H116" s="35">
        <f>IF(Metas_Diarias[[#This Row],[dias_da_demana]]=1,"domingo",IF(Metas_Diarias[[#This Row],[dias_da_demana]]=7,0.5,1))</f>
        <v>1</v>
      </c>
      <c r="I116" s="35">
        <f>_xlfn.XLOOKUP(Metas_Diarias[[#This Row],[data]],Feriados[Data],Feriados[Feriado],1)</f>
        <v>1</v>
      </c>
      <c r="J116" s="33" cm="1">
        <f t="array" aca="1" ref="J116" ca="1">SUMPRODUCT(IF((NOT(ISERROR(MATCH(ROW(INDIRECT(DATE(YEAR(B116),MONTH(B116),1)&amp;":"&amp;DATE(YEAR(B116),MONTH(B116)+1,0))),Feriados[Data],0))))=FALSE,
IF(WEEKDAY(ROW(INDIRECT(DATE(YEAR(B116),MONTH(B116),1)&amp;":"&amp;DATE(YEAR(B116),MONTH(B116)+1,0))),2)&lt;=5,1,IF(WEEKDAY(ROW(INDIRECT(DATE(YEAR(B116),MONTH(B116),1)&amp;":"&amp;DATE(YEAR(B116),MONTH(B116)+1,0))),2)=6,0.5,0)),0))</f>
        <v>24</v>
      </c>
      <c r="K116" s="22" cm="1">
        <f t="array" ref="K116">_xlfn.XLOOKUP(1,((Metas_Diarias[[#This Row],[tipo_equipe_id]]=Metas[equipe])*(Metas_Diarias[[#This Row],[data]]&gt;Metas[data_inicio])*(Metas_Diarias[[#This Row],[data]]&lt;Metas[data_fim])),Metas[meta_mensal],0)</f>
        <v>160000</v>
      </c>
      <c r="L11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7" spans="2:12" x14ac:dyDescent="0.3">
      <c r="B117" s="34">
        <v>45406</v>
      </c>
      <c r="C117" s="34" t="str">
        <f>TEXT(Metas_Diarias[[#This Row],[data]],"dddd")</f>
        <v>quarta-feira</v>
      </c>
      <c r="D117" s="33">
        <v>1</v>
      </c>
      <c r="E117" s="33">
        <v>1</v>
      </c>
      <c r="F117" s="18"/>
      <c r="G117" s="35">
        <f>WEEKDAY(Metas_Diarias[[#This Row],[data]])</f>
        <v>4</v>
      </c>
      <c r="H117" s="35">
        <f>IF(Metas_Diarias[[#This Row],[dias_da_demana]]=1,"domingo",IF(Metas_Diarias[[#This Row],[dias_da_demana]]=7,0.5,1))</f>
        <v>1</v>
      </c>
      <c r="I117" s="35">
        <f>_xlfn.XLOOKUP(Metas_Diarias[[#This Row],[data]],Feriados[Data],Feriados[Feriado],1)</f>
        <v>1</v>
      </c>
      <c r="J117" s="33" cm="1">
        <f t="array" aca="1" ref="J117" ca="1">SUMPRODUCT(IF((NOT(ISERROR(MATCH(ROW(INDIRECT(DATE(YEAR(B117),MONTH(B117),1)&amp;":"&amp;DATE(YEAR(B117),MONTH(B117)+1,0))),Feriados[Data],0))))=FALSE,
IF(WEEKDAY(ROW(INDIRECT(DATE(YEAR(B117),MONTH(B117),1)&amp;":"&amp;DATE(YEAR(B117),MONTH(B117)+1,0))),2)&lt;=5,1,IF(WEEKDAY(ROW(INDIRECT(DATE(YEAR(B117),MONTH(B117),1)&amp;":"&amp;DATE(YEAR(B117),MONTH(B117)+1,0))),2)=6,0.5,0)),0))</f>
        <v>24</v>
      </c>
      <c r="K117" s="22" cm="1">
        <f t="array" ref="K117">_xlfn.XLOOKUP(1,((Metas_Diarias[[#This Row],[tipo_equipe_id]]=Metas[equipe])*(Metas_Diarias[[#This Row],[data]]&gt;Metas[data_inicio])*(Metas_Diarias[[#This Row],[data]]&lt;Metas[data_fim])),Metas[meta_mensal],0)</f>
        <v>160000</v>
      </c>
      <c r="L11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8" spans="2:12" x14ac:dyDescent="0.3">
      <c r="B118" s="34">
        <v>45407</v>
      </c>
      <c r="C118" s="34" t="str">
        <f>TEXT(Metas_Diarias[[#This Row],[data]],"dddd")</f>
        <v>quinta-feira</v>
      </c>
      <c r="D118" s="33">
        <v>1</v>
      </c>
      <c r="E118" s="33">
        <v>1</v>
      </c>
      <c r="F118" s="18"/>
      <c r="G118" s="35">
        <f>WEEKDAY(Metas_Diarias[[#This Row],[data]])</f>
        <v>5</v>
      </c>
      <c r="H118" s="35">
        <f>IF(Metas_Diarias[[#This Row],[dias_da_demana]]=1,"domingo",IF(Metas_Diarias[[#This Row],[dias_da_demana]]=7,0.5,1))</f>
        <v>1</v>
      </c>
      <c r="I118" s="35">
        <f>_xlfn.XLOOKUP(Metas_Diarias[[#This Row],[data]],Feriados[Data],Feriados[Feriado],1)</f>
        <v>1</v>
      </c>
      <c r="J118" s="33" cm="1">
        <f t="array" aca="1" ref="J118" ca="1">SUMPRODUCT(IF((NOT(ISERROR(MATCH(ROW(INDIRECT(DATE(YEAR(B118),MONTH(B118),1)&amp;":"&amp;DATE(YEAR(B118),MONTH(B118)+1,0))),Feriados[Data],0))))=FALSE,
IF(WEEKDAY(ROW(INDIRECT(DATE(YEAR(B118),MONTH(B118),1)&amp;":"&amp;DATE(YEAR(B118),MONTH(B118)+1,0))),2)&lt;=5,1,IF(WEEKDAY(ROW(INDIRECT(DATE(YEAR(B118),MONTH(B118),1)&amp;":"&amp;DATE(YEAR(B118),MONTH(B118)+1,0))),2)=6,0.5,0)),0))</f>
        <v>24</v>
      </c>
      <c r="K118" s="22" cm="1">
        <f t="array" ref="K118">_xlfn.XLOOKUP(1,((Metas_Diarias[[#This Row],[tipo_equipe_id]]=Metas[equipe])*(Metas_Diarias[[#This Row],[data]]&gt;Metas[data_inicio])*(Metas_Diarias[[#This Row],[data]]&lt;Metas[data_fim])),Metas[meta_mensal],0)</f>
        <v>160000</v>
      </c>
      <c r="L11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19" spans="2:12" x14ac:dyDescent="0.3">
      <c r="B119" s="34">
        <v>45408</v>
      </c>
      <c r="C119" s="34" t="str">
        <f>TEXT(Metas_Diarias[[#This Row],[data]],"dddd")</f>
        <v>sexta-feira</v>
      </c>
      <c r="D119" s="33">
        <v>1</v>
      </c>
      <c r="E119" s="33">
        <v>1</v>
      </c>
      <c r="F119" s="18"/>
      <c r="G119" s="35">
        <f>WEEKDAY(Metas_Diarias[[#This Row],[data]])</f>
        <v>6</v>
      </c>
      <c r="H119" s="35">
        <f>IF(Metas_Diarias[[#This Row],[dias_da_demana]]=1,"domingo",IF(Metas_Diarias[[#This Row],[dias_da_demana]]=7,0.5,1))</f>
        <v>1</v>
      </c>
      <c r="I119" s="35">
        <f>_xlfn.XLOOKUP(Metas_Diarias[[#This Row],[data]],Feriados[Data],Feriados[Feriado],1)</f>
        <v>1</v>
      </c>
      <c r="J119" s="33" cm="1">
        <f t="array" aca="1" ref="J119" ca="1">SUMPRODUCT(IF((NOT(ISERROR(MATCH(ROW(INDIRECT(DATE(YEAR(B119),MONTH(B119),1)&amp;":"&amp;DATE(YEAR(B119),MONTH(B119)+1,0))),Feriados[Data],0))))=FALSE,
IF(WEEKDAY(ROW(INDIRECT(DATE(YEAR(B119),MONTH(B119),1)&amp;":"&amp;DATE(YEAR(B119),MONTH(B119)+1,0))),2)&lt;=5,1,IF(WEEKDAY(ROW(INDIRECT(DATE(YEAR(B119),MONTH(B119),1)&amp;":"&amp;DATE(YEAR(B119),MONTH(B119)+1,0))),2)=6,0.5,0)),0))</f>
        <v>24</v>
      </c>
      <c r="K119" s="22" cm="1">
        <f t="array" ref="K119">_xlfn.XLOOKUP(1,((Metas_Diarias[[#This Row],[tipo_equipe_id]]=Metas[equipe])*(Metas_Diarias[[#This Row],[data]]&gt;Metas[data_inicio])*(Metas_Diarias[[#This Row],[data]]&lt;Metas[data_fim])),Metas[meta_mensal],0)</f>
        <v>160000</v>
      </c>
      <c r="L119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20" spans="2:12" x14ac:dyDescent="0.3">
      <c r="B120" s="34">
        <v>45409</v>
      </c>
      <c r="C120" s="34" t="str">
        <f>TEXT(Metas_Diarias[[#This Row],[data]],"dddd")</f>
        <v>sábado</v>
      </c>
      <c r="D120" s="33">
        <v>1</v>
      </c>
      <c r="E120" s="33">
        <v>1</v>
      </c>
      <c r="F120" s="18"/>
      <c r="G120" s="35">
        <f>WEEKDAY(Metas_Diarias[[#This Row],[data]])</f>
        <v>7</v>
      </c>
      <c r="H120" s="35">
        <f>IF(Metas_Diarias[[#This Row],[dias_da_demana]]=1,"domingo",IF(Metas_Diarias[[#This Row],[dias_da_demana]]=7,0.5,1))</f>
        <v>0.5</v>
      </c>
      <c r="I120" s="35">
        <f>_xlfn.XLOOKUP(Metas_Diarias[[#This Row],[data]],Feriados[Data],Feriados[Feriado],1)</f>
        <v>1</v>
      </c>
      <c r="J120" s="33" cm="1">
        <f t="array" aca="1" ref="J120" ca="1">SUMPRODUCT(IF((NOT(ISERROR(MATCH(ROW(INDIRECT(DATE(YEAR(B120),MONTH(B120),1)&amp;":"&amp;DATE(YEAR(B120),MONTH(B120)+1,0))),Feriados[Data],0))))=FALSE,
IF(WEEKDAY(ROW(INDIRECT(DATE(YEAR(B120),MONTH(B120),1)&amp;":"&amp;DATE(YEAR(B120),MONTH(B120)+1,0))),2)&lt;=5,1,IF(WEEKDAY(ROW(INDIRECT(DATE(YEAR(B120),MONTH(B120),1)&amp;":"&amp;DATE(YEAR(B120),MONTH(B120)+1,0))),2)=6,0.5,0)),0))</f>
        <v>24</v>
      </c>
      <c r="K120" s="22" cm="1">
        <f t="array" ref="K120">_xlfn.XLOOKUP(1,((Metas_Diarias[[#This Row],[tipo_equipe_id]]=Metas[equipe])*(Metas_Diarias[[#This Row],[data]]&gt;Metas[data_inicio])*(Metas_Diarias[[#This Row],[data]]&lt;Metas[data_fim])),Metas[meta_mensal],0)</f>
        <v>160000</v>
      </c>
      <c r="L120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121" spans="2:12" x14ac:dyDescent="0.3">
      <c r="B121" s="34">
        <v>45410</v>
      </c>
      <c r="C121" s="34" t="str">
        <f>TEXT(Metas_Diarias[[#This Row],[data]],"dddd")</f>
        <v>domingo</v>
      </c>
      <c r="D121" s="33">
        <v>1</v>
      </c>
      <c r="E121" s="33">
        <v>1</v>
      </c>
      <c r="F121" s="18"/>
      <c r="G121" s="35">
        <f>WEEKDAY(Metas_Diarias[[#This Row],[data]])</f>
        <v>1</v>
      </c>
      <c r="H121" s="35" t="str">
        <f>IF(Metas_Diarias[[#This Row],[dias_da_demana]]=1,"domingo",IF(Metas_Diarias[[#This Row],[dias_da_demana]]=7,0.5,1))</f>
        <v>domingo</v>
      </c>
      <c r="I121" s="35">
        <f>_xlfn.XLOOKUP(Metas_Diarias[[#This Row],[data]],Feriados[Data],Feriados[Feriado],1)</f>
        <v>1</v>
      </c>
      <c r="J121" s="33" cm="1">
        <f t="array" aca="1" ref="J121" ca="1">SUMPRODUCT(IF((NOT(ISERROR(MATCH(ROW(INDIRECT(DATE(YEAR(B121),MONTH(B121),1)&amp;":"&amp;DATE(YEAR(B121),MONTH(B121)+1,0))),Feriados[Data],0))))=FALSE,
IF(WEEKDAY(ROW(INDIRECT(DATE(YEAR(B121),MONTH(B121),1)&amp;":"&amp;DATE(YEAR(B121),MONTH(B121)+1,0))),2)&lt;=5,1,IF(WEEKDAY(ROW(INDIRECT(DATE(YEAR(B121),MONTH(B121),1)&amp;":"&amp;DATE(YEAR(B121),MONTH(B121)+1,0))),2)=6,0.5,0)),0))</f>
        <v>24</v>
      </c>
      <c r="K121" s="22" cm="1">
        <f t="array" ref="K121">_xlfn.XLOOKUP(1,((Metas_Diarias[[#This Row],[tipo_equipe_id]]=Metas[equipe])*(Metas_Diarias[[#This Row],[data]]&gt;Metas[data_inicio])*(Metas_Diarias[[#This Row],[data]]&lt;Metas[data_fim])),Metas[meta_mensal],0)</f>
        <v>160000</v>
      </c>
      <c r="L12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2" spans="2:12" x14ac:dyDescent="0.3">
      <c r="B122" s="34">
        <v>45411</v>
      </c>
      <c r="C122" s="34" t="str">
        <f>TEXT(Metas_Diarias[[#This Row],[data]],"dddd")</f>
        <v>segunda-feira</v>
      </c>
      <c r="D122" s="33">
        <v>1</v>
      </c>
      <c r="E122" s="33">
        <v>1</v>
      </c>
      <c r="F122" s="18"/>
      <c r="G122" s="35">
        <f>WEEKDAY(Metas_Diarias[[#This Row],[data]])</f>
        <v>2</v>
      </c>
      <c r="H122" s="35">
        <f>IF(Metas_Diarias[[#This Row],[dias_da_demana]]=1,"domingo",IF(Metas_Diarias[[#This Row],[dias_da_demana]]=7,0.5,1))</f>
        <v>1</v>
      </c>
      <c r="I122" s="35">
        <f>_xlfn.XLOOKUP(Metas_Diarias[[#This Row],[data]],Feriados[Data],Feriados[Feriado],1)</f>
        <v>1</v>
      </c>
      <c r="J122" s="33" cm="1">
        <f t="array" aca="1" ref="J122" ca="1">SUMPRODUCT(IF((NOT(ISERROR(MATCH(ROW(INDIRECT(DATE(YEAR(B122),MONTH(B122),1)&amp;":"&amp;DATE(YEAR(B122),MONTH(B122)+1,0))),Feriados[Data],0))))=FALSE,
IF(WEEKDAY(ROW(INDIRECT(DATE(YEAR(B122),MONTH(B122),1)&amp;":"&amp;DATE(YEAR(B122),MONTH(B122)+1,0))),2)&lt;=5,1,IF(WEEKDAY(ROW(INDIRECT(DATE(YEAR(B122),MONTH(B122),1)&amp;":"&amp;DATE(YEAR(B122),MONTH(B122)+1,0))),2)=6,0.5,0)),0))</f>
        <v>24</v>
      </c>
      <c r="K122" s="22" cm="1">
        <f t="array" ref="K122">_xlfn.XLOOKUP(1,((Metas_Diarias[[#This Row],[tipo_equipe_id]]=Metas[equipe])*(Metas_Diarias[[#This Row],[data]]&gt;Metas[data_inicio])*(Metas_Diarias[[#This Row],[data]]&lt;Metas[data_fim])),Metas[meta_mensal],0)</f>
        <v>160000</v>
      </c>
      <c r="L12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23" spans="2:12" x14ac:dyDescent="0.3">
      <c r="B123" s="34">
        <v>45412</v>
      </c>
      <c r="C123" s="34" t="str">
        <f>TEXT(Metas_Diarias[[#This Row],[data]],"dddd")</f>
        <v>terça-feira</v>
      </c>
      <c r="D123" s="33">
        <v>1</v>
      </c>
      <c r="E123" s="33">
        <v>1</v>
      </c>
      <c r="F123" s="18"/>
      <c r="G123" s="35">
        <f>WEEKDAY(Metas_Diarias[[#This Row],[data]])</f>
        <v>3</v>
      </c>
      <c r="H123" s="35">
        <f>IF(Metas_Diarias[[#This Row],[dias_da_demana]]=1,"domingo",IF(Metas_Diarias[[#This Row],[dias_da_demana]]=7,0.5,1))</f>
        <v>1</v>
      </c>
      <c r="I123" s="35">
        <f>_xlfn.XLOOKUP(Metas_Diarias[[#This Row],[data]],Feriados[Data],Feriados[Feriado],1)</f>
        <v>1</v>
      </c>
      <c r="J123" s="33" cm="1">
        <f t="array" aca="1" ref="J123" ca="1">SUMPRODUCT(IF((NOT(ISERROR(MATCH(ROW(INDIRECT(DATE(YEAR(B123),MONTH(B123),1)&amp;":"&amp;DATE(YEAR(B123),MONTH(B123)+1,0))),Feriados[Data],0))))=FALSE,
IF(WEEKDAY(ROW(INDIRECT(DATE(YEAR(B123),MONTH(B123),1)&amp;":"&amp;DATE(YEAR(B123),MONTH(B123)+1,0))),2)&lt;=5,1,IF(WEEKDAY(ROW(INDIRECT(DATE(YEAR(B123),MONTH(B123),1)&amp;":"&amp;DATE(YEAR(B123),MONTH(B123)+1,0))),2)=6,0.5,0)),0))</f>
        <v>24</v>
      </c>
      <c r="K123" s="22" cm="1">
        <f t="array" ref="K123">_xlfn.XLOOKUP(1,((Metas_Diarias[[#This Row],[tipo_equipe_id]]=Metas[equipe])*(Metas_Diarias[[#This Row],[data]]&gt;Metas[data_inicio])*(Metas_Diarias[[#This Row],[data]]&lt;Metas[data_fim])),Metas[meta_mensal],0)</f>
        <v>160000</v>
      </c>
      <c r="L12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124" spans="2:12" x14ac:dyDescent="0.3">
      <c r="B124" s="34">
        <v>45413</v>
      </c>
      <c r="C124" s="34" t="str">
        <f>TEXT(Metas_Diarias[[#This Row],[data]],"dddd")</f>
        <v>quarta-feira</v>
      </c>
      <c r="D124" s="33">
        <v>1</v>
      </c>
      <c r="E124" s="33">
        <v>1</v>
      </c>
      <c r="F124" s="18"/>
      <c r="G124" s="35">
        <f>WEEKDAY(Metas_Diarias[[#This Row],[data]])</f>
        <v>4</v>
      </c>
      <c r="H124" s="35">
        <f>IF(Metas_Diarias[[#This Row],[dias_da_demana]]=1,"domingo",IF(Metas_Diarias[[#This Row],[dias_da_demana]]=7,0.5,1))</f>
        <v>1</v>
      </c>
      <c r="I124" s="35" t="str">
        <f>_xlfn.XLOOKUP(Metas_Diarias[[#This Row],[data]],Feriados[Data],Feriados[Feriado],1)</f>
        <v>Dia do Trabalho</v>
      </c>
      <c r="J124" s="33" cm="1">
        <f t="array" aca="1" ref="J124" ca="1">SUMPRODUCT(IF((NOT(ISERROR(MATCH(ROW(INDIRECT(DATE(YEAR(B124),MONTH(B124),1)&amp;":"&amp;DATE(YEAR(B124),MONTH(B124)+1,0))),Feriados[Data],0))))=FALSE,
IF(WEEKDAY(ROW(INDIRECT(DATE(YEAR(B124),MONTH(B124),1)&amp;":"&amp;DATE(YEAR(B124),MONTH(B124)+1,0))),2)&lt;=5,1,IF(WEEKDAY(ROW(INDIRECT(DATE(YEAR(B124),MONTH(B124),1)&amp;":"&amp;DATE(YEAR(B124),MONTH(B124)+1,0))),2)=6,0.5,0)),0))</f>
        <v>23</v>
      </c>
      <c r="K124" s="22" cm="1">
        <f t="array" ref="K124">_xlfn.XLOOKUP(1,((Metas_Diarias[[#This Row],[tipo_equipe_id]]=Metas[equipe])*(Metas_Diarias[[#This Row],[data]]&gt;Metas[data_inicio])*(Metas_Diarias[[#This Row],[data]]&lt;Metas[data_fim])),Metas[meta_mensal],0)</f>
        <v>160000</v>
      </c>
      <c r="L1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5" spans="2:12" x14ac:dyDescent="0.3">
      <c r="B125" s="34">
        <v>45414</v>
      </c>
      <c r="C125" s="34" t="str">
        <f>TEXT(Metas_Diarias[[#This Row],[data]],"dddd")</f>
        <v>quinta-feira</v>
      </c>
      <c r="D125" s="33">
        <v>1</v>
      </c>
      <c r="E125" s="33">
        <v>1</v>
      </c>
      <c r="F125" s="18"/>
      <c r="G125" s="35">
        <f>WEEKDAY(Metas_Diarias[[#This Row],[data]])</f>
        <v>5</v>
      </c>
      <c r="H125" s="35">
        <f>IF(Metas_Diarias[[#This Row],[dias_da_demana]]=1,"domingo",IF(Metas_Diarias[[#This Row],[dias_da_demana]]=7,0.5,1))</f>
        <v>1</v>
      </c>
      <c r="I125" s="35">
        <f>_xlfn.XLOOKUP(Metas_Diarias[[#This Row],[data]],Feriados[Data],Feriados[Feriado],1)</f>
        <v>1</v>
      </c>
      <c r="J125" s="33" cm="1">
        <f t="array" aca="1" ref="J125" ca="1">SUMPRODUCT(IF((NOT(ISERROR(MATCH(ROW(INDIRECT(DATE(YEAR(B125),MONTH(B125),1)&amp;":"&amp;DATE(YEAR(B125),MONTH(B125)+1,0))),Feriados[Data],0))))=FALSE,
IF(WEEKDAY(ROW(INDIRECT(DATE(YEAR(B125),MONTH(B125),1)&amp;":"&amp;DATE(YEAR(B125),MONTH(B125)+1,0))),2)&lt;=5,1,IF(WEEKDAY(ROW(INDIRECT(DATE(YEAR(B125),MONTH(B125),1)&amp;":"&amp;DATE(YEAR(B125),MONTH(B125)+1,0))),2)=6,0.5,0)),0))</f>
        <v>23</v>
      </c>
      <c r="K125" s="22" cm="1">
        <f t="array" ref="K125">_xlfn.XLOOKUP(1,((Metas_Diarias[[#This Row],[tipo_equipe_id]]=Metas[equipe])*(Metas_Diarias[[#This Row],[data]]&gt;Metas[data_inicio])*(Metas_Diarias[[#This Row],[data]]&lt;Metas[data_fim])),Metas[meta_mensal],0)</f>
        <v>160000</v>
      </c>
      <c r="L125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26" spans="2:12" x14ac:dyDescent="0.3">
      <c r="B126" s="34">
        <v>45415</v>
      </c>
      <c r="C126" s="34" t="str">
        <f>TEXT(Metas_Diarias[[#This Row],[data]],"dddd")</f>
        <v>sexta-feira</v>
      </c>
      <c r="D126" s="33">
        <v>1</v>
      </c>
      <c r="E126" s="33">
        <v>1</v>
      </c>
      <c r="F126" s="18"/>
      <c r="G126" s="35">
        <f>WEEKDAY(Metas_Diarias[[#This Row],[data]])</f>
        <v>6</v>
      </c>
      <c r="H126" s="35">
        <f>IF(Metas_Diarias[[#This Row],[dias_da_demana]]=1,"domingo",IF(Metas_Diarias[[#This Row],[dias_da_demana]]=7,0.5,1))</f>
        <v>1</v>
      </c>
      <c r="I126" s="35">
        <f>_xlfn.XLOOKUP(Metas_Diarias[[#This Row],[data]],Feriados[Data],Feriados[Feriado],1)</f>
        <v>1</v>
      </c>
      <c r="J126" s="33" cm="1">
        <f t="array" aca="1" ref="J126" ca="1">SUMPRODUCT(IF((NOT(ISERROR(MATCH(ROW(INDIRECT(DATE(YEAR(B126),MONTH(B126),1)&amp;":"&amp;DATE(YEAR(B126),MONTH(B126)+1,0))),Feriados[Data],0))))=FALSE,
IF(WEEKDAY(ROW(INDIRECT(DATE(YEAR(B126),MONTH(B126),1)&amp;":"&amp;DATE(YEAR(B126),MONTH(B126)+1,0))),2)&lt;=5,1,IF(WEEKDAY(ROW(INDIRECT(DATE(YEAR(B126),MONTH(B126),1)&amp;":"&amp;DATE(YEAR(B126),MONTH(B126)+1,0))),2)=6,0.5,0)),0))</f>
        <v>23</v>
      </c>
      <c r="K126" s="22" cm="1">
        <f t="array" ref="K126">_xlfn.XLOOKUP(1,((Metas_Diarias[[#This Row],[tipo_equipe_id]]=Metas[equipe])*(Metas_Diarias[[#This Row],[data]]&gt;Metas[data_inicio])*(Metas_Diarias[[#This Row],[data]]&lt;Metas[data_fim])),Metas[meta_mensal],0)</f>
        <v>160000</v>
      </c>
      <c r="L126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27" spans="2:12" x14ac:dyDescent="0.3">
      <c r="B127" s="34">
        <v>45416</v>
      </c>
      <c r="C127" s="34" t="str">
        <f>TEXT(Metas_Diarias[[#This Row],[data]],"dddd")</f>
        <v>sábado</v>
      </c>
      <c r="D127" s="33">
        <v>1</v>
      </c>
      <c r="E127" s="33">
        <v>1</v>
      </c>
      <c r="F127" s="18"/>
      <c r="G127" s="35">
        <f>WEEKDAY(Metas_Diarias[[#This Row],[data]])</f>
        <v>7</v>
      </c>
      <c r="H127" s="35">
        <f>IF(Metas_Diarias[[#This Row],[dias_da_demana]]=1,"domingo",IF(Metas_Diarias[[#This Row],[dias_da_demana]]=7,0.5,1))</f>
        <v>0.5</v>
      </c>
      <c r="I127" s="35">
        <f>_xlfn.XLOOKUP(Metas_Diarias[[#This Row],[data]],Feriados[Data],Feriados[Feriado],1)</f>
        <v>1</v>
      </c>
      <c r="J127" s="33" cm="1">
        <f t="array" aca="1" ref="J127" ca="1">SUMPRODUCT(IF((NOT(ISERROR(MATCH(ROW(INDIRECT(DATE(YEAR(B127),MONTH(B127),1)&amp;":"&amp;DATE(YEAR(B127),MONTH(B127)+1,0))),Feriados[Data],0))))=FALSE,
IF(WEEKDAY(ROW(INDIRECT(DATE(YEAR(B127),MONTH(B127),1)&amp;":"&amp;DATE(YEAR(B127),MONTH(B127)+1,0))),2)&lt;=5,1,IF(WEEKDAY(ROW(INDIRECT(DATE(YEAR(B127),MONTH(B127),1)&amp;":"&amp;DATE(YEAR(B127),MONTH(B127)+1,0))),2)=6,0.5,0)),0))</f>
        <v>23</v>
      </c>
      <c r="K127" s="22" cm="1">
        <f t="array" ref="K127">_xlfn.XLOOKUP(1,((Metas_Diarias[[#This Row],[tipo_equipe_id]]=Metas[equipe])*(Metas_Diarias[[#This Row],[data]]&gt;Metas[data_inicio])*(Metas_Diarias[[#This Row],[data]]&lt;Metas[data_fim])),Metas[meta_mensal],0)</f>
        <v>160000</v>
      </c>
      <c r="L127" s="24">
        <f ca="1">Metas_Diarias[[#This Row],[meta_mensal]]*IF(Metas_Diarias[[#This Row],[semana]]="domingo",0,Metas_Diarias[[#This Row],[semana]])*IF(Metas_Diarias[[#This Row],[feriado]]&lt;&gt;1,0,1)/Metas_Diarias[[#This Row],[dias_úteis_Mês]]</f>
        <v>3478.2608695652175</v>
      </c>
    </row>
    <row r="128" spans="2:12" x14ac:dyDescent="0.3">
      <c r="B128" s="34">
        <v>45417</v>
      </c>
      <c r="C128" s="34" t="str">
        <f>TEXT(Metas_Diarias[[#This Row],[data]],"dddd")</f>
        <v>domingo</v>
      </c>
      <c r="D128" s="33">
        <v>1</v>
      </c>
      <c r="E128" s="33">
        <v>1</v>
      </c>
      <c r="F128" s="18"/>
      <c r="G128" s="35">
        <f>WEEKDAY(Metas_Diarias[[#This Row],[data]])</f>
        <v>1</v>
      </c>
      <c r="H128" s="35" t="str">
        <f>IF(Metas_Diarias[[#This Row],[dias_da_demana]]=1,"domingo",IF(Metas_Diarias[[#This Row],[dias_da_demana]]=7,0.5,1))</f>
        <v>domingo</v>
      </c>
      <c r="I128" s="35">
        <f>_xlfn.XLOOKUP(Metas_Diarias[[#This Row],[data]],Feriados[Data],Feriados[Feriado],1)</f>
        <v>1</v>
      </c>
      <c r="J128" s="33" cm="1">
        <f t="array" aca="1" ref="J128" ca="1">SUMPRODUCT(IF((NOT(ISERROR(MATCH(ROW(INDIRECT(DATE(YEAR(B128),MONTH(B128),1)&amp;":"&amp;DATE(YEAR(B128),MONTH(B128)+1,0))),Feriados[Data],0))))=FALSE,
IF(WEEKDAY(ROW(INDIRECT(DATE(YEAR(B128),MONTH(B128),1)&amp;":"&amp;DATE(YEAR(B128),MONTH(B128)+1,0))),2)&lt;=5,1,IF(WEEKDAY(ROW(INDIRECT(DATE(YEAR(B128),MONTH(B128),1)&amp;":"&amp;DATE(YEAR(B128),MONTH(B128)+1,0))),2)=6,0.5,0)),0))</f>
        <v>23</v>
      </c>
      <c r="K128" s="22" cm="1">
        <f t="array" ref="K128">_xlfn.XLOOKUP(1,((Metas_Diarias[[#This Row],[tipo_equipe_id]]=Metas[equipe])*(Metas_Diarias[[#This Row],[data]]&gt;Metas[data_inicio])*(Metas_Diarias[[#This Row],[data]]&lt;Metas[data_fim])),Metas[meta_mensal],0)</f>
        <v>160000</v>
      </c>
      <c r="L12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9" spans="2:12" x14ac:dyDescent="0.3">
      <c r="B129" s="34">
        <v>45418</v>
      </c>
      <c r="C129" s="34" t="str">
        <f>TEXT(Metas_Diarias[[#This Row],[data]],"dddd")</f>
        <v>segunda-feira</v>
      </c>
      <c r="D129" s="33">
        <v>1</v>
      </c>
      <c r="E129" s="33">
        <v>1</v>
      </c>
      <c r="F129" s="18"/>
      <c r="G129" s="35">
        <f>WEEKDAY(Metas_Diarias[[#This Row],[data]])</f>
        <v>2</v>
      </c>
      <c r="H129" s="35">
        <f>IF(Metas_Diarias[[#This Row],[dias_da_demana]]=1,"domingo",IF(Metas_Diarias[[#This Row],[dias_da_demana]]=7,0.5,1))</f>
        <v>1</v>
      </c>
      <c r="I129" s="35">
        <f>_xlfn.XLOOKUP(Metas_Diarias[[#This Row],[data]],Feriados[Data],Feriados[Feriado],1)</f>
        <v>1</v>
      </c>
      <c r="J129" s="33" cm="1">
        <f t="array" aca="1" ref="J129" ca="1">SUMPRODUCT(IF((NOT(ISERROR(MATCH(ROW(INDIRECT(DATE(YEAR(B129),MONTH(B129),1)&amp;":"&amp;DATE(YEAR(B129),MONTH(B129)+1,0))),Feriados[Data],0))))=FALSE,
IF(WEEKDAY(ROW(INDIRECT(DATE(YEAR(B129),MONTH(B129),1)&amp;":"&amp;DATE(YEAR(B129),MONTH(B129)+1,0))),2)&lt;=5,1,IF(WEEKDAY(ROW(INDIRECT(DATE(YEAR(B129),MONTH(B129),1)&amp;":"&amp;DATE(YEAR(B129),MONTH(B129)+1,0))),2)=6,0.5,0)),0))</f>
        <v>23</v>
      </c>
      <c r="K129" s="22" cm="1">
        <f t="array" ref="K129">_xlfn.XLOOKUP(1,((Metas_Diarias[[#This Row],[tipo_equipe_id]]=Metas[equipe])*(Metas_Diarias[[#This Row],[data]]&gt;Metas[data_inicio])*(Metas_Diarias[[#This Row],[data]]&lt;Metas[data_fim])),Metas[meta_mensal],0)</f>
        <v>160000</v>
      </c>
      <c r="L129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30" spans="2:12" x14ac:dyDescent="0.3">
      <c r="B130" s="34">
        <v>45419</v>
      </c>
      <c r="C130" s="34" t="str">
        <f>TEXT(Metas_Diarias[[#This Row],[data]],"dddd")</f>
        <v>terça-feira</v>
      </c>
      <c r="D130" s="33">
        <v>1</v>
      </c>
      <c r="E130" s="33">
        <v>1</v>
      </c>
      <c r="F130" s="18"/>
      <c r="G130" s="35">
        <f>WEEKDAY(Metas_Diarias[[#This Row],[data]])</f>
        <v>3</v>
      </c>
      <c r="H130" s="35">
        <f>IF(Metas_Diarias[[#This Row],[dias_da_demana]]=1,"domingo",IF(Metas_Diarias[[#This Row],[dias_da_demana]]=7,0.5,1))</f>
        <v>1</v>
      </c>
      <c r="I130" s="35">
        <f>_xlfn.XLOOKUP(Metas_Diarias[[#This Row],[data]],Feriados[Data],Feriados[Feriado],1)</f>
        <v>1</v>
      </c>
      <c r="J130" s="33" cm="1">
        <f t="array" aca="1" ref="J130" ca="1">SUMPRODUCT(IF((NOT(ISERROR(MATCH(ROW(INDIRECT(DATE(YEAR(B130),MONTH(B130),1)&amp;":"&amp;DATE(YEAR(B130),MONTH(B130)+1,0))),Feriados[Data],0))))=FALSE,
IF(WEEKDAY(ROW(INDIRECT(DATE(YEAR(B130),MONTH(B130),1)&amp;":"&amp;DATE(YEAR(B130),MONTH(B130)+1,0))),2)&lt;=5,1,IF(WEEKDAY(ROW(INDIRECT(DATE(YEAR(B130),MONTH(B130),1)&amp;":"&amp;DATE(YEAR(B130),MONTH(B130)+1,0))),2)=6,0.5,0)),0))</f>
        <v>23</v>
      </c>
      <c r="K130" s="22" cm="1">
        <f t="array" ref="K130">_xlfn.XLOOKUP(1,((Metas_Diarias[[#This Row],[tipo_equipe_id]]=Metas[equipe])*(Metas_Diarias[[#This Row],[data]]&gt;Metas[data_inicio])*(Metas_Diarias[[#This Row],[data]]&lt;Metas[data_fim])),Metas[meta_mensal],0)</f>
        <v>160000</v>
      </c>
      <c r="L130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31" spans="2:12" x14ac:dyDescent="0.3">
      <c r="B131" s="34">
        <v>45420</v>
      </c>
      <c r="C131" s="34" t="str">
        <f>TEXT(Metas_Diarias[[#This Row],[data]],"dddd")</f>
        <v>quarta-feira</v>
      </c>
      <c r="D131" s="33">
        <v>1</v>
      </c>
      <c r="E131" s="33">
        <v>1</v>
      </c>
      <c r="F131" s="18"/>
      <c r="G131" s="35">
        <f>WEEKDAY(Metas_Diarias[[#This Row],[data]])</f>
        <v>4</v>
      </c>
      <c r="H131" s="35">
        <f>IF(Metas_Diarias[[#This Row],[dias_da_demana]]=1,"domingo",IF(Metas_Diarias[[#This Row],[dias_da_demana]]=7,0.5,1))</f>
        <v>1</v>
      </c>
      <c r="I131" s="35">
        <f>_xlfn.XLOOKUP(Metas_Diarias[[#This Row],[data]],Feriados[Data],Feriados[Feriado],1)</f>
        <v>1</v>
      </c>
      <c r="J131" s="33" cm="1">
        <f t="array" aca="1" ref="J131" ca="1">SUMPRODUCT(IF((NOT(ISERROR(MATCH(ROW(INDIRECT(DATE(YEAR(B131),MONTH(B131),1)&amp;":"&amp;DATE(YEAR(B131),MONTH(B131)+1,0))),Feriados[Data],0))))=FALSE,
IF(WEEKDAY(ROW(INDIRECT(DATE(YEAR(B131),MONTH(B131),1)&amp;":"&amp;DATE(YEAR(B131),MONTH(B131)+1,0))),2)&lt;=5,1,IF(WEEKDAY(ROW(INDIRECT(DATE(YEAR(B131),MONTH(B131),1)&amp;":"&amp;DATE(YEAR(B131),MONTH(B131)+1,0))),2)=6,0.5,0)),0))</f>
        <v>23</v>
      </c>
      <c r="K131" s="22" cm="1">
        <f t="array" ref="K131">_xlfn.XLOOKUP(1,((Metas_Diarias[[#This Row],[tipo_equipe_id]]=Metas[equipe])*(Metas_Diarias[[#This Row],[data]]&gt;Metas[data_inicio])*(Metas_Diarias[[#This Row],[data]]&lt;Metas[data_fim])),Metas[meta_mensal],0)</f>
        <v>160000</v>
      </c>
      <c r="L131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32" spans="2:12" x14ac:dyDescent="0.3">
      <c r="B132" s="34">
        <v>45421</v>
      </c>
      <c r="C132" s="34" t="str">
        <f>TEXT(Metas_Diarias[[#This Row],[data]],"dddd")</f>
        <v>quinta-feira</v>
      </c>
      <c r="D132" s="33">
        <v>1</v>
      </c>
      <c r="E132" s="33">
        <v>1</v>
      </c>
      <c r="F132" s="18"/>
      <c r="G132" s="35">
        <f>WEEKDAY(Metas_Diarias[[#This Row],[data]])</f>
        <v>5</v>
      </c>
      <c r="H132" s="35">
        <f>IF(Metas_Diarias[[#This Row],[dias_da_demana]]=1,"domingo",IF(Metas_Diarias[[#This Row],[dias_da_demana]]=7,0.5,1))</f>
        <v>1</v>
      </c>
      <c r="I132" s="35">
        <f>_xlfn.XLOOKUP(Metas_Diarias[[#This Row],[data]],Feriados[Data],Feriados[Feriado],1)</f>
        <v>1</v>
      </c>
      <c r="J132" s="33" cm="1">
        <f t="array" aca="1" ref="J132" ca="1">SUMPRODUCT(IF((NOT(ISERROR(MATCH(ROW(INDIRECT(DATE(YEAR(B132),MONTH(B132),1)&amp;":"&amp;DATE(YEAR(B132),MONTH(B132)+1,0))),Feriados[Data],0))))=FALSE,
IF(WEEKDAY(ROW(INDIRECT(DATE(YEAR(B132),MONTH(B132),1)&amp;":"&amp;DATE(YEAR(B132),MONTH(B132)+1,0))),2)&lt;=5,1,IF(WEEKDAY(ROW(INDIRECT(DATE(YEAR(B132),MONTH(B132),1)&amp;":"&amp;DATE(YEAR(B132),MONTH(B132)+1,0))),2)=6,0.5,0)),0))</f>
        <v>23</v>
      </c>
      <c r="K132" s="22" cm="1">
        <f t="array" ref="K132">_xlfn.XLOOKUP(1,((Metas_Diarias[[#This Row],[tipo_equipe_id]]=Metas[equipe])*(Metas_Diarias[[#This Row],[data]]&gt;Metas[data_inicio])*(Metas_Diarias[[#This Row],[data]]&lt;Metas[data_fim])),Metas[meta_mensal],0)</f>
        <v>160000</v>
      </c>
      <c r="L132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33" spans="2:12" x14ac:dyDescent="0.3">
      <c r="B133" s="34">
        <v>45422</v>
      </c>
      <c r="C133" s="34" t="str">
        <f>TEXT(Metas_Diarias[[#This Row],[data]],"dddd")</f>
        <v>sexta-feira</v>
      </c>
      <c r="D133" s="33">
        <v>1</v>
      </c>
      <c r="E133" s="33">
        <v>1</v>
      </c>
      <c r="F133" s="18"/>
      <c r="G133" s="35">
        <f>WEEKDAY(Metas_Diarias[[#This Row],[data]])</f>
        <v>6</v>
      </c>
      <c r="H133" s="35">
        <f>IF(Metas_Diarias[[#This Row],[dias_da_demana]]=1,"domingo",IF(Metas_Diarias[[#This Row],[dias_da_demana]]=7,0.5,1))</f>
        <v>1</v>
      </c>
      <c r="I133" s="35">
        <f>_xlfn.XLOOKUP(Metas_Diarias[[#This Row],[data]],Feriados[Data],Feriados[Feriado],1)</f>
        <v>1</v>
      </c>
      <c r="J133" s="33" cm="1">
        <f t="array" aca="1" ref="J133" ca="1">SUMPRODUCT(IF((NOT(ISERROR(MATCH(ROW(INDIRECT(DATE(YEAR(B133),MONTH(B133),1)&amp;":"&amp;DATE(YEAR(B133),MONTH(B133)+1,0))),Feriados[Data],0))))=FALSE,
IF(WEEKDAY(ROW(INDIRECT(DATE(YEAR(B133),MONTH(B133),1)&amp;":"&amp;DATE(YEAR(B133),MONTH(B133)+1,0))),2)&lt;=5,1,IF(WEEKDAY(ROW(INDIRECT(DATE(YEAR(B133),MONTH(B133),1)&amp;":"&amp;DATE(YEAR(B133),MONTH(B133)+1,0))),2)=6,0.5,0)),0))</f>
        <v>23</v>
      </c>
      <c r="K133" s="22" cm="1">
        <f t="array" ref="K133">_xlfn.XLOOKUP(1,((Metas_Diarias[[#This Row],[tipo_equipe_id]]=Metas[equipe])*(Metas_Diarias[[#This Row],[data]]&gt;Metas[data_inicio])*(Metas_Diarias[[#This Row],[data]]&lt;Metas[data_fim])),Metas[meta_mensal],0)</f>
        <v>160000</v>
      </c>
      <c r="L133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34" spans="2:12" x14ac:dyDescent="0.3">
      <c r="B134" s="34">
        <v>45423</v>
      </c>
      <c r="C134" s="34" t="str">
        <f>TEXT(Metas_Diarias[[#This Row],[data]],"dddd")</f>
        <v>sábado</v>
      </c>
      <c r="D134" s="33">
        <v>1</v>
      </c>
      <c r="E134" s="33">
        <v>1</v>
      </c>
      <c r="F134" s="18"/>
      <c r="G134" s="35">
        <f>WEEKDAY(Metas_Diarias[[#This Row],[data]])</f>
        <v>7</v>
      </c>
      <c r="H134" s="35">
        <f>IF(Metas_Diarias[[#This Row],[dias_da_demana]]=1,"domingo",IF(Metas_Diarias[[#This Row],[dias_da_demana]]=7,0.5,1))</f>
        <v>0.5</v>
      </c>
      <c r="I134" s="35">
        <f>_xlfn.XLOOKUP(Metas_Diarias[[#This Row],[data]],Feriados[Data],Feriados[Feriado],1)</f>
        <v>1</v>
      </c>
      <c r="J134" s="33" cm="1">
        <f t="array" aca="1" ref="J134" ca="1">SUMPRODUCT(IF((NOT(ISERROR(MATCH(ROW(INDIRECT(DATE(YEAR(B134),MONTH(B134),1)&amp;":"&amp;DATE(YEAR(B134),MONTH(B134)+1,0))),Feriados[Data],0))))=FALSE,
IF(WEEKDAY(ROW(INDIRECT(DATE(YEAR(B134),MONTH(B134),1)&amp;":"&amp;DATE(YEAR(B134),MONTH(B134)+1,0))),2)&lt;=5,1,IF(WEEKDAY(ROW(INDIRECT(DATE(YEAR(B134),MONTH(B134),1)&amp;":"&amp;DATE(YEAR(B134),MONTH(B134)+1,0))),2)=6,0.5,0)),0))</f>
        <v>23</v>
      </c>
      <c r="K134" s="22" cm="1">
        <f t="array" ref="K134">_xlfn.XLOOKUP(1,((Metas_Diarias[[#This Row],[tipo_equipe_id]]=Metas[equipe])*(Metas_Diarias[[#This Row],[data]]&gt;Metas[data_inicio])*(Metas_Diarias[[#This Row],[data]]&lt;Metas[data_fim])),Metas[meta_mensal],0)</f>
        <v>160000</v>
      </c>
      <c r="L134" s="24">
        <f ca="1">Metas_Diarias[[#This Row],[meta_mensal]]*IF(Metas_Diarias[[#This Row],[semana]]="domingo",0,Metas_Diarias[[#This Row],[semana]])*IF(Metas_Diarias[[#This Row],[feriado]]&lt;&gt;1,0,1)/Metas_Diarias[[#This Row],[dias_úteis_Mês]]</f>
        <v>3478.2608695652175</v>
      </c>
    </row>
    <row r="135" spans="2:12" x14ac:dyDescent="0.3">
      <c r="B135" s="34">
        <v>45424</v>
      </c>
      <c r="C135" s="34" t="str">
        <f>TEXT(Metas_Diarias[[#This Row],[data]],"dddd")</f>
        <v>domingo</v>
      </c>
      <c r="D135" s="33">
        <v>1</v>
      </c>
      <c r="E135" s="33">
        <v>1</v>
      </c>
      <c r="F135" s="18"/>
      <c r="G135" s="35">
        <f>WEEKDAY(Metas_Diarias[[#This Row],[data]])</f>
        <v>1</v>
      </c>
      <c r="H135" s="35" t="str">
        <f>IF(Metas_Diarias[[#This Row],[dias_da_demana]]=1,"domingo",IF(Metas_Diarias[[#This Row],[dias_da_demana]]=7,0.5,1))</f>
        <v>domingo</v>
      </c>
      <c r="I135" s="35">
        <f>_xlfn.XLOOKUP(Metas_Diarias[[#This Row],[data]],Feriados[Data],Feriados[Feriado],1)</f>
        <v>1</v>
      </c>
      <c r="J135" s="33" cm="1">
        <f t="array" aca="1" ref="J135" ca="1">SUMPRODUCT(IF((NOT(ISERROR(MATCH(ROW(INDIRECT(DATE(YEAR(B135),MONTH(B135),1)&amp;":"&amp;DATE(YEAR(B135),MONTH(B135)+1,0))),Feriados[Data],0))))=FALSE,
IF(WEEKDAY(ROW(INDIRECT(DATE(YEAR(B135),MONTH(B135),1)&amp;":"&amp;DATE(YEAR(B135),MONTH(B135)+1,0))),2)&lt;=5,1,IF(WEEKDAY(ROW(INDIRECT(DATE(YEAR(B135),MONTH(B135),1)&amp;":"&amp;DATE(YEAR(B135),MONTH(B135)+1,0))),2)=6,0.5,0)),0))</f>
        <v>23</v>
      </c>
      <c r="K135" s="22" cm="1">
        <f t="array" ref="K135">_xlfn.XLOOKUP(1,((Metas_Diarias[[#This Row],[tipo_equipe_id]]=Metas[equipe])*(Metas_Diarias[[#This Row],[data]]&gt;Metas[data_inicio])*(Metas_Diarias[[#This Row],[data]]&lt;Metas[data_fim])),Metas[meta_mensal],0)</f>
        <v>160000</v>
      </c>
      <c r="L13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6" spans="2:12" x14ac:dyDescent="0.3">
      <c r="B136" s="34">
        <v>45425</v>
      </c>
      <c r="C136" s="34" t="str">
        <f>TEXT(Metas_Diarias[[#This Row],[data]],"dddd")</f>
        <v>segunda-feira</v>
      </c>
      <c r="D136" s="33">
        <v>1</v>
      </c>
      <c r="E136" s="33">
        <v>1</v>
      </c>
      <c r="F136" s="18"/>
      <c r="G136" s="35">
        <f>WEEKDAY(Metas_Diarias[[#This Row],[data]])</f>
        <v>2</v>
      </c>
      <c r="H136" s="35">
        <f>IF(Metas_Diarias[[#This Row],[dias_da_demana]]=1,"domingo",IF(Metas_Diarias[[#This Row],[dias_da_demana]]=7,0.5,1))</f>
        <v>1</v>
      </c>
      <c r="I136" s="35">
        <f>_xlfn.XLOOKUP(Metas_Diarias[[#This Row],[data]],Feriados[Data],Feriados[Feriado],1)</f>
        <v>1</v>
      </c>
      <c r="J136" s="33" cm="1">
        <f t="array" aca="1" ref="J136" ca="1">SUMPRODUCT(IF((NOT(ISERROR(MATCH(ROW(INDIRECT(DATE(YEAR(B136),MONTH(B136),1)&amp;":"&amp;DATE(YEAR(B136),MONTH(B136)+1,0))),Feriados[Data],0))))=FALSE,
IF(WEEKDAY(ROW(INDIRECT(DATE(YEAR(B136),MONTH(B136),1)&amp;":"&amp;DATE(YEAR(B136),MONTH(B136)+1,0))),2)&lt;=5,1,IF(WEEKDAY(ROW(INDIRECT(DATE(YEAR(B136),MONTH(B136),1)&amp;":"&amp;DATE(YEAR(B136),MONTH(B136)+1,0))),2)=6,0.5,0)),0))</f>
        <v>23</v>
      </c>
      <c r="K136" s="22" cm="1">
        <f t="array" ref="K136">_xlfn.XLOOKUP(1,((Metas_Diarias[[#This Row],[tipo_equipe_id]]=Metas[equipe])*(Metas_Diarias[[#This Row],[data]]&gt;Metas[data_inicio])*(Metas_Diarias[[#This Row],[data]]&lt;Metas[data_fim])),Metas[meta_mensal],0)</f>
        <v>160000</v>
      </c>
      <c r="L136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37" spans="2:12" x14ac:dyDescent="0.3">
      <c r="B137" s="34">
        <v>45426</v>
      </c>
      <c r="C137" s="34" t="str">
        <f>TEXT(Metas_Diarias[[#This Row],[data]],"dddd")</f>
        <v>terça-feira</v>
      </c>
      <c r="D137" s="33">
        <v>1</v>
      </c>
      <c r="E137" s="33">
        <v>1</v>
      </c>
      <c r="F137" s="18"/>
      <c r="G137" s="35">
        <f>WEEKDAY(Metas_Diarias[[#This Row],[data]])</f>
        <v>3</v>
      </c>
      <c r="H137" s="35">
        <f>IF(Metas_Diarias[[#This Row],[dias_da_demana]]=1,"domingo",IF(Metas_Diarias[[#This Row],[dias_da_demana]]=7,0.5,1))</f>
        <v>1</v>
      </c>
      <c r="I137" s="35">
        <f>_xlfn.XLOOKUP(Metas_Diarias[[#This Row],[data]],Feriados[Data],Feriados[Feriado],1)</f>
        <v>1</v>
      </c>
      <c r="J137" s="33" cm="1">
        <f t="array" aca="1" ref="J137" ca="1">SUMPRODUCT(IF((NOT(ISERROR(MATCH(ROW(INDIRECT(DATE(YEAR(B137),MONTH(B137),1)&amp;":"&amp;DATE(YEAR(B137),MONTH(B137)+1,0))),Feriados[Data],0))))=FALSE,
IF(WEEKDAY(ROW(INDIRECT(DATE(YEAR(B137),MONTH(B137),1)&amp;":"&amp;DATE(YEAR(B137),MONTH(B137)+1,0))),2)&lt;=5,1,IF(WEEKDAY(ROW(INDIRECT(DATE(YEAR(B137),MONTH(B137),1)&amp;":"&amp;DATE(YEAR(B137),MONTH(B137)+1,0))),2)=6,0.5,0)),0))</f>
        <v>23</v>
      </c>
      <c r="K137" s="22" cm="1">
        <f t="array" ref="K137">_xlfn.XLOOKUP(1,((Metas_Diarias[[#This Row],[tipo_equipe_id]]=Metas[equipe])*(Metas_Diarias[[#This Row],[data]]&gt;Metas[data_inicio])*(Metas_Diarias[[#This Row],[data]]&lt;Metas[data_fim])),Metas[meta_mensal],0)</f>
        <v>160000</v>
      </c>
      <c r="L137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38" spans="2:12" x14ac:dyDescent="0.3">
      <c r="B138" s="34">
        <v>45427</v>
      </c>
      <c r="C138" s="34" t="str">
        <f>TEXT(Metas_Diarias[[#This Row],[data]],"dddd")</f>
        <v>quarta-feira</v>
      </c>
      <c r="D138" s="33">
        <v>1</v>
      </c>
      <c r="E138" s="33">
        <v>1</v>
      </c>
      <c r="F138" s="18"/>
      <c r="G138" s="35">
        <f>WEEKDAY(Metas_Diarias[[#This Row],[data]])</f>
        <v>4</v>
      </c>
      <c r="H138" s="35">
        <f>IF(Metas_Diarias[[#This Row],[dias_da_demana]]=1,"domingo",IF(Metas_Diarias[[#This Row],[dias_da_demana]]=7,0.5,1))</f>
        <v>1</v>
      </c>
      <c r="I138" s="35">
        <f>_xlfn.XLOOKUP(Metas_Diarias[[#This Row],[data]],Feriados[Data],Feriados[Feriado],1)</f>
        <v>1</v>
      </c>
      <c r="J138" s="33" cm="1">
        <f t="array" aca="1" ref="J138" ca="1">SUMPRODUCT(IF((NOT(ISERROR(MATCH(ROW(INDIRECT(DATE(YEAR(B138),MONTH(B138),1)&amp;":"&amp;DATE(YEAR(B138),MONTH(B138)+1,0))),Feriados[Data],0))))=FALSE,
IF(WEEKDAY(ROW(INDIRECT(DATE(YEAR(B138),MONTH(B138),1)&amp;":"&amp;DATE(YEAR(B138),MONTH(B138)+1,0))),2)&lt;=5,1,IF(WEEKDAY(ROW(INDIRECT(DATE(YEAR(B138),MONTH(B138),1)&amp;":"&amp;DATE(YEAR(B138),MONTH(B138)+1,0))),2)=6,0.5,0)),0))</f>
        <v>23</v>
      </c>
      <c r="K138" s="22" cm="1">
        <f t="array" ref="K138">_xlfn.XLOOKUP(1,((Metas_Diarias[[#This Row],[tipo_equipe_id]]=Metas[equipe])*(Metas_Diarias[[#This Row],[data]]&gt;Metas[data_inicio])*(Metas_Diarias[[#This Row],[data]]&lt;Metas[data_fim])),Metas[meta_mensal],0)</f>
        <v>160000</v>
      </c>
      <c r="L138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39" spans="2:12" x14ac:dyDescent="0.3">
      <c r="B139" s="34">
        <v>45428</v>
      </c>
      <c r="C139" s="34" t="str">
        <f>TEXT(Metas_Diarias[[#This Row],[data]],"dddd")</f>
        <v>quinta-feira</v>
      </c>
      <c r="D139" s="33">
        <v>1</v>
      </c>
      <c r="E139" s="33">
        <v>1</v>
      </c>
      <c r="F139" s="18"/>
      <c r="G139" s="35">
        <f>WEEKDAY(Metas_Diarias[[#This Row],[data]])</f>
        <v>5</v>
      </c>
      <c r="H139" s="35">
        <f>IF(Metas_Diarias[[#This Row],[dias_da_demana]]=1,"domingo",IF(Metas_Diarias[[#This Row],[dias_da_demana]]=7,0.5,1))</f>
        <v>1</v>
      </c>
      <c r="I139" s="35">
        <f>_xlfn.XLOOKUP(Metas_Diarias[[#This Row],[data]],Feriados[Data],Feriados[Feriado],1)</f>
        <v>1</v>
      </c>
      <c r="J139" s="33" cm="1">
        <f t="array" aca="1" ref="J139" ca="1">SUMPRODUCT(IF((NOT(ISERROR(MATCH(ROW(INDIRECT(DATE(YEAR(B139),MONTH(B139),1)&amp;":"&amp;DATE(YEAR(B139),MONTH(B139)+1,0))),Feriados[Data],0))))=FALSE,
IF(WEEKDAY(ROW(INDIRECT(DATE(YEAR(B139),MONTH(B139),1)&amp;":"&amp;DATE(YEAR(B139),MONTH(B139)+1,0))),2)&lt;=5,1,IF(WEEKDAY(ROW(INDIRECT(DATE(YEAR(B139),MONTH(B139),1)&amp;":"&amp;DATE(YEAR(B139),MONTH(B139)+1,0))),2)=6,0.5,0)),0))</f>
        <v>23</v>
      </c>
      <c r="K139" s="22" cm="1">
        <f t="array" ref="K139">_xlfn.XLOOKUP(1,((Metas_Diarias[[#This Row],[tipo_equipe_id]]=Metas[equipe])*(Metas_Diarias[[#This Row],[data]]&gt;Metas[data_inicio])*(Metas_Diarias[[#This Row],[data]]&lt;Metas[data_fim])),Metas[meta_mensal],0)</f>
        <v>160000</v>
      </c>
      <c r="L139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40" spans="2:12" x14ac:dyDescent="0.3">
      <c r="B140" s="34">
        <v>45429</v>
      </c>
      <c r="C140" s="34" t="str">
        <f>TEXT(Metas_Diarias[[#This Row],[data]],"dddd")</f>
        <v>sexta-feira</v>
      </c>
      <c r="D140" s="33">
        <v>1</v>
      </c>
      <c r="E140" s="33">
        <v>1</v>
      </c>
      <c r="F140" s="18"/>
      <c r="G140" s="35">
        <f>WEEKDAY(Metas_Diarias[[#This Row],[data]])</f>
        <v>6</v>
      </c>
      <c r="H140" s="35">
        <f>IF(Metas_Diarias[[#This Row],[dias_da_demana]]=1,"domingo",IF(Metas_Diarias[[#This Row],[dias_da_demana]]=7,0.5,1))</f>
        <v>1</v>
      </c>
      <c r="I140" s="35">
        <f>_xlfn.XLOOKUP(Metas_Diarias[[#This Row],[data]],Feriados[Data],Feriados[Feriado],1)</f>
        <v>1</v>
      </c>
      <c r="J140" s="33" cm="1">
        <f t="array" aca="1" ref="J140" ca="1">SUMPRODUCT(IF((NOT(ISERROR(MATCH(ROW(INDIRECT(DATE(YEAR(B140),MONTH(B140),1)&amp;":"&amp;DATE(YEAR(B140),MONTH(B140)+1,0))),Feriados[Data],0))))=FALSE,
IF(WEEKDAY(ROW(INDIRECT(DATE(YEAR(B140),MONTH(B140),1)&amp;":"&amp;DATE(YEAR(B140),MONTH(B140)+1,0))),2)&lt;=5,1,IF(WEEKDAY(ROW(INDIRECT(DATE(YEAR(B140),MONTH(B140),1)&amp;":"&amp;DATE(YEAR(B140),MONTH(B140)+1,0))),2)=6,0.5,0)),0))</f>
        <v>23</v>
      </c>
      <c r="K140" s="22" cm="1">
        <f t="array" ref="K140">_xlfn.XLOOKUP(1,((Metas_Diarias[[#This Row],[tipo_equipe_id]]=Metas[equipe])*(Metas_Diarias[[#This Row],[data]]&gt;Metas[data_inicio])*(Metas_Diarias[[#This Row],[data]]&lt;Metas[data_fim])),Metas[meta_mensal],0)</f>
        <v>160000</v>
      </c>
      <c r="L140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41" spans="2:12" x14ac:dyDescent="0.3">
      <c r="B141" s="34">
        <v>45430</v>
      </c>
      <c r="C141" s="34" t="str">
        <f>TEXT(Metas_Diarias[[#This Row],[data]],"dddd")</f>
        <v>sábado</v>
      </c>
      <c r="D141" s="33">
        <v>1</v>
      </c>
      <c r="E141" s="33">
        <v>1</v>
      </c>
      <c r="F141" s="18"/>
      <c r="G141" s="35">
        <f>WEEKDAY(Metas_Diarias[[#This Row],[data]])</f>
        <v>7</v>
      </c>
      <c r="H141" s="35">
        <f>IF(Metas_Diarias[[#This Row],[dias_da_demana]]=1,"domingo",IF(Metas_Diarias[[#This Row],[dias_da_demana]]=7,0.5,1))</f>
        <v>0.5</v>
      </c>
      <c r="I141" s="35">
        <f>_xlfn.XLOOKUP(Metas_Diarias[[#This Row],[data]],Feriados[Data],Feriados[Feriado],1)</f>
        <v>1</v>
      </c>
      <c r="J141" s="33" cm="1">
        <f t="array" aca="1" ref="J141" ca="1">SUMPRODUCT(IF((NOT(ISERROR(MATCH(ROW(INDIRECT(DATE(YEAR(B141),MONTH(B141),1)&amp;":"&amp;DATE(YEAR(B141),MONTH(B141)+1,0))),Feriados[Data],0))))=FALSE,
IF(WEEKDAY(ROW(INDIRECT(DATE(YEAR(B141),MONTH(B141),1)&amp;":"&amp;DATE(YEAR(B141),MONTH(B141)+1,0))),2)&lt;=5,1,IF(WEEKDAY(ROW(INDIRECT(DATE(YEAR(B141),MONTH(B141),1)&amp;":"&amp;DATE(YEAR(B141),MONTH(B141)+1,0))),2)=6,0.5,0)),0))</f>
        <v>23</v>
      </c>
      <c r="K141" s="22" cm="1">
        <f t="array" ref="K141">_xlfn.XLOOKUP(1,((Metas_Diarias[[#This Row],[tipo_equipe_id]]=Metas[equipe])*(Metas_Diarias[[#This Row],[data]]&gt;Metas[data_inicio])*(Metas_Diarias[[#This Row],[data]]&lt;Metas[data_fim])),Metas[meta_mensal],0)</f>
        <v>160000</v>
      </c>
      <c r="L141" s="24">
        <f ca="1">Metas_Diarias[[#This Row],[meta_mensal]]*IF(Metas_Diarias[[#This Row],[semana]]="domingo",0,Metas_Diarias[[#This Row],[semana]])*IF(Metas_Diarias[[#This Row],[feriado]]&lt;&gt;1,0,1)/Metas_Diarias[[#This Row],[dias_úteis_Mês]]</f>
        <v>3478.2608695652175</v>
      </c>
    </row>
    <row r="142" spans="2:12" x14ac:dyDescent="0.3">
      <c r="B142" s="34">
        <v>45431</v>
      </c>
      <c r="C142" s="34" t="str">
        <f>TEXT(Metas_Diarias[[#This Row],[data]],"dddd")</f>
        <v>domingo</v>
      </c>
      <c r="D142" s="33">
        <v>1</v>
      </c>
      <c r="E142" s="33">
        <v>1</v>
      </c>
      <c r="F142" s="18"/>
      <c r="G142" s="35">
        <f>WEEKDAY(Metas_Diarias[[#This Row],[data]])</f>
        <v>1</v>
      </c>
      <c r="H142" s="35" t="str">
        <f>IF(Metas_Diarias[[#This Row],[dias_da_demana]]=1,"domingo",IF(Metas_Diarias[[#This Row],[dias_da_demana]]=7,0.5,1))</f>
        <v>domingo</v>
      </c>
      <c r="I142" s="35">
        <f>_xlfn.XLOOKUP(Metas_Diarias[[#This Row],[data]],Feriados[Data],Feriados[Feriado],1)</f>
        <v>1</v>
      </c>
      <c r="J142" s="33" cm="1">
        <f t="array" aca="1" ref="J142" ca="1">SUMPRODUCT(IF((NOT(ISERROR(MATCH(ROW(INDIRECT(DATE(YEAR(B142),MONTH(B142),1)&amp;":"&amp;DATE(YEAR(B142),MONTH(B142)+1,0))),Feriados[Data],0))))=FALSE,
IF(WEEKDAY(ROW(INDIRECT(DATE(YEAR(B142),MONTH(B142),1)&amp;":"&amp;DATE(YEAR(B142),MONTH(B142)+1,0))),2)&lt;=5,1,IF(WEEKDAY(ROW(INDIRECT(DATE(YEAR(B142),MONTH(B142),1)&amp;":"&amp;DATE(YEAR(B142),MONTH(B142)+1,0))),2)=6,0.5,0)),0))</f>
        <v>23</v>
      </c>
      <c r="K142" s="22" cm="1">
        <f t="array" ref="K142">_xlfn.XLOOKUP(1,((Metas_Diarias[[#This Row],[tipo_equipe_id]]=Metas[equipe])*(Metas_Diarias[[#This Row],[data]]&gt;Metas[data_inicio])*(Metas_Diarias[[#This Row],[data]]&lt;Metas[data_fim])),Metas[meta_mensal],0)</f>
        <v>160000</v>
      </c>
      <c r="L14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3" spans="2:12" x14ac:dyDescent="0.3">
      <c r="B143" s="34">
        <v>45432</v>
      </c>
      <c r="C143" s="34" t="str">
        <f>TEXT(Metas_Diarias[[#This Row],[data]],"dddd")</f>
        <v>segunda-feira</v>
      </c>
      <c r="D143" s="33">
        <v>1</v>
      </c>
      <c r="E143" s="33">
        <v>1</v>
      </c>
      <c r="F143" s="18"/>
      <c r="G143" s="35">
        <f>WEEKDAY(Metas_Diarias[[#This Row],[data]])</f>
        <v>2</v>
      </c>
      <c r="H143" s="35">
        <f>IF(Metas_Diarias[[#This Row],[dias_da_demana]]=1,"domingo",IF(Metas_Diarias[[#This Row],[dias_da_demana]]=7,0.5,1))</f>
        <v>1</v>
      </c>
      <c r="I143" s="35">
        <f>_xlfn.XLOOKUP(Metas_Diarias[[#This Row],[data]],Feriados[Data],Feriados[Feriado],1)</f>
        <v>1</v>
      </c>
      <c r="J143" s="33" cm="1">
        <f t="array" aca="1" ref="J143" ca="1">SUMPRODUCT(IF((NOT(ISERROR(MATCH(ROW(INDIRECT(DATE(YEAR(B143),MONTH(B143),1)&amp;":"&amp;DATE(YEAR(B143),MONTH(B143)+1,0))),Feriados[Data],0))))=FALSE,
IF(WEEKDAY(ROW(INDIRECT(DATE(YEAR(B143),MONTH(B143),1)&amp;":"&amp;DATE(YEAR(B143),MONTH(B143)+1,0))),2)&lt;=5,1,IF(WEEKDAY(ROW(INDIRECT(DATE(YEAR(B143),MONTH(B143),1)&amp;":"&amp;DATE(YEAR(B143),MONTH(B143)+1,0))),2)=6,0.5,0)),0))</f>
        <v>23</v>
      </c>
      <c r="K143" s="22" cm="1">
        <f t="array" ref="K143">_xlfn.XLOOKUP(1,((Metas_Diarias[[#This Row],[tipo_equipe_id]]=Metas[equipe])*(Metas_Diarias[[#This Row],[data]]&gt;Metas[data_inicio])*(Metas_Diarias[[#This Row],[data]]&lt;Metas[data_fim])),Metas[meta_mensal],0)</f>
        <v>160000</v>
      </c>
      <c r="L143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44" spans="2:12" x14ac:dyDescent="0.3">
      <c r="B144" s="34">
        <v>45433</v>
      </c>
      <c r="C144" s="34" t="str">
        <f>TEXT(Metas_Diarias[[#This Row],[data]],"dddd")</f>
        <v>terça-feira</v>
      </c>
      <c r="D144" s="33">
        <v>1</v>
      </c>
      <c r="E144" s="33">
        <v>1</v>
      </c>
      <c r="F144" s="18"/>
      <c r="G144" s="35">
        <f>WEEKDAY(Metas_Diarias[[#This Row],[data]])</f>
        <v>3</v>
      </c>
      <c r="H144" s="35">
        <f>IF(Metas_Diarias[[#This Row],[dias_da_demana]]=1,"domingo",IF(Metas_Diarias[[#This Row],[dias_da_demana]]=7,0.5,1))</f>
        <v>1</v>
      </c>
      <c r="I144" s="35">
        <f>_xlfn.XLOOKUP(Metas_Diarias[[#This Row],[data]],Feriados[Data],Feriados[Feriado],1)</f>
        <v>1</v>
      </c>
      <c r="J144" s="33" cm="1">
        <f t="array" aca="1" ref="J144" ca="1">SUMPRODUCT(IF((NOT(ISERROR(MATCH(ROW(INDIRECT(DATE(YEAR(B144),MONTH(B144),1)&amp;":"&amp;DATE(YEAR(B144),MONTH(B144)+1,0))),Feriados[Data],0))))=FALSE,
IF(WEEKDAY(ROW(INDIRECT(DATE(YEAR(B144),MONTH(B144),1)&amp;":"&amp;DATE(YEAR(B144),MONTH(B144)+1,0))),2)&lt;=5,1,IF(WEEKDAY(ROW(INDIRECT(DATE(YEAR(B144),MONTH(B144),1)&amp;":"&amp;DATE(YEAR(B144),MONTH(B144)+1,0))),2)=6,0.5,0)),0))</f>
        <v>23</v>
      </c>
      <c r="K144" s="22" cm="1">
        <f t="array" ref="K144">_xlfn.XLOOKUP(1,((Metas_Diarias[[#This Row],[tipo_equipe_id]]=Metas[equipe])*(Metas_Diarias[[#This Row],[data]]&gt;Metas[data_inicio])*(Metas_Diarias[[#This Row],[data]]&lt;Metas[data_fim])),Metas[meta_mensal],0)</f>
        <v>160000</v>
      </c>
      <c r="L144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45" spans="2:12" x14ac:dyDescent="0.3">
      <c r="B145" s="34">
        <v>45434</v>
      </c>
      <c r="C145" s="34" t="str">
        <f>TEXT(Metas_Diarias[[#This Row],[data]],"dddd")</f>
        <v>quarta-feira</v>
      </c>
      <c r="D145" s="33">
        <v>1</v>
      </c>
      <c r="E145" s="33">
        <v>1</v>
      </c>
      <c r="F145" s="18"/>
      <c r="G145" s="35">
        <f>WEEKDAY(Metas_Diarias[[#This Row],[data]])</f>
        <v>4</v>
      </c>
      <c r="H145" s="35">
        <f>IF(Metas_Diarias[[#This Row],[dias_da_demana]]=1,"domingo",IF(Metas_Diarias[[#This Row],[dias_da_demana]]=7,0.5,1))</f>
        <v>1</v>
      </c>
      <c r="I145" s="35">
        <f>_xlfn.XLOOKUP(Metas_Diarias[[#This Row],[data]],Feriados[Data],Feriados[Feriado],1)</f>
        <v>1</v>
      </c>
      <c r="J145" s="33" cm="1">
        <f t="array" aca="1" ref="J145" ca="1">SUMPRODUCT(IF((NOT(ISERROR(MATCH(ROW(INDIRECT(DATE(YEAR(B145),MONTH(B145),1)&amp;":"&amp;DATE(YEAR(B145),MONTH(B145)+1,0))),Feriados[Data],0))))=FALSE,
IF(WEEKDAY(ROW(INDIRECT(DATE(YEAR(B145),MONTH(B145),1)&amp;":"&amp;DATE(YEAR(B145),MONTH(B145)+1,0))),2)&lt;=5,1,IF(WEEKDAY(ROW(INDIRECT(DATE(YEAR(B145),MONTH(B145),1)&amp;":"&amp;DATE(YEAR(B145),MONTH(B145)+1,0))),2)=6,0.5,0)),0))</f>
        <v>23</v>
      </c>
      <c r="K145" s="22" cm="1">
        <f t="array" ref="K145">_xlfn.XLOOKUP(1,((Metas_Diarias[[#This Row],[tipo_equipe_id]]=Metas[equipe])*(Metas_Diarias[[#This Row],[data]]&gt;Metas[data_inicio])*(Metas_Diarias[[#This Row],[data]]&lt;Metas[data_fim])),Metas[meta_mensal],0)</f>
        <v>160000</v>
      </c>
      <c r="L145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46" spans="2:12" x14ac:dyDescent="0.3">
      <c r="B146" s="34">
        <v>45435</v>
      </c>
      <c r="C146" s="34" t="str">
        <f>TEXT(Metas_Diarias[[#This Row],[data]],"dddd")</f>
        <v>quinta-feira</v>
      </c>
      <c r="D146" s="33">
        <v>1</v>
      </c>
      <c r="E146" s="33">
        <v>1</v>
      </c>
      <c r="F146" s="18"/>
      <c r="G146" s="35">
        <f>WEEKDAY(Metas_Diarias[[#This Row],[data]])</f>
        <v>5</v>
      </c>
      <c r="H146" s="35">
        <f>IF(Metas_Diarias[[#This Row],[dias_da_demana]]=1,"domingo",IF(Metas_Diarias[[#This Row],[dias_da_demana]]=7,0.5,1))</f>
        <v>1</v>
      </c>
      <c r="I146" s="35">
        <f>_xlfn.XLOOKUP(Metas_Diarias[[#This Row],[data]],Feriados[Data],Feriados[Feriado],1)</f>
        <v>1</v>
      </c>
      <c r="J146" s="33" cm="1">
        <f t="array" aca="1" ref="J146" ca="1">SUMPRODUCT(IF((NOT(ISERROR(MATCH(ROW(INDIRECT(DATE(YEAR(B146),MONTH(B146),1)&amp;":"&amp;DATE(YEAR(B146),MONTH(B146)+1,0))),Feriados[Data],0))))=FALSE,
IF(WEEKDAY(ROW(INDIRECT(DATE(YEAR(B146),MONTH(B146),1)&amp;":"&amp;DATE(YEAR(B146),MONTH(B146)+1,0))),2)&lt;=5,1,IF(WEEKDAY(ROW(INDIRECT(DATE(YEAR(B146),MONTH(B146),1)&amp;":"&amp;DATE(YEAR(B146),MONTH(B146)+1,0))),2)=6,0.5,0)),0))</f>
        <v>23</v>
      </c>
      <c r="K146" s="22" cm="1">
        <f t="array" ref="K146">_xlfn.XLOOKUP(1,((Metas_Diarias[[#This Row],[tipo_equipe_id]]=Metas[equipe])*(Metas_Diarias[[#This Row],[data]]&gt;Metas[data_inicio])*(Metas_Diarias[[#This Row],[data]]&lt;Metas[data_fim])),Metas[meta_mensal],0)</f>
        <v>160000</v>
      </c>
      <c r="L146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47" spans="2:12" x14ac:dyDescent="0.3">
      <c r="B147" s="34">
        <v>45436</v>
      </c>
      <c r="C147" s="34" t="str">
        <f>TEXT(Metas_Diarias[[#This Row],[data]],"dddd")</f>
        <v>sexta-feira</v>
      </c>
      <c r="D147" s="33">
        <v>1</v>
      </c>
      <c r="E147" s="33">
        <v>1</v>
      </c>
      <c r="F147" s="18"/>
      <c r="G147" s="35">
        <f>WEEKDAY(Metas_Diarias[[#This Row],[data]])</f>
        <v>6</v>
      </c>
      <c r="H147" s="35">
        <f>IF(Metas_Diarias[[#This Row],[dias_da_demana]]=1,"domingo",IF(Metas_Diarias[[#This Row],[dias_da_demana]]=7,0.5,1))</f>
        <v>1</v>
      </c>
      <c r="I147" s="35">
        <f>_xlfn.XLOOKUP(Metas_Diarias[[#This Row],[data]],Feriados[Data],Feriados[Feriado],1)</f>
        <v>1</v>
      </c>
      <c r="J147" s="33" cm="1">
        <f t="array" aca="1" ref="J147" ca="1">SUMPRODUCT(IF((NOT(ISERROR(MATCH(ROW(INDIRECT(DATE(YEAR(B147),MONTH(B147),1)&amp;":"&amp;DATE(YEAR(B147),MONTH(B147)+1,0))),Feriados[Data],0))))=FALSE,
IF(WEEKDAY(ROW(INDIRECT(DATE(YEAR(B147),MONTH(B147),1)&amp;":"&amp;DATE(YEAR(B147),MONTH(B147)+1,0))),2)&lt;=5,1,IF(WEEKDAY(ROW(INDIRECT(DATE(YEAR(B147),MONTH(B147),1)&amp;":"&amp;DATE(YEAR(B147),MONTH(B147)+1,0))),2)=6,0.5,0)),0))</f>
        <v>23</v>
      </c>
      <c r="K147" s="22" cm="1">
        <f t="array" ref="K147">_xlfn.XLOOKUP(1,((Metas_Diarias[[#This Row],[tipo_equipe_id]]=Metas[equipe])*(Metas_Diarias[[#This Row],[data]]&gt;Metas[data_inicio])*(Metas_Diarias[[#This Row],[data]]&lt;Metas[data_fim])),Metas[meta_mensal],0)</f>
        <v>160000</v>
      </c>
      <c r="L147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48" spans="2:12" x14ac:dyDescent="0.3">
      <c r="B148" s="34">
        <v>45437</v>
      </c>
      <c r="C148" s="34" t="str">
        <f>TEXT(Metas_Diarias[[#This Row],[data]],"dddd")</f>
        <v>sábado</v>
      </c>
      <c r="D148" s="33">
        <v>1</v>
      </c>
      <c r="E148" s="33">
        <v>1</v>
      </c>
      <c r="F148" s="18"/>
      <c r="G148" s="35">
        <f>WEEKDAY(Metas_Diarias[[#This Row],[data]])</f>
        <v>7</v>
      </c>
      <c r="H148" s="35">
        <f>IF(Metas_Diarias[[#This Row],[dias_da_demana]]=1,"domingo",IF(Metas_Diarias[[#This Row],[dias_da_demana]]=7,0.5,1))</f>
        <v>0.5</v>
      </c>
      <c r="I148" s="35">
        <f>_xlfn.XLOOKUP(Metas_Diarias[[#This Row],[data]],Feriados[Data],Feriados[Feriado],1)</f>
        <v>1</v>
      </c>
      <c r="J148" s="33" cm="1">
        <f t="array" aca="1" ref="J148" ca="1">SUMPRODUCT(IF((NOT(ISERROR(MATCH(ROW(INDIRECT(DATE(YEAR(B148),MONTH(B148),1)&amp;":"&amp;DATE(YEAR(B148),MONTH(B148)+1,0))),Feriados[Data],0))))=FALSE,
IF(WEEKDAY(ROW(INDIRECT(DATE(YEAR(B148),MONTH(B148),1)&amp;":"&amp;DATE(YEAR(B148),MONTH(B148)+1,0))),2)&lt;=5,1,IF(WEEKDAY(ROW(INDIRECT(DATE(YEAR(B148),MONTH(B148),1)&amp;":"&amp;DATE(YEAR(B148),MONTH(B148)+1,0))),2)=6,0.5,0)),0))</f>
        <v>23</v>
      </c>
      <c r="K148" s="22" cm="1">
        <f t="array" ref="K148">_xlfn.XLOOKUP(1,((Metas_Diarias[[#This Row],[tipo_equipe_id]]=Metas[equipe])*(Metas_Diarias[[#This Row],[data]]&gt;Metas[data_inicio])*(Metas_Diarias[[#This Row],[data]]&lt;Metas[data_fim])),Metas[meta_mensal],0)</f>
        <v>160000</v>
      </c>
      <c r="L148" s="24">
        <f ca="1">Metas_Diarias[[#This Row],[meta_mensal]]*IF(Metas_Diarias[[#This Row],[semana]]="domingo",0,Metas_Diarias[[#This Row],[semana]])*IF(Metas_Diarias[[#This Row],[feriado]]&lt;&gt;1,0,1)/Metas_Diarias[[#This Row],[dias_úteis_Mês]]</f>
        <v>3478.2608695652175</v>
      </c>
    </row>
    <row r="149" spans="2:12" x14ac:dyDescent="0.3">
      <c r="B149" s="34">
        <v>45438</v>
      </c>
      <c r="C149" s="34" t="str">
        <f>TEXT(Metas_Diarias[[#This Row],[data]],"dddd")</f>
        <v>domingo</v>
      </c>
      <c r="D149" s="33">
        <v>1</v>
      </c>
      <c r="E149" s="33">
        <v>1</v>
      </c>
      <c r="F149" s="18"/>
      <c r="G149" s="35">
        <f>WEEKDAY(Metas_Diarias[[#This Row],[data]])</f>
        <v>1</v>
      </c>
      <c r="H149" s="35" t="str">
        <f>IF(Metas_Diarias[[#This Row],[dias_da_demana]]=1,"domingo",IF(Metas_Diarias[[#This Row],[dias_da_demana]]=7,0.5,1))</f>
        <v>domingo</v>
      </c>
      <c r="I149" s="35">
        <f>_xlfn.XLOOKUP(Metas_Diarias[[#This Row],[data]],Feriados[Data],Feriados[Feriado],1)</f>
        <v>1</v>
      </c>
      <c r="J149" s="33" cm="1">
        <f t="array" aca="1" ref="J149" ca="1">SUMPRODUCT(IF((NOT(ISERROR(MATCH(ROW(INDIRECT(DATE(YEAR(B149),MONTH(B149),1)&amp;":"&amp;DATE(YEAR(B149),MONTH(B149)+1,0))),Feriados[Data],0))))=FALSE,
IF(WEEKDAY(ROW(INDIRECT(DATE(YEAR(B149),MONTH(B149),1)&amp;":"&amp;DATE(YEAR(B149),MONTH(B149)+1,0))),2)&lt;=5,1,IF(WEEKDAY(ROW(INDIRECT(DATE(YEAR(B149),MONTH(B149),1)&amp;":"&amp;DATE(YEAR(B149),MONTH(B149)+1,0))),2)=6,0.5,0)),0))</f>
        <v>23</v>
      </c>
      <c r="K149" s="22" cm="1">
        <f t="array" ref="K149">_xlfn.XLOOKUP(1,((Metas_Diarias[[#This Row],[tipo_equipe_id]]=Metas[equipe])*(Metas_Diarias[[#This Row],[data]]&gt;Metas[data_inicio])*(Metas_Diarias[[#This Row],[data]]&lt;Metas[data_fim])),Metas[meta_mensal],0)</f>
        <v>160000</v>
      </c>
      <c r="L14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0" spans="2:12" x14ac:dyDescent="0.3">
      <c r="B150" s="34">
        <v>45439</v>
      </c>
      <c r="C150" s="34" t="str">
        <f>TEXT(Metas_Diarias[[#This Row],[data]],"dddd")</f>
        <v>segunda-feira</v>
      </c>
      <c r="D150" s="33">
        <v>1</v>
      </c>
      <c r="E150" s="33">
        <v>1</v>
      </c>
      <c r="F150" s="18"/>
      <c r="G150" s="35">
        <f>WEEKDAY(Metas_Diarias[[#This Row],[data]])</f>
        <v>2</v>
      </c>
      <c r="H150" s="35">
        <f>IF(Metas_Diarias[[#This Row],[dias_da_demana]]=1,"domingo",IF(Metas_Diarias[[#This Row],[dias_da_demana]]=7,0.5,1))</f>
        <v>1</v>
      </c>
      <c r="I150" s="35">
        <f>_xlfn.XLOOKUP(Metas_Diarias[[#This Row],[data]],Feriados[Data],Feriados[Feriado],1)</f>
        <v>1</v>
      </c>
      <c r="J150" s="33" cm="1">
        <f t="array" aca="1" ref="J150" ca="1">SUMPRODUCT(IF((NOT(ISERROR(MATCH(ROW(INDIRECT(DATE(YEAR(B150),MONTH(B150),1)&amp;":"&amp;DATE(YEAR(B150),MONTH(B150)+1,0))),Feriados[Data],0))))=FALSE,
IF(WEEKDAY(ROW(INDIRECT(DATE(YEAR(B150),MONTH(B150),1)&amp;":"&amp;DATE(YEAR(B150),MONTH(B150)+1,0))),2)&lt;=5,1,IF(WEEKDAY(ROW(INDIRECT(DATE(YEAR(B150),MONTH(B150),1)&amp;":"&amp;DATE(YEAR(B150),MONTH(B150)+1,0))),2)=6,0.5,0)),0))</f>
        <v>23</v>
      </c>
      <c r="K150" s="22" cm="1">
        <f t="array" ref="K150">_xlfn.XLOOKUP(1,((Metas_Diarias[[#This Row],[tipo_equipe_id]]=Metas[equipe])*(Metas_Diarias[[#This Row],[data]]&gt;Metas[data_inicio])*(Metas_Diarias[[#This Row],[data]]&lt;Metas[data_fim])),Metas[meta_mensal],0)</f>
        <v>160000</v>
      </c>
      <c r="L150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51" spans="2:12" x14ac:dyDescent="0.3">
      <c r="B151" s="34">
        <v>45440</v>
      </c>
      <c r="C151" s="34" t="str">
        <f>TEXT(Metas_Diarias[[#This Row],[data]],"dddd")</f>
        <v>terça-feira</v>
      </c>
      <c r="D151" s="33">
        <v>1</v>
      </c>
      <c r="E151" s="33">
        <v>1</v>
      </c>
      <c r="F151" s="18"/>
      <c r="G151" s="35">
        <f>WEEKDAY(Metas_Diarias[[#This Row],[data]])</f>
        <v>3</v>
      </c>
      <c r="H151" s="35">
        <f>IF(Metas_Diarias[[#This Row],[dias_da_demana]]=1,"domingo",IF(Metas_Diarias[[#This Row],[dias_da_demana]]=7,0.5,1))</f>
        <v>1</v>
      </c>
      <c r="I151" s="35">
        <f>_xlfn.XLOOKUP(Metas_Diarias[[#This Row],[data]],Feriados[Data],Feriados[Feriado],1)</f>
        <v>1</v>
      </c>
      <c r="J151" s="33" cm="1">
        <f t="array" aca="1" ref="J151" ca="1">SUMPRODUCT(IF((NOT(ISERROR(MATCH(ROW(INDIRECT(DATE(YEAR(B151),MONTH(B151),1)&amp;":"&amp;DATE(YEAR(B151),MONTH(B151)+1,0))),Feriados[Data],0))))=FALSE,
IF(WEEKDAY(ROW(INDIRECT(DATE(YEAR(B151),MONTH(B151),1)&amp;":"&amp;DATE(YEAR(B151),MONTH(B151)+1,0))),2)&lt;=5,1,IF(WEEKDAY(ROW(INDIRECT(DATE(YEAR(B151),MONTH(B151),1)&amp;":"&amp;DATE(YEAR(B151),MONTH(B151)+1,0))),2)=6,0.5,0)),0))</f>
        <v>23</v>
      </c>
      <c r="K151" s="22" cm="1">
        <f t="array" ref="K151">_xlfn.XLOOKUP(1,((Metas_Diarias[[#This Row],[tipo_equipe_id]]=Metas[equipe])*(Metas_Diarias[[#This Row],[data]]&gt;Metas[data_inicio])*(Metas_Diarias[[#This Row],[data]]&lt;Metas[data_fim])),Metas[meta_mensal],0)</f>
        <v>160000</v>
      </c>
      <c r="L151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52" spans="2:12" x14ac:dyDescent="0.3">
      <c r="B152" s="34">
        <v>45441</v>
      </c>
      <c r="C152" s="34" t="str">
        <f>TEXT(Metas_Diarias[[#This Row],[data]],"dddd")</f>
        <v>quarta-feira</v>
      </c>
      <c r="D152" s="33">
        <v>1</v>
      </c>
      <c r="E152" s="33">
        <v>1</v>
      </c>
      <c r="F152" s="18"/>
      <c r="G152" s="35">
        <f>WEEKDAY(Metas_Diarias[[#This Row],[data]])</f>
        <v>4</v>
      </c>
      <c r="H152" s="35">
        <f>IF(Metas_Diarias[[#This Row],[dias_da_demana]]=1,"domingo",IF(Metas_Diarias[[#This Row],[dias_da_demana]]=7,0.5,1))</f>
        <v>1</v>
      </c>
      <c r="I152" s="35">
        <f>_xlfn.XLOOKUP(Metas_Diarias[[#This Row],[data]],Feriados[Data],Feriados[Feriado],1)</f>
        <v>1</v>
      </c>
      <c r="J152" s="33" cm="1">
        <f t="array" aca="1" ref="J152" ca="1">SUMPRODUCT(IF((NOT(ISERROR(MATCH(ROW(INDIRECT(DATE(YEAR(B152),MONTH(B152),1)&amp;":"&amp;DATE(YEAR(B152),MONTH(B152)+1,0))),Feriados[Data],0))))=FALSE,
IF(WEEKDAY(ROW(INDIRECT(DATE(YEAR(B152),MONTH(B152),1)&amp;":"&amp;DATE(YEAR(B152),MONTH(B152)+1,0))),2)&lt;=5,1,IF(WEEKDAY(ROW(INDIRECT(DATE(YEAR(B152),MONTH(B152),1)&amp;":"&amp;DATE(YEAR(B152),MONTH(B152)+1,0))),2)=6,0.5,0)),0))</f>
        <v>23</v>
      </c>
      <c r="K152" s="22" cm="1">
        <f t="array" ref="K152">_xlfn.XLOOKUP(1,((Metas_Diarias[[#This Row],[tipo_equipe_id]]=Metas[equipe])*(Metas_Diarias[[#This Row],[data]]&gt;Metas[data_inicio])*(Metas_Diarias[[#This Row],[data]]&lt;Metas[data_fim])),Metas[meta_mensal],0)</f>
        <v>160000</v>
      </c>
      <c r="L152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53" spans="2:12" x14ac:dyDescent="0.3">
      <c r="B153" s="34">
        <v>45442</v>
      </c>
      <c r="C153" s="34" t="str">
        <f>TEXT(Metas_Diarias[[#This Row],[data]],"dddd")</f>
        <v>quinta-feira</v>
      </c>
      <c r="D153" s="33">
        <v>1</v>
      </c>
      <c r="E153" s="33">
        <v>1</v>
      </c>
      <c r="F153" s="18"/>
      <c r="G153" s="35">
        <f>WEEKDAY(Metas_Diarias[[#This Row],[data]])</f>
        <v>5</v>
      </c>
      <c r="H153" s="35">
        <f>IF(Metas_Diarias[[#This Row],[dias_da_demana]]=1,"domingo",IF(Metas_Diarias[[#This Row],[dias_da_demana]]=7,0.5,1))</f>
        <v>1</v>
      </c>
      <c r="I153" s="35" t="str">
        <f>_xlfn.XLOOKUP(Metas_Diarias[[#This Row],[data]],Feriados[Data],Feriados[Feriado],1)</f>
        <v>Corpus Christi</v>
      </c>
      <c r="J153" s="33" cm="1">
        <f t="array" aca="1" ref="J153" ca="1">SUMPRODUCT(IF((NOT(ISERROR(MATCH(ROW(INDIRECT(DATE(YEAR(B153),MONTH(B153),1)&amp;":"&amp;DATE(YEAR(B153),MONTH(B153)+1,0))),Feriados[Data],0))))=FALSE,
IF(WEEKDAY(ROW(INDIRECT(DATE(YEAR(B153),MONTH(B153),1)&amp;":"&amp;DATE(YEAR(B153),MONTH(B153)+1,0))),2)&lt;=5,1,IF(WEEKDAY(ROW(INDIRECT(DATE(YEAR(B153),MONTH(B153),1)&amp;":"&amp;DATE(YEAR(B153),MONTH(B153)+1,0))),2)=6,0.5,0)),0))</f>
        <v>23</v>
      </c>
      <c r="K153" s="22" cm="1">
        <f t="array" ref="K153">_xlfn.XLOOKUP(1,((Metas_Diarias[[#This Row],[tipo_equipe_id]]=Metas[equipe])*(Metas_Diarias[[#This Row],[data]]&gt;Metas[data_inicio])*(Metas_Diarias[[#This Row],[data]]&lt;Metas[data_fim])),Metas[meta_mensal],0)</f>
        <v>160000</v>
      </c>
      <c r="L15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4" spans="2:12" x14ac:dyDescent="0.3">
      <c r="B154" s="34">
        <v>45443</v>
      </c>
      <c r="C154" s="34" t="str">
        <f>TEXT(Metas_Diarias[[#This Row],[data]],"dddd")</f>
        <v>sexta-feira</v>
      </c>
      <c r="D154" s="33">
        <v>1</v>
      </c>
      <c r="E154" s="33">
        <v>1</v>
      </c>
      <c r="F154" s="18"/>
      <c r="G154" s="35">
        <f>WEEKDAY(Metas_Diarias[[#This Row],[data]])</f>
        <v>6</v>
      </c>
      <c r="H154" s="35">
        <f>IF(Metas_Diarias[[#This Row],[dias_da_demana]]=1,"domingo",IF(Metas_Diarias[[#This Row],[dias_da_demana]]=7,0.5,1))</f>
        <v>1</v>
      </c>
      <c r="I154" s="35">
        <f>_xlfn.XLOOKUP(Metas_Diarias[[#This Row],[data]],Feriados[Data],Feriados[Feriado],1)</f>
        <v>1</v>
      </c>
      <c r="J154" s="33" cm="1">
        <f t="array" aca="1" ref="J154" ca="1">SUMPRODUCT(IF((NOT(ISERROR(MATCH(ROW(INDIRECT(DATE(YEAR(B154),MONTH(B154),1)&amp;":"&amp;DATE(YEAR(B154),MONTH(B154)+1,0))),Feriados[Data],0))))=FALSE,
IF(WEEKDAY(ROW(INDIRECT(DATE(YEAR(B154),MONTH(B154),1)&amp;":"&amp;DATE(YEAR(B154),MONTH(B154)+1,0))),2)&lt;=5,1,IF(WEEKDAY(ROW(INDIRECT(DATE(YEAR(B154),MONTH(B154),1)&amp;":"&amp;DATE(YEAR(B154),MONTH(B154)+1,0))),2)=6,0.5,0)),0))</f>
        <v>23</v>
      </c>
      <c r="K154" s="22" cm="1">
        <f t="array" ref="K154">_xlfn.XLOOKUP(1,((Metas_Diarias[[#This Row],[tipo_equipe_id]]=Metas[equipe])*(Metas_Diarias[[#This Row],[data]]&gt;Metas[data_inicio])*(Metas_Diarias[[#This Row],[data]]&lt;Metas[data_fim])),Metas[meta_mensal],0)</f>
        <v>160000</v>
      </c>
      <c r="L154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155" spans="2:12" x14ac:dyDescent="0.3">
      <c r="B155" s="34">
        <v>45444</v>
      </c>
      <c r="C155" s="34" t="str">
        <f>TEXT(Metas_Diarias[[#This Row],[data]],"dddd")</f>
        <v>sábado</v>
      </c>
      <c r="D155" s="33">
        <v>1</v>
      </c>
      <c r="E155" s="33">
        <v>1</v>
      </c>
      <c r="F155" s="18"/>
      <c r="G155" s="35">
        <f>WEEKDAY(Metas_Diarias[[#This Row],[data]])</f>
        <v>7</v>
      </c>
      <c r="H155" s="35">
        <f>IF(Metas_Diarias[[#This Row],[dias_da_demana]]=1,"domingo",IF(Metas_Diarias[[#This Row],[dias_da_demana]]=7,0.5,1))</f>
        <v>0.5</v>
      </c>
      <c r="I155" s="35">
        <f>_xlfn.XLOOKUP(Metas_Diarias[[#This Row],[data]],Feriados[Data],Feriados[Feriado],1)</f>
        <v>1</v>
      </c>
      <c r="J155" s="33" cm="1">
        <f t="array" aca="1" ref="J155" ca="1">SUMPRODUCT(IF((NOT(ISERROR(MATCH(ROW(INDIRECT(DATE(YEAR(B155),MONTH(B155),1)&amp;":"&amp;DATE(YEAR(B155),MONTH(B155)+1,0))),Feriados[Data],0))))=FALSE,
IF(WEEKDAY(ROW(INDIRECT(DATE(YEAR(B155),MONTH(B155),1)&amp;":"&amp;DATE(YEAR(B155),MONTH(B155)+1,0))),2)&lt;=5,1,IF(WEEKDAY(ROW(INDIRECT(DATE(YEAR(B155),MONTH(B155),1)&amp;":"&amp;DATE(YEAR(B155),MONTH(B155)+1,0))),2)=6,0.5,0)),0))</f>
        <v>22.5</v>
      </c>
      <c r="K155" s="22" cm="1">
        <f t="array" ref="K155">_xlfn.XLOOKUP(1,((Metas_Diarias[[#This Row],[tipo_equipe_id]]=Metas[equipe])*(Metas_Diarias[[#This Row],[data]]&gt;Metas[data_inicio])*(Metas_Diarias[[#This Row],[data]]&lt;Metas[data_fim])),Metas[meta_mensal],0)</f>
        <v>160000</v>
      </c>
      <c r="L155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156" spans="2:12" x14ac:dyDescent="0.3">
      <c r="B156" s="34">
        <v>45445</v>
      </c>
      <c r="C156" s="34" t="str">
        <f>TEXT(Metas_Diarias[[#This Row],[data]],"dddd")</f>
        <v>domingo</v>
      </c>
      <c r="D156" s="33">
        <v>1</v>
      </c>
      <c r="E156" s="33">
        <v>1</v>
      </c>
      <c r="F156" s="18"/>
      <c r="G156" s="35">
        <f>WEEKDAY(Metas_Diarias[[#This Row],[data]])</f>
        <v>1</v>
      </c>
      <c r="H156" s="35" t="str">
        <f>IF(Metas_Diarias[[#This Row],[dias_da_demana]]=1,"domingo",IF(Metas_Diarias[[#This Row],[dias_da_demana]]=7,0.5,1))</f>
        <v>domingo</v>
      </c>
      <c r="I156" s="35">
        <f>_xlfn.XLOOKUP(Metas_Diarias[[#This Row],[data]],Feriados[Data],Feriados[Feriado],1)</f>
        <v>1</v>
      </c>
      <c r="J156" s="33" cm="1">
        <f t="array" aca="1" ref="J156" ca="1">SUMPRODUCT(IF((NOT(ISERROR(MATCH(ROW(INDIRECT(DATE(YEAR(B156),MONTH(B156),1)&amp;":"&amp;DATE(YEAR(B156),MONTH(B156)+1,0))),Feriados[Data],0))))=FALSE,
IF(WEEKDAY(ROW(INDIRECT(DATE(YEAR(B156),MONTH(B156),1)&amp;":"&amp;DATE(YEAR(B156),MONTH(B156)+1,0))),2)&lt;=5,1,IF(WEEKDAY(ROW(INDIRECT(DATE(YEAR(B156),MONTH(B156),1)&amp;":"&amp;DATE(YEAR(B156),MONTH(B156)+1,0))),2)=6,0.5,0)),0))</f>
        <v>22.5</v>
      </c>
      <c r="K156" s="22" cm="1">
        <f t="array" ref="K156">_xlfn.XLOOKUP(1,((Metas_Diarias[[#This Row],[tipo_equipe_id]]=Metas[equipe])*(Metas_Diarias[[#This Row],[data]]&gt;Metas[data_inicio])*(Metas_Diarias[[#This Row],[data]]&lt;Metas[data_fim])),Metas[meta_mensal],0)</f>
        <v>160000</v>
      </c>
      <c r="L15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7" spans="2:12" x14ac:dyDescent="0.3">
      <c r="B157" s="34">
        <v>45446</v>
      </c>
      <c r="C157" s="34" t="str">
        <f>TEXT(Metas_Diarias[[#This Row],[data]],"dddd")</f>
        <v>segunda-feira</v>
      </c>
      <c r="D157" s="33">
        <v>1</v>
      </c>
      <c r="E157" s="33">
        <v>1</v>
      </c>
      <c r="F157" s="18"/>
      <c r="G157" s="35">
        <f>WEEKDAY(Metas_Diarias[[#This Row],[data]])</f>
        <v>2</v>
      </c>
      <c r="H157" s="35">
        <f>IF(Metas_Diarias[[#This Row],[dias_da_demana]]=1,"domingo",IF(Metas_Diarias[[#This Row],[dias_da_demana]]=7,0.5,1))</f>
        <v>1</v>
      </c>
      <c r="I157" s="35">
        <f>_xlfn.XLOOKUP(Metas_Diarias[[#This Row],[data]],Feriados[Data],Feriados[Feriado],1)</f>
        <v>1</v>
      </c>
      <c r="J157" s="33" cm="1">
        <f t="array" aca="1" ref="J157" ca="1">SUMPRODUCT(IF((NOT(ISERROR(MATCH(ROW(INDIRECT(DATE(YEAR(B157),MONTH(B157),1)&amp;":"&amp;DATE(YEAR(B157),MONTH(B157)+1,0))),Feriados[Data],0))))=FALSE,
IF(WEEKDAY(ROW(INDIRECT(DATE(YEAR(B157),MONTH(B157),1)&amp;":"&amp;DATE(YEAR(B157),MONTH(B157)+1,0))),2)&lt;=5,1,IF(WEEKDAY(ROW(INDIRECT(DATE(YEAR(B157),MONTH(B157),1)&amp;":"&amp;DATE(YEAR(B157),MONTH(B157)+1,0))),2)=6,0.5,0)),0))</f>
        <v>22.5</v>
      </c>
      <c r="K157" s="22" cm="1">
        <f t="array" ref="K157">_xlfn.XLOOKUP(1,((Metas_Diarias[[#This Row],[tipo_equipe_id]]=Metas[equipe])*(Metas_Diarias[[#This Row],[data]]&gt;Metas[data_inicio])*(Metas_Diarias[[#This Row],[data]]&lt;Metas[data_fim])),Metas[meta_mensal],0)</f>
        <v>160000</v>
      </c>
      <c r="L157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58" spans="2:12" x14ac:dyDescent="0.3">
      <c r="B158" s="34">
        <v>45447</v>
      </c>
      <c r="C158" s="34" t="str">
        <f>TEXT(Metas_Diarias[[#This Row],[data]],"dddd")</f>
        <v>terça-feira</v>
      </c>
      <c r="D158" s="33">
        <v>1</v>
      </c>
      <c r="E158" s="33">
        <v>1</v>
      </c>
      <c r="F158" s="18"/>
      <c r="G158" s="35">
        <f>WEEKDAY(Metas_Diarias[[#This Row],[data]])</f>
        <v>3</v>
      </c>
      <c r="H158" s="35">
        <f>IF(Metas_Diarias[[#This Row],[dias_da_demana]]=1,"domingo",IF(Metas_Diarias[[#This Row],[dias_da_demana]]=7,0.5,1))</f>
        <v>1</v>
      </c>
      <c r="I158" s="35">
        <f>_xlfn.XLOOKUP(Metas_Diarias[[#This Row],[data]],Feriados[Data],Feriados[Feriado],1)</f>
        <v>1</v>
      </c>
      <c r="J158" s="33" cm="1">
        <f t="array" aca="1" ref="J158" ca="1">SUMPRODUCT(IF((NOT(ISERROR(MATCH(ROW(INDIRECT(DATE(YEAR(B158),MONTH(B158),1)&amp;":"&amp;DATE(YEAR(B158),MONTH(B158)+1,0))),Feriados[Data],0))))=FALSE,
IF(WEEKDAY(ROW(INDIRECT(DATE(YEAR(B158),MONTH(B158),1)&amp;":"&amp;DATE(YEAR(B158),MONTH(B158)+1,0))),2)&lt;=5,1,IF(WEEKDAY(ROW(INDIRECT(DATE(YEAR(B158),MONTH(B158),1)&amp;":"&amp;DATE(YEAR(B158),MONTH(B158)+1,0))),2)=6,0.5,0)),0))</f>
        <v>22.5</v>
      </c>
      <c r="K158" s="22" cm="1">
        <f t="array" ref="K158">_xlfn.XLOOKUP(1,((Metas_Diarias[[#This Row],[tipo_equipe_id]]=Metas[equipe])*(Metas_Diarias[[#This Row],[data]]&gt;Metas[data_inicio])*(Metas_Diarias[[#This Row],[data]]&lt;Metas[data_fim])),Metas[meta_mensal],0)</f>
        <v>160000</v>
      </c>
      <c r="L158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59" spans="2:12" x14ac:dyDescent="0.3">
      <c r="B159" s="34">
        <v>45448</v>
      </c>
      <c r="C159" s="34" t="str">
        <f>TEXT(Metas_Diarias[[#This Row],[data]],"dddd")</f>
        <v>quarta-feira</v>
      </c>
      <c r="D159" s="33">
        <v>1</v>
      </c>
      <c r="E159" s="33">
        <v>1</v>
      </c>
      <c r="F159" s="18"/>
      <c r="G159" s="35">
        <f>WEEKDAY(Metas_Diarias[[#This Row],[data]])</f>
        <v>4</v>
      </c>
      <c r="H159" s="35">
        <f>IF(Metas_Diarias[[#This Row],[dias_da_demana]]=1,"domingo",IF(Metas_Diarias[[#This Row],[dias_da_demana]]=7,0.5,1))</f>
        <v>1</v>
      </c>
      <c r="I159" s="35">
        <f>_xlfn.XLOOKUP(Metas_Diarias[[#This Row],[data]],Feriados[Data],Feriados[Feriado],1)</f>
        <v>1</v>
      </c>
      <c r="J159" s="33" cm="1">
        <f t="array" aca="1" ref="J159" ca="1">SUMPRODUCT(IF((NOT(ISERROR(MATCH(ROW(INDIRECT(DATE(YEAR(B159),MONTH(B159),1)&amp;":"&amp;DATE(YEAR(B159),MONTH(B159)+1,0))),Feriados[Data],0))))=FALSE,
IF(WEEKDAY(ROW(INDIRECT(DATE(YEAR(B159),MONTH(B159),1)&amp;":"&amp;DATE(YEAR(B159),MONTH(B159)+1,0))),2)&lt;=5,1,IF(WEEKDAY(ROW(INDIRECT(DATE(YEAR(B159),MONTH(B159),1)&amp;":"&amp;DATE(YEAR(B159),MONTH(B159)+1,0))),2)=6,0.5,0)),0))</f>
        <v>22.5</v>
      </c>
      <c r="K159" s="22" cm="1">
        <f t="array" ref="K159">_xlfn.XLOOKUP(1,((Metas_Diarias[[#This Row],[tipo_equipe_id]]=Metas[equipe])*(Metas_Diarias[[#This Row],[data]]&gt;Metas[data_inicio])*(Metas_Diarias[[#This Row],[data]]&lt;Metas[data_fim])),Metas[meta_mensal],0)</f>
        <v>160000</v>
      </c>
      <c r="L159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60" spans="2:12" x14ac:dyDescent="0.3">
      <c r="B160" s="34">
        <v>45449</v>
      </c>
      <c r="C160" s="34" t="str">
        <f>TEXT(Metas_Diarias[[#This Row],[data]],"dddd")</f>
        <v>quinta-feira</v>
      </c>
      <c r="D160" s="33">
        <v>1</v>
      </c>
      <c r="E160" s="33">
        <v>1</v>
      </c>
      <c r="F160" s="18"/>
      <c r="G160" s="35">
        <f>WEEKDAY(Metas_Diarias[[#This Row],[data]])</f>
        <v>5</v>
      </c>
      <c r="H160" s="35">
        <f>IF(Metas_Diarias[[#This Row],[dias_da_demana]]=1,"domingo",IF(Metas_Diarias[[#This Row],[dias_da_demana]]=7,0.5,1))</f>
        <v>1</v>
      </c>
      <c r="I160" s="35">
        <f>_xlfn.XLOOKUP(Metas_Diarias[[#This Row],[data]],Feriados[Data],Feriados[Feriado],1)</f>
        <v>1</v>
      </c>
      <c r="J160" s="33" cm="1">
        <f t="array" aca="1" ref="J160" ca="1">SUMPRODUCT(IF((NOT(ISERROR(MATCH(ROW(INDIRECT(DATE(YEAR(B160),MONTH(B160),1)&amp;":"&amp;DATE(YEAR(B160),MONTH(B160)+1,0))),Feriados[Data],0))))=FALSE,
IF(WEEKDAY(ROW(INDIRECT(DATE(YEAR(B160),MONTH(B160),1)&amp;":"&amp;DATE(YEAR(B160),MONTH(B160)+1,0))),2)&lt;=5,1,IF(WEEKDAY(ROW(INDIRECT(DATE(YEAR(B160),MONTH(B160),1)&amp;":"&amp;DATE(YEAR(B160),MONTH(B160)+1,0))),2)=6,0.5,0)),0))</f>
        <v>22.5</v>
      </c>
      <c r="K160" s="22" cm="1">
        <f t="array" ref="K160">_xlfn.XLOOKUP(1,((Metas_Diarias[[#This Row],[tipo_equipe_id]]=Metas[equipe])*(Metas_Diarias[[#This Row],[data]]&gt;Metas[data_inicio])*(Metas_Diarias[[#This Row],[data]]&lt;Metas[data_fim])),Metas[meta_mensal],0)</f>
        <v>160000</v>
      </c>
      <c r="L160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61" spans="2:12" x14ac:dyDescent="0.3">
      <c r="B161" s="34">
        <v>45450</v>
      </c>
      <c r="C161" s="34" t="str">
        <f>TEXT(Metas_Diarias[[#This Row],[data]],"dddd")</f>
        <v>sexta-feira</v>
      </c>
      <c r="D161" s="33">
        <v>1</v>
      </c>
      <c r="E161" s="33">
        <v>1</v>
      </c>
      <c r="F161" s="18"/>
      <c r="G161" s="35">
        <f>WEEKDAY(Metas_Diarias[[#This Row],[data]])</f>
        <v>6</v>
      </c>
      <c r="H161" s="35">
        <f>IF(Metas_Diarias[[#This Row],[dias_da_demana]]=1,"domingo",IF(Metas_Diarias[[#This Row],[dias_da_demana]]=7,0.5,1))</f>
        <v>1</v>
      </c>
      <c r="I161" s="35">
        <f>_xlfn.XLOOKUP(Metas_Diarias[[#This Row],[data]],Feriados[Data],Feriados[Feriado],1)</f>
        <v>1</v>
      </c>
      <c r="J161" s="33" cm="1">
        <f t="array" aca="1" ref="J161" ca="1">SUMPRODUCT(IF((NOT(ISERROR(MATCH(ROW(INDIRECT(DATE(YEAR(B161),MONTH(B161),1)&amp;":"&amp;DATE(YEAR(B161),MONTH(B161)+1,0))),Feriados[Data],0))))=FALSE,
IF(WEEKDAY(ROW(INDIRECT(DATE(YEAR(B161),MONTH(B161),1)&amp;":"&amp;DATE(YEAR(B161),MONTH(B161)+1,0))),2)&lt;=5,1,IF(WEEKDAY(ROW(INDIRECT(DATE(YEAR(B161),MONTH(B161),1)&amp;":"&amp;DATE(YEAR(B161),MONTH(B161)+1,0))),2)=6,0.5,0)),0))</f>
        <v>22.5</v>
      </c>
      <c r="K161" s="22" cm="1">
        <f t="array" ref="K161">_xlfn.XLOOKUP(1,((Metas_Diarias[[#This Row],[tipo_equipe_id]]=Metas[equipe])*(Metas_Diarias[[#This Row],[data]]&gt;Metas[data_inicio])*(Metas_Diarias[[#This Row],[data]]&lt;Metas[data_fim])),Metas[meta_mensal],0)</f>
        <v>160000</v>
      </c>
      <c r="L161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62" spans="2:12" x14ac:dyDescent="0.3">
      <c r="B162" s="34">
        <v>45451</v>
      </c>
      <c r="C162" s="34" t="str">
        <f>TEXT(Metas_Diarias[[#This Row],[data]],"dddd")</f>
        <v>sábado</v>
      </c>
      <c r="D162" s="33">
        <v>1</v>
      </c>
      <c r="E162" s="33">
        <v>1</v>
      </c>
      <c r="F162" s="18"/>
      <c r="G162" s="35">
        <f>WEEKDAY(Metas_Diarias[[#This Row],[data]])</f>
        <v>7</v>
      </c>
      <c r="H162" s="35">
        <f>IF(Metas_Diarias[[#This Row],[dias_da_demana]]=1,"domingo",IF(Metas_Diarias[[#This Row],[dias_da_demana]]=7,0.5,1))</f>
        <v>0.5</v>
      </c>
      <c r="I162" s="35">
        <f>_xlfn.XLOOKUP(Metas_Diarias[[#This Row],[data]],Feriados[Data],Feriados[Feriado],1)</f>
        <v>1</v>
      </c>
      <c r="J162" s="33" cm="1">
        <f t="array" aca="1" ref="J162" ca="1">SUMPRODUCT(IF((NOT(ISERROR(MATCH(ROW(INDIRECT(DATE(YEAR(B162),MONTH(B162),1)&amp;":"&amp;DATE(YEAR(B162),MONTH(B162)+1,0))),Feriados[Data],0))))=FALSE,
IF(WEEKDAY(ROW(INDIRECT(DATE(YEAR(B162),MONTH(B162),1)&amp;":"&amp;DATE(YEAR(B162),MONTH(B162)+1,0))),2)&lt;=5,1,IF(WEEKDAY(ROW(INDIRECT(DATE(YEAR(B162),MONTH(B162),1)&amp;":"&amp;DATE(YEAR(B162),MONTH(B162)+1,0))),2)=6,0.5,0)),0))</f>
        <v>22.5</v>
      </c>
      <c r="K162" s="22" cm="1">
        <f t="array" ref="K162">_xlfn.XLOOKUP(1,((Metas_Diarias[[#This Row],[tipo_equipe_id]]=Metas[equipe])*(Metas_Diarias[[#This Row],[data]]&gt;Metas[data_inicio])*(Metas_Diarias[[#This Row],[data]]&lt;Metas[data_fim])),Metas[meta_mensal],0)</f>
        <v>160000</v>
      </c>
      <c r="L162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163" spans="2:12" x14ac:dyDescent="0.3">
      <c r="B163" s="34">
        <v>45452</v>
      </c>
      <c r="C163" s="34" t="str">
        <f>TEXT(Metas_Diarias[[#This Row],[data]],"dddd")</f>
        <v>domingo</v>
      </c>
      <c r="D163" s="33">
        <v>1</v>
      </c>
      <c r="E163" s="33">
        <v>1</v>
      </c>
      <c r="F163" s="18"/>
      <c r="G163" s="35">
        <f>WEEKDAY(Metas_Diarias[[#This Row],[data]])</f>
        <v>1</v>
      </c>
      <c r="H163" s="35" t="str">
        <f>IF(Metas_Diarias[[#This Row],[dias_da_demana]]=1,"domingo",IF(Metas_Diarias[[#This Row],[dias_da_demana]]=7,0.5,1))</f>
        <v>domingo</v>
      </c>
      <c r="I163" s="35">
        <f>_xlfn.XLOOKUP(Metas_Diarias[[#This Row],[data]],Feriados[Data],Feriados[Feriado],1)</f>
        <v>1</v>
      </c>
      <c r="J163" s="33" cm="1">
        <f t="array" aca="1" ref="J163" ca="1">SUMPRODUCT(IF((NOT(ISERROR(MATCH(ROW(INDIRECT(DATE(YEAR(B163),MONTH(B163),1)&amp;":"&amp;DATE(YEAR(B163),MONTH(B163)+1,0))),Feriados[Data],0))))=FALSE,
IF(WEEKDAY(ROW(INDIRECT(DATE(YEAR(B163),MONTH(B163),1)&amp;":"&amp;DATE(YEAR(B163),MONTH(B163)+1,0))),2)&lt;=5,1,IF(WEEKDAY(ROW(INDIRECT(DATE(YEAR(B163),MONTH(B163),1)&amp;":"&amp;DATE(YEAR(B163),MONTH(B163)+1,0))),2)=6,0.5,0)),0))</f>
        <v>22.5</v>
      </c>
      <c r="K163" s="22" cm="1">
        <f t="array" ref="K163">_xlfn.XLOOKUP(1,((Metas_Diarias[[#This Row],[tipo_equipe_id]]=Metas[equipe])*(Metas_Diarias[[#This Row],[data]]&gt;Metas[data_inicio])*(Metas_Diarias[[#This Row],[data]]&lt;Metas[data_fim])),Metas[meta_mensal],0)</f>
        <v>160000</v>
      </c>
      <c r="L16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4" spans="2:12" x14ac:dyDescent="0.3">
      <c r="B164" s="34">
        <v>45453</v>
      </c>
      <c r="C164" s="34" t="str">
        <f>TEXT(Metas_Diarias[[#This Row],[data]],"dddd")</f>
        <v>segunda-feira</v>
      </c>
      <c r="D164" s="33">
        <v>1</v>
      </c>
      <c r="E164" s="33">
        <v>1</v>
      </c>
      <c r="F164" s="18"/>
      <c r="G164" s="35">
        <f>WEEKDAY(Metas_Diarias[[#This Row],[data]])</f>
        <v>2</v>
      </c>
      <c r="H164" s="35">
        <f>IF(Metas_Diarias[[#This Row],[dias_da_demana]]=1,"domingo",IF(Metas_Diarias[[#This Row],[dias_da_demana]]=7,0.5,1))</f>
        <v>1</v>
      </c>
      <c r="I164" s="35">
        <f>_xlfn.XLOOKUP(Metas_Diarias[[#This Row],[data]],Feriados[Data],Feriados[Feriado],1)</f>
        <v>1</v>
      </c>
      <c r="J164" s="33" cm="1">
        <f t="array" aca="1" ref="J164" ca="1">SUMPRODUCT(IF((NOT(ISERROR(MATCH(ROW(INDIRECT(DATE(YEAR(B164),MONTH(B164),1)&amp;":"&amp;DATE(YEAR(B164),MONTH(B164)+1,0))),Feriados[Data],0))))=FALSE,
IF(WEEKDAY(ROW(INDIRECT(DATE(YEAR(B164),MONTH(B164),1)&amp;":"&amp;DATE(YEAR(B164),MONTH(B164)+1,0))),2)&lt;=5,1,IF(WEEKDAY(ROW(INDIRECT(DATE(YEAR(B164),MONTH(B164),1)&amp;":"&amp;DATE(YEAR(B164),MONTH(B164)+1,0))),2)=6,0.5,0)),0))</f>
        <v>22.5</v>
      </c>
      <c r="K164" s="22" cm="1">
        <f t="array" ref="K164">_xlfn.XLOOKUP(1,((Metas_Diarias[[#This Row],[tipo_equipe_id]]=Metas[equipe])*(Metas_Diarias[[#This Row],[data]]&gt;Metas[data_inicio])*(Metas_Diarias[[#This Row],[data]]&lt;Metas[data_fim])),Metas[meta_mensal],0)</f>
        <v>160000</v>
      </c>
      <c r="L164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65" spans="2:12" x14ac:dyDescent="0.3">
      <c r="B165" s="34">
        <v>45454</v>
      </c>
      <c r="C165" s="34" t="str">
        <f>TEXT(Metas_Diarias[[#This Row],[data]],"dddd")</f>
        <v>terça-feira</v>
      </c>
      <c r="D165" s="33">
        <v>1</v>
      </c>
      <c r="E165" s="33">
        <v>1</v>
      </c>
      <c r="F165" s="18"/>
      <c r="G165" s="35">
        <f>WEEKDAY(Metas_Diarias[[#This Row],[data]])</f>
        <v>3</v>
      </c>
      <c r="H165" s="35">
        <f>IF(Metas_Diarias[[#This Row],[dias_da_demana]]=1,"domingo",IF(Metas_Diarias[[#This Row],[dias_da_demana]]=7,0.5,1))</f>
        <v>1</v>
      </c>
      <c r="I165" s="35">
        <f>_xlfn.XLOOKUP(Metas_Diarias[[#This Row],[data]],Feriados[Data],Feriados[Feriado],1)</f>
        <v>1</v>
      </c>
      <c r="J165" s="33" cm="1">
        <f t="array" aca="1" ref="J165" ca="1">SUMPRODUCT(IF((NOT(ISERROR(MATCH(ROW(INDIRECT(DATE(YEAR(B165),MONTH(B165),1)&amp;":"&amp;DATE(YEAR(B165),MONTH(B165)+1,0))),Feriados[Data],0))))=FALSE,
IF(WEEKDAY(ROW(INDIRECT(DATE(YEAR(B165),MONTH(B165),1)&amp;":"&amp;DATE(YEAR(B165),MONTH(B165)+1,0))),2)&lt;=5,1,IF(WEEKDAY(ROW(INDIRECT(DATE(YEAR(B165),MONTH(B165),1)&amp;":"&amp;DATE(YEAR(B165),MONTH(B165)+1,0))),2)=6,0.5,0)),0))</f>
        <v>22.5</v>
      </c>
      <c r="K165" s="22" cm="1">
        <f t="array" ref="K165">_xlfn.XLOOKUP(1,((Metas_Diarias[[#This Row],[tipo_equipe_id]]=Metas[equipe])*(Metas_Diarias[[#This Row],[data]]&gt;Metas[data_inicio])*(Metas_Diarias[[#This Row],[data]]&lt;Metas[data_fim])),Metas[meta_mensal],0)</f>
        <v>160000</v>
      </c>
      <c r="L165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66" spans="2:12" x14ac:dyDescent="0.3">
      <c r="B166" s="34">
        <v>45455</v>
      </c>
      <c r="C166" s="34" t="str">
        <f>TEXT(Metas_Diarias[[#This Row],[data]],"dddd")</f>
        <v>quarta-feira</v>
      </c>
      <c r="D166" s="33">
        <v>1</v>
      </c>
      <c r="E166" s="33">
        <v>1</v>
      </c>
      <c r="F166" s="18"/>
      <c r="G166" s="35">
        <f>WEEKDAY(Metas_Diarias[[#This Row],[data]])</f>
        <v>4</v>
      </c>
      <c r="H166" s="35">
        <f>IF(Metas_Diarias[[#This Row],[dias_da_demana]]=1,"domingo",IF(Metas_Diarias[[#This Row],[dias_da_demana]]=7,0.5,1))</f>
        <v>1</v>
      </c>
      <c r="I166" s="35">
        <f>_xlfn.XLOOKUP(Metas_Diarias[[#This Row],[data]],Feriados[Data],Feriados[Feriado],1)</f>
        <v>1</v>
      </c>
      <c r="J166" s="33" cm="1">
        <f t="array" aca="1" ref="J166" ca="1">SUMPRODUCT(IF((NOT(ISERROR(MATCH(ROW(INDIRECT(DATE(YEAR(B166),MONTH(B166),1)&amp;":"&amp;DATE(YEAR(B166),MONTH(B166)+1,0))),Feriados[Data],0))))=FALSE,
IF(WEEKDAY(ROW(INDIRECT(DATE(YEAR(B166),MONTH(B166),1)&amp;":"&amp;DATE(YEAR(B166),MONTH(B166)+1,0))),2)&lt;=5,1,IF(WEEKDAY(ROW(INDIRECT(DATE(YEAR(B166),MONTH(B166),1)&amp;":"&amp;DATE(YEAR(B166),MONTH(B166)+1,0))),2)=6,0.5,0)),0))</f>
        <v>22.5</v>
      </c>
      <c r="K166" s="22" cm="1">
        <f t="array" ref="K166">_xlfn.XLOOKUP(1,((Metas_Diarias[[#This Row],[tipo_equipe_id]]=Metas[equipe])*(Metas_Diarias[[#This Row],[data]]&gt;Metas[data_inicio])*(Metas_Diarias[[#This Row],[data]]&lt;Metas[data_fim])),Metas[meta_mensal],0)</f>
        <v>160000</v>
      </c>
      <c r="L166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67" spans="2:12" x14ac:dyDescent="0.3">
      <c r="B167" s="34">
        <v>45456</v>
      </c>
      <c r="C167" s="34" t="str">
        <f>TEXT(Metas_Diarias[[#This Row],[data]],"dddd")</f>
        <v>quinta-feira</v>
      </c>
      <c r="D167" s="33">
        <v>1</v>
      </c>
      <c r="E167" s="33">
        <v>1</v>
      </c>
      <c r="F167" s="18"/>
      <c r="G167" s="35">
        <f>WEEKDAY(Metas_Diarias[[#This Row],[data]])</f>
        <v>5</v>
      </c>
      <c r="H167" s="35">
        <f>IF(Metas_Diarias[[#This Row],[dias_da_demana]]=1,"domingo",IF(Metas_Diarias[[#This Row],[dias_da_demana]]=7,0.5,1))</f>
        <v>1</v>
      </c>
      <c r="I167" s="35">
        <f>_xlfn.XLOOKUP(Metas_Diarias[[#This Row],[data]],Feriados[Data],Feriados[Feriado],1)</f>
        <v>1</v>
      </c>
      <c r="J167" s="33" cm="1">
        <f t="array" aca="1" ref="J167" ca="1">SUMPRODUCT(IF((NOT(ISERROR(MATCH(ROW(INDIRECT(DATE(YEAR(B167),MONTH(B167),1)&amp;":"&amp;DATE(YEAR(B167),MONTH(B167)+1,0))),Feriados[Data],0))))=FALSE,
IF(WEEKDAY(ROW(INDIRECT(DATE(YEAR(B167),MONTH(B167),1)&amp;":"&amp;DATE(YEAR(B167),MONTH(B167)+1,0))),2)&lt;=5,1,IF(WEEKDAY(ROW(INDIRECT(DATE(YEAR(B167),MONTH(B167),1)&amp;":"&amp;DATE(YEAR(B167),MONTH(B167)+1,0))),2)=6,0.5,0)),0))</f>
        <v>22.5</v>
      </c>
      <c r="K167" s="22" cm="1">
        <f t="array" ref="K167">_xlfn.XLOOKUP(1,((Metas_Diarias[[#This Row],[tipo_equipe_id]]=Metas[equipe])*(Metas_Diarias[[#This Row],[data]]&gt;Metas[data_inicio])*(Metas_Diarias[[#This Row],[data]]&lt;Metas[data_fim])),Metas[meta_mensal],0)</f>
        <v>160000</v>
      </c>
      <c r="L167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68" spans="2:12" x14ac:dyDescent="0.3">
      <c r="B168" s="34">
        <v>45457</v>
      </c>
      <c r="C168" s="34" t="str">
        <f>TEXT(Metas_Diarias[[#This Row],[data]],"dddd")</f>
        <v>sexta-feira</v>
      </c>
      <c r="D168" s="33">
        <v>1</v>
      </c>
      <c r="E168" s="33">
        <v>1</v>
      </c>
      <c r="F168" s="18"/>
      <c r="G168" s="35">
        <f>WEEKDAY(Metas_Diarias[[#This Row],[data]])</f>
        <v>6</v>
      </c>
      <c r="H168" s="35">
        <f>IF(Metas_Diarias[[#This Row],[dias_da_demana]]=1,"domingo",IF(Metas_Diarias[[#This Row],[dias_da_demana]]=7,0.5,1))</f>
        <v>1</v>
      </c>
      <c r="I168" s="35">
        <f>_xlfn.XLOOKUP(Metas_Diarias[[#This Row],[data]],Feriados[Data],Feriados[Feriado],1)</f>
        <v>1</v>
      </c>
      <c r="J168" s="33" cm="1">
        <f t="array" aca="1" ref="J168" ca="1">SUMPRODUCT(IF((NOT(ISERROR(MATCH(ROW(INDIRECT(DATE(YEAR(B168),MONTH(B168),1)&amp;":"&amp;DATE(YEAR(B168),MONTH(B168)+1,0))),Feriados[Data],0))))=FALSE,
IF(WEEKDAY(ROW(INDIRECT(DATE(YEAR(B168),MONTH(B168),1)&amp;":"&amp;DATE(YEAR(B168),MONTH(B168)+1,0))),2)&lt;=5,1,IF(WEEKDAY(ROW(INDIRECT(DATE(YEAR(B168),MONTH(B168),1)&amp;":"&amp;DATE(YEAR(B168),MONTH(B168)+1,0))),2)=6,0.5,0)),0))</f>
        <v>22.5</v>
      </c>
      <c r="K168" s="22" cm="1">
        <f t="array" ref="K168">_xlfn.XLOOKUP(1,((Metas_Diarias[[#This Row],[tipo_equipe_id]]=Metas[equipe])*(Metas_Diarias[[#This Row],[data]]&gt;Metas[data_inicio])*(Metas_Diarias[[#This Row],[data]]&lt;Metas[data_fim])),Metas[meta_mensal],0)</f>
        <v>160000</v>
      </c>
      <c r="L168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69" spans="2:12" x14ac:dyDescent="0.3">
      <c r="B169" s="34">
        <v>45458</v>
      </c>
      <c r="C169" s="34" t="str">
        <f>TEXT(Metas_Diarias[[#This Row],[data]],"dddd")</f>
        <v>sábado</v>
      </c>
      <c r="D169" s="33">
        <v>1</v>
      </c>
      <c r="E169" s="33">
        <v>1</v>
      </c>
      <c r="F169" s="18"/>
      <c r="G169" s="35">
        <f>WEEKDAY(Metas_Diarias[[#This Row],[data]])</f>
        <v>7</v>
      </c>
      <c r="H169" s="35">
        <f>IF(Metas_Diarias[[#This Row],[dias_da_demana]]=1,"domingo",IF(Metas_Diarias[[#This Row],[dias_da_demana]]=7,0.5,1))</f>
        <v>0.5</v>
      </c>
      <c r="I169" s="35">
        <f>_xlfn.XLOOKUP(Metas_Diarias[[#This Row],[data]],Feriados[Data],Feriados[Feriado],1)</f>
        <v>1</v>
      </c>
      <c r="J169" s="33" cm="1">
        <f t="array" aca="1" ref="J169" ca="1">SUMPRODUCT(IF((NOT(ISERROR(MATCH(ROW(INDIRECT(DATE(YEAR(B169),MONTH(B169),1)&amp;":"&amp;DATE(YEAR(B169),MONTH(B169)+1,0))),Feriados[Data],0))))=FALSE,
IF(WEEKDAY(ROW(INDIRECT(DATE(YEAR(B169),MONTH(B169),1)&amp;":"&amp;DATE(YEAR(B169),MONTH(B169)+1,0))),2)&lt;=5,1,IF(WEEKDAY(ROW(INDIRECT(DATE(YEAR(B169),MONTH(B169),1)&amp;":"&amp;DATE(YEAR(B169),MONTH(B169)+1,0))),2)=6,0.5,0)),0))</f>
        <v>22.5</v>
      </c>
      <c r="K169" s="22" cm="1">
        <f t="array" ref="K169">_xlfn.XLOOKUP(1,((Metas_Diarias[[#This Row],[tipo_equipe_id]]=Metas[equipe])*(Metas_Diarias[[#This Row],[data]]&gt;Metas[data_inicio])*(Metas_Diarias[[#This Row],[data]]&lt;Metas[data_fim])),Metas[meta_mensal],0)</f>
        <v>160000</v>
      </c>
      <c r="L169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170" spans="2:12" x14ac:dyDescent="0.3">
      <c r="B170" s="34">
        <v>45459</v>
      </c>
      <c r="C170" s="34" t="str">
        <f>TEXT(Metas_Diarias[[#This Row],[data]],"dddd")</f>
        <v>domingo</v>
      </c>
      <c r="D170" s="33">
        <v>1</v>
      </c>
      <c r="E170" s="33">
        <v>1</v>
      </c>
      <c r="F170" s="18"/>
      <c r="G170" s="35">
        <f>WEEKDAY(Metas_Diarias[[#This Row],[data]])</f>
        <v>1</v>
      </c>
      <c r="H170" s="35" t="str">
        <f>IF(Metas_Diarias[[#This Row],[dias_da_demana]]=1,"domingo",IF(Metas_Diarias[[#This Row],[dias_da_demana]]=7,0.5,1))</f>
        <v>domingo</v>
      </c>
      <c r="I170" s="35">
        <f>_xlfn.XLOOKUP(Metas_Diarias[[#This Row],[data]],Feriados[Data],Feriados[Feriado],1)</f>
        <v>1</v>
      </c>
      <c r="J170" s="33" cm="1">
        <f t="array" aca="1" ref="J170" ca="1">SUMPRODUCT(IF((NOT(ISERROR(MATCH(ROW(INDIRECT(DATE(YEAR(B170),MONTH(B170),1)&amp;":"&amp;DATE(YEAR(B170),MONTH(B170)+1,0))),Feriados[Data],0))))=FALSE,
IF(WEEKDAY(ROW(INDIRECT(DATE(YEAR(B170),MONTH(B170),1)&amp;":"&amp;DATE(YEAR(B170),MONTH(B170)+1,0))),2)&lt;=5,1,IF(WEEKDAY(ROW(INDIRECT(DATE(YEAR(B170),MONTH(B170),1)&amp;":"&amp;DATE(YEAR(B170),MONTH(B170)+1,0))),2)=6,0.5,0)),0))</f>
        <v>22.5</v>
      </c>
      <c r="K170" s="22" cm="1">
        <f t="array" ref="K170">_xlfn.XLOOKUP(1,((Metas_Diarias[[#This Row],[tipo_equipe_id]]=Metas[equipe])*(Metas_Diarias[[#This Row],[data]]&gt;Metas[data_inicio])*(Metas_Diarias[[#This Row],[data]]&lt;Metas[data_fim])),Metas[meta_mensal],0)</f>
        <v>160000</v>
      </c>
      <c r="L1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1" spans="2:12" x14ac:dyDescent="0.3">
      <c r="B171" s="34">
        <v>45460</v>
      </c>
      <c r="C171" s="34" t="str">
        <f>TEXT(Metas_Diarias[[#This Row],[data]],"dddd")</f>
        <v>segunda-feira</v>
      </c>
      <c r="D171" s="33">
        <v>1</v>
      </c>
      <c r="E171" s="33">
        <v>1</v>
      </c>
      <c r="F171" s="18"/>
      <c r="G171" s="35">
        <f>WEEKDAY(Metas_Diarias[[#This Row],[data]])</f>
        <v>2</v>
      </c>
      <c r="H171" s="35">
        <f>IF(Metas_Diarias[[#This Row],[dias_da_demana]]=1,"domingo",IF(Metas_Diarias[[#This Row],[dias_da_demana]]=7,0.5,1))</f>
        <v>1</v>
      </c>
      <c r="I171" s="35">
        <f>_xlfn.XLOOKUP(Metas_Diarias[[#This Row],[data]],Feriados[Data],Feriados[Feriado],1)</f>
        <v>1</v>
      </c>
      <c r="J171" s="33" cm="1">
        <f t="array" aca="1" ref="J171" ca="1">SUMPRODUCT(IF((NOT(ISERROR(MATCH(ROW(INDIRECT(DATE(YEAR(B171),MONTH(B171),1)&amp;":"&amp;DATE(YEAR(B171),MONTH(B171)+1,0))),Feriados[Data],0))))=FALSE,
IF(WEEKDAY(ROW(INDIRECT(DATE(YEAR(B171),MONTH(B171),1)&amp;":"&amp;DATE(YEAR(B171),MONTH(B171)+1,0))),2)&lt;=5,1,IF(WEEKDAY(ROW(INDIRECT(DATE(YEAR(B171),MONTH(B171),1)&amp;":"&amp;DATE(YEAR(B171),MONTH(B171)+1,0))),2)=6,0.5,0)),0))</f>
        <v>22.5</v>
      </c>
      <c r="K171" s="22" cm="1">
        <f t="array" ref="K171">_xlfn.XLOOKUP(1,((Metas_Diarias[[#This Row],[tipo_equipe_id]]=Metas[equipe])*(Metas_Diarias[[#This Row],[data]]&gt;Metas[data_inicio])*(Metas_Diarias[[#This Row],[data]]&lt;Metas[data_fim])),Metas[meta_mensal],0)</f>
        <v>160000</v>
      </c>
      <c r="L171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72" spans="2:12" x14ac:dyDescent="0.3">
      <c r="B172" s="34">
        <v>45461</v>
      </c>
      <c r="C172" s="34" t="str">
        <f>TEXT(Metas_Diarias[[#This Row],[data]],"dddd")</f>
        <v>terça-feira</v>
      </c>
      <c r="D172" s="33">
        <v>1</v>
      </c>
      <c r="E172" s="33">
        <v>1</v>
      </c>
      <c r="F172" s="18"/>
      <c r="G172" s="35">
        <f>WEEKDAY(Metas_Diarias[[#This Row],[data]])</f>
        <v>3</v>
      </c>
      <c r="H172" s="35">
        <f>IF(Metas_Diarias[[#This Row],[dias_da_demana]]=1,"domingo",IF(Metas_Diarias[[#This Row],[dias_da_demana]]=7,0.5,1))</f>
        <v>1</v>
      </c>
      <c r="I172" s="35">
        <f>_xlfn.XLOOKUP(Metas_Diarias[[#This Row],[data]],Feriados[Data],Feriados[Feriado],1)</f>
        <v>1</v>
      </c>
      <c r="J172" s="33" cm="1">
        <f t="array" aca="1" ref="J172" ca="1">SUMPRODUCT(IF((NOT(ISERROR(MATCH(ROW(INDIRECT(DATE(YEAR(B172),MONTH(B172),1)&amp;":"&amp;DATE(YEAR(B172),MONTH(B172)+1,0))),Feriados[Data],0))))=FALSE,
IF(WEEKDAY(ROW(INDIRECT(DATE(YEAR(B172),MONTH(B172),1)&amp;":"&amp;DATE(YEAR(B172),MONTH(B172)+1,0))),2)&lt;=5,1,IF(WEEKDAY(ROW(INDIRECT(DATE(YEAR(B172),MONTH(B172),1)&amp;":"&amp;DATE(YEAR(B172),MONTH(B172)+1,0))),2)=6,0.5,0)),0))</f>
        <v>22.5</v>
      </c>
      <c r="K172" s="22" cm="1">
        <f t="array" ref="K172">_xlfn.XLOOKUP(1,((Metas_Diarias[[#This Row],[tipo_equipe_id]]=Metas[equipe])*(Metas_Diarias[[#This Row],[data]]&gt;Metas[data_inicio])*(Metas_Diarias[[#This Row],[data]]&lt;Metas[data_fim])),Metas[meta_mensal],0)</f>
        <v>160000</v>
      </c>
      <c r="L172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73" spans="2:12" x14ac:dyDescent="0.3">
      <c r="B173" s="34">
        <v>45462</v>
      </c>
      <c r="C173" s="34" t="str">
        <f>TEXT(Metas_Diarias[[#This Row],[data]],"dddd")</f>
        <v>quarta-feira</v>
      </c>
      <c r="D173" s="33">
        <v>1</v>
      </c>
      <c r="E173" s="33">
        <v>1</v>
      </c>
      <c r="F173" s="18"/>
      <c r="G173" s="35">
        <f>WEEKDAY(Metas_Diarias[[#This Row],[data]])</f>
        <v>4</v>
      </c>
      <c r="H173" s="35">
        <f>IF(Metas_Diarias[[#This Row],[dias_da_demana]]=1,"domingo",IF(Metas_Diarias[[#This Row],[dias_da_demana]]=7,0.5,1))</f>
        <v>1</v>
      </c>
      <c r="I173" s="35">
        <f>_xlfn.XLOOKUP(Metas_Diarias[[#This Row],[data]],Feriados[Data],Feriados[Feriado],1)</f>
        <v>1</v>
      </c>
      <c r="J173" s="33" cm="1">
        <f t="array" aca="1" ref="J173" ca="1">SUMPRODUCT(IF((NOT(ISERROR(MATCH(ROW(INDIRECT(DATE(YEAR(B173),MONTH(B173),1)&amp;":"&amp;DATE(YEAR(B173),MONTH(B173)+1,0))),Feriados[Data],0))))=FALSE,
IF(WEEKDAY(ROW(INDIRECT(DATE(YEAR(B173),MONTH(B173),1)&amp;":"&amp;DATE(YEAR(B173),MONTH(B173)+1,0))),2)&lt;=5,1,IF(WEEKDAY(ROW(INDIRECT(DATE(YEAR(B173),MONTH(B173),1)&amp;":"&amp;DATE(YEAR(B173),MONTH(B173)+1,0))),2)=6,0.5,0)),0))</f>
        <v>22.5</v>
      </c>
      <c r="K173" s="22" cm="1">
        <f t="array" ref="K173">_xlfn.XLOOKUP(1,((Metas_Diarias[[#This Row],[tipo_equipe_id]]=Metas[equipe])*(Metas_Diarias[[#This Row],[data]]&gt;Metas[data_inicio])*(Metas_Diarias[[#This Row],[data]]&lt;Metas[data_fim])),Metas[meta_mensal],0)</f>
        <v>160000</v>
      </c>
      <c r="L173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74" spans="2:12" x14ac:dyDescent="0.3">
      <c r="B174" s="34">
        <v>45463</v>
      </c>
      <c r="C174" s="34" t="str">
        <f>TEXT(Metas_Diarias[[#This Row],[data]],"dddd")</f>
        <v>quinta-feira</v>
      </c>
      <c r="D174" s="33">
        <v>1</v>
      </c>
      <c r="E174" s="33">
        <v>1</v>
      </c>
      <c r="F174" s="18"/>
      <c r="G174" s="35">
        <f>WEEKDAY(Metas_Diarias[[#This Row],[data]])</f>
        <v>5</v>
      </c>
      <c r="H174" s="35">
        <f>IF(Metas_Diarias[[#This Row],[dias_da_demana]]=1,"domingo",IF(Metas_Diarias[[#This Row],[dias_da_demana]]=7,0.5,1))</f>
        <v>1</v>
      </c>
      <c r="I174" s="35">
        <f>_xlfn.XLOOKUP(Metas_Diarias[[#This Row],[data]],Feriados[Data],Feriados[Feriado],1)</f>
        <v>1</v>
      </c>
      <c r="J174" s="33" cm="1">
        <f t="array" aca="1" ref="J174" ca="1">SUMPRODUCT(IF((NOT(ISERROR(MATCH(ROW(INDIRECT(DATE(YEAR(B174),MONTH(B174),1)&amp;":"&amp;DATE(YEAR(B174),MONTH(B174)+1,0))),Feriados[Data],0))))=FALSE,
IF(WEEKDAY(ROW(INDIRECT(DATE(YEAR(B174),MONTH(B174),1)&amp;":"&amp;DATE(YEAR(B174),MONTH(B174)+1,0))),2)&lt;=5,1,IF(WEEKDAY(ROW(INDIRECT(DATE(YEAR(B174),MONTH(B174),1)&amp;":"&amp;DATE(YEAR(B174),MONTH(B174)+1,0))),2)=6,0.5,0)),0))</f>
        <v>22.5</v>
      </c>
      <c r="K174" s="22" cm="1">
        <f t="array" ref="K174">_xlfn.XLOOKUP(1,((Metas_Diarias[[#This Row],[tipo_equipe_id]]=Metas[equipe])*(Metas_Diarias[[#This Row],[data]]&gt;Metas[data_inicio])*(Metas_Diarias[[#This Row],[data]]&lt;Metas[data_fim])),Metas[meta_mensal],0)</f>
        <v>160000</v>
      </c>
      <c r="L174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75" spans="2:12" x14ac:dyDescent="0.3">
      <c r="B175" s="34">
        <v>45464</v>
      </c>
      <c r="C175" s="34" t="str">
        <f>TEXT(Metas_Diarias[[#This Row],[data]],"dddd")</f>
        <v>sexta-feira</v>
      </c>
      <c r="D175" s="33">
        <v>1</v>
      </c>
      <c r="E175" s="33">
        <v>1</v>
      </c>
      <c r="F175" s="18"/>
      <c r="G175" s="35">
        <f>WEEKDAY(Metas_Diarias[[#This Row],[data]])</f>
        <v>6</v>
      </c>
      <c r="H175" s="35">
        <f>IF(Metas_Diarias[[#This Row],[dias_da_demana]]=1,"domingo",IF(Metas_Diarias[[#This Row],[dias_da_demana]]=7,0.5,1))</f>
        <v>1</v>
      </c>
      <c r="I175" s="35">
        <f>_xlfn.XLOOKUP(Metas_Diarias[[#This Row],[data]],Feriados[Data],Feriados[Feriado],1)</f>
        <v>1</v>
      </c>
      <c r="J175" s="33" cm="1">
        <f t="array" aca="1" ref="J175" ca="1">SUMPRODUCT(IF((NOT(ISERROR(MATCH(ROW(INDIRECT(DATE(YEAR(B175),MONTH(B175),1)&amp;":"&amp;DATE(YEAR(B175),MONTH(B175)+1,0))),Feriados[Data],0))))=FALSE,
IF(WEEKDAY(ROW(INDIRECT(DATE(YEAR(B175),MONTH(B175),1)&amp;":"&amp;DATE(YEAR(B175),MONTH(B175)+1,0))),2)&lt;=5,1,IF(WEEKDAY(ROW(INDIRECT(DATE(YEAR(B175),MONTH(B175),1)&amp;":"&amp;DATE(YEAR(B175),MONTH(B175)+1,0))),2)=6,0.5,0)),0))</f>
        <v>22.5</v>
      </c>
      <c r="K175" s="22" cm="1">
        <f t="array" ref="K175">_xlfn.XLOOKUP(1,((Metas_Diarias[[#This Row],[tipo_equipe_id]]=Metas[equipe])*(Metas_Diarias[[#This Row],[data]]&gt;Metas[data_inicio])*(Metas_Diarias[[#This Row],[data]]&lt;Metas[data_fim])),Metas[meta_mensal],0)</f>
        <v>160000</v>
      </c>
      <c r="L175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76" spans="2:12" x14ac:dyDescent="0.3">
      <c r="B176" s="34">
        <v>45465</v>
      </c>
      <c r="C176" s="34" t="str">
        <f>TEXT(Metas_Diarias[[#This Row],[data]],"dddd")</f>
        <v>sábado</v>
      </c>
      <c r="D176" s="33">
        <v>1</v>
      </c>
      <c r="E176" s="33">
        <v>1</v>
      </c>
      <c r="F176" s="18"/>
      <c r="G176" s="35">
        <f>WEEKDAY(Metas_Diarias[[#This Row],[data]])</f>
        <v>7</v>
      </c>
      <c r="H176" s="35">
        <f>IF(Metas_Diarias[[#This Row],[dias_da_demana]]=1,"domingo",IF(Metas_Diarias[[#This Row],[dias_da_demana]]=7,0.5,1))</f>
        <v>0.5</v>
      </c>
      <c r="I176" s="35">
        <f>_xlfn.XLOOKUP(Metas_Diarias[[#This Row],[data]],Feriados[Data],Feriados[Feriado],1)</f>
        <v>1</v>
      </c>
      <c r="J176" s="33" cm="1">
        <f t="array" aca="1" ref="J176" ca="1">SUMPRODUCT(IF((NOT(ISERROR(MATCH(ROW(INDIRECT(DATE(YEAR(B176),MONTH(B176),1)&amp;":"&amp;DATE(YEAR(B176),MONTH(B176)+1,0))),Feriados[Data],0))))=FALSE,
IF(WEEKDAY(ROW(INDIRECT(DATE(YEAR(B176),MONTH(B176),1)&amp;":"&amp;DATE(YEAR(B176),MONTH(B176)+1,0))),2)&lt;=5,1,IF(WEEKDAY(ROW(INDIRECT(DATE(YEAR(B176),MONTH(B176),1)&amp;":"&amp;DATE(YEAR(B176),MONTH(B176)+1,0))),2)=6,0.5,0)),0))</f>
        <v>22.5</v>
      </c>
      <c r="K176" s="22" cm="1">
        <f t="array" ref="K176">_xlfn.XLOOKUP(1,((Metas_Diarias[[#This Row],[tipo_equipe_id]]=Metas[equipe])*(Metas_Diarias[[#This Row],[data]]&gt;Metas[data_inicio])*(Metas_Diarias[[#This Row],[data]]&lt;Metas[data_fim])),Metas[meta_mensal],0)</f>
        <v>160000</v>
      </c>
      <c r="L176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177" spans="2:12" x14ac:dyDescent="0.3">
      <c r="B177" s="34">
        <v>45466</v>
      </c>
      <c r="C177" s="34" t="str">
        <f>TEXT(Metas_Diarias[[#This Row],[data]],"dddd")</f>
        <v>domingo</v>
      </c>
      <c r="D177" s="33">
        <v>1</v>
      </c>
      <c r="E177" s="33">
        <v>1</v>
      </c>
      <c r="F177" s="18"/>
      <c r="G177" s="35">
        <f>WEEKDAY(Metas_Diarias[[#This Row],[data]])</f>
        <v>1</v>
      </c>
      <c r="H177" s="35" t="str">
        <f>IF(Metas_Diarias[[#This Row],[dias_da_demana]]=1,"domingo",IF(Metas_Diarias[[#This Row],[dias_da_demana]]=7,0.5,1))</f>
        <v>domingo</v>
      </c>
      <c r="I177" s="35">
        <f>_xlfn.XLOOKUP(Metas_Diarias[[#This Row],[data]],Feriados[Data],Feriados[Feriado],1)</f>
        <v>1</v>
      </c>
      <c r="J177" s="33" cm="1">
        <f t="array" aca="1" ref="J177" ca="1">SUMPRODUCT(IF((NOT(ISERROR(MATCH(ROW(INDIRECT(DATE(YEAR(B177),MONTH(B177),1)&amp;":"&amp;DATE(YEAR(B177),MONTH(B177)+1,0))),Feriados[Data],0))))=FALSE,
IF(WEEKDAY(ROW(INDIRECT(DATE(YEAR(B177),MONTH(B177),1)&amp;":"&amp;DATE(YEAR(B177),MONTH(B177)+1,0))),2)&lt;=5,1,IF(WEEKDAY(ROW(INDIRECT(DATE(YEAR(B177),MONTH(B177),1)&amp;":"&amp;DATE(YEAR(B177),MONTH(B177)+1,0))),2)=6,0.5,0)),0))</f>
        <v>22.5</v>
      </c>
      <c r="K177" s="22" cm="1">
        <f t="array" ref="K177">_xlfn.XLOOKUP(1,((Metas_Diarias[[#This Row],[tipo_equipe_id]]=Metas[equipe])*(Metas_Diarias[[#This Row],[data]]&gt;Metas[data_inicio])*(Metas_Diarias[[#This Row],[data]]&lt;Metas[data_fim])),Metas[meta_mensal],0)</f>
        <v>160000</v>
      </c>
      <c r="L1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8" spans="2:12" x14ac:dyDescent="0.3">
      <c r="B178" s="34">
        <v>45467</v>
      </c>
      <c r="C178" s="34" t="str">
        <f>TEXT(Metas_Diarias[[#This Row],[data]],"dddd")</f>
        <v>segunda-feira</v>
      </c>
      <c r="D178" s="33">
        <v>1</v>
      </c>
      <c r="E178" s="33">
        <v>1</v>
      </c>
      <c r="F178" s="18"/>
      <c r="G178" s="35">
        <f>WEEKDAY(Metas_Diarias[[#This Row],[data]])</f>
        <v>2</v>
      </c>
      <c r="H178" s="35">
        <f>IF(Metas_Diarias[[#This Row],[dias_da_demana]]=1,"domingo",IF(Metas_Diarias[[#This Row],[dias_da_demana]]=7,0.5,1))</f>
        <v>1</v>
      </c>
      <c r="I178" s="35">
        <f>_xlfn.XLOOKUP(Metas_Diarias[[#This Row],[data]],Feriados[Data],Feriados[Feriado],1)</f>
        <v>1</v>
      </c>
      <c r="J178" s="33" cm="1">
        <f t="array" aca="1" ref="J178" ca="1">SUMPRODUCT(IF((NOT(ISERROR(MATCH(ROW(INDIRECT(DATE(YEAR(B178),MONTH(B178),1)&amp;":"&amp;DATE(YEAR(B178),MONTH(B178)+1,0))),Feriados[Data],0))))=FALSE,
IF(WEEKDAY(ROW(INDIRECT(DATE(YEAR(B178),MONTH(B178),1)&amp;":"&amp;DATE(YEAR(B178),MONTH(B178)+1,0))),2)&lt;=5,1,IF(WEEKDAY(ROW(INDIRECT(DATE(YEAR(B178),MONTH(B178),1)&amp;":"&amp;DATE(YEAR(B178),MONTH(B178)+1,0))),2)=6,0.5,0)),0))</f>
        <v>22.5</v>
      </c>
      <c r="K178" s="22" cm="1">
        <f t="array" ref="K178">_xlfn.XLOOKUP(1,((Metas_Diarias[[#This Row],[tipo_equipe_id]]=Metas[equipe])*(Metas_Diarias[[#This Row],[data]]&gt;Metas[data_inicio])*(Metas_Diarias[[#This Row],[data]]&lt;Metas[data_fim])),Metas[meta_mensal],0)</f>
        <v>160000</v>
      </c>
      <c r="L178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79" spans="2:12" x14ac:dyDescent="0.3">
      <c r="B179" s="34">
        <v>45468</v>
      </c>
      <c r="C179" s="34" t="str">
        <f>TEXT(Metas_Diarias[[#This Row],[data]],"dddd")</f>
        <v>terça-feira</v>
      </c>
      <c r="D179" s="33">
        <v>1</v>
      </c>
      <c r="E179" s="33">
        <v>1</v>
      </c>
      <c r="F179" s="18"/>
      <c r="G179" s="35">
        <f>WEEKDAY(Metas_Diarias[[#This Row],[data]])</f>
        <v>3</v>
      </c>
      <c r="H179" s="35">
        <f>IF(Metas_Diarias[[#This Row],[dias_da_demana]]=1,"domingo",IF(Metas_Diarias[[#This Row],[dias_da_demana]]=7,0.5,1))</f>
        <v>1</v>
      </c>
      <c r="I179" s="35">
        <f>_xlfn.XLOOKUP(Metas_Diarias[[#This Row],[data]],Feriados[Data],Feriados[Feriado],1)</f>
        <v>1</v>
      </c>
      <c r="J179" s="33" cm="1">
        <f t="array" aca="1" ref="J179" ca="1">SUMPRODUCT(IF((NOT(ISERROR(MATCH(ROW(INDIRECT(DATE(YEAR(B179),MONTH(B179),1)&amp;":"&amp;DATE(YEAR(B179),MONTH(B179)+1,0))),Feriados[Data],0))))=FALSE,
IF(WEEKDAY(ROW(INDIRECT(DATE(YEAR(B179),MONTH(B179),1)&amp;":"&amp;DATE(YEAR(B179),MONTH(B179)+1,0))),2)&lt;=5,1,IF(WEEKDAY(ROW(INDIRECT(DATE(YEAR(B179),MONTH(B179),1)&amp;":"&amp;DATE(YEAR(B179),MONTH(B179)+1,0))),2)=6,0.5,0)),0))</f>
        <v>22.5</v>
      </c>
      <c r="K179" s="22" cm="1">
        <f t="array" ref="K179">_xlfn.XLOOKUP(1,((Metas_Diarias[[#This Row],[tipo_equipe_id]]=Metas[equipe])*(Metas_Diarias[[#This Row],[data]]&gt;Metas[data_inicio])*(Metas_Diarias[[#This Row],[data]]&lt;Metas[data_fim])),Metas[meta_mensal],0)</f>
        <v>160000</v>
      </c>
      <c r="L179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80" spans="2:12" x14ac:dyDescent="0.3">
      <c r="B180" s="34">
        <v>45469</v>
      </c>
      <c r="C180" s="34" t="str">
        <f>TEXT(Metas_Diarias[[#This Row],[data]],"dddd")</f>
        <v>quarta-feira</v>
      </c>
      <c r="D180" s="33">
        <v>1</v>
      </c>
      <c r="E180" s="33">
        <v>1</v>
      </c>
      <c r="F180" s="18"/>
      <c r="G180" s="35">
        <f>WEEKDAY(Metas_Diarias[[#This Row],[data]])</f>
        <v>4</v>
      </c>
      <c r="H180" s="35">
        <f>IF(Metas_Diarias[[#This Row],[dias_da_demana]]=1,"domingo",IF(Metas_Diarias[[#This Row],[dias_da_demana]]=7,0.5,1))</f>
        <v>1</v>
      </c>
      <c r="I180" s="35">
        <f>_xlfn.XLOOKUP(Metas_Diarias[[#This Row],[data]],Feriados[Data],Feriados[Feriado],1)</f>
        <v>1</v>
      </c>
      <c r="J180" s="33" cm="1">
        <f t="array" aca="1" ref="J180" ca="1">SUMPRODUCT(IF((NOT(ISERROR(MATCH(ROW(INDIRECT(DATE(YEAR(B180),MONTH(B180),1)&amp;":"&amp;DATE(YEAR(B180),MONTH(B180)+1,0))),Feriados[Data],0))))=FALSE,
IF(WEEKDAY(ROW(INDIRECT(DATE(YEAR(B180),MONTH(B180),1)&amp;":"&amp;DATE(YEAR(B180),MONTH(B180)+1,0))),2)&lt;=5,1,IF(WEEKDAY(ROW(INDIRECT(DATE(YEAR(B180),MONTH(B180),1)&amp;":"&amp;DATE(YEAR(B180),MONTH(B180)+1,0))),2)=6,0.5,0)),0))</f>
        <v>22.5</v>
      </c>
      <c r="K180" s="22" cm="1">
        <f t="array" ref="K180">_xlfn.XLOOKUP(1,((Metas_Diarias[[#This Row],[tipo_equipe_id]]=Metas[equipe])*(Metas_Diarias[[#This Row],[data]]&gt;Metas[data_inicio])*(Metas_Diarias[[#This Row],[data]]&lt;Metas[data_fim])),Metas[meta_mensal],0)</f>
        <v>160000</v>
      </c>
      <c r="L180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81" spans="2:12" x14ac:dyDescent="0.3">
      <c r="B181" s="34">
        <v>45470</v>
      </c>
      <c r="C181" s="34" t="str">
        <f>TEXT(Metas_Diarias[[#This Row],[data]],"dddd")</f>
        <v>quinta-feira</v>
      </c>
      <c r="D181" s="33">
        <v>1</v>
      </c>
      <c r="E181" s="33">
        <v>1</v>
      </c>
      <c r="F181" s="18"/>
      <c r="G181" s="35">
        <f>WEEKDAY(Metas_Diarias[[#This Row],[data]])</f>
        <v>5</v>
      </c>
      <c r="H181" s="35">
        <f>IF(Metas_Diarias[[#This Row],[dias_da_demana]]=1,"domingo",IF(Metas_Diarias[[#This Row],[dias_da_demana]]=7,0.5,1))</f>
        <v>1</v>
      </c>
      <c r="I181" s="35">
        <f>_xlfn.XLOOKUP(Metas_Diarias[[#This Row],[data]],Feriados[Data],Feriados[Feriado],1)</f>
        <v>1</v>
      </c>
      <c r="J181" s="33" cm="1">
        <f t="array" aca="1" ref="J181" ca="1">SUMPRODUCT(IF((NOT(ISERROR(MATCH(ROW(INDIRECT(DATE(YEAR(B181),MONTH(B181),1)&amp;":"&amp;DATE(YEAR(B181),MONTH(B181)+1,0))),Feriados[Data],0))))=FALSE,
IF(WEEKDAY(ROW(INDIRECT(DATE(YEAR(B181),MONTH(B181),1)&amp;":"&amp;DATE(YEAR(B181),MONTH(B181)+1,0))),2)&lt;=5,1,IF(WEEKDAY(ROW(INDIRECT(DATE(YEAR(B181),MONTH(B181),1)&amp;":"&amp;DATE(YEAR(B181),MONTH(B181)+1,0))),2)=6,0.5,0)),0))</f>
        <v>22.5</v>
      </c>
      <c r="K181" s="22" cm="1">
        <f t="array" ref="K181">_xlfn.XLOOKUP(1,((Metas_Diarias[[#This Row],[tipo_equipe_id]]=Metas[equipe])*(Metas_Diarias[[#This Row],[data]]&gt;Metas[data_inicio])*(Metas_Diarias[[#This Row],[data]]&lt;Metas[data_fim])),Metas[meta_mensal],0)</f>
        <v>160000</v>
      </c>
      <c r="L181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82" spans="2:12" x14ac:dyDescent="0.3">
      <c r="B182" s="34">
        <v>45471</v>
      </c>
      <c r="C182" s="34" t="str">
        <f>TEXT(Metas_Diarias[[#This Row],[data]],"dddd")</f>
        <v>sexta-feira</v>
      </c>
      <c r="D182" s="33">
        <v>1</v>
      </c>
      <c r="E182" s="33">
        <v>1</v>
      </c>
      <c r="F182" s="18"/>
      <c r="G182" s="35">
        <f>WEEKDAY(Metas_Diarias[[#This Row],[data]])</f>
        <v>6</v>
      </c>
      <c r="H182" s="35">
        <f>IF(Metas_Diarias[[#This Row],[dias_da_demana]]=1,"domingo",IF(Metas_Diarias[[#This Row],[dias_da_demana]]=7,0.5,1))</f>
        <v>1</v>
      </c>
      <c r="I182" s="35">
        <f>_xlfn.XLOOKUP(Metas_Diarias[[#This Row],[data]],Feriados[Data],Feriados[Feriado],1)</f>
        <v>1</v>
      </c>
      <c r="J182" s="33" cm="1">
        <f t="array" aca="1" ref="J182" ca="1">SUMPRODUCT(IF((NOT(ISERROR(MATCH(ROW(INDIRECT(DATE(YEAR(B182),MONTH(B182),1)&amp;":"&amp;DATE(YEAR(B182),MONTH(B182)+1,0))),Feriados[Data],0))))=FALSE,
IF(WEEKDAY(ROW(INDIRECT(DATE(YEAR(B182),MONTH(B182),1)&amp;":"&amp;DATE(YEAR(B182),MONTH(B182)+1,0))),2)&lt;=5,1,IF(WEEKDAY(ROW(INDIRECT(DATE(YEAR(B182),MONTH(B182),1)&amp;":"&amp;DATE(YEAR(B182),MONTH(B182)+1,0))),2)=6,0.5,0)),0))</f>
        <v>22.5</v>
      </c>
      <c r="K182" s="22" cm="1">
        <f t="array" ref="K182">_xlfn.XLOOKUP(1,((Metas_Diarias[[#This Row],[tipo_equipe_id]]=Metas[equipe])*(Metas_Diarias[[#This Row],[data]]&gt;Metas[data_inicio])*(Metas_Diarias[[#This Row],[data]]&lt;Metas[data_fim])),Metas[meta_mensal],0)</f>
        <v>160000</v>
      </c>
      <c r="L182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183" spans="2:12" x14ac:dyDescent="0.3">
      <c r="B183" s="34">
        <v>45472</v>
      </c>
      <c r="C183" s="34" t="str">
        <f>TEXT(Metas_Diarias[[#This Row],[data]],"dddd")</f>
        <v>sábado</v>
      </c>
      <c r="D183" s="33">
        <v>1</v>
      </c>
      <c r="E183" s="33">
        <v>1</v>
      </c>
      <c r="F183" s="18"/>
      <c r="G183" s="35">
        <f>WEEKDAY(Metas_Diarias[[#This Row],[data]])</f>
        <v>7</v>
      </c>
      <c r="H183" s="35">
        <f>IF(Metas_Diarias[[#This Row],[dias_da_demana]]=1,"domingo",IF(Metas_Diarias[[#This Row],[dias_da_demana]]=7,0.5,1))</f>
        <v>0.5</v>
      </c>
      <c r="I183" s="35">
        <f>_xlfn.XLOOKUP(Metas_Diarias[[#This Row],[data]],Feriados[Data],Feriados[Feriado],1)</f>
        <v>1</v>
      </c>
      <c r="J183" s="33" cm="1">
        <f t="array" aca="1" ref="J183" ca="1">SUMPRODUCT(IF((NOT(ISERROR(MATCH(ROW(INDIRECT(DATE(YEAR(B183),MONTH(B183),1)&amp;":"&amp;DATE(YEAR(B183),MONTH(B183)+1,0))),Feriados[Data],0))))=FALSE,
IF(WEEKDAY(ROW(INDIRECT(DATE(YEAR(B183),MONTH(B183),1)&amp;":"&amp;DATE(YEAR(B183),MONTH(B183)+1,0))),2)&lt;=5,1,IF(WEEKDAY(ROW(INDIRECT(DATE(YEAR(B183),MONTH(B183),1)&amp;":"&amp;DATE(YEAR(B183),MONTH(B183)+1,0))),2)=6,0.5,0)),0))</f>
        <v>22.5</v>
      </c>
      <c r="K183" s="22" cm="1">
        <f t="array" ref="K183">_xlfn.XLOOKUP(1,((Metas_Diarias[[#This Row],[tipo_equipe_id]]=Metas[equipe])*(Metas_Diarias[[#This Row],[data]]&gt;Metas[data_inicio])*(Metas_Diarias[[#This Row],[data]]&lt;Metas[data_fim])),Metas[meta_mensal],0)</f>
        <v>160000</v>
      </c>
      <c r="L183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184" spans="2:12" x14ac:dyDescent="0.3">
      <c r="B184" s="34">
        <v>45473</v>
      </c>
      <c r="C184" s="34" t="str">
        <f>TEXT(Metas_Diarias[[#This Row],[data]],"dddd")</f>
        <v>domingo</v>
      </c>
      <c r="D184" s="33">
        <v>1</v>
      </c>
      <c r="E184" s="33">
        <v>1</v>
      </c>
      <c r="F184" s="18"/>
      <c r="G184" s="35">
        <f>WEEKDAY(Metas_Diarias[[#This Row],[data]])</f>
        <v>1</v>
      </c>
      <c r="H184" s="35" t="str">
        <f>IF(Metas_Diarias[[#This Row],[dias_da_demana]]=1,"domingo",IF(Metas_Diarias[[#This Row],[dias_da_demana]]=7,0.5,1))</f>
        <v>domingo</v>
      </c>
      <c r="I184" s="35">
        <f>_xlfn.XLOOKUP(Metas_Diarias[[#This Row],[data]],Feriados[Data],Feriados[Feriado],1)</f>
        <v>1</v>
      </c>
      <c r="J184" s="33" cm="1">
        <f t="array" aca="1" ref="J184" ca="1">SUMPRODUCT(IF((NOT(ISERROR(MATCH(ROW(INDIRECT(DATE(YEAR(B184),MONTH(B184),1)&amp;":"&amp;DATE(YEAR(B184),MONTH(B184)+1,0))),Feriados[Data],0))))=FALSE,
IF(WEEKDAY(ROW(INDIRECT(DATE(YEAR(B184),MONTH(B184),1)&amp;":"&amp;DATE(YEAR(B184),MONTH(B184)+1,0))),2)&lt;=5,1,IF(WEEKDAY(ROW(INDIRECT(DATE(YEAR(B184),MONTH(B184),1)&amp;":"&amp;DATE(YEAR(B184),MONTH(B184)+1,0))),2)=6,0.5,0)),0))</f>
        <v>22.5</v>
      </c>
      <c r="K184" s="22" cm="1">
        <f t="array" ref="K184">_xlfn.XLOOKUP(1,((Metas_Diarias[[#This Row],[tipo_equipe_id]]=Metas[equipe])*(Metas_Diarias[[#This Row],[data]]&gt;Metas[data_inicio])*(Metas_Diarias[[#This Row],[data]]&lt;Metas[data_fim])),Metas[meta_mensal],0)</f>
        <v>160000</v>
      </c>
      <c r="L1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5" spans="2:12" x14ac:dyDescent="0.3">
      <c r="B185" s="34">
        <v>45474</v>
      </c>
      <c r="C185" s="34" t="str">
        <f>TEXT(Metas_Diarias[[#This Row],[data]],"dddd")</f>
        <v>segunda-feira</v>
      </c>
      <c r="D185" s="33">
        <v>1</v>
      </c>
      <c r="E185" s="33">
        <v>1</v>
      </c>
      <c r="F185" s="18"/>
      <c r="G185" s="35">
        <f>WEEKDAY(Metas_Diarias[[#This Row],[data]])</f>
        <v>2</v>
      </c>
      <c r="H185" s="35">
        <f>IF(Metas_Diarias[[#This Row],[dias_da_demana]]=1,"domingo",IF(Metas_Diarias[[#This Row],[dias_da_demana]]=7,0.5,1))</f>
        <v>1</v>
      </c>
      <c r="I185" s="35">
        <f>_xlfn.XLOOKUP(Metas_Diarias[[#This Row],[data]],Feriados[Data],Feriados[Feriado],1)</f>
        <v>1</v>
      </c>
      <c r="J185" s="33" cm="1">
        <f t="array" aca="1" ref="J185" ca="1">SUMPRODUCT(IF((NOT(ISERROR(MATCH(ROW(INDIRECT(DATE(YEAR(B185),MONTH(B185),1)&amp;":"&amp;DATE(YEAR(B185),MONTH(B185)+1,0))),Feriados[Data],0))))=FALSE,
IF(WEEKDAY(ROW(INDIRECT(DATE(YEAR(B185),MONTH(B185),1)&amp;":"&amp;DATE(YEAR(B185),MONTH(B185)+1,0))),2)&lt;=5,1,IF(WEEKDAY(ROW(INDIRECT(DATE(YEAR(B185),MONTH(B185),1)&amp;":"&amp;DATE(YEAR(B185),MONTH(B185)+1,0))),2)=6,0.5,0)),0))</f>
        <v>25</v>
      </c>
      <c r="K185" s="22" cm="1">
        <f t="array" ref="K185">_xlfn.XLOOKUP(1,((Metas_Diarias[[#This Row],[tipo_equipe_id]]=Metas[equipe])*(Metas_Diarias[[#This Row],[data]]&gt;Metas[data_inicio])*(Metas_Diarias[[#This Row],[data]]&lt;Metas[data_fim])),Metas[meta_mensal],0)</f>
        <v>160000</v>
      </c>
      <c r="L185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86" spans="2:12" x14ac:dyDescent="0.3">
      <c r="B186" s="34">
        <v>45475</v>
      </c>
      <c r="C186" s="34" t="str">
        <f>TEXT(Metas_Diarias[[#This Row],[data]],"dddd")</f>
        <v>terça-feira</v>
      </c>
      <c r="D186" s="33">
        <v>1</v>
      </c>
      <c r="E186" s="33">
        <v>1</v>
      </c>
      <c r="F186" s="18"/>
      <c r="G186" s="35">
        <f>WEEKDAY(Metas_Diarias[[#This Row],[data]])</f>
        <v>3</v>
      </c>
      <c r="H186" s="35">
        <f>IF(Metas_Diarias[[#This Row],[dias_da_demana]]=1,"domingo",IF(Metas_Diarias[[#This Row],[dias_da_demana]]=7,0.5,1))</f>
        <v>1</v>
      </c>
      <c r="I186" s="35">
        <f>_xlfn.XLOOKUP(Metas_Diarias[[#This Row],[data]],Feriados[Data],Feriados[Feriado],1)</f>
        <v>1</v>
      </c>
      <c r="J186" s="33" cm="1">
        <f t="array" aca="1" ref="J186" ca="1">SUMPRODUCT(IF((NOT(ISERROR(MATCH(ROW(INDIRECT(DATE(YEAR(B186),MONTH(B186),1)&amp;":"&amp;DATE(YEAR(B186),MONTH(B186)+1,0))),Feriados[Data],0))))=FALSE,
IF(WEEKDAY(ROW(INDIRECT(DATE(YEAR(B186),MONTH(B186),1)&amp;":"&amp;DATE(YEAR(B186),MONTH(B186)+1,0))),2)&lt;=5,1,IF(WEEKDAY(ROW(INDIRECT(DATE(YEAR(B186),MONTH(B186),1)&amp;":"&amp;DATE(YEAR(B186),MONTH(B186)+1,0))),2)=6,0.5,0)),0))</f>
        <v>25</v>
      </c>
      <c r="K186" s="22" cm="1">
        <f t="array" ref="K186">_xlfn.XLOOKUP(1,((Metas_Diarias[[#This Row],[tipo_equipe_id]]=Metas[equipe])*(Metas_Diarias[[#This Row],[data]]&gt;Metas[data_inicio])*(Metas_Diarias[[#This Row],[data]]&lt;Metas[data_fim])),Metas[meta_mensal],0)</f>
        <v>160000</v>
      </c>
      <c r="L186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87" spans="2:12" x14ac:dyDescent="0.3">
      <c r="B187" s="34">
        <v>45476</v>
      </c>
      <c r="C187" s="34" t="str">
        <f>TEXT(Metas_Diarias[[#This Row],[data]],"dddd")</f>
        <v>quarta-feira</v>
      </c>
      <c r="D187" s="33">
        <v>1</v>
      </c>
      <c r="E187" s="33">
        <v>1</v>
      </c>
      <c r="F187" s="18"/>
      <c r="G187" s="35">
        <f>WEEKDAY(Metas_Diarias[[#This Row],[data]])</f>
        <v>4</v>
      </c>
      <c r="H187" s="35">
        <f>IF(Metas_Diarias[[#This Row],[dias_da_demana]]=1,"domingo",IF(Metas_Diarias[[#This Row],[dias_da_demana]]=7,0.5,1))</f>
        <v>1</v>
      </c>
      <c r="I187" s="35">
        <f>_xlfn.XLOOKUP(Metas_Diarias[[#This Row],[data]],Feriados[Data],Feriados[Feriado],1)</f>
        <v>1</v>
      </c>
      <c r="J187" s="33" cm="1">
        <f t="array" aca="1" ref="J187" ca="1">SUMPRODUCT(IF((NOT(ISERROR(MATCH(ROW(INDIRECT(DATE(YEAR(B187),MONTH(B187),1)&amp;":"&amp;DATE(YEAR(B187),MONTH(B187)+1,0))),Feriados[Data],0))))=FALSE,
IF(WEEKDAY(ROW(INDIRECT(DATE(YEAR(B187),MONTH(B187),1)&amp;":"&amp;DATE(YEAR(B187),MONTH(B187)+1,0))),2)&lt;=5,1,IF(WEEKDAY(ROW(INDIRECT(DATE(YEAR(B187),MONTH(B187),1)&amp;":"&amp;DATE(YEAR(B187),MONTH(B187)+1,0))),2)=6,0.5,0)),0))</f>
        <v>25</v>
      </c>
      <c r="K187" s="22" cm="1">
        <f t="array" ref="K187">_xlfn.XLOOKUP(1,((Metas_Diarias[[#This Row],[tipo_equipe_id]]=Metas[equipe])*(Metas_Diarias[[#This Row],[data]]&gt;Metas[data_inicio])*(Metas_Diarias[[#This Row],[data]]&lt;Metas[data_fim])),Metas[meta_mensal],0)</f>
        <v>160000</v>
      </c>
      <c r="L187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88" spans="2:12" x14ac:dyDescent="0.3">
      <c r="B188" s="34">
        <v>45477</v>
      </c>
      <c r="C188" s="34" t="str">
        <f>TEXT(Metas_Diarias[[#This Row],[data]],"dddd")</f>
        <v>quinta-feira</v>
      </c>
      <c r="D188" s="33">
        <v>1</v>
      </c>
      <c r="E188" s="33">
        <v>1</v>
      </c>
      <c r="F188" s="18"/>
      <c r="G188" s="35">
        <f>WEEKDAY(Metas_Diarias[[#This Row],[data]])</f>
        <v>5</v>
      </c>
      <c r="H188" s="35">
        <f>IF(Metas_Diarias[[#This Row],[dias_da_demana]]=1,"domingo",IF(Metas_Diarias[[#This Row],[dias_da_demana]]=7,0.5,1))</f>
        <v>1</v>
      </c>
      <c r="I188" s="35">
        <f>_xlfn.XLOOKUP(Metas_Diarias[[#This Row],[data]],Feriados[Data],Feriados[Feriado],1)</f>
        <v>1</v>
      </c>
      <c r="J188" s="33" cm="1">
        <f t="array" aca="1" ref="J188" ca="1">SUMPRODUCT(IF((NOT(ISERROR(MATCH(ROW(INDIRECT(DATE(YEAR(B188),MONTH(B188),1)&amp;":"&amp;DATE(YEAR(B188),MONTH(B188)+1,0))),Feriados[Data],0))))=FALSE,
IF(WEEKDAY(ROW(INDIRECT(DATE(YEAR(B188),MONTH(B188),1)&amp;":"&amp;DATE(YEAR(B188),MONTH(B188)+1,0))),2)&lt;=5,1,IF(WEEKDAY(ROW(INDIRECT(DATE(YEAR(B188),MONTH(B188),1)&amp;":"&amp;DATE(YEAR(B188),MONTH(B188)+1,0))),2)=6,0.5,0)),0))</f>
        <v>25</v>
      </c>
      <c r="K188" s="22" cm="1">
        <f t="array" ref="K188">_xlfn.XLOOKUP(1,((Metas_Diarias[[#This Row],[tipo_equipe_id]]=Metas[equipe])*(Metas_Diarias[[#This Row],[data]]&gt;Metas[data_inicio])*(Metas_Diarias[[#This Row],[data]]&lt;Metas[data_fim])),Metas[meta_mensal],0)</f>
        <v>160000</v>
      </c>
      <c r="L188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89" spans="2:12" x14ac:dyDescent="0.3">
      <c r="B189" s="34">
        <v>45478</v>
      </c>
      <c r="C189" s="34" t="str">
        <f>TEXT(Metas_Diarias[[#This Row],[data]],"dddd")</f>
        <v>sexta-feira</v>
      </c>
      <c r="D189" s="33">
        <v>1</v>
      </c>
      <c r="E189" s="33">
        <v>1</v>
      </c>
      <c r="F189" s="18"/>
      <c r="G189" s="35">
        <f>WEEKDAY(Metas_Diarias[[#This Row],[data]])</f>
        <v>6</v>
      </c>
      <c r="H189" s="35">
        <f>IF(Metas_Diarias[[#This Row],[dias_da_demana]]=1,"domingo",IF(Metas_Diarias[[#This Row],[dias_da_demana]]=7,0.5,1))</f>
        <v>1</v>
      </c>
      <c r="I189" s="35">
        <f>_xlfn.XLOOKUP(Metas_Diarias[[#This Row],[data]],Feriados[Data],Feriados[Feriado],1)</f>
        <v>1</v>
      </c>
      <c r="J189" s="33" cm="1">
        <f t="array" aca="1" ref="J189" ca="1">SUMPRODUCT(IF((NOT(ISERROR(MATCH(ROW(INDIRECT(DATE(YEAR(B189),MONTH(B189),1)&amp;":"&amp;DATE(YEAR(B189),MONTH(B189)+1,0))),Feriados[Data],0))))=FALSE,
IF(WEEKDAY(ROW(INDIRECT(DATE(YEAR(B189),MONTH(B189),1)&amp;":"&amp;DATE(YEAR(B189),MONTH(B189)+1,0))),2)&lt;=5,1,IF(WEEKDAY(ROW(INDIRECT(DATE(YEAR(B189),MONTH(B189),1)&amp;":"&amp;DATE(YEAR(B189),MONTH(B189)+1,0))),2)=6,0.5,0)),0))</f>
        <v>25</v>
      </c>
      <c r="K189" s="22" cm="1">
        <f t="array" ref="K189">_xlfn.XLOOKUP(1,((Metas_Diarias[[#This Row],[tipo_equipe_id]]=Metas[equipe])*(Metas_Diarias[[#This Row],[data]]&gt;Metas[data_inicio])*(Metas_Diarias[[#This Row],[data]]&lt;Metas[data_fim])),Metas[meta_mensal],0)</f>
        <v>160000</v>
      </c>
      <c r="L189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90" spans="2:12" x14ac:dyDescent="0.3">
      <c r="B190" s="34">
        <v>45479</v>
      </c>
      <c r="C190" s="34" t="str">
        <f>TEXT(Metas_Diarias[[#This Row],[data]],"dddd")</f>
        <v>sábado</v>
      </c>
      <c r="D190" s="33">
        <v>1</v>
      </c>
      <c r="E190" s="33">
        <v>1</v>
      </c>
      <c r="F190" s="18"/>
      <c r="G190" s="35">
        <f>WEEKDAY(Metas_Diarias[[#This Row],[data]])</f>
        <v>7</v>
      </c>
      <c r="H190" s="35">
        <f>IF(Metas_Diarias[[#This Row],[dias_da_demana]]=1,"domingo",IF(Metas_Diarias[[#This Row],[dias_da_demana]]=7,0.5,1))</f>
        <v>0.5</v>
      </c>
      <c r="I190" s="35">
        <f>_xlfn.XLOOKUP(Metas_Diarias[[#This Row],[data]],Feriados[Data],Feriados[Feriado],1)</f>
        <v>1</v>
      </c>
      <c r="J190" s="33" cm="1">
        <f t="array" aca="1" ref="J190" ca="1">SUMPRODUCT(IF((NOT(ISERROR(MATCH(ROW(INDIRECT(DATE(YEAR(B190),MONTH(B190),1)&amp;":"&amp;DATE(YEAR(B190),MONTH(B190)+1,0))),Feriados[Data],0))))=FALSE,
IF(WEEKDAY(ROW(INDIRECT(DATE(YEAR(B190),MONTH(B190),1)&amp;":"&amp;DATE(YEAR(B190),MONTH(B190)+1,0))),2)&lt;=5,1,IF(WEEKDAY(ROW(INDIRECT(DATE(YEAR(B190),MONTH(B190),1)&amp;":"&amp;DATE(YEAR(B190),MONTH(B190)+1,0))),2)=6,0.5,0)),0))</f>
        <v>25</v>
      </c>
      <c r="K190" s="22" cm="1">
        <f t="array" ref="K190">_xlfn.XLOOKUP(1,((Metas_Diarias[[#This Row],[tipo_equipe_id]]=Metas[equipe])*(Metas_Diarias[[#This Row],[data]]&gt;Metas[data_inicio])*(Metas_Diarias[[#This Row],[data]]&lt;Metas[data_fim])),Metas[meta_mensal],0)</f>
        <v>160000</v>
      </c>
      <c r="L190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191" spans="2:12" x14ac:dyDescent="0.3">
      <c r="B191" s="34">
        <v>45480</v>
      </c>
      <c r="C191" s="34" t="str">
        <f>TEXT(Metas_Diarias[[#This Row],[data]],"dddd")</f>
        <v>domingo</v>
      </c>
      <c r="D191" s="33">
        <v>1</v>
      </c>
      <c r="E191" s="33">
        <v>1</v>
      </c>
      <c r="F191" s="18"/>
      <c r="G191" s="35">
        <f>WEEKDAY(Metas_Diarias[[#This Row],[data]])</f>
        <v>1</v>
      </c>
      <c r="H191" s="35" t="str">
        <f>IF(Metas_Diarias[[#This Row],[dias_da_demana]]=1,"domingo",IF(Metas_Diarias[[#This Row],[dias_da_demana]]=7,0.5,1))</f>
        <v>domingo</v>
      </c>
      <c r="I191" s="35">
        <f>_xlfn.XLOOKUP(Metas_Diarias[[#This Row],[data]],Feriados[Data],Feriados[Feriado],1)</f>
        <v>1</v>
      </c>
      <c r="J191" s="33" cm="1">
        <f t="array" aca="1" ref="J191" ca="1">SUMPRODUCT(IF((NOT(ISERROR(MATCH(ROW(INDIRECT(DATE(YEAR(B191),MONTH(B191),1)&amp;":"&amp;DATE(YEAR(B191),MONTH(B191)+1,0))),Feriados[Data],0))))=FALSE,
IF(WEEKDAY(ROW(INDIRECT(DATE(YEAR(B191),MONTH(B191),1)&amp;":"&amp;DATE(YEAR(B191),MONTH(B191)+1,0))),2)&lt;=5,1,IF(WEEKDAY(ROW(INDIRECT(DATE(YEAR(B191),MONTH(B191),1)&amp;":"&amp;DATE(YEAR(B191),MONTH(B191)+1,0))),2)=6,0.5,0)),0))</f>
        <v>25</v>
      </c>
      <c r="K191" s="22" cm="1">
        <f t="array" ref="K191">_xlfn.XLOOKUP(1,((Metas_Diarias[[#This Row],[tipo_equipe_id]]=Metas[equipe])*(Metas_Diarias[[#This Row],[data]]&gt;Metas[data_inicio])*(Metas_Diarias[[#This Row],[data]]&lt;Metas[data_fim])),Metas[meta_mensal],0)</f>
        <v>160000</v>
      </c>
      <c r="L1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2" spans="2:12" x14ac:dyDescent="0.3">
      <c r="B192" s="34">
        <v>45481</v>
      </c>
      <c r="C192" s="34" t="str">
        <f>TEXT(Metas_Diarias[[#This Row],[data]],"dddd")</f>
        <v>segunda-feira</v>
      </c>
      <c r="D192" s="33">
        <v>1</v>
      </c>
      <c r="E192" s="33">
        <v>1</v>
      </c>
      <c r="F192" s="18"/>
      <c r="G192" s="35">
        <f>WEEKDAY(Metas_Diarias[[#This Row],[data]])</f>
        <v>2</v>
      </c>
      <c r="H192" s="35">
        <f>IF(Metas_Diarias[[#This Row],[dias_da_demana]]=1,"domingo",IF(Metas_Diarias[[#This Row],[dias_da_demana]]=7,0.5,1))</f>
        <v>1</v>
      </c>
      <c r="I192" s="35">
        <f>_xlfn.XLOOKUP(Metas_Diarias[[#This Row],[data]],Feriados[Data],Feriados[Feriado],1)</f>
        <v>1</v>
      </c>
      <c r="J192" s="33" cm="1">
        <f t="array" aca="1" ref="J192" ca="1">SUMPRODUCT(IF((NOT(ISERROR(MATCH(ROW(INDIRECT(DATE(YEAR(B192),MONTH(B192),1)&amp;":"&amp;DATE(YEAR(B192),MONTH(B192)+1,0))),Feriados[Data],0))))=FALSE,
IF(WEEKDAY(ROW(INDIRECT(DATE(YEAR(B192),MONTH(B192),1)&amp;":"&amp;DATE(YEAR(B192),MONTH(B192)+1,0))),2)&lt;=5,1,IF(WEEKDAY(ROW(INDIRECT(DATE(YEAR(B192),MONTH(B192),1)&amp;":"&amp;DATE(YEAR(B192),MONTH(B192)+1,0))),2)=6,0.5,0)),0))</f>
        <v>25</v>
      </c>
      <c r="K192" s="22" cm="1">
        <f t="array" ref="K192">_xlfn.XLOOKUP(1,((Metas_Diarias[[#This Row],[tipo_equipe_id]]=Metas[equipe])*(Metas_Diarias[[#This Row],[data]]&gt;Metas[data_inicio])*(Metas_Diarias[[#This Row],[data]]&lt;Metas[data_fim])),Metas[meta_mensal],0)</f>
        <v>160000</v>
      </c>
      <c r="L192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93" spans="2:12" x14ac:dyDescent="0.3">
      <c r="B193" s="34">
        <v>45482</v>
      </c>
      <c r="C193" s="34" t="str">
        <f>TEXT(Metas_Diarias[[#This Row],[data]],"dddd")</f>
        <v>terça-feira</v>
      </c>
      <c r="D193" s="33">
        <v>1</v>
      </c>
      <c r="E193" s="33">
        <v>1</v>
      </c>
      <c r="F193" s="18"/>
      <c r="G193" s="35">
        <f>WEEKDAY(Metas_Diarias[[#This Row],[data]])</f>
        <v>3</v>
      </c>
      <c r="H193" s="35">
        <f>IF(Metas_Diarias[[#This Row],[dias_da_demana]]=1,"domingo",IF(Metas_Diarias[[#This Row],[dias_da_demana]]=7,0.5,1))</f>
        <v>1</v>
      </c>
      <c r="I193" s="35">
        <f>_xlfn.XLOOKUP(Metas_Diarias[[#This Row],[data]],Feriados[Data],Feriados[Feriado],1)</f>
        <v>1</v>
      </c>
      <c r="J193" s="33" cm="1">
        <f t="array" aca="1" ref="J193" ca="1">SUMPRODUCT(IF((NOT(ISERROR(MATCH(ROW(INDIRECT(DATE(YEAR(B193),MONTH(B193),1)&amp;":"&amp;DATE(YEAR(B193),MONTH(B193)+1,0))),Feriados[Data],0))))=FALSE,
IF(WEEKDAY(ROW(INDIRECT(DATE(YEAR(B193),MONTH(B193),1)&amp;":"&amp;DATE(YEAR(B193),MONTH(B193)+1,0))),2)&lt;=5,1,IF(WEEKDAY(ROW(INDIRECT(DATE(YEAR(B193),MONTH(B193),1)&amp;":"&amp;DATE(YEAR(B193),MONTH(B193)+1,0))),2)=6,0.5,0)),0))</f>
        <v>25</v>
      </c>
      <c r="K193" s="22" cm="1">
        <f t="array" ref="K193">_xlfn.XLOOKUP(1,((Metas_Diarias[[#This Row],[tipo_equipe_id]]=Metas[equipe])*(Metas_Diarias[[#This Row],[data]]&gt;Metas[data_inicio])*(Metas_Diarias[[#This Row],[data]]&lt;Metas[data_fim])),Metas[meta_mensal],0)</f>
        <v>160000</v>
      </c>
      <c r="L193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94" spans="2:12" x14ac:dyDescent="0.3">
      <c r="B194" s="34">
        <v>45483</v>
      </c>
      <c r="C194" s="34" t="str">
        <f>TEXT(Metas_Diarias[[#This Row],[data]],"dddd")</f>
        <v>quarta-feira</v>
      </c>
      <c r="D194" s="33">
        <v>1</v>
      </c>
      <c r="E194" s="33">
        <v>1</v>
      </c>
      <c r="F194" s="18"/>
      <c r="G194" s="35">
        <f>WEEKDAY(Metas_Diarias[[#This Row],[data]])</f>
        <v>4</v>
      </c>
      <c r="H194" s="35">
        <f>IF(Metas_Diarias[[#This Row],[dias_da_demana]]=1,"domingo",IF(Metas_Diarias[[#This Row],[dias_da_demana]]=7,0.5,1))</f>
        <v>1</v>
      </c>
      <c r="I194" s="35">
        <f>_xlfn.XLOOKUP(Metas_Diarias[[#This Row],[data]],Feriados[Data],Feriados[Feriado],1)</f>
        <v>1</v>
      </c>
      <c r="J194" s="33" cm="1">
        <f t="array" aca="1" ref="J194" ca="1">SUMPRODUCT(IF((NOT(ISERROR(MATCH(ROW(INDIRECT(DATE(YEAR(B194),MONTH(B194),1)&amp;":"&amp;DATE(YEAR(B194),MONTH(B194)+1,0))),Feriados[Data],0))))=FALSE,
IF(WEEKDAY(ROW(INDIRECT(DATE(YEAR(B194),MONTH(B194),1)&amp;":"&amp;DATE(YEAR(B194),MONTH(B194)+1,0))),2)&lt;=5,1,IF(WEEKDAY(ROW(INDIRECT(DATE(YEAR(B194),MONTH(B194),1)&amp;":"&amp;DATE(YEAR(B194),MONTH(B194)+1,0))),2)=6,0.5,0)),0))</f>
        <v>25</v>
      </c>
      <c r="K194" s="22" cm="1">
        <f t="array" ref="K194">_xlfn.XLOOKUP(1,((Metas_Diarias[[#This Row],[tipo_equipe_id]]=Metas[equipe])*(Metas_Diarias[[#This Row],[data]]&gt;Metas[data_inicio])*(Metas_Diarias[[#This Row],[data]]&lt;Metas[data_fim])),Metas[meta_mensal],0)</f>
        <v>160000</v>
      </c>
      <c r="L194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95" spans="2:12" x14ac:dyDescent="0.3">
      <c r="B195" s="34">
        <v>45484</v>
      </c>
      <c r="C195" s="34" t="str">
        <f>TEXT(Metas_Diarias[[#This Row],[data]],"dddd")</f>
        <v>quinta-feira</v>
      </c>
      <c r="D195" s="33">
        <v>1</v>
      </c>
      <c r="E195" s="33">
        <v>1</v>
      </c>
      <c r="F195" s="18"/>
      <c r="G195" s="35">
        <f>WEEKDAY(Metas_Diarias[[#This Row],[data]])</f>
        <v>5</v>
      </c>
      <c r="H195" s="35">
        <f>IF(Metas_Diarias[[#This Row],[dias_da_demana]]=1,"domingo",IF(Metas_Diarias[[#This Row],[dias_da_demana]]=7,0.5,1))</f>
        <v>1</v>
      </c>
      <c r="I195" s="35">
        <f>_xlfn.XLOOKUP(Metas_Diarias[[#This Row],[data]],Feriados[Data],Feriados[Feriado],1)</f>
        <v>1</v>
      </c>
      <c r="J195" s="33" cm="1">
        <f t="array" aca="1" ref="J195" ca="1">SUMPRODUCT(IF((NOT(ISERROR(MATCH(ROW(INDIRECT(DATE(YEAR(B195),MONTH(B195),1)&amp;":"&amp;DATE(YEAR(B195),MONTH(B195)+1,0))),Feriados[Data],0))))=FALSE,
IF(WEEKDAY(ROW(INDIRECT(DATE(YEAR(B195),MONTH(B195),1)&amp;":"&amp;DATE(YEAR(B195),MONTH(B195)+1,0))),2)&lt;=5,1,IF(WEEKDAY(ROW(INDIRECT(DATE(YEAR(B195),MONTH(B195),1)&amp;":"&amp;DATE(YEAR(B195),MONTH(B195)+1,0))),2)=6,0.5,0)),0))</f>
        <v>25</v>
      </c>
      <c r="K195" s="22" cm="1">
        <f t="array" ref="K195">_xlfn.XLOOKUP(1,((Metas_Diarias[[#This Row],[tipo_equipe_id]]=Metas[equipe])*(Metas_Diarias[[#This Row],[data]]&gt;Metas[data_inicio])*(Metas_Diarias[[#This Row],[data]]&lt;Metas[data_fim])),Metas[meta_mensal],0)</f>
        <v>160000</v>
      </c>
      <c r="L195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96" spans="2:12" x14ac:dyDescent="0.3">
      <c r="B196" s="34">
        <v>45485</v>
      </c>
      <c r="C196" s="34" t="str">
        <f>TEXT(Metas_Diarias[[#This Row],[data]],"dddd")</f>
        <v>sexta-feira</v>
      </c>
      <c r="D196" s="33">
        <v>1</v>
      </c>
      <c r="E196" s="33">
        <v>1</v>
      </c>
      <c r="F196" s="18"/>
      <c r="G196" s="35">
        <f>WEEKDAY(Metas_Diarias[[#This Row],[data]])</f>
        <v>6</v>
      </c>
      <c r="H196" s="35">
        <f>IF(Metas_Diarias[[#This Row],[dias_da_demana]]=1,"domingo",IF(Metas_Diarias[[#This Row],[dias_da_demana]]=7,0.5,1))</f>
        <v>1</v>
      </c>
      <c r="I196" s="35">
        <f>_xlfn.XLOOKUP(Metas_Diarias[[#This Row],[data]],Feriados[Data],Feriados[Feriado],1)</f>
        <v>1</v>
      </c>
      <c r="J196" s="33" cm="1">
        <f t="array" aca="1" ref="J196" ca="1">SUMPRODUCT(IF((NOT(ISERROR(MATCH(ROW(INDIRECT(DATE(YEAR(B196),MONTH(B196),1)&amp;":"&amp;DATE(YEAR(B196),MONTH(B196)+1,0))),Feriados[Data],0))))=FALSE,
IF(WEEKDAY(ROW(INDIRECT(DATE(YEAR(B196),MONTH(B196),1)&amp;":"&amp;DATE(YEAR(B196),MONTH(B196)+1,0))),2)&lt;=5,1,IF(WEEKDAY(ROW(INDIRECT(DATE(YEAR(B196),MONTH(B196),1)&amp;":"&amp;DATE(YEAR(B196),MONTH(B196)+1,0))),2)=6,0.5,0)),0))</f>
        <v>25</v>
      </c>
      <c r="K196" s="22" cm="1">
        <f t="array" ref="K196">_xlfn.XLOOKUP(1,((Metas_Diarias[[#This Row],[tipo_equipe_id]]=Metas[equipe])*(Metas_Diarias[[#This Row],[data]]&gt;Metas[data_inicio])*(Metas_Diarias[[#This Row],[data]]&lt;Metas[data_fim])),Metas[meta_mensal],0)</f>
        <v>160000</v>
      </c>
      <c r="L196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197" spans="2:12" x14ac:dyDescent="0.3">
      <c r="B197" s="34">
        <v>45486</v>
      </c>
      <c r="C197" s="34" t="str">
        <f>TEXT(Metas_Diarias[[#This Row],[data]],"dddd")</f>
        <v>sábado</v>
      </c>
      <c r="D197" s="33">
        <v>1</v>
      </c>
      <c r="E197" s="33">
        <v>1</v>
      </c>
      <c r="F197" s="18"/>
      <c r="G197" s="35">
        <f>WEEKDAY(Metas_Diarias[[#This Row],[data]])</f>
        <v>7</v>
      </c>
      <c r="H197" s="35">
        <f>IF(Metas_Diarias[[#This Row],[dias_da_demana]]=1,"domingo",IF(Metas_Diarias[[#This Row],[dias_da_demana]]=7,0.5,1))</f>
        <v>0.5</v>
      </c>
      <c r="I197" s="35">
        <f>_xlfn.XLOOKUP(Metas_Diarias[[#This Row],[data]],Feriados[Data],Feriados[Feriado],1)</f>
        <v>1</v>
      </c>
      <c r="J197" s="33" cm="1">
        <f t="array" aca="1" ref="J197" ca="1">SUMPRODUCT(IF((NOT(ISERROR(MATCH(ROW(INDIRECT(DATE(YEAR(B197),MONTH(B197),1)&amp;":"&amp;DATE(YEAR(B197),MONTH(B197)+1,0))),Feriados[Data],0))))=FALSE,
IF(WEEKDAY(ROW(INDIRECT(DATE(YEAR(B197),MONTH(B197),1)&amp;":"&amp;DATE(YEAR(B197),MONTH(B197)+1,0))),2)&lt;=5,1,IF(WEEKDAY(ROW(INDIRECT(DATE(YEAR(B197),MONTH(B197),1)&amp;":"&amp;DATE(YEAR(B197),MONTH(B197)+1,0))),2)=6,0.5,0)),0))</f>
        <v>25</v>
      </c>
      <c r="K197" s="22" cm="1">
        <f t="array" ref="K197">_xlfn.XLOOKUP(1,((Metas_Diarias[[#This Row],[tipo_equipe_id]]=Metas[equipe])*(Metas_Diarias[[#This Row],[data]]&gt;Metas[data_inicio])*(Metas_Diarias[[#This Row],[data]]&lt;Metas[data_fim])),Metas[meta_mensal],0)</f>
        <v>160000</v>
      </c>
      <c r="L197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198" spans="2:12" x14ac:dyDescent="0.3">
      <c r="B198" s="34">
        <v>45487</v>
      </c>
      <c r="C198" s="34" t="str">
        <f>TEXT(Metas_Diarias[[#This Row],[data]],"dddd")</f>
        <v>domingo</v>
      </c>
      <c r="D198" s="33">
        <v>1</v>
      </c>
      <c r="E198" s="33">
        <v>1</v>
      </c>
      <c r="F198" s="18"/>
      <c r="G198" s="35">
        <f>WEEKDAY(Metas_Diarias[[#This Row],[data]])</f>
        <v>1</v>
      </c>
      <c r="H198" s="35" t="str">
        <f>IF(Metas_Diarias[[#This Row],[dias_da_demana]]=1,"domingo",IF(Metas_Diarias[[#This Row],[dias_da_demana]]=7,0.5,1))</f>
        <v>domingo</v>
      </c>
      <c r="I198" s="35">
        <f>_xlfn.XLOOKUP(Metas_Diarias[[#This Row],[data]],Feriados[Data],Feriados[Feriado],1)</f>
        <v>1</v>
      </c>
      <c r="J198" s="33" cm="1">
        <f t="array" aca="1" ref="J198" ca="1">SUMPRODUCT(IF((NOT(ISERROR(MATCH(ROW(INDIRECT(DATE(YEAR(B198),MONTH(B198),1)&amp;":"&amp;DATE(YEAR(B198),MONTH(B198)+1,0))),Feriados[Data],0))))=FALSE,
IF(WEEKDAY(ROW(INDIRECT(DATE(YEAR(B198),MONTH(B198),1)&amp;":"&amp;DATE(YEAR(B198),MONTH(B198)+1,0))),2)&lt;=5,1,IF(WEEKDAY(ROW(INDIRECT(DATE(YEAR(B198),MONTH(B198),1)&amp;":"&amp;DATE(YEAR(B198),MONTH(B198)+1,0))),2)=6,0.5,0)),0))</f>
        <v>25</v>
      </c>
      <c r="K198" s="22" cm="1">
        <f t="array" ref="K198">_xlfn.XLOOKUP(1,((Metas_Diarias[[#This Row],[tipo_equipe_id]]=Metas[equipe])*(Metas_Diarias[[#This Row],[data]]&gt;Metas[data_inicio])*(Metas_Diarias[[#This Row],[data]]&lt;Metas[data_fim])),Metas[meta_mensal],0)</f>
        <v>160000</v>
      </c>
      <c r="L1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9" spans="2:12" x14ac:dyDescent="0.3">
      <c r="B199" s="34">
        <v>45488</v>
      </c>
      <c r="C199" s="34" t="str">
        <f>TEXT(Metas_Diarias[[#This Row],[data]],"dddd")</f>
        <v>segunda-feira</v>
      </c>
      <c r="D199" s="33">
        <v>1</v>
      </c>
      <c r="E199" s="33">
        <v>1</v>
      </c>
      <c r="F199" s="18"/>
      <c r="G199" s="35">
        <f>WEEKDAY(Metas_Diarias[[#This Row],[data]])</f>
        <v>2</v>
      </c>
      <c r="H199" s="35">
        <f>IF(Metas_Diarias[[#This Row],[dias_da_demana]]=1,"domingo",IF(Metas_Diarias[[#This Row],[dias_da_demana]]=7,0.5,1))</f>
        <v>1</v>
      </c>
      <c r="I199" s="35">
        <f>_xlfn.XLOOKUP(Metas_Diarias[[#This Row],[data]],Feriados[Data],Feriados[Feriado],1)</f>
        <v>1</v>
      </c>
      <c r="J199" s="33" cm="1">
        <f t="array" aca="1" ref="J199" ca="1">SUMPRODUCT(IF((NOT(ISERROR(MATCH(ROW(INDIRECT(DATE(YEAR(B199),MONTH(B199),1)&amp;":"&amp;DATE(YEAR(B199),MONTH(B199)+1,0))),Feriados[Data],0))))=FALSE,
IF(WEEKDAY(ROW(INDIRECT(DATE(YEAR(B199),MONTH(B199),1)&amp;":"&amp;DATE(YEAR(B199),MONTH(B199)+1,0))),2)&lt;=5,1,IF(WEEKDAY(ROW(INDIRECT(DATE(YEAR(B199),MONTH(B199),1)&amp;":"&amp;DATE(YEAR(B199),MONTH(B199)+1,0))),2)=6,0.5,0)),0))</f>
        <v>25</v>
      </c>
      <c r="K199" s="22" cm="1">
        <f t="array" ref="K199">_xlfn.XLOOKUP(1,((Metas_Diarias[[#This Row],[tipo_equipe_id]]=Metas[equipe])*(Metas_Diarias[[#This Row],[data]]&gt;Metas[data_inicio])*(Metas_Diarias[[#This Row],[data]]&lt;Metas[data_fim])),Metas[meta_mensal],0)</f>
        <v>160000</v>
      </c>
      <c r="L199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00" spans="2:12" x14ac:dyDescent="0.3">
      <c r="B200" s="34">
        <v>45489</v>
      </c>
      <c r="C200" s="34" t="str">
        <f>TEXT(Metas_Diarias[[#This Row],[data]],"dddd")</f>
        <v>terça-feira</v>
      </c>
      <c r="D200" s="33">
        <v>1</v>
      </c>
      <c r="E200" s="33">
        <v>1</v>
      </c>
      <c r="F200" s="18"/>
      <c r="G200" s="35">
        <f>WEEKDAY(Metas_Diarias[[#This Row],[data]])</f>
        <v>3</v>
      </c>
      <c r="H200" s="35">
        <f>IF(Metas_Diarias[[#This Row],[dias_da_demana]]=1,"domingo",IF(Metas_Diarias[[#This Row],[dias_da_demana]]=7,0.5,1))</f>
        <v>1</v>
      </c>
      <c r="I200" s="35">
        <f>_xlfn.XLOOKUP(Metas_Diarias[[#This Row],[data]],Feriados[Data],Feriados[Feriado],1)</f>
        <v>1</v>
      </c>
      <c r="J200" s="33" cm="1">
        <f t="array" aca="1" ref="J200" ca="1">SUMPRODUCT(IF((NOT(ISERROR(MATCH(ROW(INDIRECT(DATE(YEAR(B200),MONTH(B200),1)&amp;":"&amp;DATE(YEAR(B200),MONTH(B200)+1,0))),Feriados[Data],0))))=FALSE,
IF(WEEKDAY(ROW(INDIRECT(DATE(YEAR(B200),MONTH(B200),1)&amp;":"&amp;DATE(YEAR(B200),MONTH(B200)+1,0))),2)&lt;=5,1,IF(WEEKDAY(ROW(INDIRECT(DATE(YEAR(B200),MONTH(B200),1)&amp;":"&amp;DATE(YEAR(B200),MONTH(B200)+1,0))),2)=6,0.5,0)),0))</f>
        <v>25</v>
      </c>
      <c r="K200" s="22" cm="1">
        <f t="array" ref="K200">_xlfn.XLOOKUP(1,((Metas_Diarias[[#This Row],[tipo_equipe_id]]=Metas[equipe])*(Metas_Diarias[[#This Row],[data]]&gt;Metas[data_inicio])*(Metas_Diarias[[#This Row],[data]]&lt;Metas[data_fim])),Metas[meta_mensal],0)</f>
        <v>160000</v>
      </c>
      <c r="L200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01" spans="2:12" x14ac:dyDescent="0.3">
      <c r="B201" s="34">
        <v>45490</v>
      </c>
      <c r="C201" s="34" t="str">
        <f>TEXT(Metas_Diarias[[#This Row],[data]],"dddd")</f>
        <v>quarta-feira</v>
      </c>
      <c r="D201" s="33">
        <v>1</v>
      </c>
      <c r="E201" s="33">
        <v>1</v>
      </c>
      <c r="F201" s="18"/>
      <c r="G201" s="35">
        <f>WEEKDAY(Metas_Diarias[[#This Row],[data]])</f>
        <v>4</v>
      </c>
      <c r="H201" s="35">
        <f>IF(Metas_Diarias[[#This Row],[dias_da_demana]]=1,"domingo",IF(Metas_Diarias[[#This Row],[dias_da_demana]]=7,0.5,1))</f>
        <v>1</v>
      </c>
      <c r="I201" s="35">
        <f>_xlfn.XLOOKUP(Metas_Diarias[[#This Row],[data]],Feriados[Data],Feriados[Feriado],1)</f>
        <v>1</v>
      </c>
      <c r="J201" s="33" cm="1">
        <f t="array" aca="1" ref="J201" ca="1">SUMPRODUCT(IF((NOT(ISERROR(MATCH(ROW(INDIRECT(DATE(YEAR(B201),MONTH(B201),1)&amp;":"&amp;DATE(YEAR(B201),MONTH(B201)+1,0))),Feriados[Data],0))))=FALSE,
IF(WEEKDAY(ROW(INDIRECT(DATE(YEAR(B201),MONTH(B201),1)&amp;":"&amp;DATE(YEAR(B201),MONTH(B201)+1,0))),2)&lt;=5,1,IF(WEEKDAY(ROW(INDIRECT(DATE(YEAR(B201),MONTH(B201),1)&amp;":"&amp;DATE(YEAR(B201),MONTH(B201)+1,0))),2)=6,0.5,0)),0))</f>
        <v>25</v>
      </c>
      <c r="K201" s="22" cm="1">
        <f t="array" ref="K201">_xlfn.XLOOKUP(1,((Metas_Diarias[[#This Row],[tipo_equipe_id]]=Metas[equipe])*(Metas_Diarias[[#This Row],[data]]&gt;Metas[data_inicio])*(Metas_Diarias[[#This Row],[data]]&lt;Metas[data_fim])),Metas[meta_mensal],0)</f>
        <v>160000</v>
      </c>
      <c r="L201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02" spans="2:12" x14ac:dyDescent="0.3">
      <c r="B202" s="34">
        <v>45491</v>
      </c>
      <c r="C202" s="34" t="str">
        <f>TEXT(Metas_Diarias[[#This Row],[data]],"dddd")</f>
        <v>quinta-feira</v>
      </c>
      <c r="D202" s="33">
        <v>1</v>
      </c>
      <c r="E202" s="33">
        <v>1</v>
      </c>
      <c r="F202" s="18"/>
      <c r="G202" s="35">
        <f>WEEKDAY(Metas_Diarias[[#This Row],[data]])</f>
        <v>5</v>
      </c>
      <c r="H202" s="35">
        <f>IF(Metas_Diarias[[#This Row],[dias_da_demana]]=1,"domingo",IF(Metas_Diarias[[#This Row],[dias_da_demana]]=7,0.5,1))</f>
        <v>1</v>
      </c>
      <c r="I202" s="35">
        <f>_xlfn.XLOOKUP(Metas_Diarias[[#This Row],[data]],Feriados[Data],Feriados[Feriado],1)</f>
        <v>1</v>
      </c>
      <c r="J202" s="33" cm="1">
        <f t="array" aca="1" ref="J202" ca="1">SUMPRODUCT(IF((NOT(ISERROR(MATCH(ROW(INDIRECT(DATE(YEAR(B202),MONTH(B202),1)&amp;":"&amp;DATE(YEAR(B202),MONTH(B202)+1,0))),Feriados[Data],0))))=FALSE,
IF(WEEKDAY(ROW(INDIRECT(DATE(YEAR(B202),MONTH(B202),1)&amp;":"&amp;DATE(YEAR(B202),MONTH(B202)+1,0))),2)&lt;=5,1,IF(WEEKDAY(ROW(INDIRECT(DATE(YEAR(B202),MONTH(B202),1)&amp;":"&amp;DATE(YEAR(B202),MONTH(B202)+1,0))),2)=6,0.5,0)),0))</f>
        <v>25</v>
      </c>
      <c r="K202" s="22" cm="1">
        <f t="array" ref="K202">_xlfn.XLOOKUP(1,((Metas_Diarias[[#This Row],[tipo_equipe_id]]=Metas[equipe])*(Metas_Diarias[[#This Row],[data]]&gt;Metas[data_inicio])*(Metas_Diarias[[#This Row],[data]]&lt;Metas[data_fim])),Metas[meta_mensal],0)</f>
        <v>160000</v>
      </c>
      <c r="L202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03" spans="2:12" x14ac:dyDescent="0.3">
      <c r="B203" s="34">
        <v>45492</v>
      </c>
      <c r="C203" s="34" t="str">
        <f>TEXT(Metas_Diarias[[#This Row],[data]],"dddd")</f>
        <v>sexta-feira</v>
      </c>
      <c r="D203" s="33">
        <v>1</v>
      </c>
      <c r="E203" s="33">
        <v>1</v>
      </c>
      <c r="F203" s="18"/>
      <c r="G203" s="35">
        <f>WEEKDAY(Metas_Diarias[[#This Row],[data]])</f>
        <v>6</v>
      </c>
      <c r="H203" s="35">
        <f>IF(Metas_Diarias[[#This Row],[dias_da_demana]]=1,"domingo",IF(Metas_Diarias[[#This Row],[dias_da_demana]]=7,0.5,1))</f>
        <v>1</v>
      </c>
      <c r="I203" s="35">
        <f>_xlfn.XLOOKUP(Metas_Diarias[[#This Row],[data]],Feriados[Data],Feriados[Feriado],1)</f>
        <v>1</v>
      </c>
      <c r="J203" s="33" cm="1">
        <f t="array" aca="1" ref="J203" ca="1">SUMPRODUCT(IF((NOT(ISERROR(MATCH(ROW(INDIRECT(DATE(YEAR(B203),MONTH(B203),1)&amp;":"&amp;DATE(YEAR(B203),MONTH(B203)+1,0))),Feriados[Data],0))))=FALSE,
IF(WEEKDAY(ROW(INDIRECT(DATE(YEAR(B203),MONTH(B203),1)&amp;":"&amp;DATE(YEAR(B203),MONTH(B203)+1,0))),2)&lt;=5,1,IF(WEEKDAY(ROW(INDIRECT(DATE(YEAR(B203),MONTH(B203),1)&amp;":"&amp;DATE(YEAR(B203),MONTH(B203)+1,0))),2)=6,0.5,0)),0))</f>
        <v>25</v>
      </c>
      <c r="K203" s="22" cm="1">
        <f t="array" ref="K203">_xlfn.XLOOKUP(1,((Metas_Diarias[[#This Row],[tipo_equipe_id]]=Metas[equipe])*(Metas_Diarias[[#This Row],[data]]&gt;Metas[data_inicio])*(Metas_Diarias[[#This Row],[data]]&lt;Metas[data_fim])),Metas[meta_mensal],0)</f>
        <v>160000</v>
      </c>
      <c r="L203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04" spans="2:12" x14ac:dyDescent="0.3">
      <c r="B204" s="34">
        <v>45493</v>
      </c>
      <c r="C204" s="34" t="str">
        <f>TEXT(Metas_Diarias[[#This Row],[data]],"dddd")</f>
        <v>sábado</v>
      </c>
      <c r="D204" s="33">
        <v>1</v>
      </c>
      <c r="E204" s="33">
        <v>1</v>
      </c>
      <c r="F204" s="18"/>
      <c r="G204" s="35">
        <f>WEEKDAY(Metas_Diarias[[#This Row],[data]])</f>
        <v>7</v>
      </c>
      <c r="H204" s="35">
        <f>IF(Metas_Diarias[[#This Row],[dias_da_demana]]=1,"domingo",IF(Metas_Diarias[[#This Row],[dias_da_demana]]=7,0.5,1))</f>
        <v>0.5</v>
      </c>
      <c r="I204" s="35">
        <f>_xlfn.XLOOKUP(Metas_Diarias[[#This Row],[data]],Feriados[Data],Feriados[Feriado],1)</f>
        <v>1</v>
      </c>
      <c r="J204" s="33" cm="1">
        <f t="array" aca="1" ref="J204" ca="1">SUMPRODUCT(IF((NOT(ISERROR(MATCH(ROW(INDIRECT(DATE(YEAR(B204),MONTH(B204),1)&amp;":"&amp;DATE(YEAR(B204),MONTH(B204)+1,0))),Feriados[Data],0))))=FALSE,
IF(WEEKDAY(ROW(INDIRECT(DATE(YEAR(B204),MONTH(B204),1)&amp;":"&amp;DATE(YEAR(B204),MONTH(B204)+1,0))),2)&lt;=5,1,IF(WEEKDAY(ROW(INDIRECT(DATE(YEAR(B204),MONTH(B204),1)&amp;":"&amp;DATE(YEAR(B204),MONTH(B204)+1,0))),2)=6,0.5,0)),0))</f>
        <v>25</v>
      </c>
      <c r="K204" s="22" cm="1">
        <f t="array" ref="K204">_xlfn.XLOOKUP(1,((Metas_Diarias[[#This Row],[tipo_equipe_id]]=Metas[equipe])*(Metas_Diarias[[#This Row],[data]]&gt;Metas[data_inicio])*(Metas_Diarias[[#This Row],[data]]&lt;Metas[data_fim])),Metas[meta_mensal],0)</f>
        <v>160000</v>
      </c>
      <c r="L204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205" spans="2:12" x14ac:dyDescent="0.3">
      <c r="B205" s="34">
        <v>45494</v>
      </c>
      <c r="C205" s="34" t="str">
        <f>TEXT(Metas_Diarias[[#This Row],[data]],"dddd")</f>
        <v>domingo</v>
      </c>
      <c r="D205" s="33">
        <v>1</v>
      </c>
      <c r="E205" s="33">
        <v>1</v>
      </c>
      <c r="F205" s="18"/>
      <c r="G205" s="35">
        <f>WEEKDAY(Metas_Diarias[[#This Row],[data]])</f>
        <v>1</v>
      </c>
      <c r="H205" s="35" t="str">
        <f>IF(Metas_Diarias[[#This Row],[dias_da_demana]]=1,"domingo",IF(Metas_Diarias[[#This Row],[dias_da_demana]]=7,0.5,1))</f>
        <v>domingo</v>
      </c>
      <c r="I205" s="35">
        <f>_xlfn.XLOOKUP(Metas_Diarias[[#This Row],[data]],Feriados[Data],Feriados[Feriado],1)</f>
        <v>1</v>
      </c>
      <c r="J205" s="33" cm="1">
        <f t="array" aca="1" ref="J205" ca="1">SUMPRODUCT(IF((NOT(ISERROR(MATCH(ROW(INDIRECT(DATE(YEAR(B205),MONTH(B205),1)&amp;":"&amp;DATE(YEAR(B205),MONTH(B205)+1,0))),Feriados[Data],0))))=FALSE,
IF(WEEKDAY(ROW(INDIRECT(DATE(YEAR(B205),MONTH(B205),1)&amp;":"&amp;DATE(YEAR(B205),MONTH(B205)+1,0))),2)&lt;=5,1,IF(WEEKDAY(ROW(INDIRECT(DATE(YEAR(B205),MONTH(B205),1)&amp;":"&amp;DATE(YEAR(B205),MONTH(B205)+1,0))),2)=6,0.5,0)),0))</f>
        <v>25</v>
      </c>
      <c r="K205" s="22" cm="1">
        <f t="array" ref="K205">_xlfn.XLOOKUP(1,((Metas_Diarias[[#This Row],[tipo_equipe_id]]=Metas[equipe])*(Metas_Diarias[[#This Row],[data]]&gt;Metas[data_inicio])*(Metas_Diarias[[#This Row],[data]]&lt;Metas[data_fim])),Metas[meta_mensal],0)</f>
        <v>160000</v>
      </c>
      <c r="L2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6" spans="2:12" x14ac:dyDescent="0.3">
      <c r="B206" s="34">
        <v>45495</v>
      </c>
      <c r="C206" s="34" t="str">
        <f>TEXT(Metas_Diarias[[#This Row],[data]],"dddd")</f>
        <v>segunda-feira</v>
      </c>
      <c r="D206" s="33">
        <v>1</v>
      </c>
      <c r="E206" s="33">
        <v>1</v>
      </c>
      <c r="F206" s="18"/>
      <c r="G206" s="35">
        <f>WEEKDAY(Metas_Diarias[[#This Row],[data]])</f>
        <v>2</v>
      </c>
      <c r="H206" s="35">
        <f>IF(Metas_Diarias[[#This Row],[dias_da_demana]]=1,"domingo",IF(Metas_Diarias[[#This Row],[dias_da_demana]]=7,0.5,1))</f>
        <v>1</v>
      </c>
      <c r="I206" s="35">
        <f>_xlfn.XLOOKUP(Metas_Diarias[[#This Row],[data]],Feriados[Data],Feriados[Feriado],1)</f>
        <v>1</v>
      </c>
      <c r="J206" s="33" cm="1">
        <f t="array" aca="1" ref="J206" ca="1">SUMPRODUCT(IF((NOT(ISERROR(MATCH(ROW(INDIRECT(DATE(YEAR(B206),MONTH(B206),1)&amp;":"&amp;DATE(YEAR(B206),MONTH(B206)+1,0))),Feriados[Data],0))))=FALSE,
IF(WEEKDAY(ROW(INDIRECT(DATE(YEAR(B206),MONTH(B206),1)&amp;":"&amp;DATE(YEAR(B206),MONTH(B206)+1,0))),2)&lt;=5,1,IF(WEEKDAY(ROW(INDIRECT(DATE(YEAR(B206),MONTH(B206),1)&amp;":"&amp;DATE(YEAR(B206),MONTH(B206)+1,0))),2)=6,0.5,0)),0))</f>
        <v>25</v>
      </c>
      <c r="K206" s="22" cm="1">
        <f t="array" ref="K206">_xlfn.XLOOKUP(1,((Metas_Diarias[[#This Row],[tipo_equipe_id]]=Metas[equipe])*(Metas_Diarias[[#This Row],[data]]&gt;Metas[data_inicio])*(Metas_Diarias[[#This Row],[data]]&lt;Metas[data_fim])),Metas[meta_mensal],0)</f>
        <v>160000</v>
      </c>
      <c r="L206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07" spans="2:12" x14ac:dyDescent="0.3">
      <c r="B207" s="34">
        <v>45496</v>
      </c>
      <c r="C207" s="34" t="str">
        <f>TEXT(Metas_Diarias[[#This Row],[data]],"dddd")</f>
        <v>terça-feira</v>
      </c>
      <c r="D207" s="33">
        <v>1</v>
      </c>
      <c r="E207" s="33">
        <v>1</v>
      </c>
      <c r="F207" s="18"/>
      <c r="G207" s="35">
        <f>WEEKDAY(Metas_Diarias[[#This Row],[data]])</f>
        <v>3</v>
      </c>
      <c r="H207" s="35">
        <f>IF(Metas_Diarias[[#This Row],[dias_da_demana]]=1,"domingo",IF(Metas_Diarias[[#This Row],[dias_da_demana]]=7,0.5,1))</f>
        <v>1</v>
      </c>
      <c r="I207" s="35">
        <f>_xlfn.XLOOKUP(Metas_Diarias[[#This Row],[data]],Feriados[Data],Feriados[Feriado],1)</f>
        <v>1</v>
      </c>
      <c r="J207" s="33" cm="1">
        <f t="array" aca="1" ref="J207" ca="1">SUMPRODUCT(IF((NOT(ISERROR(MATCH(ROW(INDIRECT(DATE(YEAR(B207),MONTH(B207),1)&amp;":"&amp;DATE(YEAR(B207),MONTH(B207)+1,0))),Feriados[Data],0))))=FALSE,
IF(WEEKDAY(ROW(INDIRECT(DATE(YEAR(B207),MONTH(B207),1)&amp;":"&amp;DATE(YEAR(B207),MONTH(B207)+1,0))),2)&lt;=5,1,IF(WEEKDAY(ROW(INDIRECT(DATE(YEAR(B207),MONTH(B207),1)&amp;":"&amp;DATE(YEAR(B207),MONTH(B207)+1,0))),2)=6,0.5,0)),0))</f>
        <v>25</v>
      </c>
      <c r="K207" s="22" cm="1">
        <f t="array" ref="K207">_xlfn.XLOOKUP(1,((Metas_Diarias[[#This Row],[tipo_equipe_id]]=Metas[equipe])*(Metas_Diarias[[#This Row],[data]]&gt;Metas[data_inicio])*(Metas_Diarias[[#This Row],[data]]&lt;Metas[data_fim])),Metas[meta_mensal],0)</f>
        <v>160000</v>
      </c>
      <c r="L207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08" spans="2:12" x14ac:dyDescent="0.3">
      <c r="B208" s="34">
        <v>45497</v>
      </c>
      <c r="C208" s="34" t="str">
        <f>TEXT(Metas_Diarias[[#This Row],[data]],"dddd")</f>
        <v>quarta-feira</v>
      </c>
      <c r="D208" s="33">
        <v>1</v>
      </c>
      <c r="E208" s="33">
        <v>1</v>
      </c>
      <c r="F208" s="18"/>
      <c r="G208" s="35">
        <f>WEEKDAY(Metas_Diarias[[#This Row],[data]])</f>
        <v>4</v>
      </c>
      <c r="H208" s="35">
        <f>IF(Metas_Diarias[[#This Row],[dias_da_demana]]=1,"domingo",IF(Metas_Diarias[[#This Row],[dias_da_demana]]=7,0.5,1))</f>
        <v>1</v>
      </c>
      <c r="I208" s="35">
        <f>_xlfn.XLOOKUP(Metas_Diarias[[#This Row],[data]],Feriados[Data],Feriados[Feriado],1)</f>
        <v>1</v>
      </c>
      <c r="J208" s="33" cm="1">
        <f t="array" aca="1" ref="J208" ca="1">SUMPRODUCT(IF((NOT(ISERROR(MATCH(ROW(INDIRECT(DATE(YEAR(B208),MONTH(B208),1)&amp;":"&amp;DATE(YEAR(B208),MONTH(B208)+1,0))),Feriados[Data],0))))=FALSE,
IF(WEEKDAY(ROW(INDIRECT(DATE(YEAR(B208),MONTH(B208),1)&amp;":"&amp;DATE(YEAR(B208),MONTH(B208)+1,0))),2)&lt;=5,1,IF(WEEKDAY(ROW(INDIRECT(DATE(YEAR(B208),MONTH(B208),1)&amp;":"&amp;DATE(YEAR(B208),MONTH(B208)+1,0))),2)=6,0.5,0)),0))</f>
        <v>25</v>
      </c>
      <c r="K208" s="22" cm="1">
        <f t="array" ref="K208">_xlfn.XLOOKUP(1,((Metas_Diarias[[#This Row],[tipo_equipe_id]]=Metas[equipe])*(Metas_Diarias[[#This Row],[data]]&gt;Metas[data_inicio])*(Metas_Diarias[[#This Row],[data]]&lt;Metas[data_fim])),Metas[meta_mensal],0)</f>
        <v>160000</v>
      </c>
      <c r="L208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09" spans="2:12" x14ac:dyDescent="0.3">
      <c r="B209" s="34">
        <v>45498</v>
      </c>
      <c r="C209" s="34" t="str">
        <f>TEXT(Metas_Diarias[[#This Row],[data]],"dddd")</f>
        <v>quinta-feira</v>
      </c>
      <c r="D209" s="33">
        <v>1</v>
      </c>
      <c r="E209" s="33">
        <v>1</v>
      </c>
      <c r="F209" s="18"/>
      <c r="G209" s="35">
        <f>WEEKDAY(Metas_Diarias[[#This Row],[data]])</f>
        <v>5</v>
      </c>
      <c r="H209" s="35">
        <f>IF(Metas_Diarias[[#This Row],[dias_da_demana]]=1,"domingo",IF(Metas_Diarias[[#This Row],[dias_da_demana]]=7,0.5,1))</f>
        <v>1</v>
      </c>
      <c r="I209" s="35">
        <f>_xlfn.XLOOKUP(Metas_Diarias[[#This Row],[data]],Feriados[Data],Feriados[Feriado],1)</f>
        <v>1</v>
      </c>
      <c r="J209" s="33" cm="1">
        <f t="array" aca="1" ref="J209" ca="1">SUMPRODUCT(IF((NOT(ISERROR(MATCH(ROW(INDIRECT(DATE(YEAR(B209),MONTH(B209),1)&amp;":"&amp;DATE(YEAR(B209),MONTH(B209)+1,0))),Feriados[Data],0))))=FALSE,
IF(WEEKDAY(ROW(INDIRECT(DATE(YEAR(B209),MONTH(B209),1)&amp;":"&amp;DATE(YEAR(B209),MONTH(B209)+1,0))),2)&lt;=5,1,IF(WEEKDAY(ROW(INDIRECT(DATE(YEAR(B209),MONTH(B209),1)&amp;":"&amp;DATE(YEAR(B209),MONTH(B209)+1,0))),2)=6,0.5,0)),0))</f>
        <v>25</v>
      </c>
      <c r="K209" s="22" cm="1">
        <f t="array" ref="K209">_xlfn.XLOOKUP(1,((Metas_Diarias[[#This Row],[tipo_equipe_id]]=Metas[equipe])*(Metas_Diarias[[#This Row],[data]]&gt;Metas[data_inicio])*(Metas_Diarias[[#This Row],[data]]&lt;Metas[data_fim])),Metas[meta_mensal],0)</f>
        <v>160000</v>
      </c>
      <c r="L209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10" spans="2:12" x14ac:dyDescent="0.3">
      <c r="B210" s="34">
        <v>45499</v>
      </c>
      <c r="C210" s="34" t="str">
        <f>TEXT(Metas_Diarias[[#This Row],[data]],"dddd")</f>
        <v>sexta-feira</v>
      </c>
      <c r="D210" s="33">
        <v>1</v>
      </c>
      <c r="E210" s="33">
        <v>1</v>
      </c>
      <c r="F210" s="18"/>
      <c r="G210" s="35">
        <f>WEEKDAY(Metas_Diarias[[#This Row],[data]])</f>
        <v>6</v>
      </c>
      <c r="H210" s="35">
        <f>IF(Metas_Diarias[[#This Row],[dias_da_demana]]=1,"domingo",IF(Metas_Diarias[[#This Row],[dias_da_demana]]=7,0.5,1))</f>
        <v>1</v>
      </c>
      <c r="I210" s="35">
        <f>_xlfn.XLOOKUP(Metas_Diarias[[#This Row],[data]],Feriados[Data],Feriados[Feriado],1)</f>
        <v>1</v>
      </c>
      <c r="J210" s="33" cm="1">
        <f t="array" aca="1" ref="J210" ca="1">SUMPRODUCT(IF((NOT(ISERROR(MATCH(ROW(INDIRECT(DATE(YEAR(B210),MONTH(B210),1)&amp;":"&amp;DATE(YEAR(B210),MONTH(B210)+1,0))),Feriados[Data],0))))=FALSE,
IF(WEEKDAY(ROW(INDIRECT(DATE(YEAR(B210),MONTH(B210),1)&amp;":"&amp;DATE(YEAR(B210),MONTH(B210)+1,0))),2)&lt;=5,1,IF(WEEKDAY(ROW(INDIRECT(DATE(YEAR(B210),MONTH(B210),1)&amp;":"&amp;DATE(YEAR(B210),MONTH(B210)+1,0))),2)=6,0.5,0)),0))</f>
        <v>25</v>
      </c>
      <c r="K210" s="22" cm="1">
        <f t="array" ref="K210">_xlfn.XLOOKUP(1,((Metas_Diarias[[#This Row],[tipo_equipe_id]]=Metas[equipe])*(Metas_Diarias[[#This Row],[data]]&gt;Metas[data_inicio])*(Metas_Diarias[[#This Row],[data]]&lt;Metas[data_fim])),Metas[meta_mensal],0)</f>
        <v>160000</v>
      </c>
      <c r="L210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11" spans="2:12" x14ac:dyDescent="0.3">
      <c r="B211" s="34">
        <v>45500</v>
      </c>
      <c r="C211" s="34" t="str">
        <f>TEXT(Metas_Diarias[[#This Row],[data]],"dddd")</f>
        <v>sábado</v>
      </c>
      <c r="D211" s="33">
        <v>1</v>
      </c>
      <c r="E211" s="33">
        <v>1</v>
      </c>
      <c r="F211" s="18"/>
      <c r="G211" s="35">
        <f>WEEKDAY(Metas_Diarias[[#This Row],[data]])</f>
        <v>7</v>
      </c>
      <c r="H211" s="35">
        <f>IF(Metas_Diarias[[#This Row],[dias_da_demana]]=1,"domingo",IF(Metas_Diarias[[#This Row],[dias_da_demana]]=7,0.5,1))</f>
        <v>0.5</v>
      </c>
      <c r="I211" s="35">
        <f>_xlfn.XLOOKUP(Metas_Diarias[[#This Row],[data]],Feriados[Data],Feriados[Feriado],1)</f>
        <v>1</v>
      </c>
      <c r="J211" s="33" cm="1">
        <f t="array" aca="1" ref="J211" ca="1">SUMPRODUCT(IF((NOT(ISERROR(MATCH(ROW(INDIRECT(DATE(YEAR(B211),MONTH(B211),1)&amp;":"&amp;DATE(YEAR(B211),MONTH(B211)+1,0))),Feriados[Data],0))))=FALSE,
IF(WEEKDAY(ROW(INDIRECT(DATE(YEAR(B211),MONTH(B211),1)&amp;":"&amp;DATE(YEAR(B211),MONTH(B211)+1,0))),2)&lt;=5,1,IF(WEEKDAY(ROW(INDIRECT(DATE(YEAR(B211),MONTH(B211),1)&amp;":"&amp;DATE(YEAR(B211),MONTH(B211)+1,0))),2)=6,0.5,0)),0))</f>
        <v>25</v>
      </c>
      <c r="K211" s="22" cm="1">
        <f t="array" ref="K211">_xlfn.XLOOKUP(1,((Metas_Diarias[[#This Row],[tipo_equipe_id]]=Metas[equipe])*(Metas_Diarias[[#This Row],[data]]&gt;Metas[data_inicio])*(Metas_Diarias[[#This Row],[data]]&lt;Metas[data_fim])),Metas[meta_mensal],0)</f>
        <v>160000</v>
      </c>
      <c r="L211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212" spans="2:12" x14ac:dyDescent="0.3">
      <c r="B212" s="34">
        <v>45501</v>
      </c>
      <c r="C212" s="34" t="str">
        <f>TEXT(Metas_Diarias[[#This Row],[data]],"dddd")</f>
        <v>domingo</v>
      </c>
      <c r="D212" s="33">
        <v>1</v>
      </c>
      <c r="E212" s="33">
        <v>1</v>
      </c>
      <c r="F212" s="18"/>
      <c r="G212" s="35">
        <f>WEEKDAY(Metas_Diarias[[#This Row],[data]])</f>
        <v>1</v>
      </c>
      <c r="H212" s="35" t="str">
        <f>IF(Metas_Diarias[[#This Row],[dias_da_demana]]=1,"domingo",IF(Metas_Diarias[[#This Row],[dias_da_demana]]=7,0.5,1))</f>
        <v>domingo</v>
      </c>
      <c r="I212" s="35">
        <f>_xlfn.XLOOKUP(Metas_Diarias[[#This Row],[data]],Feriados[Data],Feriados[Feriado],1)</f>
        <v>1</v>
      </c>
      <c r="J212" s="33" cm="1">
        <f t="array" aca="1" ref="J212" ca="1">SUMPRODUCT(IF((NOT(ISERROR(MATCH(ROW(INDIRECT(DATE(YEAR(B212),MONTH(B212),1)&amp;":"&amp;DATE(YEAR(B212),MONTH(B212)+1,0))),Feriados[Data],0))))=FALSE,
IF(WEEKDAY(ROW(INDIRECT(DATE(YEAR(B212),MONTH(B212),1)&amp;":"&amp;DATE(YEAR(B212),MONTH(B212)+1,0))),2)&lt;=5,1,IF(WEEKDAY(ROW(INDIRECT(DATE(YEAR(B212),MONTH(B212),1)&amp;":"&amp;DATE(YEAR(B212),MONTH(B212)+1,0))),2)=6,0.5,0)),0))</f>
        <v>25</v>
      </c>
      <c r="K212" s="22" cm="1">
        <f t="array" ref="K212">_xlfn.XLOOKUP(1,((Metas_Diarias[[#This Row],[tipo_equipe_id]]=Metas[equipe])*(Metas_Diarias[[#This Row],[data]]&gt;Metas[data_inicio])*(Metas_Diarias[[#This Row],[data]]&lt;Metas[data_fim])),Metas[meta_mensal],0)</f>
        <v>160000</v>
      </c>
      <c r="L2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3" spans="2:12" x14ac:dyDescent="0.3">
      <c r="B213" s="34">
        <v>45502</v>
      </c>
      <c r="C213" s="34" t="str">
        <f>TEXT(Metas_Diarias[[#This Row],[data]],"dddd")</f>
        <v>segunda-feira</v>
      </c>
      <c r="D213" s="33">
        <v>1</v>
      </c>
      <c r="E213" s="33">
        <v>1</v>
      </c>
      <c r="F213" s="18"/>
      <c r="G213" s="35">
        <f>WEEKDAY(Metas_Diarias[[#This Row],[data]])</f>
        <v>2</v>
      </c>
      <c r="H213" s="35">
        <f>IF(Metas_Diarias[[#This Row],[dias_da_demana]]=1,"domingo",IF(Metas_Diarias[[#This Row],[dias_da_demana]]=7,0.5,1))</f>
        <v>1</v>
      </c>
      <c r="I213" s="35">
        <f>_xlfn.XLOOKUP(Metas_Diarias[[#This Row],[data]],Feriados[Data],Feriados[Feriado],1)</f>
        <v>1</v>
      </c>
      <c r="J213" s="33" cm="1">
        <f t="array" aca="1" ref="J213" ca="1">SUMPRODUCT(IF((NOT(ISERROR(MATCH(ROW(INDIRECT(DATE(YEAR(B213),MONTH(B213),1)&amp;":"&amp;DATE(YEAR(B213),MONTH(B213)+1,0))),Feriados[Data],0))))=FALSE,
IF(WEEKDAY(ROW(INDIRECT(DATE(YEAR(B213),MONTH(B213),1)&amp;":"&amp;DATE(YEAR(B213),MONTH(B213)+1,0))),2)&lt;=5,1,IF(WEEKDAY(ROW(INDIRECT(DATE(YEAR(B213),MONTH(B213),1)&amp;":"&amp;DATE(YEAR(B213),MONTH(B213)+1,0))),2)=6,0.5,0)),0))</f>
        <v>25</v>
      </c>
      <c r="K213" s="22" cm="1">
        <f t="array" ref="K213">_xlfn.XLOOKUP(1,((Metas_Diarias[[#This Row],[tipo_equipe_id]]=Metas[equipe])*(Metas_Diarias[[#This Row],[data]]&gt;Metas[data_inicio])*(Metas_Diarias[[#This Row],[data]]&lt;Metas[data_fim])),Metas[meta_mensal],0)</f>
        <v>160000</v>
      </c>
      <c r="L213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14" spans="2:12" x14ac:dyDescent="0.3">
      <c r="B214" s="34">
        <v>45503</v>
      </c>
      <c r="C214" s="34" t="str">
        <f>TEXT(Metas_Diarias[[#This Row],[data]],"dddd")</f>
        <v>terça-feira</v>
      </c>
      <c r="D214" s="33">
        <v>1</v>
      </c>
      <c r="E214" s="33">
        <v>1</v>
      </c>
      <c r="F214" s="18"/>
      <c r="G214" s="35">
        <f>WEEKDAY(Metas_Diarias[[#This Row],[data]])</f>
        <v>3</v>
      </c>
      <c r="H214" s="35">
        <f>IF(Metas_Diarias[[#This Row],[dias_da_demana]]=1,"domingo",IF(Metas_Diarias[[#This Row],[dias_da_demana]]=7,0.5,1))</f>
        <v>1</v>
      </c>
      <c r="I214" s="35">
        <f>_xlfn.XLOOKUP(Metas_Diarias[[#This Row],[data]],Feriados[Data],Feriados[Feriado],1)</f>
        <v>1</v>
      </c>
      <c r="J214" s="33" cm="1">
        <f t="array" aca="1" ref="J214" ca="1">SUMPRODUCT(IF((NOT(ISERROR(MATCH(ROW(INDIRECT(DATE(YEAR(B214),MONTH(B214),1)&amp;":"&amp;DATE(YEAR(B214),MONTH(B214)+1,0))),Feriados[Data],0))))=FALSE,
IF(WEEKDAY(ROW(INDIRECT(DATE(YEAR(B214),MONTH(B214),1)&amp;":"&amp;DATE(YEAR(B214),MONTH(B214)+1,0))),2)&lt;=5,1,IF(WEEKDAY(ROW(INDIRECT(DATE(YEAR(B214),MONTH(B214),1)&amp;":"&amp;DATE(YEAR(B214),MONTH(B214)+1,0))),2)=6,0.5,0)),0))</f>
        <v>25</v>
      </c>
      <c r="K214" s="22" cm="1">
        <f t="array" ref="K214">_xlfn.XLOOKUP(1,((Metas_Diarias[[#This Row],[tipo_equipe_id]]=Metas[equipe])*(Metas_Diarias[[#This Row],[data]]&gt;Metas[data_inicio])*(Metas_Diarias[[#This Row],[data]]&lt;Metas[data_fim])),Metas[meta_mensal],0)</f>
        <v>160000</v>
      </c>
      <c r="L214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15" spans="2:12" x14ac:dyDescent="0.3">
      <c r="B215" s="34">
        <v>45504</v>
      </c>
      <c r="C215" s="34" t="str">
        <f>TEXT(Metas_Diarias[[#This Row],[data]],"dddd")</f>
        <v>quarta-feira</v>
      </c>
      <c r="D215" s="33">
        <v>1</v>
      </c>
      <c r="E215" s="33">
        <v>1</v>
      </c>
      <c r="F215" s="18"/>
      <c r="G215" s="35">
        <f>WEEKDAY(Metas_Diarias[[#This Row],[data]])</f>
        <v>4</v>
      </c>
      <c r="H215" s="35">
        <f>IF(Metas_Diarias[[#This Row],[dias_da_demana]]=1,"domingo",IF(Metas_Diarias[[#This Row],[dias_da_demana]]=7,0.5,1))</f>
        <v>1</v>
      </c>
      <c r="I215" s="35">
        <f>_xlfn.XLOOKUP(Metas_Diarias[[#This Row],[data]],Feriados[Data],Feriados[Feriado],1)</f>
        <v>1</v>
      </c>
      <c r="J215" s="33" cm="1">
        <f t="array" aca="1" ref="J215" ca="1">SUMPRODUCT(IF((NOT(ISERROR(MATCH(ROW(INDIRECT(DATE(YEAR(B215),MONTH(B215),1)&amp;":"&amp;DATE(YEAR(B215),MONTH(B215)+1,0))),Feriados[Data],0))))=FALSE,
IF(WEEKDAY(ROW(INDIRECT(DATE(YEAR(B215),MONTH(B215),1)&amp;":"&amp;DATE(YEAR(B215),MONTH(B215)+1,0))),2)&lt;=5,1,IF(WEEKDAY(ROW(INDIRECT(DATE(YEAR(B215),MONTH(B215),1)&amp;":"&amp;DATE(YEAR(B215),MONTH(B215)+1,0))),2)=6,0.5,0)),0))</f>
        <v>25</v>
      </c>
      <c r="K215" s="22" cm="1">
        <f t="array" ref="K215">_xlfn.XLOOKUP(1,((Metas_Diarias[[#This Row],[tipo_equipe_id]]=Metas[equipe])*(Metas_Diarias[[#This Row],[data]]&gt;Metas[data_inicio])*(Metas_Diarias[[#This Row],[data]]&lt;Metas[data_fim])),Metas[meta_mensal],0)</f>
        <v>160000</v>
      </c>
      <c r="L215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216" spans="2:12" x14ac:dyDescent="0.3">
      <c r="B216" s="34">
        <v>45505</v>
      </c>
      <c r="C216" s="34" t="str">
        <f>TEXT(Metas_Diarias[[#This Row],[data]],"dddd")</f>
        <v>quinta-feira</v>
      </c>
      <c r="D216" s="33">
        <v>1</v>
      </c>
      <c r="E216" s="33">
        <v>1</v>
      </c>
      <c r="F216" s="18"/>
      <c r="G216" s="35">
        <f>WEEKDAY(Metas_Diarias[[#This Row],[data]])</f>
        <v>5</v>
      </c>
      <c r="H216" s="35">
        <f>IF(Metas_Diarias[[#This Row],[dias_da_demana]]=1,"domingo",IF(Metas_Diarias[[#This Row],[dias_da_demana]]=7,0.5,1))</f>
        <v>1</v>
      </c>
      <c r="I216" s="35">
        <f>_xlfn.XLOOKUP(Metas_Diarias[[#This Row],[data]],Feriados[Data],Feriados[Feriado],1)</f>
        <v>1</v>
      </c>
      <c r="J216" s="33" cm="1">
        <f t="array" aca="1" ref="J216" ca="1">SUMPRODUCT(IF((NOT(ISERROR(MATCH(ROW(INDIRECT(DATE(YEAR(B216),MONTH(B216),1)&amp;":"&amp;DATE(YEAR(B216),MONTH(B216)+1,0))),Feriados[Data],0))))=FALSE,
IF(WEEKDAY(ROW(INDIRECT(DATE(YEAR(B216),MONTH(B216),1)&amp;":"&amp;DATE(YEAR(B216),MONTH(B216)+1,0))),2)&lt;=5,1,IF(WEEKDAY(ROW(INDIRECT(DATE(YEAR(B216),MONTH(B216),1)&amp;":"&amp;DATE(YEAR(B216),MONTH(B216)+1,0))),2)=6,0.5,0)),0))</f>
        <v>24.5</v>
      </c>
      <c r="K216" s="22" cm="1">
        <f t="array" ref="K216">_xlfn.XLOOKUP(1,((Metas_Diarias[[#This Row],[tipo_equipe_id]]=Metas[equipe])*(Metas_Diarias[[#This Row],[data]]&gt;Metas[data_inicio])*(Metas_Diarias[[#This Row],[data]]&lt;Metas[data_fim])),Metas[meta_mensal],0)</f>
        <v>160000</v>
      </c>
      <c r="L216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17" spans="2:12" x14ac:dyDescent="0.3">
      <c r="B217" s="34">
        <v>45506</v>
      </c>
      <c r="C217" s="34" t="str">
        <f>TEXT(Metas_Diarias[[#This Row],[data]],"dddd")</f>
        <v>sexta-feira</v>
      </c>
      <c r="D217" s="33">
        <v>1</v>
      </c>
      <c r="E217" s="33">
        <v>1</v>
      </c>
      <c r="F217" s="18"/>
      <c r="G217" s="35">
        <f>WEEKDAY(Metas_Diarias[[#This Row],[data]])</f>
        <v>6</v>
      </c>
      <c r="H217" s="35">
        <f>IF(Metas_Diarias[[#This Row],[dias_da_demana]]=1,"domingo",IF(Metas_Diarias[[#This Row],[dias_da_demana]]=7,0.5,1))</f>
        <v>1</v>
      </c>
      <c r="I217" s="35">
        <f>_xlfn.XLOOKUP(Metas_Diarias[[#This Row],[data]],Feriados[Data],Feriados[Feriado],1)</f>
        <v>1</v>
      </c>
      <c r="J217" s="33" cm="1">
        <f t="array" aca="1" ref="J217" ca="1">SUMPRODUCT(IF((NOT(ISERROR(MATCH(ROW(INDIRECT(DATE(YEAR(B217),MONTH(B217),1)&amp;":"&amp;DATE(YEAR(B217),MONTH(B217)+1,0))),Feriados[Data],0))))=FALSE,
IF(WEEKDAY(ROW(INDIRECT(DATE(YEAR(B217),MONTH(B217),1)&amp;":"&amp;DATE(YEAR(B217),MONTH(B217)+1,0))),2)&lt;=5,1,IF(WEEKDAY(ROW(INDIRECT(DATE(YEAR(B217),MONTH(B217),1)&amp;":"&amp;DATE(YEAR(B217),MONTH(B217)+1,0))),2)=6,0.5,0)),0))</f>
        <v>24.5</v>
      </c>
      <c r="K217" s="22" cm="1">
        <f t="array" ref="K217">_xlfn.XLOOKUP(1,((Metas_Diarias[[#This Row],[tipo_equipe_id]]=Metas[equipe])*(Metas_Diarias[[#This Row],[data]]&gt;Metas[data_inicio])*(Metas_Diarias[[#This Row],[data]]&lt;Metas[data_fim])),Metas[meta_mensal],0)</f>
        <v>160000</v>
      </c>
      <c r="L217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18" spans="2:12" x14ac:dyDescent="0.3">
      <c r="B218" s="34">
        <v>45507</v>
      </c>
      <c r="C218" s="34" t="str">
        <f>TEXT(Metas_Diarias[[#This Row],[data]],"dddd")</f>
        <v>sábado</v>
      </c>
      <c r="D218" s="33">
        <v>1</v>
      </c>
      <c r="E218" s="33">
        <v>1</v>
      </c>
      <c r="F218" s="18"/>
      <c r="G218" s="35">
        <f>WEEKDAY(Metas_Diarias[[#This Row],[data]])</f>
        <v>7</v>
      </c>
      <c r="H218" s="35">
        <f>IF(Metas_Diarias[[#This Row],[dias_da_demana]]=1,"domingo",IF(Metas_Diarias[[#This Row],[dias_da_demana]]=7,0.5,1))</f>
        <v>0.5</v>
      </c>
      <c r="I218" s="35">
        <f>_xlfn.XLOOKUP(Metas_Diarias[[#This Row],[data]],Feriados[Data],Feriados[Feriado],1)</f>
        <v>1</v>
      </c>
      <c r="J218" s="33" cm="1">
        <f t="array" aca="1" ref="J218" ca="1">SUMPRODUCT(IF((NOT(ISERROR(MATCH(ROW(INDIRECT(DATE(YEAR(B218),MONTH(B218),1)&amp;":"&amp;DATE(YEAR(B218),MONTH(B218)+1,0))),Feriados[Data],0))))=FALSE,
IF(WEEKDAY(ROW(INDIRECT(DATE(YEAR(B218),MONTH(B218),1)&amp;":"&amp;DATE(YEAR(B218),MONTH(B218)+1,0))),2)&lt;=5,1,IF(WEEKDAY(ROW(INDIRECT(DATE(YEAR(B218),MONTH(B218),1)&amp;":"&amp;DATE(YEAR(B218),MONTH(B218)+1,0))),2)=6,0.5,0)),0))</f>
        <v>24.5</v>
      </c>
      <c r="K218" s="22" cm="1">
        <f t="array" ref="K218">_xlfn.XLOOKUP(1,((Metas_Diarias[[#This Row],[tipo_equipe_id]]=Metas[equipe])*(Metas_Diarias[[#This Row],[data]]&gt;Metas[data_inicio])*(Metas_Diarias[[#This Row],[data]]&lt;Metas[data_fim])),Metas[meta_mensal],0)</f>
        <v>160000</v>
      </c>
      <c r="L218" s="24">
        <f ca="1">Metas_Diarias[[#This Row],[meta_mensal]]*IF(Metas_Diarias[[#This Row],[semana]]="domingo",0,Metas_Diarias[[#This Row],[semana]])*IF(Metas_Diarias[[#This Row],[feriado]]&lt;&gt;1,0,1)/Metas_Diarias[[#This Row],[dias_úteis_Mês]]</f>
        <v>3265.3061224489797</v>
      </c>
    </row>
    <row r="219" spans="2:12" x14ac:dyDescent="0.3">
      <c r="B219" s="34">
        <v>45508</v>
      </c>
      <c r="C219" s="34" t="str">
        <f>TEXT(Metas_Diarias[[#This Row],[data]],"dddd")</f>
        <v>domingo</v>
      </c>
      <c r="D219" s="33">
        <v>1</v>
      </c>
      <c r="E219" s="33">
        <v>1</v>
      </c>
      <c r="F219" s="18"/>
      <c r="G219" s="35">
        <f>WEEKDAY(Metas_Diarias[[#This Row],[data]])</f>
        <v>1</v>
      </c>
      <c r="H219" s="35" t="str">
        <f>IF(Metas_Diarias[[#This Row],[dias_da_demana]]=1,"domingo",IF(Metas_Diarias[[#This Row],[dias_da_demana]]=7,0.5,1))</f>
        <v>domingo</v>
      </c>
      <c r="I219" s="35">
        <f>_xlfn.XLOOKUP(Metas_Diarias[[#This Row],[data]],Feriados[Data],Feriados[Feriado],1)</f>
        <v>1</v>
      </c>
      <c r="J219" s="33" cm="1">
        <f t="array" aca="1" ref="J219" ca="1">SUMPRODUCT(IF((NOT(ISERROR(MATCH(ROW(INDIRECT(DATE(YEAR(B219),MONTH(B219),1)&amp;":"&amp;DATE(YEAR(B219),MONTH(B219)+1,0))),Feriados[Data],0))))=FALSE,
IF(WEEKDAY(ROW(INDIRECT(DATE(YEAR(B219),MONTH(B219),1)&amp;":"&amp;DATE(YEAR(B219),MONTH(B219)+1,0))),2)&lt;=5,1,IF(WEEKDAY(ROW(INDIRECT(DATE(YEAR(B219),MONTH(B219),1)&amp;":"&amp;DATE(YEAR(B219),MONTH(B219)+1,0))),2)=6,0.5,0)),0))</f>
        <v>24.5</v>
      </c>
      <c r="K219" s="22" cm="1">
        <f t="array" ref="K219">_xlfn.XLOOKUP(1,((Metas_Diarias[[#This Row],[tipo_equipe_id]]=Metas[equipe])*(Metas_Diarias[[#This Row],[data]]&gt;Metas[data_inicio])*(Metas_Diarias[[#This Row],[data]]&lt;Metas[data_fim])),Metas[meta_mensal],0)</f>
        <v>160000</v>
      </c>
      <c r="L2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0" spans="2:12" x14ac:dyDescent="0.3">
      <c r="B220" s="34">
        <v>45509</v>
      </c>
      <c r="C220" s="34" t="str">
        <f>TEXT(Metas_Diarias[[#This Row],[data]],"dddd")</f>
        <v>segunda-feira</v>
      </c>
      <c r="D220" s="33">
        <v>1</v>
      </c>
      <c r="E220" s="33">
        <v>1</v>
      </c>
      <c r="F220" s="18"/>
      <c r="G220" s="35">
        <f>WEEKDAY(Metas_Diarias[[#This Row],[data]])</f>
        <v>2</v>
      </c>
      <c r="H220" s="35">
        <f>IF(Metas_Diarias[[#This Row],[dias_da_demana]]=1,"domingo",IF(Metas_Diarias[[#This Row],[dias_da_demana]]=7,0.5,1))</f>
        <v>1</v>
      </c>
      <c r="I220" s="35">
        <f>_xlfn.XLOOKUP(Metas_Diarias[[#This Row],[data]],Feriados[Data],Feriados[Feriado],1)</f>
        <v>1</v>
      </c>
      <c r="J220" s="33" cm="1">
        <f t="array" aca="1" ref="J220" ca="1">SUMPRODUCT(IF((NOT(ISERROR(MATCH(ROW(INDIRECT(DATE(YEAR(B220),MONTH(B220),1)&amp;":"&amp;DATE(YEAR(B220),MONTH(B220)+1,0))),Feriados[Data],0))))=FALSE,
IF(WEEKDAY(ROW(INDIRECT(DATE(YEAR(B220),MONTH(B220),1)&amp;":"&amp;DATE(YEAR(B220),MONTH(B220)+1,0))),2)&lt;=5,1,IF(WEEKDAY(ROW(INDIRECT(DATE(YEAR(B220),MONTH(B220),1)&amp;":"&amp;DATE(YEAR(B220),MONTH(B220)+1,0))),2)=6,0.5,0)),0))</f>
        <v>24.5</v>
      </c>
      <c r="K220" s="22" cm="1">
        <f t="array" ref="K220">_xlfn.XLOOKUP(1,((Metas_Diarias[[#This Row],[tipo_equipe_id]]=Metas[equipe])*(Metas_Diarias[[#This Row],[data]]&gt;Metas[data_inicio])*(Metas_Diarias[[#This Row],[data]]&lt;Metas[data_fim])),Metas[meta_mensal],0)</f>
        <v>160000</v>
      </c>
      <c r="L220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21" spans="2:12" x14ac:dyDescent="0.3">
      <c r="B221" s="34">
        <v>45510</v>
      </c>
      <c r="C221" s="34" t="str">
        <f>TEXT(Metas_Diarias[[#This Row],[data]],"dddd")</f>
        <v>terça-feira</v>
      </c>
      <c r="D221" s="33">
        <v>1</v>
      </c>
      <c r="E221" s="33">
        <v>1</v>
      </c>
      <c r="F221" s="18"/>
      <c r="G221" s="35">
        <f>WEEKDAY(Metas_Diarias[[#This Row],[data]])</f>
        <v>3</v>
      </c>
      <c r="H221" s="35">
        <f>IF(Metas_Diarias[[#This Row],[dias_da_demana]]=1,"domingo",IF(Metas_Diarias[[#This Row],[dias_da_demana]]=7,0.5,1))</f>
        <v>1</v>
      </c>
      <c r="I221" s="35">
        <f>_xlfn.XLOOKUP(Metas_Diarias[[#This Row],[data]],Feriados[Data],Feriados[Feriado],1)</f>
        <v>1</v>
      </c>
      <c r="J221" s="33" cm="1">
        <f t="array" aca="1" ref="J221" ca="1">SUMPRODUCT(IF((NOT(ISERROR(MATCH(ROW(INDIRECT(DATE(YEAR(B221),MONTH(B221),1)&amp;":"&amp;DATE(YEAR(B221),MONTH(B221)+1,0))),Feriados[Data],0))))=FALSE,
IF(WEEKDAY(ROW(INDIRECT(DATE(YEAR(B221),MONTH(B221),1)&amp;":"&amp;DATE(YEAR(B221),MONTH(B221)+1,0))),2)&lt;=5,1,IF(WEEKDAY(ROW(INDIRECT(DATE(YEAR(B221),MONTH(B221),1)&amp;":"&amp;DATE(YEAR(B221),MONTH(B221)+1,0))),2)=6,0.5,0)),0))</f>
        <v>24.5</v>
      </c>
      <c r="K221" s="22" cm="1">
        <f t="array" ref="K221">_xlfn.XLOOKUP(1,((Metas_Diarias[[#This Row],[tipo_equipe_id]]=Metas[equipe])*(Metas_Diarias[[#This Row],[data]]&gt;Metas[data_inicio])*(Metas_Diarias[[#This Row],[data]]&lt;Metas[data_fim])),Metas[meta_mensal],0)</f>
        <v>160000</v>
      </c>
      <c r="L221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22" spans="2:12" x14ac:dyDescent="0.3">
      <c r="B222" s="34">
        <v>45511</v>
      </c>
      <c r="C222" s="34" t="str">
        <f>TEXT(Metas_Diarias[[#This Row],[data]],"dddd")</f>
        <v>quarta-feira</v>
      </c>
      <c r="D222" s="33">
        <v>1</v>
      </c>
      <c r="E222" s="33">
        <v>1</v>
      </c>
      <c r="F222" s="18"/>
      <c r="G222" s="35">
        <f>WEEKDAY(Metas_Diarias[[#This Row],[data]])</f>
        <v>4</v>
      </c>
      <c r="H222" s="35">
        <f>IF(Metas_Diarias[[#This Row],[dias_da_demana]]=1,"domingo",IF(Metas_Diarias[[#This Row],[dias_da_demana]]=7,0.5,1))</f>
        <v>1</v>
      </c>
      <c r="I222" s="35">
        <f>_xlfn.XLOOKUP(Metas_Diarias[[#This Row],[data]],Feriados[Data],Feriados[Feriado],1)</f>
        <v>1</v>
      </c>
      <c r="J222" s="33" cm="1">
        <f t="array" aca="1" ref="J222" ca="1">SUMPRODUCT(IF((NOT(ISERROR(MATCH(ROW(INDIRECT(DATE(YEAR(B222),MONTH(B222),1)&amp;":"&amp;DATE(YEAR(B222),MONTH(B222)+1,0))),Feriados[Data],0))))=FALSE,
IF(WEEKDAY(ROW(INDIRECT(DATE(YEAR(B222),MONTH(B222),1)&amp;":"&amp;DATE(YEAR(B222),MONTH(B222)+1,0))),2)&lt;=5,1,IF(WEEKDAY(ROW(INDIRECT(DATE(YEAR(B222),MONTH(B222),1)&amp;":"&amp;DATE(YEAR(B222),MONTH(B222)+1,0))),2)=6,0.5,0)),0))</f>
        <v>24.5</v>
      </c>
      <c r="K222" s="22" cm="1">
        <f t="array" ref="K222">_xlfn.XLOOKUP(1,((Metas_Diarias[[#This Row],[tipo_equipe_id]]=Metas[equipe])*(Metas_Diarias[[#This Row],[data]]&gt;Metas[data_inicio])*(Metas_Diarias[[#This Row],[data]]&lt;Metas[data_fim])),Metas[meta_mensal],0)</f>
        <v>160000</v>
      </c>
      <c r="L222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23" spans="2:12" x14ac:dyDescent="0.3">
      <c r="B223" s="34">
        <v>45512</v>
      </c>
      <c r="C223" s="34" t="str">
        <f>TEXT(Metas_Diarias[[#This Row],[data]],"dddd")</f>
        <v>quinta-feira</v>
      </c>
      <c r="D223" s="33">
        <v>1</v>
      </c>
      <c r="E223" s="33">
        <v>1</v>
      </c>
      <c r="F223" s="18"/>
      <c r="G223" s="35">
        <f>WEEKDAY(Metas_Diarias[[#This Row],[data]])</f>
        <v>5</v>
      </c>
      <c r="H223" s="35">
        <f>IF(Metas_Diarias[[#This Row],[dias_da_demana]]=1,"domingo",IF(Metas_Diarias[[#This Row],[dias_da_demana]]=7,0.5,1))</f>
        <v>1</v>
      </c>
      <c r="I223" s="35">
        <f>_xlfn.XLOOKUP(Metas_Diarias[[#This Row],[data]],Feriados[Data],Feriados[Feriado],1)</f>
        <v>1</v>
      </c>
      <c r="J223" s="33" cm="1">
        <f t="array" aca="1" ref="J223" ca="1">SUMPRODUCT(IF((NOT(ISERROR(MATCH(ROW(INDIRECT(DATE(YEAR(B223),MONTH(B223),1)&amp;":"&amp;DATE(YEAR(B223),MONTH(B223)+1,0))),Feriados[Data],0))))=FALSE,
IF(WEEKDAY(ROW(INDIRECT(DATE(YEAR(B223),MONTH(B223),1)&amp;":"&amp;DATE(YEAR(B223),MONTH(B223)+1,0))),2)&lt;=5,1,IF(WEEKDAY(ROW(INDIRECT(DATE(YEAR(B223),MONTH(B223),1)&amp;":"&amp;DATE(YEAR(B223),MONTH(B223)+1,0))),2)=6,0.5,0)),0))</f>
        <v>24.5</v>
      </c>
      <c r="K223" s="22" cm="1">
        <f t="array" ref="K223">_xlfn.XLOOKUP(1,((Metas_Diarias[[#This Row],[tipo_equipe_id]]=Metas[equipe])*(Metas_Diarias[[#This Row],[data]]&gt;Metas[data_inicio])*(Metas_Diarias[[#This Row],[data]]&lt;Metas[data_fim])),Metas[meta_mensal],0)</f>
        <v>160000</v>
      </c>
      <c r="L223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24" spans="2:12" x14ac:dyDescent="0.3">
      <c r="B224" s="34">
        <v>45513</v>
      </c>
      <c r="C224" s="34" t="str">
        <f>TEXT(Metas_Diarias[[#This Row],[data]],"dddd")</f>
        <v>sexta-feira</v>
      </c>
      <c r="D224" s="33">
        <v>1</v>
      </c>
      <c r="E224" s="33">
        <v>1</v>
      </c>
      <c r="F224" s="18"/>
      <c r="G224" s="35">
        <f>WEEKDAY(Metas_Diarias[[#This Row],[data]])</f>
        <v>6</v>
      </c>
      <c r="H224" s="35">
        <f>IF(Metas_Diarias[[#This Row],[dias_da_demana]]=1,"domingo",IF(Metas_Diarias[[#This Row],[dias_da_demana]]=7,0.5,1))</f>
        <v>1</v>
      </c>
      <c r="I224" s="35">
        <f>_xlfn.XLOOKUP(Metas_Diarias[[#This Row],[data]],Feriados[Data],Feriados[Feriado],1)</f>
        <v>1</v>
      </c>
      <c r="J224" s="33" cm="1">
        <f t="array" aca="1" ref="J224" ca="1">SUMPRODUCT(IF((NOT(ISERROR(MATCH(ROW(INDIRECT(DATE(YEAR(B224),MONTH(B224),1)&amp;":"&amp;DATE(YEAR(B224),MONTH(B224)+1,0))),Feriados[Data],0))))=FALSE,
IF(WEEKDAY(ROW(INDIRECT(DATE(YEAR(B224),MONTH(B224),1)&amp;":"&amp;DATE(YEAR(B224),MONTH(B224)+1,0))),2)&lt;=5,1,IF(WEEKDAY(ROW(INDIRECT(DATE(YEAR(B224),MONTH(B224),1)&amp;":"&amp;DATE(YEAR(B224),MONTH(B224)+1,0))),2)=6,0.5,0)),0))</f>
        <v>24.5</v>
      </c>
      <c r="K224" s="22" cm="1">
        <f t="array" ref="K224">_xlfn.XLOOKUP(1,((Metas_Diarias[[#This Row],[tipo_equipe_id]]=Metas[equipe])*(Metas_Diarias[[#This Row],[data]]&gt;Metas[data_inicio])*(Metas_Diarias[[#This Row],[data]]&lt;Metas[data_fim])),Metas[meta_mensal],0)</f>
        <v>160000</v>
      </c>
      <c r="L224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25" spans="2:12" x14ac:dyDescent="0.3">
      <c r="B225" s="34">
        <v>45514</v>
      </c>
      <c r="C225" s="34" t="str">
        <f>TEXT(Metas_Diarias[[#This Row],[data]],"dddd")</f>
        <v>sábado</v>
      </c>
      <c r="D225" s="33">
        <v>1</v>
      </c>
      <c r="E225" s="33">
        <v>1</v>
      </c>
      <c r="F225" s="18"/>
      <c r="G225" s="35">
        <f>WEEKDAY(Metas_Diarias[[#This Row],[data]])</f>
        <v>7</v>
      </c>
      <c r="H225" s="35">
        <f>IF(Metas_Diarias[[#This Row],[dias_da_demana]]=1,"domingo",IF(Metas_Diarias[[#This Row],[dias_da_demana]]=7,0.5,1))</f>
        <v>0.5</v>
      </c>
      <c r="I225" s="35">
        <f>_xlfn.XLOOKUP(Metas_Diarias[[#This Row],[data]],Feriados[Data],Feriados[Feriado],1)</f>
        <v>1</v>
      </c>
      <c r="J225" s="33" cm="1">
        <f t="array" aca="1" ref="J225" ca="1">SUMPRODUCT(IF((NOT(ISERROR(MATCH(ROW(INDIRECT(DATE(YEAR(B225),MONTH(B225),1)&amp;":"&amp;DATE(YEAR(B225),MONTH(B225)+1,0))),Feriados[Data],0))))=FALSE,
IF(WEEKDAY(ROW(INDIRECT(DATE(YEAR(B225),MONTH(B225),1)&amp;":"&amp;DATE(YEAR(B225),MONTH(B225)+1,0))),2)&lt;=5,1,IF(WEEKDAY(ROW(INDIRECT(DATE(YEAR(B225),MONTH(B225),1)&amp;":"&amp;DATE(YEAR(B225),MONTH(B225)+1,0))),2)=6,0.5,0)),0))</f>
        <v>24.5</v>
      </c>
      <c r="K225" s="22" cm="1">
        <f t="array" ref="K225">_xlfn.XLOOKUP(1,((Metas_Diarias[[#This Row],[tipo_equipe_id]]=Metas[equipe])*(Metas_Diarias[[#This Row],[data]]&gt;Metas[data_inicio])*(Metas_Diarias[[#This Row],[data]]&lt;Metas[data_fim])),Metas[meta_mensal],0)</f>
        <v>160000</v>
      </c>
      <c r="L225" s="24">
        <f ca="1">Metas_Diarias[[#This Row],[meta_mensal]]*IF(Metas_Diarias[[#This Row],[semana]]="domingo",0,Metas_Diarias[[#This Row],[semana]])*IF(Metas_Diarias[[#This Row],[feriado]]&lt;&gt;1,0,1)/Metas_Diarias[[#This Row],[dias_úteis_Mês]]</f>
        <v>3265.3061224489797</v>
      </c>
    </row>
    <row r="226" spans="2:12" x14ac:dyDescent="0.3">
      <c r="B226" s="34">
        <v>45515</v>
      </c>
      <c r="C226" s="34" t="str">
        <f>TEXT(Metas_Diarias[[#This Row],[data]],"dddd")</f>
        <v>domingo</v>
      </c>
      <c r="D226" s="33">
        <v>1</v>
      </c>
      <c r="E226" s="33">
        <v>1</v>
      </c>
      <c r="F226" s="18"/>
      <c r="G226" s="35">
        <f>WEEKDAY(Metas_Diarias[[#This Row],[data]])</f>
        <v>1</v>
      </c>
      <c r="H226" s="35" t="str">
        <f>IF(Metas_Diarias[[#This Row],[dias_da_demana]]=1,"domingo",IF(Metas_Diarias[[#This Row],[dias_da_demana]]=7,0.5,1))</f>
        <v>domingo</v>
      </c>
      <c r="I226" s="35">
        <f>_xlfn.XLOOKUP(Metas_Diarias[[#This Row],[data]],Feriados[Data],Feriados[Feriado],1)</f>
        <v>1</v>
      </c>
      <c r="J226" s="33" cm="1">
        <f t="array" aca="1" ref="J226" ca="1">SUMPRODUCT(IF((NOT(ISERROR(MATCH(ROW(INDIRECT(DATE(YEAR(B226),MONTH(B226),1)&amp;":"&amp;DATE(YEAR(B226),MONTH(B226)+1,0))),Feriados[Data],0))))=FALSE,
IF(WEEKDAY(ROW(INDIRECT(DATE(YEAR(B226),MONTH(B226),1)&amp;":"&amp;DATE(YEAR(B226),MONTH(B226)+1,0))),2)&lt;=5,1,IF(WEEKDAY(ROW(INDIRECT(DATE(YEAR(B226),MONTH(B226),1)&amp;":"&amp;DATE(YEAR(B226),MONTH(B226)+1,0))),2)=6,0.5,0)),0))</f>
        <v>24.5</v>
      </c>
      <c r="K226" s="22" cm="1">
        <f t="array" ref="K226">_xlfn.XLOOKUP(1,((Metas_Diarias[[#This Row],[tipo_equipe_id]]=Metas[equipe])*(Metas_Diarias[[#This Row],[data]]&gt;Metas[data_inicio])*(Metas_Diarias[[#This Row],[data]]&lt;Metas[data_fim])),Metas[meta_mensal],0)</f>
        <v>160000</v>
      </c>
      <c r="L2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7" spans="2:12" x14ac:dyDescent="0.3">
      <c r="B227" s="34">
        <v>45516</v>
      </c>
      <c r="C227" s="34" t="str">
        <f>TEXT(Metas_Diarias[[#This Row],[data]],"dddd")</f>
        <v>segunda-feira</v>
      </c>
      <c r="D227" s="33">
        <v>1</v>
      </c>
      <c r="E227" s="33">
        <v>1</v>
      </c>
      <c r="F227" s="18"/>
      <c r="G227" s="35">
        <f>WEEKDAY(Metas_Diarias[[#This Row],[data]])</f>
        <v>2</v>
      </c>
      <c r="H227" s="35">
        <f>IF(Metas_Diarias[[#This Row],[dias_da_demana]]=1,"domingo",IF(Metas_Diarias[[#This Row],[dias_da_demana]]=7,0.5,1))</f>
        <v>1</v>
      </c>
      <c r="I227" s="35">
        <f>_xlfn.XLOOKUP(Metas_Diarias[[#This Row],[data]],Feriados[Data],Feriados[Feriado],1)</f>
        <v>1</v>
      </c>
      <c r="J227" s="33" cm="1">
        <f t="array" aca="1" ref="J227" ca="1">SUMPRODUCT(IF((NOT(ISERROR(MATCH(ROW(INDIRECT(DATE(YEAR(B227),MONTH(B227),1)&amp;":"&amp;DATE(YEAR(B227),MONTH(B227)+1,0))),Feriados[Data],0))))=FALSE,
IF(WEEKDAY(ROW(INDIRECT(DATE(YEAR(B227),MONTH(B227),1)&amp;":"&amp;DATE(YEAR(B227),MONTH(B227)+1,0))),2)&lt;=5,1,IF(WEEKDAY(ROW(INDIRECT(DATE(YEAR(B227),MONTH(B227),1)&amp;":"&amp;DATE(YEAR(B227),MONTH(B227)+1,0))),2)=6,0.5,0)),0))</f>
        <v>24.5</v>
      </c>
      <c r="K227" s="22" cm="1">
        <f t="array" ref="K227">_xlfn.XLOOKUP(1,((Metas_Diarias[[#This Row],[tipo_equipe_id]]=Metas[equipe])*(Metas_Diarias[[#This Row],[data]]&gt;Metas[data_inicio])*(Metas_Diarias[[#This Row],[data]]&lt;Metas[data_fim])),Metas[meta_mensal],0)</f>
        <v>160000</v>
      </c>
      <c r="L227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28" spans="2:12" x14ac:dyDescent="0.3">
      <c r="B228" s="34">
        <v>45517</v>
      </c>
      <c r="C228" s="34" t="str">
        <f>TEXT(Metas_Diarias[[#This Row],[data]],"dddd")</f>
        <v>terça-feira</v>
      </c>
      <c r="D228" s="33">
        <v>1</v>
      </c>
      <c r="E228" s="33">
        <v>1</v>
      </c>
      <c r="F228" s="18"/>
      <c r="G228" s="35">
        <f>WEEKDAY(Metas_Diarias[[#This Row],[data]])</f>
        <v>3</v>
      </c>
      <c r="H228" s="35">
        <f>IF(Metas_Diarias[[#This Row],[dias_da_demana]]=1,"domingo",IF(Metas_Diarias[[#This Row],[dias_da_demana]]=7,0.5,1))</f>
        <v>1</v>
      </c>
      <c r="I228" s="35">
        <f>_xlfn.XLOOKUP(Metas_Diarias[[#This Row],[data]],Feriados[Data],Feriados[Feriado],1)</f>
        <v>1</v>
      </c>
      <c r="J228" s="33" cm="1">
        <f t="array" aca="1" ref="J228" ca="1">SUMPRODUCT(IF((NOT(ISERROR(MATCH(ROW(INDIRECT(DATE(YEAR(B228),MONTH(B228),1)&amp;":"&amp;DATE(YEAR(B228),MONTH(B228)+1,0))),Feriados[Data],0))))=FALSE,
IF(WEEKDAY(ROW(INDIRECT(DATE(YEAR(B228),MONTH(B228),1)&amp;":"&amp;DATE(YEAR(B228),MONTH(B228)+1,0))),2)&lt;=5,1,IF(WEEKDAY(ROW(INDIRECT(DATE(YEAR(B228),MONTH(B228),1)&amp;":"&amp;DATE(YEAR(B228),MONTH(B228)+1,0))),2)=6,0.5,0)),0))</f>
        <v>24.5</v>
      </c>
      <c r="K228" s="22" cm="1">
        <f t="array" ref="K228">_xlfn.XLOOKUP(1,((Metas_Diarias[[#This Row],[tipo_equipe_id]]=Metas[equipe])*(Metas_Diarias[[#This Row],[data]]&gt;Metas[data_inicio])*(Metas_Diarias[[#This Row],[data]]&lt;Metas[data_fim])),Metas[meta_mensal],0)</f>
        <v>160000</v>
      </c>
      <c r="L228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29" spans="2:12" x14ac:dyDescent="0.3">
      <c r="B229" s="34">
        <v>45518</v>
      </c>
      <c r="C229" s="34" t="str">
        <f>TEXT(Metas_Diarias[[#This Row],[data]],"dddd")</f>
        <v>quarta-feira</v>
      </c>
      <c r="D229" s="33">
        <v>1</v>
      </c>
      <c r="E229" s="33">
        <v>1</v>
      </c>
      <c r="F229" s="18"/>
      <c r="G229" s="35">
        <f>WEEKDAY(Metas_Diarias[[#This Row],[data]])</f>
        <v>4</v>
      </c>
      <c r="H229" s="35">
        <f>IF(Metas_Diarias[[#This Row],[dias_da_demana]]=1,"domingo",IF(Metas_Diarias[[#This Row],[dias_da_demana]]=7,0.5,1))</f>
        <v>1</v>
      </c>
      <c r="I229" s="35">
        <f>_xlfn.XLOOKUP(Metas_Diarias[[#This Row],[data]],Feriados[Data],Feriados[Feriado],1)</f>
        <v>1</v>
      </c>
      <c r="J229" s="33" cm="1">
        <f t="array" aca="1" ref="J229" ca="1">SUMPRODUCT(IF((NOT(ISERROR(MATCH(ROW(INDIRECT(DATE(YEAR(B229),MONTH(B229),1)&amp;":"&amp;DATE(YEAR(B229),MONTH(B229)+1,0))),Feriados[Data],0))))=FALSE,
IF(WEEKDAY(ROW(INDIRECT(DATE(YEAR(B229),MONTH(B229),1)&amp;":"&amp;DATE(YEAR(B229),MONTH(B229)+1,0))),2)&lt;=5,1,IF(WEEKDAY(ROW(INDIRECT(DATE(YEAR(B229),MONTH(B229),1)&amp;":"&amp;DATE(YEAR(B229),MONTH(B229)+1,0))),2)=6,0.5,0)),0))</f>
        <v>24.5</v>
      </c>
      <c r="K229" s="22" cm="1">
        <f t="array" ref="K229">_xlfn.XLOOKUP(1,((Metas_Diarias[[#This Row],[tipo_equipe_id]]=Metas[equipe])*(Metas_Diarias[[#This Row],[data]]&gt;Metas[data_inicio])*(Metas_Diarias[[#This Row],[data]]&lt;Metas[data_fim])),Metas[meta_mensal],0)</f>
        <v>160000</v>
      </c>
      <c r="L229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30" spans="2:12" x14ac:dyDescent="0.3">
      <c r="B230" s="34">
        <v>45519</v>
      </c>
      <c r="C230" s="34" t="str">
        <f>TEXT(Metas_Diarias[[#This Row],[data]],"dddd")</f>
        <v>quinta-feira</v>
      </c>
      <c r="D230" s="33">
        <v>1</v>
      </c>
      <c r="E230" s="33">
        <v>1</v>
      </c>
      <c r="F230" s="18"/>
      <c r="G230" s="35">
        <f>WEEKDAY(Metas_Diarias[[#This Row],[data]])</f>
        <v>5</v>
      </c>
      <c r="H230" s="35">
        <f>IF(Metas_Diarias[[#This Row],[dias_da_demana]]=1,"domingo",IF(Metas_Diarias[[#This Row],[dias_da_demana]]=7,0.5,1))</f>
        <v>1</v>
      </c>
      <c r="I230" s="35">
        <f>_xlfn.XLOOKUP(Metas_Diarias[[#This Row],[data]],Feriados[Data],Feriados[Feriado],1)</f>
        <v>1</v>
      </c>
      <c r="J230" s="33" cm="1">
        <f t="array" aca="1" ref="J230" ca="1">SUMPRODUCT(IF((NOT(ISERROR(MATCH(ROW(INDIRECT(DATE(YEAR(B230),MONTH(B230),1)&amp;":"&amp;DATE(YEAR(B230),MONTH(B230)+1,0))),Feriados[Data],0))))=FALSE,
IF(WEEKDAY(ROW(INDIRECT(DATE(YEAR(B230),MONTH(B230),1)&amp;":"&amp;DATE(YEAR(B230),MONTH(B230)+1,0))),2)&lt;=5,1,IF(WEEKDAY(ROW(INDIRECT(DATE(YEAR(B230),MONTH(B230),1)&amp;":"&amp;DATE(YEAR(B230),MONTH(B230)+1,0))),2)=6,0.5,0)),0))</f>
        <v>24.5</v>
      </c>
      <c r="K230" s="22" cm="1">
        <f t="array" ref="K230">_xlfn.XLOOKUP(1,((Metas_Diarias[[#This Row],[tipo_equipe_id]]=Metas[equipe])*(Metas_Diarias[[#This Row],[data]]&gt;Metas[data_inicio])*(Metas_Diarias[[#This Row],[data]]&lt;Metas[data_fim])),Metas[meta_mensal],0)</f>
        <v>160000</v>
      </c>
      <c r="L230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31" spans="2:12" x14ac:dyDescent="0.3">
      <c r="B231" s="34">
        <v>45520</v>
      </c>
      <c r="C231" s="34" t="str">
        <f>TEXT(Metas_Diarias[[#This Row],[data]],"dddd")</f>
        <v>sexta-feira</v>
      </c>
      <c r="D231" s="33">
        <v>1</v>
      </c>
      <c r="E231" s="33">
        <v>1</v>
      </c>
      <c r="F231" s="18"/>
      <c r="G231" s="35">
        <f>WEEKDAY(Metas_Diarias[[#This Row],[data]])</f>
        <v>6</v>
      </c>
      <c r="H231" s="35">
        <f>IF(Metas_Diarias[[#This Row],[dias_da_demana]]=1,"domingo",IF(Metas_Diarias[[#This Row],[dias_da_demana]]=7,0.5,1))</f>
        <v>1</v>
      </c>
      <c r="I231" s="35">
        <f>_xlfn.XLOOKUP(Metas_Diarias[[#This Row],[data]],Feriados[Data],Feriados[Feriado],1)</f>
        <v>1</v>
      </c>
      <c r="J231" s="33" cm="1">
        <f t="array" aca="1" ref="J231" ca="1">SUMPRODUCT(IF((NOT(ISERROR(MATCH(ROW(INDIRECT(DATE(YEAR(B231),MONTH(B231),1)&amp;":"&amp;DATE(YEAR(B231),MONTH(B231)+1,0))),Feriados[Data],0))))=FALSE,
IF(WEEKDAY(ROW(INDIRECT(DATE(YEAR(B231),MONTH(B231),1)&amp;":"&amp;DATE(YEAR(B231),MONTH(B231)+1,0))),2)&lt;=5,1,IF(WEEKDAY(ROW(INDIRECT(DATE(YEAR(B231),MONTH(B231),1)&amp;":"&amp;DATE(YEAR(B231),MONTH(B231)+1,0))),2)=6,0.5,0)),0))</f>
        <v>24.5</v>
      </c>
      <c r="K231" s="22" cm="1">
        <f t="array" ref="K231">_xlfn.XLOOKUP(1,((Metas_Diarias[[#This Row],[tipo_equipe_id]]=Metas[equipe])*(Metas_Diarias[[#This Row],[data]]&gt;Metas[data_inicio])*(Metas_Diarias[[#This Row],[data]]&lt;Metas[data_fim])),Metas[meta_mensal],0)</f>
        <v>160000</v>
      </c>
      <c r="L231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32" spans="2:12" x14ac:dyDescent="0.3">
      <c r="B232" s="34">
        <v>45521</v>
      </c>
      <c r="C232" s="34" t="str">
        <f>TEXT(Metas_Diarias[[#This Row],[data]],"dddd")</f>
        <v>sábado</v>
      </c>
      <c r="D232" s="33">
        <v>1</v>
      </c>
      <c r="E232" s="33">
        <v>1</v>
      </c>
      <c r="F232" s="18"/>
      <c r="G232" s="35">
        <f>WEEKDAY(Metas_Diarias[[#This Row],[data]])</f>
        <v>7</v>
      </c>
      <c r="H232" s="35">
        <f>IF(Metas_Diarias[[#This Row],[dias_da_demana]]=1,"domingo",IF(Metas_Diarias[[#This Row],[dias_da_demana]]=7,0.5,1))</f>
        <v>0.5</v>
      </c>
      <c r="I232" s="35">
        <f>_xlfn.XLOOKUP(Metas_Diarias[[#This Row],[data]],Feriados[Data],Feriados[Feriado],1)</f>
        <v>1</v>
      </c>
      <c r="J232" s="33" cm="1">
        <f t="array" aca="1" ref="J232" ca="1">SUMPRODUCT(IF((NOT(ISERROR(MATCH(ROW(INDIRECT(DATE(YEAR(B232),MONTH(B232),1)&amp;":"&amp;DATE(YEAR(B232),MONTH(B232)+1,0))),Feriados[Data],0))))=FALSE,
IF(WEEKDAY(ROW(INDIRECT(DATE(YEAR(B232),MONTH(B232),1)&amp;":"&amp;DATE(YEAR(B232),MONTH(B232)+1,0))),2)&lt;=5,1,IF(WEEKDAY(ROW(INDIRECT(DATE(YEAR(B232),MONTH(B232),1)&amp;":"&amp;DATE(YEAR(B232),MONTH(B232)+1,0))),2)=6,0.5,0)),0))</f>
        <v>24.5</v>
      </c>
      <c r="K232" s="22" cm="1">
        <f t="array" ref="K232">_xlfn.XLOOKUP(1,((Metas_Diarias[[#This Row],[tipo_equipe_id]]=Metas[equipe])*(Metas_Diarias[[#This Row],[data]]&gt;Metas[data_inicio])*(Metas_Diarias[[#This Row],[data]]&lt;Metas[data_fim])),Metas[meta_mensal],0)</f>
        <v>160000</v>
      </c>
      <c r="L232" s="24">
        <f ca="1">Metas_Diarias[[#This Row],[meta_mensal]]*IF(Metas_Diarias[[#This Row],[semana]]="domingo",0,Metas_Diarias[[#This Row],[semana]])*IF(Metas_Diarias[[#This Row],[feriado]]&lt;&gt;1,0,1)/Metas_Diarias[[#This Row],[dias_úteis_Mês]]</f>
        <v>3265.3061224489797</v>
      </c>
    </row>
    <row r="233" spans="2:12" x14ac:dyDescent="0.3">
      <c r="B233" s="34">
        <v>45522</v>
      </c>
      <c r="C233" s="34" t="str">
        <f>TEXT(Metas_Diarias[[#This Row],[data]],"dddd")</f>
        <v>domingo</v>
      </c>
      <c r="D233" s="33">
        <v>1</v>
      </c>
      <c r="E233" s="33">
        <v>1</v>
      </c>
      <c r="F233" s="18"/>
      <c r="G233" s="35">
        <f>WEEKDAY(Metas_Diarias[[#This Row],[data]])</f>
        <v>1</v>
      </c>
      <c r="H233" s="35" t="str">
        <f>IF(Metas_Diarias[[#This Row],[dias_da_demana]]=1,"domingo",IF(Metas_Diarias[[#This Row],[dias_da_demana]]=7,0.5,1))</f>
        <v>domingo</v>
      </c>
      <c r="I233" s="35">
        <f>_xlfn.XLOOKUP(Metas_Diarias[[#This Row],[data]],Feriados[Data],Feriados[Feriado],1)</f>
        <v>1</v>
      </c>
      <c r="J233" s="33" cm="1">
        <f t="array" aca="1" ref="J233" ca="1">SUMPRODUCT(IF((NOT(ISERROR(MATCH(ROW(INDIRECT(DATE(YEAR(B233),MONTH(B233),1)&amp;":"&amp;DATE(YEAR(B233),MONTH(B233)+1,0))),Feriados[Data],0))))=FALSE,
IF(WEEKDAY(ROW(INDIRECT(DATE(YEAR(B233),MONTH(B233),1)&amp;":"&amp;DATE(YEAR(B233),MONTH(B233)+1,0))),2)&lt;=5,1,IF(WEEKDAY(ROW(INDIRECT(DATE(YEAR(B233),MONTH(B233),1)&amp;":"&amp;DATE(YEAR(B233),MONTH(B233)+1,0))),2)=6,0.5,0)),0))</f>
        <v>24.5</v>
      </c>
      <c r="K233" s="22" cm="1">
        <f t="array" ref="K233">_xlfn.XLOOKUP(1,((Metas_Diarias[[#This Row],[tipo_equipe_id]]=Metas[equipe])*(Metas_Diarias[[#This Row],[data]]&gt;Metas[data_inicio])*(Metas_Diarias[[#This Row],[data]]&lt;Metas[data_fim])),Metas[meta_mensal],0)</f>
        <v>160000</v>
      </c>
      <c r="L2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4" spans="2:12" x14ac:dyDescent="0.3">
      <c r="B234" s="34">
        <v>45523</v>
      </c>
      <c r="C234" s="34" t="str">
        <f>TEXT(Metas_Diarias[[#This Row],[data]],"dddd")</f>
        <v>segunda-feira</v>
      </c>
      <c r="D234" s="33">
        <v>1</v>
      </c>
      <c r="E234" s="33">
        <v>1</v>
      </c>
      <c r="F234" s="18"/>
      <c r="G234" s="35">
        <f>WEEKDAY(Metas_Diarias[[#This Row],[data]])</f>
        <v>2</v>
      </c>
      <c r="H234" s="35">
        <f>IF(Metas_Diarias[[#This Row],[dias_da_demana]]=1,"domingo",IF(Metas_Diarias[[#This Row],[dias_da_demana]]=7,0.5,1))</f>
        <v>1</v>
      </c>
      <c r="I234" s="35">
        <f>_xlfn.XLOOKUP(Metas_Diarias[[#This Row],[data]],Feriados[Data],Feriados[Feriado],1)</f>
        <v>1</v>
      </c>
      <c r="J234" s="33" cm="1">
        <f t="array" aca="1" ref="J234" ca="1">SUMPRODUCT(IF((NOT(ISERROR(MATCH(ROW(INDIRECT(DATE(YEAR(B234),MONTH(B234),1)&amp;":"&amp;DATE(YEAR(B234),MONTH(B234)+1,0))),Feriados[Data],0))))=FALSE,
IF(WEEKDAY(ROW(INDIRECT(DATE(YEAR(B234),MONTH(B234),1)&amp;":"&amp;DATE(YEAR(B234),MONTH(B234)+1,0))),2)&lt;=5,1,IF(WEEKDAY(ROW(INDIRECT(DATE(YEAR(B234),MONTH(B234),1)&amp;":"&amp;DATE(YEAR(B234),MONTH(B234)+1,0))),2)=6,0.5,0)),0))</f>
        <v>24.5</v>
      </c>
      <c r="K234" s="22" cm="1">
        <f t="array" ref="K234">_xlfn.XLOOKUP(1,((Metas_Diarias[[#This Row],[tipo_equipe_id]]=Metas[equipe])*(Metas_Diarias[[#This Row],[data]]&gt;Metas[data_inicio])*(Metas_Diarias[[#This Row],[data]]&lt;Metas[data_fim])),Metas[meta_mensal],0)</f>
        <v>160000</v>
      </c>
      <c r="L234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35" spans="2:12" x14ac:dyDescent="0.3">
      <c r="B235" s="34">
        <v>45524</v>
      </c>
      <c r="C235" s="34" t="str">
        <f>TEXT(Metas_Diarias[[#This Row],[data]],"dddd")</f>
        <v>terça-feira</v>
      </c>
      <c r="D235" s="33">
        <v>1</v>
      </c>
      <c r="E235" s="33">
        <v>1</v>
      </c>
      <c r="F235" s="18"/>
      <c r="G235" s="35">
        <f>WEEKDAY(Metas_Diarias[[#This Row],[data]])</f>
        <v>3</v>
      </c>
      <c r="H235" s="35">
        <f>IF(Metas_Diarias[[#This Row],[dias_da_demana]]=1,"domingo",IF(Metas_Diarias[[#This Row],[dias_da_demana]]=7,0.5,1))</f>
        <v>1</v>
      </c>
      <c r="I235" s="35">
        <f>_xlfn.XLOOKUP(Metas_Diarias[[#This Row],[data]],Feriados[Data],Feriados[Feriado],1)</f>
        <v>1</v>
      </c>
      <c r="J235" s="33" cm="1">
        <f t="array" aca="1" ref="J235" ca="1">SUMPRODUCT(IF((NOT(ISERROR(MATCH(ROW(INDIRECT(DATE(YEAR(B235),MONTH(B235),1)&amp;":"&amp;DATE(YEAR(B235),MONTH(B235)+1,0))),Feriados[Data],0))))=FALSE,
IF(WEEKDAY(ROW(INDIRECT(DATE(YEAR(B235),MONTH(B235),1)&amp;":"&amp;DATE(YEAR(B235),MONTH(B235)+1,0))),2)&lt;=5,1,IF(WEEKDAY(ROW(INDIRECT(DATE(YEAR(B235),MONTH(B235),1)&amp;":"&amp;DATE(YEAR(B235),MONTH(B235)+1,0))),2)=6,0.5,0)),0))</f>
        <v>24.5</v>
      </c>
      <c r="K235" s="22" cm="1">
        <f t="array" ref="K235">_xlfn.XLOOKUP(1,((Metas_Diarias[[#This Row],[tipo_equipe_id]]=Metas[equipe])*(Metas_Diarias[[#This Row],[data]]&gt;Metas[data_inicio])*(Metas_Diarias[[#This Row],[data]]&lt;Metas[data_fim])),Metas[meta_mensal],0)</f>
        <v>160000</v>
      </c>
      <c r="L235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36" spans="2:12" x14ac:dyDescent="0.3">
      <c r="B236" s="34">
        <v>45525</v>
      </c>
      <c r="C236" s="34" t="str">
        <f>TEXT(Metas_Diarias[[#This Row],[data]],"dddd")</f>
        <v>quarta-feira</v>
      </c>
      <c r="D236" s="33">
        <v>1</v>
      </c>
      <c r="E236" s="33">
        <v>1</v>
      </c>
      <c r="F236" s="18"/>
      <c r="G236" s="35">
        <f>WEEKDAY(Metas_Diarias[[#This Row],[data]])</f>
        <v>4</v>
      </c>
      <c r="H236" s="35">
        <f>IF(Metas_Diarias[[#This Row],[dias_da_demana]]=1,"domingo",IF(Metas_Diarias[[#This Row],[dias_da_demana]]=7,0.5,1))</f>
        <v>1</v>
      </c>
      <c r="I236" s="35">
        <f>_xlfn.XLOOKUP(Metas_Diarias[[#This Row],[data]],Feriados[Data],Feriados[Feriado],1)</f>
        <v>1</v>
      </c>
      <c r="J236" s="33" cm="1">
        <f t="array" aca="1" ref="J236" ca="1">SUMPRODUCT(IF((NOT(ISERROR(MATCH(ROW(INDIRECT(DATE(YEAR(B236),MONTH(B236),1)&amp;":"&amp;DATE(YEAR(B236),MONTH(B236)+1,0))),Feriados[Data],0))))=FALSE,
IF(WEEKDAY(ROW(INDIRECT(DATE(YEAR(B236),MONTH(B236),1)&amp;":"&amp;DATE(YEAR(B236),MONTH(B236)+1,0))),2)&lt;=5,1,IF(WEEKDAY(ROW(INDIRECT(DATE(YEAR(B236),MONTH(B236),1)&amp;":"&amp;DATE(YEAR(B236),MONTH(B236)+1,0))),2)=6,0.5,0)),0))</f>
        <v>24.5</v>
      </c>
      <c r="K236" s="22" cm="1">
        <f t="array" ref="K236">_xlfn.XLOOKUP(1,((Metas_Diarias[[#This Row],[tipo_equipe_id]]=Metas[equipe])*(Metas_Diarias[[#This Row],[data]]&gt;Metas[data_inicio])*(Metas_Diarias[[#This Row],[data]]&lt;Metas[data_fim])),Metas[meta_mensal],0)</f>
        <v>160000</v>
      </c>
      <c r="L236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37" spans="2:12" x14ac:dyDescent="0.3">
      <c r="B237" s="34">
        <v>45526</v>
      </c>
      <c r="C237" s="34" t="str">
        <f>TEXT(Metas_Diarias[[#This Row],[data]],"dddd")</f>
        <v>quinta-feira</v>
      </c>
      <c r="D237" s="33">
        <v>1</v>
      </c>
      <c r="E237" s="33">
        <v>1</v>
      </c>
      <c r="F237" s="18"/>
      <c r="G237" s="35">
        <f>WEEKDAY(Metas_Diarias[[#This Row],[data]])</f>
        <v>5</v>
      </c>
      <c r="H237" s="35">
        <f>IF(Metas_Diarias[[#This Row],[dias_da_demana]]=1,"domingo",IF(Metas_Diarias[[#This Row],[dias_da_demana]]=7,0.5,1))</f>
        <v>1</v>
      </c>
      <c r="I237" s="35">
        <f>_xlfn.XLOOKUP(Metas_Diarias[[#This Row],[data]],Feriados[Data],Feriados[Feriado],1)</f>
        <v>1</v>
      </c>
      <c r="J237" s="33" cm="1">
        <f t="array" aca="1" ref="J237" ca="1">SUMPRODUCT(IF((NOT(ISERROR(MATCH(ROW(INDIRECT(DATE(YEAR(B237),MONTH(B237),1)&amp;":"&amp;DATE(YEAR(B237),MONTH(B237)+1,0))),Feriados[Data],0))))=FALSE,
IF(WEEKDAY(ROW(INDIRECT(DATE(YEAR(B237),MONTH(B237),1)&amp;":"&amp;DATE(YEAR(B237),MONTH(B237)+1,0))),2)&lt;=5,1,IF(WEEKDAY(ROW(INDIRECT(DATE(YEAR(B237),MONTH(B237),1)&amp;":"&amp;DATE(YEAR(B237),MONTH(B237)+1,0))),2)=6,0.5,0)),0))</f>
        <v>24.5</v>
      </c>
      <c r="K237" s="22" cm="1">
        <f t="array" ref="K237">_xlfn.XLOOKUP(1,((Metas_Diarias[[#This Row],[tipo_equipe_id]]=Metas[equipe])*(Metas_Diarias[[#This Row],[data]]&gt;Metas[data_inicio])*(Metas_Diarias[[#This Row],[data]]&lt;Metas[data_fim])),Metas[meta_mensal],0)</f>
        <v>160000</v>
      </c>
      <c r="L237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38" spans="2:12" x14ac:dyDescent="0.3">
      <c r="B238" s="34">
        <v>45527</v>
      </c>
      <c r="C238" s="34" t="str">
        <f>TEXT(Metas_Diarias[[#This Row],[data]],"dddd")</f>
        <v>sexta-feira</v>
      </c>
      <c r="D238" s="33">
        <v>1</v>
      </c>
      <c r="E238" s="33">
        <v>1</v>
      </c>
      <c r="F238" s="18"/>
      <c r="G238" s="35">
        <f>WEEKDAY(Metas_Diarias[[#This Row],[data]])</f>
        <v>6</v>
      </c>
      <c r="H238" s="35">
        <f>IF(Metas_Diarias[[#This Row],[dias_da_demana]]=1,"domingo",IF(Metas_Diarias[[#This Row],[dias_da_demana]]=7,0.5,1))</f>
        <v>1</v>
      </c>
      <c r="I238" s="35">
        <f>_xlfn.XLOOKUP(Metas_Diarias[[#This Row],[data]],Feriados[Data],Feriados[Feriado],1)</f>
        <v>1</v>
      </c>
      <c r="J238" s="33" cm="1">
        <f t="array" aca="1" ref="J238" ca="1">SUMPRODUCT(IF((NOT(ISERROR(MATCH(ROW(INDIRECT(DATE(YEAR(B238),MONTH(B238),1)&amp;":"&amp;DATE(YEAR(B238),MONTH(B238)+1,0))),Feriados[Data],0))))=FALSE,
IF(WEEKDAY(ROW(INDIRECT(DATE(YEAR(B238),MONTH(B238),1)&amp;":"&amp;DATE(YEAR(B238),MONTH(B238)+1,0))),2)&lt;=5,1,IF(WEEKDAY(ROW(INDIRECT(DATE(YEAR(B238),MONTH(B238),1)&amp;":"&amp;DATE(YEAR(B238),MONTH(B238)+1,0))),2)=6,0.5,0)),0))</f>
        <v>24.5</v>
      </c>
      <c r="K238" s="22" cm="1">
        <f t="array" ref="K238">_xlfn.XLOOKUP(1,((Metas_Diarias[[#This Row],[tipo_equipe_id]]=Metas[equipe])*(Metas_Diarias[[#This Row],[data]]&gt;Metas[data_inicio])*(Metas_Diarias[[#This Row],[data]]&lt;Metas[data_fim])),Metas[meta_mensal],0)</f>
        <v>160000</v>
      </c>
      <c r="L238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39" spans="2:12" x14ac:dyDescent="0.3">
      <c r="B239" s="34">
        <v>45528</v>
      </c>
      <c r="C239" s="34" t="str">
        <f>TEXT(Metas_Diarias[[#This Row],[data]],"dddd")</f>
        <v>sábado</v>
      </c>
      <c r="D239" s="33">
        <v>1</v>
      </c>
      <c r="E239" s="33">
        <v>1</v>
      </c>
      <c r="F239" s="18"/>
      <c r="G239" s="35">
        <f>WEEKDAY(Metas_Diarias[[#This Row],[data]])</f>
        <v>7</v>
      </c>
      <c r="H239" s="35">
        <f>IF(Metas_Diarias[[#This Row],[dias_da_demana]]=1,"domingo",IF(Metas_Diarias[[#This Row],[dias_da_demana]]=7,0.5,1))</f>
        <v>0.5</v>
      </c>
      <c r="I239" s="35">
        <f>_xlfn.XLOOKUP(Metas_Diarias[[#This Row],[data]],Feriados[Data],Feriados[Feriado],1)</f>
        <v>1</v>
      </c>
      <c r="J239" s="33" cm="1">
        <f t="array" aca="1" ref="J239" ca="1">SUMPRODUCT(IF((NOT(ISERROR(MATCH(ROW(INDIRECT(DATE(YEAR(B239),MONTH(B239),1)&amp;":"&amp;DATE(YEAR(B239),MONTH(B239)+1,0))),Feriados[Data],0))))=FALSE,
IF(WEEKDAY(ROW(INDIRECT(DATE(YEAR(B239),MONTH(B239),1)&amp;":"&amp;DATE(YEAR(B239),MONTH(B239)+1,0))),2)&lt;=5,1,IF(WEEKDAY(ROW(INDIRECT(DATE(YEAR(B239),MONTH(B239),1)&amp;":"&amp;DATE(YEAR(B239),MONTH(B239)+1,0))),2)=6,0.5,0)),0))</f>
        <v>24.5</v>
      </c>
      <c r="K239" s="22" cm="1">
        <f t="array" ref="K239">_xlfn.XLOOKUP(1,((Metas_Diarias[[#This Row],[tipo_equipe_id]]=Metas[equipe])*(Metas_Diarias[[#This Row],[data]]&gt;Metas[data_inicio])*(Metas_Diarias[[#This Row],[data]]&lt;Metas[data_fim])),Metas[meta_mensal],0)</f>
        <v>160000</v>
      </c>
      <c r="L239" s="24">
        <f ca="1">Metas_Diarias[[#This Row],[meta_mensal]]*IF(Metas_Diarias[[#This Row],[semana]]="domingo",0,Metas_Diarias[[#This Row],[semana]])*IF(Metas_Diarias[[#This Row],[feriado]]&lt;&gt;1,0,1)/Metas_Diarias[[#This Row],[dias_úteis_Mês]]</f>
        <v>3265.3061224489797</v>
      </c>
    </row>
    <row r="240" spans="2:12" x14ac:dyDescent="0.3">
      <c r="B240" s="34">
        <v>45529</v>
      </c>
      <c r="C240" s="34" t="str">
        <f>TEXT(Metas_Diarias[[#This Row],[data]],"dddd")</f>
        <v>domingo</v>
      </c>
      <c r="D240" s="33">
        <v>1</v>
      </c>
      <c r="E240" s="33">
        <v>1</v>
      </c>
      <c r="F240" s="18"/>
      <c r="G240" s="35">
        <f>WEEKDAY(Metas_Diarias[[#This Row],[data]])</f>
        <v>1</v>
      </c>
      <c r="H240" s="35" t="str">
        <f>IF(Metas_Diarias[[#This Row],[dias_da_demana]]=1,"domingo",IF(Metas_Diarias[[#This Row],[dias_da_demana]]=7,0.5,1))</f>
        <v>domingo</v>
      </c>
      <c r="I240" s="35">
        <f>_xlfn.XLOOKUP(Metas_Diarias[[#This Row],[data]],Feriados[Data],Feriados[Feriado],1)</f>
        <v>1</v>
      </c>
      <c r="J240" s="33" cm="1">
        <f t="array" aca="1" ref="J240" ca="1">SUMPRODUCT(IF((NOT(ISERROR(MATCH(ROW(INDIRECT(DATE(YEAR(B240),MONTH(B240),1)&amp;":"&amp;DATE(YEAR(B240),MONTH(B240)+1,0))),Feriados[Data],0))))=FALSE,
IF(WEEKDAY(ROW(INDIRECT(DATE(YEAR(B240),MONTH(B240),1)&amp;":"&amp;DATE(YEAR(B240),MONTH(B240)+1,0))),2)&lt;=5,1,IF(WEEKDAY(ROW(INDIRECT(DATE(YEAR(B240),MONTH(B240),1)&amp;":"&amp;DATE(YEAR(B240),MONTH(B240)+1,0))),2)=6,0.5,0)),0))</f>
        <v>24.5</v>
      </c>
      <c r="K240" s="22" cm="1">
        <f t="array" ref="K240">_xlfn.XLOOKUP(1,((Metas_Diarias[[#This Row],[tipo_equipe_id]]=Metas[equipe])*(Metas_Diarias[[#This Row],[data]]&gt;Metas[data_inicio])*(Metas_Diarias[[#This Row],[data]]&lt;Metas[data_fim])),Metas[meta_mensal],0)</f>
        <v>160000</v>
      </c>
      <c r="L24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1" spans="2:12" x14ac:dyDescent="0.3">
      <c r="B241" s="34">
        <v>45530</v>
      </c>
      <c r="C241" s="34" t="str">
        <f>TEXT(Metas_Diarias[[#This Row],[data]],"dddd")</f>
        <v>segunda-feira</v>
      </c>
      <c r="D241" s="33">
        <v>1</v>
      </c>
      <c r="E241" s="33">
        <v>1</v>
      </c>
      <c r="F241" s="18"/>
      <c r="G241" s="35">
        <f>WEEKDAY(Metas_Diarias[[#This Row],[data]])</f>
        <v>2</v>
      </c>
      <c r="H241" s="35">
        <f>IF(Metas_Diarias[[#This Row],[dias_da_demana]]=1,"domingo",IF(Metas_Diarias[[#This Row],[dias_da_demana]]=7,0.5,1))</f>
        <v>1</v>
      </c>
      <c r="I241" s="35">
        <f>_xlfn.XLOOKUP(Metas_Diarias[[#This Row],[data]],Feriados[Data],Feriados[Feriado],1)</f>
        <v>1</v>
      </c>
      <c r="J241" s="33" cm="1">
        <f t="array" aca="1" ref="J241" ca="1">SUMPRODUCT(IF((NOT(ISERROR(MATCH(ROW(INDIRECT(DATE(YEAR(B241),MONTH(B241),1)&amp;":"&amp;DATE(YEAR(B241),MONTH(B241)+1,0))),Feriados[Data],0))))=FALSE,
IF(WEEKDAY(ROW(INDIRECT(DATE(YEAR(B241),MONTH(B241),1)&amp;":"&amp;DATE(YEAR(B241),MONTH(B241)+1,0))),2)&lt;=5,1,IF(WEEKDAY(ROW(INDIRECT(DATE(YEAR(B241),MONTH(B241),1)&amp;":"&amp;DATE(YEAR(B241),MONTH(B241)+1,0))),2)=6,0.5,0)),0))</f>
        <v>24.5</v>
      </c>
      <c r="K241" s="22" cm="1">
        <f t="array" ref="K241">_xlfn.XLOOKUP(1,((Metas_Diarias[[#This Row],[tipo_equipe_id]]=Metas[equipe])*(Metas_Diarias[[#This Row],[data]]&gt;Metas[data_inicio])*(Metas_Diarias[[#This Row],[data]]&lt;Metas[data_fim])),Metas[meta_mensal],0)</f>
        <v>160000</v>
      </c>
      <c r="L241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42" spans="2:12" x14ac:dyDescent="0.3">
      <c r="B242" s="34">
        <v>45531</v>
      </c>
      <c r="C242" s="34" t="str">
        <f>TEXT(Metas_Diarias[[#This Row],[data]],"dddd")</f>
        <v>terça-feira</v>
      </c>
      <c r="D242" s="33">
        <v>1</v>
      </c>
      <c r="E242" s="33">
        <v>1</v>
      </c>
      <c r="F242" s="18"/>
      <c r="G242" s="35">
        <f>WEEKDAY(Metas_Diarias[[#This Row],[data]])</f>
        <v>3</v>
      </c>
      <c r="H242" s="35">
        <f>IF(Metas_Diarias[[#This Row],[dias_da_demana]]=1,"domingo",IF(Metas_Diarias[[#This Row],[dias_da_demana]]=7,0.5,1))</f>
        <v>1</v>
      </c>
      <c r="I242" s="35">
        <f>_xlfn.XLOOKUP(Metas_Diarias[[#This Row],[data]],Feriados[Data],Feriados[Feriado],1)</f>
        <v>1</v>
      </c>
      <c r="J242" s="33" cm="1">
        <f t="array" aca="1" ref="J242" ca="1">SUMPRODUCT(IF((NOT(ISERROR(MATCH(ROW(INDIRECT(DATE(YEAR(B242),MONTH(B242),1)&amp;":"&amp;DATE(YEAR(B242),MONTH(B242)+1,0))),Feriados[Data],0))))=FALSE,
IF(WEEKDAY(ROW(INDIRECT(DATE(YEAR(B242),MONTH(B242),1)&amp;":"&amp;DATE(YEAR(B242),MONTH(B242)+1,0))),2)&lt;=5,1,IF(WEEKDAY(ROW(INDIRECT(DATE(YEAR(B242),MONTH(B242),1)&amp;":"&amp;DATE(YEAR(B242),MONTH(B242)+1,0))),2)=6,0.5,0)),0))</f>
        <v>24.5</v>
      </c>
      <c r="K242" s="22" cm="1">
        <f t="array" ref="K242">_xlfn.XLOOKUP(1,((Metas_Diarias[[#This Row],[tipo_equipe_id]]=Metas[equipe])*(Metas_Diarias[[#This Row],[data]]&gt;Metas[data_inicio])*(Metas_Diarias[[#This Row],[data]]&lt;Metas[data_fim])),Metas[meta_mensal],0)</f>
        <v>160000</v>
      </c>
      <c r="L242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43" spans="2:12" x14ac:dyDescent="0.3">
      <c r="B243" s="34">
        <v>45532</v>
      </c>
      <c r="C243" s="34" t="str">
        <f>TEXT(Metas_Diarias[[#This Row],[data]],"dddd")</f>
        <v>quarta-feira</v>
      </c>
      <c r="D243" s="33">
        <v>1</v>
      </c>
      <c r="E243" s="33">
        <v>1</v>
      </c>
      <c r="F243" s="18"/>
      <c r="G243" s="35">
        <f>WEEKDAY(Metas_Diarias[[#This Row],[data]])</f>
        <v>4</v>
      </c>
      <c r="H243" s="35">
        <f>IF(Metas_Diarias[[#This Row],[dias_da_demana]]=1,"domingo",IF(Metas_Diarias[[#This Row],[dias_da_demana]]=7,0.5,1))</f>
        <v>1</v>
      </c>
      <c r="I243" s="35">
        <f>_xlfn.XLOOKUP(Metas_Diarias[[#This Row],[data]],Feriados[Data],Feriados[Feriado],1)</f>
        <v>1</v>
      </c>
      <c r="J243" s="33" cm="1">
        <f t="array" aca="1" ref="J243" ca="1">SUMPRODUCT(IF((NOT(ISERROR(MATCH(ROW(INDIRECT(DATE(YEAR(B243),MONTH(B243),1)&amp;":"&amp;DATE(YEAR(B243),MONTH(B243)+1,0))),Feriados[Data],0))))=FALSE,
IF(WEEKDAY(ROW(INDIRECT(DATE(YEAR(B243),MONTH(B243),1)&amp;":"&amp;DATE(YEAR(B243),MONTH(B243)+1,0))),2)&lt;=5,1,IF(WEEKDAY(ROW(INDIRECT(DATE(YEAR(B243),MONTH(B243),1)&amp;":"&amp;DATE(YEAR(B243),MONTH(B243)+1,0))),2)=6,0.5,0)),0))</f>
        <v>24.5</v>
      </c>
      <c r="K243" s="22" cm="1">
        <f t="array" ref="K243">_xlfn.XLOOKUP(1,((Metas_Diarias[[#This Row],[tipo_equipe_id]]=Metas[equipe])*(Metas_Diarias[[#This Row],[data]]&gt;Metas[data_inicio])*(Metas_Diarias[[#This Row],[data]]&lt;Metas[data_fim])),Metas[meta_mensal],0)</f>
        <v>160000</v>
      </c>
      <c r="L243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44" spans="2:12" x14ac:dyDescent="0.3">
      <c r="B244" s="34">
        <v>45533</v>
      </c>
      <c r="C244" s="34" t="str">
        <f>TEXT(Metas_Diarias[[#This Row],[data]],"dddd")</f>
        <v>quinta-feira</v>
      </c>
      <c r="D244" s="33">
        <v>1</v>
      </c>
      <c r="E244" s="33">
        <v>1</v>
      </c>
      <c r="F244" s="18"/>
      <c r="G244" s="35">
        <f>WEEKDAY(Metas_Diarias[[#This Row],[data]])</f>
        <v>5</v>
      </c>
      <c r="H244" s="35">
        <f>IF(Metas_Diarias[[#This Row],[dias_da_demana]]=1,"domingo",IF(Metas_Diarias[[#This Row],[dias_da_demana]]=7,0.5,1))</f>
        <v>1</v>
      </c>
      <c r="I244" s="35">
        <f>_xlfn.XLOOKUP(Metas_Diarias[[#This Row],[data]],Feriados[Data],Feriados[Feriado],1)</f>
        <v>1</v>
      </c>
      <c r="J244" s="33" cm="1">
        <f t="array" aca="1" ref="J244" ca="1">SUMPRODUCT(IF((NOT(ISERROR(MATCH(ROW(INDIRECT(DATE(YEAR(B244),MONTH(B244),1)&amp;":"&amp;DATE(YEAR(B244),MONTH(B244)+1,0))),Feriados[Data],0))))=FALSE,
IF(WEEKDAY(ROW(INDIRECT(DATE(YEAR(B244),MONTH(B244),1)&amp;":"&amp;DATE(YEAR(B244),MONTH(B244)+1,0))),2)&lt;=5,1,IF(WEEKDAY(ROW(INDIRECT(DATE(YEAR(B244),MONTH(B244),1)&amp;":"&amp;DATE(YEAR(B244),MONTH(B244)+1,0))),2)=6,0.5,0)),0))</f>
        <v>24.5</v>
      </c>
      <c r="K244" s="22" cm="1">
        <f t="array" ref="K244">_xlfn.XLOOKUP(1,((Metas_Diarias[[#This Row],[tipo_equipe_id]]=Metas[equipe])*(Metas_Diarias[[#This Row],[data]]&gt;Metas[data_inicio])*(Metas_Diarias[[#This Row],[data]]&lt;Metas[data_fim])),Metas[meta_mensal],0)</f>
        <v>160000</v>
      </c>
      <c r="L244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45" spans="2:12" x14ac:dyDescent="0.3">
      <c r="B245" s="34">
        <v>45534</v>
      </c>
      <c r="C245" s="34" t="str">
        <f>TEXT(Metas_Diarias[[#This Row],[data]],"dddd")</f>
        <v>sexta-feira</v>
      </c>
      <c r="D245" s="33">
        <v>1</v>
      </c>
      <c r="E245" s="33">
        <v>1</v>
      </c>
      <c r="F245" s="18"/>
      <c r="G245" s="35">
        <f>WEEKDAY(Metas_Diarias[[#This Row],[data]])</f>
        <v>6</v>
      </c>
      <c r="H245" s="35">
        <f>IF(Metas_Diarias[[#This Row],[dias_da_demana]]=1,"domingo",IF(Metas_Diarias[[#This Row],[dias_da_demana]]=7,0.5,1))</f>
        <v>1</v>
      </c>
      <c r="I245" s="35">
        <f>_xlfn.XLOOKUP(Metas_Diarias[[#This Row],[data]],Feriados[Data],Feriados[Feriado],1)</f>
        <v>1</v>
      </c>
      <c r="J245" s="33" cm="1">
        <f t="array" aca="1" ref="J245" ca="1">SUMPRODUCT(IF((NOT(ISERROR(MATCH(ROW(INDIRECT(DATE(YEAR(B245),MONTH(B245),1)&amp;":"&amp;DATE(YEAR(B245),MONTH(B245)+1,0))),Feriados[Data],0))))=FALSE,
IF(WEEKDAY(ROW(INDIRECT(DATE(YEAR(B245),MONTH(B245),1)&amp;":"&amp;DATE(YEAR(B245),MONTH(B245)+1,0))),2)&lt;=5,1,IF(WEEKDAY(ROW(INDIRECT(DATE(YEAR(B245),MONTH(B245),1)&amp;":"&amp;DATE(YEAR(B245),MONTH(B245)+1,0))),2)=6,0.5,0)),0))</f>
        <v>24.5</v>
      </c>
      <c r="K245" s="22" cm="1">
        <f t="array" ref="K245">_xlfn.XLOOKUP(1,((Metas_Diarias[[#This Row],[tipo_equipe_id]]=Metas[equipe])*(Metas_Diarias[[#This Row],[data]]&gt;Metas[data_inicio])*(Metas_Diarias[[#This Row],[data]]&lt;Metas[data_fim])),Metas[meta_mensal],0)</f>
        <v>160000</v>
      </c>
      <c r="L245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46" spans="2:12" x14ac:dyDescent="0.3">
      <c r="B246" s="34">
        <v>45535</v>
      </c>
      <c r="C246" s="34" t="str">
        <f>TEXT(Metas_Diarias[[#This Row],[data]],"dddd")</f>
        <v>sábado</v>
      </c>
      <c r="D246" s="33">
        <v>1</v>
      </c>
      <c r="E246" s="33">
        <v>1</v>
      </c>
      <c r="F246" s="18"/>
      <c r="G246" s="35">
        <f>WEEKDAY(Metas_Diarias[[#This Row],[data]])</f>
        <v>7</v>
      </c>
      <c r="H246" s="35">
        <f>IF(Metas_Diarias[[#This Row],[dias_da_demana]]=1,"domingo",IF(Metas_Diarias[[#This Row],[dias_da_demana]]=7,0.5,1))</f>
        <v>0.5</v>
      </c>
      <c r="I246" s="35">
        <f>_xlfn.XLOOKUP(Metas_Diarias[[#This Row],[data]],Feriados[Data],Feriados[Feriado],1)</f>
        <v>1</v>
      </c>
      <c r="J246" s="33" cm="1">
        <f t="array" aca="1" ref="J246" ca="1">SUMPRODUCT(IF((NOT(ISERROR(MATCH(ROW(INDIRECT(DATE(YEAR(B246),MONTH(B246),1)&amp;":"&amp;DATE(YEAR(B246),MONTH(B246)+1,0))),Feriados[Data],0))))=FALSE,
IF(WEEKDAY(ROW(INDIRECT(DATE(YEAR(B246),MONTH(B246),1)&amp;":"&amp;DATE(YEAR(B246),MONTH(B246)+1,0))),2)&lt;=5,1,IF(WEEKDAY(ROW(INDIRECT(DATE(YEAR(B246),MONTH(B246),1)&amp;":"&amp;DATE(YEAR(B246),MONTH(B246)+1,0))),2)=6,0.5,0)),0))</f>
        <v>24.5</v>
      </c>
      <c r="K246" s="22" cm="1">
        <f t="array" ref="K246">_xlfn.XLOOKUP(1,((Metas_Diarias[[#This Row],[tipo_equipe_id]]=Metas[equipe])*(Metas_Diarias[[#This Row],[data]]&gt;Metas[data_inicio])*(Metas_Diarias[[#This Row],[data]]&lt;Metas[data_fim])),Metas[meta_mensal],0)</f>
        <v>160000</v>
      </c>
      <c r="L246" s="24">
        <f ca="1">Metas_Diarias[[#This Row],[meta_mensal]]*IF(Metas_Diarias[[#This Row],[semana]]="domingo",0,Metas_Diarias[[#This Row],[semana]])*IF(Metas_Diarias[[#This Row],[feriado]]&lt;&gt;1,0,1)/Metas_Diarias[[#This Row],[dias_úteis_Mês]]</f>
        <v>3265.3061224489797</v>
      </c>
    </row>
    <row r="247" spans="2:12" x14ac:dyDescent="0.3">
      <c r="B247" s="34">
        <v>45536</v>
      </c>
      <c r="C247" s="34" t="str">
        <f>TEXT(Metas_Diarias[[#This Row],[data]],"dddd")</f>
        <v>domingo</v>
      </c>
      <c r="D247" s="33">
        <v>1</v>
      </c>
      <c r="E247" s="33">
        <v>1</v>
      </c>
      <c r="F247" s="18"/>
      <c r="G247" s="35">
        <f>WEEKDAY(Metas_Diarias[[#This Row],[data]])</f>
        <v>1</v>
      </c>
      <c r="H247" s="35" t="str">
        <f>IF(Metas_Diarias[[#This Row],[dias_da_demana]]=1,"domingo",IF(Metas_Diarias[[#This Row],[dias_da_demana]]=7,0.5,1))</f>
        <v>domingo</v>
      </c>
      <c r="I247" s="35">
        <f>_xlfn.XLOOKUP(Metas_Diarias[[#This Row],[data]],Feriados[Data],Feriados[Feriado],1)</f>
        <v>1</v>
      </c>
      <c r="J247" s="33" cm="1">
        <f t="array" aca="1" ref="J247" ca="1">SUMPRODUCT(IF((NOT(ISERROR(MATCH(ROW(INDIRECT(DATE(YEAR(B247),MONTH(B247),1)&amp;":"&amp;DATE(YEAR(B247),MONTH(B247)+1,0))),Feriados[Data],0))))=FALSE,
IF(WEEKDAY(ROW(INDIRECT(DATE(YEAR(B247),MONTH(B247),1)&amp;":"&amp;DATE(YEAR(B247),MONTH(B247)+1,0))),2)&lt;=5,1,IF(WEEKDAY(ROW(INDIRECT(DATE(YEAR(B247),MONTH(B247),1)&amp;":"&amp;DATE(YEAR(B247),MONTH(B247)+1,0))),2)=6,0.5,0)),0))</f>
        <v>22.5</v>
      </c>
      <c r="K247" s="22" cm="1">
        <f t="array" ref="K247">_xlfn.XLOOKUP(1,((Metas_Diarias[[#This Row],[tipo_equipe_id]]=Metas[equipe])*(Metas_Diarias[[#This Row],[data]]&gt;Metas[data_inicio])*(Metas_Diarias[[#This Row],[data]]&lt;Metas[data_fim])),Metas[meta_mensal],0)</f>
        <v>160000</v>
      </c>
      <c r="L24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8" spans="2:12" x14ac:dyDescent="0.3">
      <c r="B248" s="34">
        <v>45537</v>
      </c>
      <c r="C248" s="34" t="str">
        <f>TEXT(Metas_Diarias[[#This Row],[data]],"dddd")</f>
        <v>segunda-feira</v>
      </c>
      <c r="D248" s="33">
        <v>1</v>
      </c>
      <c r="E248" s="33">
        <v>1</v>
      </c>
      <c r="F248" s="18"/>
      <c r="G248" s="35">
        <f>WEEKDAY(Metas_Diarias[[#This Row],[data]])</f>
        <v>2</v>
      </c>
      <c r="H248" s="35">
        <f>IF(Metas_Diarias[[#This Row],[dias_da_demana]]=1,"domingo",IF(Metas_Diarias[[#This Row],[dias_da_demana]]=7,0.5,1))</f>
        <v>1</v>
      </c>
      <c r="I248" s="35">
        <f>_xlfn.XLOOKUP(Metas_Diarias[[#This Row],[data]],Feriados[Data],Feriados[Feriado],1)</f>
        <v>1</v>
      </c>
      <c r="J248" s="33" cm="1">
        <f t="array" aca="1" ref="J248" ca="1">SUMPRODUCT(IF((NOT(ISERROR(MATCH(ROW(INDIRECT(DATE(YEAR(B248),MONTH(B248),1)&amp;":"&amp;DATE(YEAR(B248),MONTH(B248)+1,0))),Feriados[Data],0))))=FALSE,
IF(WEEKDAY(ROW(INDIRECT(DATE(YEAR(B248),MONTH(B248),1)&amp;":"&amp;DATE(YEAR(B248),MONTH(B248)+1,0))),2)&lt;=5,1,IF(WEEKDAY(ROW(INDIRECT(DATE(YEAR(B248),MONTH(B248),1)&amp;":"&amp;DATE(YEAR(B248),MONTH(B248)+1,0))),2)=6,0.5,0)),0))</f>
        <v>22.5</v>
      </c>
      <c r="K248" s="22" cm="1">
        <f t="array" ref="K248">_xlfn.XLOOKUP(1,((Metas_Diarias[[#This Row],[tipo_equipe_id]]=Metas[equipe])*(Metas_Diarias[[#This Row],[data]]&gt;Metas[data_inicio])*(Metas_Diarias[[#This Row],[data]]&lt;Metas[data_fim])),Metas[meta_mensal],0)</f>
        <v>160000</v>
      </c>
      <c r="L248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49" spans="2:12" x14ac:dyDescent="0.3">
      <c r="B249" s="34">
        <v>45538</v>
      </c>
      <c r="C249" s="34" t="str">
        <f>TEXT(Metas_Diarias[[#This Row],[data]],"dddd")</f>
        <v>terça-feira</v>
      </c>
      <c r="D249" s="33">
        <v>1</v>
      </c>
      <c r="E249" s="33">
        <v>1</v>
      </c>
      <c r="F249" s="18"/>
      <c r="G249" s="35">
        <f>WEEKDAY(Metas_Diarias[[#This Row],[data]])</f>
        <v>3</v>
      </c>
      <c r="H249" s="35">
        <f>IF(Metas_Diarias[[#This Row],[dias_da_demana]]=1,"domingo",IF(Metas_Diarias[[#This Row],[dias_da_demana]]=7,0.5,1))</f>
        <v>1</v>
      </c>
      <c r="I249" s="35">
        <f>_xlfn.XLOOKUP(Metas_Diarias[[#This Row],[data]],Feriados[Data],Feriados[Feriado],1)</f>
        <v>1</v>
      </c>
      <c r="J249" s="33" cm="1">
        <f t="array" aca="1" ref="J249" ca="1">SUMPRODUCT(IF((NOT(ISERROR(MATCH(ROW(INDIRECT(DATE(YEAR(B249),MONTH(B249),1)&amp;":"&amp;DATE(YEAR(B249),MONTH(B249)+1,0))),Feriados[Data],0))))=FALSE,
IF(WEEKDAY(ROW(INDIRECT(DATE(YEAR(B249),MONTH(B249),1)&amp;":"&amp;DATE(YEAR(B249),MONTH(B249)+1,0))),2)&lt;=5,1,IF(WEEKDAY(ROW(INDIRECT(DATE(YEAR(B249),MONTH(B249),1)&amp;":"&amp;DATE(YEAR(B249),MONTH(B249)+1,0))),2)=6,0.5,0)),0))</f>
        <v>22.5</v>
      </c>
      <c r="K249" s="22" cm="1">
        <f t="array" ref="K249">_xlfn.XLOOKUP(1,((Metas_Diarias[[#This Row],[tipo_equipe_id]]=Metas[equipe])*(Metas_Diarias[[#This Row],[data]]&gt;Metas[data_inicio])*(Metas_Diarias[[#This Row],[data]]&lt;Metas[data_fim])),Metas[meta_mensal],0)</f>
        <v>160000</v>
      </c>
      <c r="L249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50" spans="2:12" x14ac:dyDescent="0.3">
      <c r="B250" s="34">
        <v>45539</v>
      </c>
      <c r="C250" s="34" t="str">
        <f>TEXT(Metas_Diarias[[#This Row],[data]],"dddd")</f>
        <v>quarta-feira</v>
      </c>
      <c r="D250" s="33">
        <v>1</v>
      </c>
      <c r="E250" s="33">
        <v>1</v>
      </c>
      <c r="F250" s="18"/>
      <c r="G250" s="35">
        <f>WEEKDAY(Metas_Diarias[[#This Row],[data]])</f>
        <v>4</v>
      </c>
      <c r="H250" s="35">
        <f>IF(Metas_Diarias[[#This Row],[dias_da_demana]]=1,"domingo",IF(Metas_Diarias[[#This Row],[dias_da_demana]]=7,0.5,1))</f>
        <v>1</v>
      </c>
      <c r="I250" s="35">
        <f>_xlfn.XLOOKUP(Metas_Diarias[[#This Row],[data]],Feriados[Data],Feriados[Feriado],1)</f>
        <v>1</v>
      </c>
      <c r="J250" s="33" cm="1">
        <f t="array" aca="1" ref="J250" ca="1">SUMPRODUCT(IF((NOT(ISERROR(MATCH(ROW(INDIRECT(DATE(YEAR(B250),MONTH(B250),1)&amp;":"&amp;DATE(YEAR(B250),MONTH(B250)+1,0))),Feriados[Data],0))))=FALSE,
IF(WEEKDAY(ROW(INDIRECT(DATE(YEAR(B250),MONTH(B250),1)&amp;":"&amp;DATE(YEAR(B250),MONTH(B250)+1,0))),2)&lt;=5,1,IF(WEEKDAY(ROW(INDIRECT(DATE(YEAR(B250),MONTH(B250),1)&amp;":"&amp;DATE(YEAR(B250),MONTH(B250)+1,0))),2)=6,0.5,0)),0))</f>
        <v>22.5</v>
      </c>
      <c r="K250" s="22" cm="1">
        <f t="array" ref="K250">_xlfn.XLOOKUP(1,((Metas_Diarias[[#This Row],[tipo_equipe_id]]=Metas[equipe])*(Metas_Diarias[[#This Row],[data]]&gt;Metas[data_inicio])*(Metas_Diarias[[#This Row],[data]]&lt;Metas[data_fim])),Metas[meta_mensal],0)</f>
        <v>160000</v>
      </c>
      <c r="L250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51" spans="2:12" x14ac:dyDescent="0.3">
      <c r="B251" s="34">
        <v>45540</v>
      </c>
      <c r="C251" s="34" t="str">
        <f>TEXT(Metas_Diarias[[#This Row],[data]],"dddd")</f>
        <v>quinta-feira</v>
      </c>
      <c r="D251" s="33">
        <v>1</v>
      </c>
      <c r="E251" s="33">
        <v>1</v>
      </c>
      <c r="F251" s="18"/>
      <c r="G251" s="35">
        <f>WEEKDAY(Metas_Diarias[[#This Row],[data]])</f>
        <v>5</v>
      </c>
      <c r="H251" s="35">
        <f>IF(Metas_Diarias[[#This Row],[dias_da_demana]]=1,"domingo",IF(Metas_Diarias[[#This Row],[dias_da_demana]]=7,0.5,1))</f>
        <v>1</v>
      </c>
      <c r="I251" s="35">
        <f>_xlfn.XLOOKUP(Metas_Diarias[[#This Row],[data]],Feriados[Data],Feriados[Feriado],1)</f>
        <v>1</v>
      </c>
      <c r="J251" s="33" cm="1">
        <f t="array" aca="1" ref="J251" ca="1">SUMPRODUCT(IF((NOT(ISERROR(MATCH(ROW(INDIRECT(DATE(YEAR(B251),MONTH(B251),1)&amp;":"&amp;DATE(YEAR(B251),MONTH(B251)+1,0))),Feriados[Data],0))))=FALSE,
IF(WEEKDAY(ROW(INDIRECT(DATE(YEAR(B251),MONTH(B251),1)&amp;":"&amp;DATE(YEAR(B251),MONTH(B251)+1,0))),2)&lt;=5,1,IF(WEEKDAY(ROW(INDIRECT(DATE(YEAR(B251),MONTH(B251),1)&amp;":"&amp;DATE(YEAR(B251),MONTH(B251)+1,0))),2)=6,0.5,0)),0))</f>
        <v>22.5</v>
      </c>
      <c r="K251" s="22" cm="1">
        <f t="array" ref="K251">_xlfn.XLOOKUP(1,((Metas_Diarias[[#This Row],[tipo_equipe_id]]=Metas[equipe])*(Metas_Diarias[[#This Row],[data]]&gt;Metas[data_inicio])*(Metas_Diarias[[#This Row],[data]]&lt;Metas[data_fim])),Metas[meta_mensal],0)</f>
        <v>160000</v>
      </c>
      <c r="L251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52" spans="2:12" x14ac:dyDescent="0.3">
      <c r="B252" s="34">
        <v>45541</v>
      </c>
      <c r="C252" s="34" t="str">
        <f>TEXT(Metas_Diarias[[#This Row],[data]],"dddd")</f>
        <v>sexta-feira</v>
      </c>
      <c r="D252" s="33">
        <v>1</v>
      </c>
      <c r="E252" s="33">
        <v>1</v>
      </c>
      <c r="F252" s="18"/>
      <c r="G252" s="35">
        <f>WEEKDAY(Metas_Diarias[[#This Row],[data]])</f>
        <v>6</v>
      </c>
      <c r="H252" s="35">
        <f>IF(Metas_Diarias[[#This Row],[dias_da_demana]]=1,"domingo",IF(Metas_Diarias[[#This Row],[dias_da_demana]]=7,0.5,1))</f>
        <v>1</v>
      </c>
      <c r="I252" s="35">
        <f>_xlfn.XLOOKUP(Metas_Diarias[[#This Row],[data]],Feriados[Data],Feriados[Feriado],1)</f>
        <v>1</v>
      </c>
      <c r="J252" s="33" cm="1">
        <f t="array" aca="1" ref="J252" ca="1">SUMPRODUCT(IF((NOT(ISERROR(MATCH(ROW(INDIRECT(DATE(YEAR(B252),MONTH(B252),1)&amp;":"&amp;DATE(YEAR(B252),MONTH(B252)+1,0))),Feriados[Data],0))))=FALSE,
IF(WEEKDAY(ROW(INDIRECT(DATE(YEAR(B252),MONTH(B252),1)&amp;":"&amp;DATE(YEAR(B252),MONTH(B252)+1,0))),2)&lt;=5,1,IF(WEEKDAY(ROW(INDIRECT(DATE(YEAR(B252),MONTH(B252),1)&amp;":"&amp;DATE(YEAR(B252),MONTH(B252)+1,0))),2)=6,0.5,0)),0))</f>
        <v>22.5</v>
      </c>
      <c r="K252" s="22" cm="1">
        <f t="array" ref="K252">_xlfn.XLOOKUP(1,((Metas_Diarias[[#This Row],[tipo_equipe_id]]=Metas[equipe])*(Metas_Diarias[[#This Row],[data]]&gt;Metas[data_inicio])*(Metas_Diarias[[#This Row],[data]]&lt;Metas[data_fim])),Metas[meta_mensal],0)</f>
        <v>160000</v>
      </c>
      <c r="L252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53" spans="2:12" x14ac:dyDescent="0.3">
      <c r="B253" s="34">
        <v>45542</v>
      </c>
      <c r="C253" s="34" t="str">
        <f>TEXT(Metas_Diarias[[#This Row],[data]],"dddd")</f>
        <v>sábado</v>
      </c>
      <c r="D253" s="33">
        <v>1</v>
      </c>
      <c r="E253" s="33">
        <v>1</v>
      </c>
      <c r="F253" s="18"/>
      <c r="G253" s="35">
        <f>WEEKDAY(Metas_Diarias[[#This Row],[data]])</f>
        <v>7</v>
      </c>
      <c r="H253" s="35">
        <f>IF(Metas_Diarias[[#This Row],[dias_da_demana]]=1,"domingo",IF(Metas_Diarias[[#This Row],[dias_da_demana]]=7,0.5,1))</f>
        <v>0.5</v>
      </c>
      <c r="I253" s="35" t="str">
        <f>_xlfn.XLOOKUP(Metas_Diarias[[#This Row],[data]],Feriados[Data],Feriados[Feriado],1)</f>
        <v>Independência do Brasil</v>
      </c>
      <c r="J253" s="33" cm="1">
        <f t="array" aca="1" ref="J253" ca="1">SUMPRODUCT(IF((NOT(ISERROR(MATCH(ROW(INDIRECT(DATE(YEAR(B253),MONTH(B253),1)&amp;":"&amp;DATE(YEAR(B253),MONTH(B253)+1,0))),Feriados[Data],0))))=FALSE,
IF(WEEKDAY(ROW(INDIRECT(DATE(YEAR(B253),MONTH(B253),1)&amp;":"&amp;DATE(YEAR(B253),MONTH(B253)+1,0))),2)&lt;=5,1,IF(WEEKDAY(ROW(INDIRECT(DATE(YEAR(B253),MONTH(B253),1)&amp;":"&amp;DATE(YEAR(B253),MONTH(B253)+1,0))),2)=6,0.5,0)),0))</f>
        <v>22.5</v>
      </c>
      <c r="K253" s="22" cm="1">
        <f t="array" ref="K253">_xlfn.XLOOKUP(1,((Metas_Diarias[[#This Row],[tipo_equipe_id]]=Metas[equipe])*(Metas_Diarias[[#This Row],[data]]&gt;Metas[data_inicio])*(Metas_Diarias[[#This Row],[data]]&lt;Metas[data_fim])),Metas[meta_mensal],0)</f>
        <v>160000</v>
      </c>
      <c r="L25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4" spans="2:12" x14ac:dyDescent="0.3">
      <c r="B254" s="34">
        <v>45543</v>
      </c>
      <c r="C254" s="34" t="str">
        <f>TEXT(Metas_Diarias[[#This Row],[data]],"dddd")</f>
        <v>domingo</v>
      </c>
      <c r="D254" s="33">
        <v>1</v>
      </c>
      <c r="E254" s="33">
        <v>1</v>
      </c>
      <c r="F254" s="18"/>
      <c r="G254" s="35">
        <f>WEEKDAY(Metas_Diarias[[#This Row],[data]])</f>
        <v>1</v>
      </c>
      <c r="H254" s="35" t="str">
        <f>IF(Metas_Diarias[[#This Row],[dias_da_demana]]=1,"domingo",IF(Metas_Diarias[[#This Row],[dias_da_demana]]=7,0.5,1))</f>
        <v>domingo</v>
      </c>
      <c r="I254" s="35">
        <f>_xlfn.XLOOKUP(Metas_Diarias[[#This Row],[data]],Feriados[Data],Feriados[Feriado],1)</f>
        <v>1</v>
      </c>
      <c r="J254" s="33" cm="1">
        <f t="array" aca="1" ref="J254" ca="1">SUMPRODUCT(IF((NOT(ISERROR(MATCH(ROW(INDIRECT(DATE(YEAR(B254),MONTH(B254),1)&amp;":"&amp;DATE(YEAR(B254),MONTH(B254)+1,0))),Feriados[Data],0))))=FALSE,
IF(WEEKDAY(ROW(INDIRECT(DATE(YEAR(B254),MONTH(B254),1)&amp;":"&amp;DATE(YEAR(B254),MONTH(B254)+1,0))),2)&lt;=5,1,IF(WEEKDAY(ROW(INDIRECT(DATE(YEAR(B254),MONTH(B254),1)&amp;":"&amp;DATE(YEAR(B254),MONTH(B254)+1,0))),2)=6,0.5,0)),0))</f>
        <v>22.5</v>
      </c>
      <c r="K254" s="22" cm="1">
        <f t="array" ref="K254">_xlfn.XLOOKUP(1,((Metas_Diarias[[#This Row],[tipo_equipe_id]]=Metas[equipe])*(Metas_Diarias[[#This Row],[data]]&gt;Metas[data_inicio])*(Metas_Diarias[[#This Row],[data]]&lt;Metas[data_fim])),Metas[meta_mensal],0)</f>
        <v>160000</v>
      </c>
      <c r="L25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5" spans="2:12" x14ac:dyDescent="0.3">
      <c r="B255" s="34">
        <v>45544</v>
      </c>
      <c r="C255" s="34" t="str">
        <f>TEXT(Metas_Diarias[[#This Row],[data]],"dddd")</f>
        <v>segunda-feira</v>
      </c>
      <c r="D255" s="33">
        <v>1</v>
      </c>
      <c r="E255" s="33">
        <v>1</v>
      </c>
      <c r="F255" s="18"/>
      <c r="G255" s="35">
        <f>WEEKDAY(Metas_Diarias[[#This Row],[data]])</f>
        <v>2</v>
      </c>
      <c r="H255" s="35">
        <f>IF(Metas_Diarias[[#This Row],[dias_da_demana]]=1,"domingo",IF(Metas_Diarias[[#This Row],[dias_da_demana]]=7,0.5,1))</f>
        <v>1</v>
      </c>
      <c r="I255" s="35">
        <f>_xlfn.XLOOKUP(Metas_Diarias[[#This Row],[data]],Feriados[Data],Feriados[Feriado],1)</f>
        <v>1</v>
      </c>
      <c r="J255" s="33" cm="1">
        <f t="array" aca="1" ref="J255" ca="1">SUMPRODUCT(IF((NOT(ISERROR(MATCH(ROW(INDIRECT(DATE(YEAR(B255),MONTH(B255),1)&amp;":"&amp;DATE(YEAR(B255),MONTH(B255)+1,0))),Feriados[Data],0))))=FALSE,
IF(WEEKDAY(ROW(INDIRECT(DATE(YEAR(B255),MONTH(B255),1)&amp;":"&amp;DATE(YEAR(B255),MONTH(B255)+1,0))),2)&lt;=5,1,IF(WEEKDAY(ROW(INDIRECT(DATE(YEAR(B255),MONTH(B255),1)&amp;":"&amp;DATE(YEAR(B255),MONTH(B255)+1,0))),2)=6,0.5,0)),0))</f>
        <v>22.5</v>
      </c>
      <c r="K255" s="22" cm="1">
        <f t="array" ref="K255">_xlfn.XLOOKUP(1,((Metas_Diarias[[#This Row],[tipo_equipe_id]]=Metas[equipe])*(Metas_Diarias[[#This Row],[data]]&gt;Metas[data_inicio])*(Metas_Diarias[[#This Row],[data]]&lt;Metas[data_fim])),Metas[meta_mensal],0)</f>
        <v>160000</v>
      </c>
      <c r="L255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56" spans="2:12" x14ac:dyDescent="0.3">
      <c r="B256" s="34">
        <v>45545</v>
      </c>
      <c r="C256" s="34" t="str">
        <f>TEXT(Metas_Diarias[[#This Row],[data]],"dddd")</f>
        <v>terça-feira</v>
      </c>
      <c r="D256" s="33">
        <v>1</v>
      </c>
      <c r="E256" s="33">
        <v>1</v>
      </c>
      <c r="F256" s="18"/>
      <c r="G256" s="35">
        <f>WEEKDAY(Metas_Diarias[[#This Row],[data]])</f>
        <v>3</v>
      </c>
      <c r="H256" s="35">
        <f>IF(Metas_Diarias[[#This Row],[dias_da_demana]]=1,"domingo",IF(Metas_Diarias[[#This Row],[dias_da_demana]]=7,0.5,1))</f>
        <v>1</v>
      </c>
      <c r="I256" s="35">
        <f>_xlfn.XLOOKUP(Metas_Diarias[[#This Row],[data]],Feriados[Data],Feriados[Feriado],1)</f>
        <v>1</v>
      </c>
      <c r="J256" s="33" cm="1">
        <f t="array" aca="1" ref="J256" ca="1">SUMPRODUCT(IF((NOT(ISERROR(MATCH(ROW(INDIRECT(DATE(YEAR(B256),MONTH(B256),1)&amp;":"&amp;DATE(YEAR(B256),MONTH(B256)+1,0))),Feriados[Data],0))))=FALSE,
IF(WEEKDAY(ROW(INDIRECT(DATE(YEAR(B256),MONTH(B256),1)&amp;":"&amp;DATE(YEAR(B256),MONTH(B256)+1,0))),2)&lt;=5,1,IF(WEEKDAY(ROW(INDIRECT(DATE(YEAR(B256),MONTH(B256),1)&amp;":"&amp;DATE(YEAR(B256),MONTH(B256)+1,0))),2)=6,0.5,0)),0))</f>
        <v>22.5</v>
      </c>
      <c r="K256" s="22" cm="1">
        <f t="array" ref="K256">_xlfn.XLOOKUP(1,((Metas_Diarias[[#This Row],[tipo_equipe_id]]=Metas[equipe])*(Metas_Diarias[[#This Row],[data]]&gt;Metas[data_inicio])*(Metas_Diarias[[#This Row],[data]]&lt;Metas[data_fim])),Metas[meta_mensal],0)</f>
        <v>160000</v>
      </c>
      <c r="L256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57" spans="2:12" x14ac:dyDescent="0.3">
      <c r="B257" s="34">
        <v>45546</v>
      </c>
      <c r="C257" s="34" t="str">
        <f>TEXT(Metas_Diarias[[#This Row],[data]],"dddd")</f>
        <v>quarta-feira</v>
      </c>
      <c r="D257" s="33">
        <v>1</v>
      </c>
      <c r="E257" s="33">
        <v>1</v>
      </c>
      <c r="F257" s="18"/>
      <c r="G257" s="35">
        <f>WEEKDAY(Metas_Diarias[[#This Row],[data]])</f>
        <v>4</v>
      </c>
      <c r="H257" s="35">
        <f>IF(Metas_Diarias[[#This Row],[dias_da_demana]]=1,"domingo",IF(Metas_Diarias[[#This Row],[dias_da_demana]]=7,0.5,1))</f>
        <v>1</v>
      </c>
      <c r="I257" s="35">
        <f>_xlfn.XLOOKUP(Metas_Diarias[[#This Row],[data]],Feriados[Data],Feriados[Feriado],1)</f>
        <v>1</v>
      </c>
      <c r="J257" s="33" cm="1">
        <f t="array" aca="1" ref="J257" ca="1">SUMPRODUCT(IF((NOT(ISERROR(MATCH(ROW(INDIRECT(DATE(YEAR(B257),MONTH(B257),1)&amp;":"&amp;DATE(YEAR(B257),MONTH(B257)+1,0))),Feriados[Data],0))))=FALSE,
IF(WEEKDAY(ROW(INDIRECT(DATE(YEAR(B257),MONTH(B257),1)&amp;":"&amp;DATE(YEAR(B257),MONTH(B257)+1,0))),2)&lt;=5,1,IF(WEEKDAY(ROW(INDIRECT(DATE(YEAR(B257),MONTH(B257),1)&amp;":"&amp;DATE(YEAR(B257),MONTH(B257)+1,0))),2)=6,0.5,0)),0))</f>
        <v>22.5</v>
      </c>
      <c r="K257" s="22" cm="1">
        <f t="array" ref="K257">_xlfn.XLOOKUP(1,((Metas_Diarias[[#This Row],[tipo_equipe_id]]=Metas[equipe])*(Metas_Diarias[[#This Row],[data]]&gt;Metas[data_inicio])*(Metas_Diarias[[#This Row],[data]]&lt;Metas[data_fim])),Metas[meta_mensal],0)</f>
        <v>160000</v>
      </c>
      <c r="L257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58" spans="2:12" x14ac:dyDescent="0.3">
      <c r="B258" s="34">
        <v>45547</v>
      </c>
      <c r="C258" s="34" t="str">
        <f>TEXT(Metas_Diarias[[#This Row],[data]],"dddd")</f>
        <v>quinta-feira</v>
      </c>
      <c r="D258" s="33">
        <v>1</v>
      </c>
      <c r="E258" s="33">
        <v>1</v>
      </c>
      <c r="F258" s="18"/>
      <c r="G258" s="35">
        <f>WEEKDAY(Metas_Diarias[[#This Row],[data]])</f>
        <v>5</v>
      </c>
      <c r="H258" s="35">
        <f>IF(Metas_Diarias[[#This Row],[dias_da_demana]]=1,"domingo",IF(Metas_Diarias[[#This Row],[dias_da_demana]]=7,0.5,1))</f>
        <v>1</v>
      </c>
      <c r="I258" s="35">
        <f>_xlfn.XLOOKUP(Metas_Diarias[[#This Row],[data]],Feriados[Data],Feriados[Feriado],1)</f>
        <v>1</v>
      </c>
      <c r="J258" s="33" cm="1">
        <f t="array" aca="1" ref="J258" ca="1">SUMPRODUCT(IF((NOT(ISERROR(MATCH(ROW(INDIRECT(DATE(YEAR(B258),MONTH(B258),1)&amp;":"&amp;DATE(YEAR(B258),MONTH(B258)+1,0))),Feriados[Data],0))))=FALSE,
IF(WEEKDAY(ROW(INDIRECT(DATE(YEAR(B258),MONTH(B258),1)&amp;":"&amp;DATE(YEAR(B258),MONTH(B258)+1,0))),2)&lt;=5,1,IF(WEEKDAY(ROW(INDIRECT(DATE(YEAR(B258),MONTH(B258),1)&amp;":"&amp;DATE(YEAR(B258),MONTH(B258)+1,0))),2)=6,0.5,0)),0))</f>
        <v>22.5</v>
      </c>
      <c r="K258" s="22" cm="1">
        <f t="array" ref="K258">_xlfn.XLOOKUP(1,((Metas_Diarias[[#This Row],[tipo_equipe_id]]=Metas[equipe])*(Metas_Diarias[[#This Row],[data]]&gt;Metas[data_inicio])*(Metas_Diarias[[#This Row],[data]]&lt;Metas[data_fim])),Metas[meta_mensal],0)</f>
        <v>160000</v>
      </c>
      <c r="L258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59" spans="2:12" x14ac:dyDescent="0.3">
      <c r="B259" s="34">
        <v>45548</v>
      </c>
      <c r="C259" s="34" t="str">
        <f>TEXT(Metas_Diarias[[#This Row],[data]],"dddd")</f>
        <v>sexta-feira</v>
      </c>
      <c r="D259" s="33">
        <v>1</v>
      </c>
      <c r="E259" s="33">
        <v>1</v>
      </c>
      <c r="F259" s="18"/>
      <c r="G259" s="35">
        <f>WEEKDAY(Metas_Diarias[[#This Row],[data]])</f>
        <v>6</v>
      </c>
      <c r="H259" s="35">
        <f>IF(Metas_Diarias[[#This Row],[dias_da_demana]]=1,"domingo",IF(Metas_Diarias[[#This Row],[dias_da_demana]]=7,0.5,1))</f>
        <v>1</v>
      </c>
      <c r="I259" s="35">
        <f>_xlfn.XLOOKUP(Metas_Diarias[[#This Row],[data]],Feriados[Data],Feriados[Feriado],1)</f>
        <v>1</v>
      </c>
      <c r="J259" s="33" cm="1">
        <f t="array" aca="1" ref="J259" ca="1">SUMPRODUCT(IF((NOT(ISERROR(MATCH(ROW(INDIRECT(DATE(YEAR(B259),MONTH(B259),1)&amp;":"&amp;DATE(YEAR(B259),MONTH(B259)+1,0))),Feriados[Data],0))))=FALSE,
IF(WEEKDAY(ROW(INDIRECT(DATE(YEAR(B259),MONTH(B259),1)&amp;":"&amp;DATE(YEAR(B259),MONTH(B259)+1,0))),2)&lt;=5,1,IF(WEEKDAY(ROW(INDIRECT(DATE(YEAR(B259),MONTH(B259),1)&amp;":"&amp;DATE(YEAR(B259),MONTH(B259)+1,0))),2)=6,0.5,0)),0))</f>
        <v>22.5</v>
      </c>
      <c r="K259" s="22" cm="1">
        <f t="array" ref="K259">_xlfn.XLOOKUP(1,((Metas_Diarias[[#This Row],[tipo_equipe_id]]=Metas[equipe])*(Metas_Diarias[[#This Row],[data]]&gt;Metas[data_inicio])*(Metas_Diarias[[#This Row],[data]]&lt;Metas[data_fim])),Metas[meta_mensal],0)</f>
        <v>160000</v>
      </c>
      <c r="L259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60" spans="2:12" x14ac:dyDescent="0.3">
      <c r="B260" s="34">
        <v>45549</v>
      </c>
      <c r="C260" s="34" t="str">
        <f>TEXT(Metas_Diarias[[#This Row],[data]],"dddd")</f>
        <v>sábado</v>
      </c>
      <c r="D260" s="33">
        <v>1</v>
      </c>
      <c r="E260" s="33">
        <v>1</v>
      </c>
      <c r="F260" s="18"/>
      <c r="G260" s="35">
        <f>WEEKDAY(Metas_Diarias[[#This Row],[data]])</f>
        <v>7</v>
      </c>
      <c r="H260" s="35">
        <f>IF(Metas_Diarias[[#This Row],[dias_da_demana]]=1,"domingo",IF(Metas_Diarias[[#This Row],[dias_da_demana]]=7,0.5,1))</f>
        <v>0.5</v>
      </c>
      <c r="I260" s="35">
        <f>_xlfn.XLOOKUP(Metas_Diarias[[#This Row],[data]],Feriados[Data],Feriados[Feriado],1)</f>
        <v>1</v>
      </c>
      <c r="J260" s="33" cm="1">
        <f t="array" aca="1" ref="J260" ca="1">SUMPRODUCT(IF((NOT(ISERROR(MATCH(ROW(INDIRECT(DATE(YEAR(B260),MONTH(B260),1)&amp;":"&amp;DATE(YEAR(B260),MONTH(B260)+1,0))),Feriados[Data],0))))=FALSE,
IF(WEEKDAY(ROW(INDIRECT(DATE(YEAR(B260),MONTH(B260),1)&amp;":"&amp;DATE(YEAR(B260),MONTH(B260)+1,0))),2)&lt;=5,1,IF(WEEKDAY(ROW(INDIRECT(DATE(YEAR(B260),MONTH(B260),1)&amp;":"&amp;DATE(YEAR(B260),MONTH(B260)+1,0))),2)=6,0.5,0)),0))</f>
        <v>22.5</v>
      </c>
      <c r="K260" s="22" cm="1">
        <f t="array" ref="K260">_xlfn.XLOOKUP(1,((Metas_Diarias[[#This Row],[tipo_equipe_id]]=Metas[equipe])*(Metas_Diarias[[#This Row],[data]]&gt;Metas[data_inicio])*(Metas_Diarias[[#This Row],[data]]&lt;Metas[data_fim])),Metas[meta_mensal],0)</f>
        <v>160000</v>
      </c>
      <c r="L260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261" spans="2:12" x14ac:dyDescent="0.3">
      <c r="B261" s="34">
        <v>45550</v>
      </c>
      <c r="C261" s="34" t="str">
        <f>TEXT(Metas_Diarias[[#This Row],[data]],"dddd")</f>
        <v>domingo</v>
      </c>
      <c r="D261" s="33">
        <v>1</v>
      </c>
      <c r="E261" s="33">
        <v>1</v>
      </c>
      <c r="F261" s="18"/>
      <c r="G261" s="35">
        <f>WEEKDAY(Metas_Diarias[[#This Row],[data]])</f>
        <v>1</v>
      </c>
      <c r="H261" s="35" t="str">
        <f>IF(Metas_Diarias[[#This Row],[dias_da_demana]]=1,"domingo",IF(Metas_Diarias[[#This Row],[dias_da_demana]]=7,0.5,1))</f>
        <v>domingo</v>
      </c>
      <c r="I261" s="35">
        <f>_xlfn.XLOOKUP(Metas_Diarias[[#This Row],[data]],Feriados[Data],Feriados[Feriado],1)</f>
        <v>1</v>
      </c>
      <c r="J261" s="33" cm="1">
        <f t="array" aca="1" ref="J261" ca="1">SUMPRODUCT(IF((NOT(ISERROR(MATCH(ROW(INDIRECT(DATE(YEAR(B261),MONTH(B261),1)&amp;":"&amp;DATE(YEAR(B261),MONTH(B261)+1,0))),Feriados[Data],0))))=FALSE,
IF(WEEKDAY(ROW(INDIRECT(DATE(YEAR(B261),MONTH(B261),1)&amp;":"&amp;DATE(YEAR(B261),MONTH(B261)+1,0))),2)&lt;=5,1,IF(WEEKDAY(ROW(INDIRECT(DATE(YEAR(B261),MONTH(B261),1)&amp;":"&amp;DATE(YEAR(B261),MONTH(B261)+1,0))),2)=6,0.5,0)),0))</f>
        <v>22.5</v>
      </c>
      <c r="K261" s="22" cm="1">
        <f t="array" ref="K261">_xlfn.XLOOKUP(1,((Metas_Diarias[[#This Row],[tipo_equipe_id]]=Metas[equipe])*(Metas_Diarias[[#This Row],[data]]&gt;Metas[data_inicio])*(Metas_Diarias[[#This Row],[data]]&lt;Metas[data_fim])),Metas[meta_mensal],0)</f>
        <v>160000</v>
      </c>
      <c r="L2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" spans="2:12" x14ac:dyDescent="0.3">
      <c r="B262" s="34">
        <v>45551</v>
      </c>
      <c r="C262" s="34" t="str">
        <f>TEXT(Metas_Diarias[[#This Row],[data]],"dddd")</f>
        <v>segunda-feira</v>
      </c>
      <c r="D262" s="33">
        <v>1</v>
      </c>
      <c r="E262" s="33">
        <v>1</v>
      </c>
      <c r="F262" s="18"/>
      <c r="G262" s="35">
        <f>WEEKDAY(Metas_Diarias[[#This Row],[data]])</f>
        <v>2</v>
      </c>
      <c r="H262" s="35">
        <f>IF(Metas_Diarias[[#This Row],[dias_da_demana]]=1,"domingo",IF(Metas_Diarias[[#This Row],[dias_da_demana]]=7,0.5,1))</f>
        <v>1</v>
      </c>
      <c r="I262" s="35">
        <f>_xlfn.XLOOKUP(Metas_Diarias[[#This Row],[data]],Feriados[Data],Feriados[Feriado],1)</f>
        <v>1</v>
      </c>
      <c r="J262" s="33" cm="1">
        <f t="array" aca="1" ref="J262" ca="1">SUMPRODUCT(IF((NOT(ISERROR(MATCH(ROW(INDIRECT(DATE(YEAR(B262),MONTH(B262),1)&amp;":"&amp;DATE(YEAR(B262),MONTH(B262)+1,0))),Feriados[Data],0))))=FALSE,
IF(WEEKDAY(ROW(INDIRECT(DATE(YEAR(B262),MONTH(B262),1)&amp;":"&amp;DATE(YEAR(B262),MONTH(B262)+1,0))),2)&lt;=5,1,IF(WEEKDAY(ROW(INDIRECT(DATE(YEAR(B262),MONTH(B262),1)&amp;":"&amp;DATE(YEAR(B262),MONTH(B262)+1,0))),2)=6,0.5,0)),0))</f>
        <v>22.5</v>
      </c>
      <c r="K262" s="22" cm="1">
        <f t="array" ref="K262">_xlfn.XLOOKUP(1,((Metas_Diarias[[#This Row],[tipo_equipe_id]]=Metas[equipe])*(Metas_Diarias[[#This Row],[data]]&gt;Metas[data_inicio])*(Metas_Diarias[[#This Row],[data]]&lt;Metas[data_fim])),Metas[meta_mensal],0)</f>
        <v>160000</v>
      </c>
      <c r="L262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63" spans="2:12" x14ac:dyDescent="0.3">
      <c r="B263" s="34">
        <v>45552</v>
      </c>
      <c r="C263" s="34" t="str">
        <f>TEXT(Metas_Diarias[[#This Row],[data]],"dddd")</f>
        <v>terça-feira</v>
      </c>
      <c r="D263" s="33">
        <v>1</v>
      </c>
      <c r="E263" s="33">
        <v>1</v>
      </c>
      <c r="F263" s="18"/>
      <c r="G263" s="35">
        <f>WEEKDAY(Metas_Diarias[[#This Row],[data]])</f>
        <v>3</v>
      </c>
      <c r="H263" s="35">
        <f>IF(Metas_Diarias[[#This Row],[dias_da_demana]]=1,"domingo",IF(Metas_Diarias[[#This Row],[dias_da_demana]]=7,0.5,1))</f>
        <v>1</v>
      </c>
      <c r="I263" s="35">
        <f>_xlfn.XLOOKUP(Metas_Diarias[[#This Row],[data]],Feriados[Data],Feriados[Feriado],1)</f>
        <v>1</v>
      </c>
      <c r="J263" s="33" cm="1">
        <f t="array" aca="1" ref="J263" ca="1">SUMPRODUCT(IF((NOT(ISERROR(MATCH(ROW(INDIRECT(DATE(YEAR(B263),MONTH(B263),1)&amp;":"&amp;DATE(YEAR(B263),MONTH(B263)+1,0))),Feriados[Data],0))))=FALSE,
IF(WEEKDAY(ROW(INDIRECT(DATE(YEAR(B263),MONTH(B263),1)&amp;":"&amp;DATE(YEAR(B263),MONTH(B263)+1,0))),2)&lt;=5,1,IF(WEEKDAY(ROW(INDIRECT(DATE(YEAR(B263),MONTH(B263),1)&amp;":"&amp;DATE(YEAR(B263),MONTH(B263)+1,0))),2)=6,0.5,0)),0))</f>
        <v>22.5</v>
      </c>
      <c r="K263" s="22" cm="1">
        <f t="array" ref="K263">_xlfn.XLOOKUP(1,((Metas_Diarias[[#This Row],[tipo_equipe_id]]=Metas[equipe])*(Metas_Diarias[[#This Row],[data]]&gt;Metas[data_inicio])*(Metas_Diarias[[#This Row],[data]]&lt;Metas[data_fim])),Metas[meta_mensal],0)</f>
        <v>160000</v>
      </c>
      <c r="L263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64" spans="2:12" x14ac:dyDescent="0.3">
      <c r="B264" s="34">
        <v>45553</v>
      </c>
      <c r="C264" s="34" t="str">
        <f>TEXT(Metas_Diarias[[#This Row],[data]],"dddd")</f>
        <v>quarta-feira</v>
      </c>
      <c r="D264" s="33">
        <v>1</v>
      </c>
      <c r="E264" s="33">
        <v>1</v>
      </c>
      <c r="F264" s="18"/>
      <c r="G264" s="35">
        <f>WEEKDAY(Metas_Diarias[[#This Row],[data]])</f>
        <v>4</v>
      </c>
      <c r="H264" s="35">
        <f>IF(Metas_Diarias[[#This Row],[dias_da_demana]]=1,"domingo",IF(Metas_Diarias[[#This Row],[dias_da_demana]]=7,0.5,1))</f>
        <v>1</v>
      </c>
      <c r="I264" s="35">
        <f>_xlfn.XLOOKUP(Metas_Diarias[[#This Row],[data]],Feriados[Data],Feriados[Feriado],1)</f>
        <v>1</v>
      </c>
      <c r="J264" s="33" cm="1">
        <f t="array" aca="1" ref="J264" ca="1">SUMPRODUCT(IF((NOT(ISERROR(MATCH(ROW(INDIRECT(DATE(YEAR(B264),MONTH(B264),1)&amp;":"&amp;DATE(YEAR(B264),MONTH(B264)+1,0))),Feriados[Data],0))))=FALSE,
IF(WEEKDAY(ROW(INDIRECT(DATE(YEAR(B264),MONTH(B264),1)&amp;":"&amp;DATE(YEAR(B264),MONTH(B264)+1,0))),2)&lt;=5,1,IF(WEEKDAY(ROW(INDIRECT(DATE(YEAR(B264),MONTH(B264),1)&amp;":"&amp;DATE(YEAR(B264),MONTH(B264)+1,0))),2)=6,0.5,0)),0))</f>
        <v>22.5</v>
      </c>
      <c r="K264" s="22" cm="1">
        <f t="array" ref="K264">_xlfn.XLOOKUP(1,((Metas_Diarias[[#This Row],[tipo_equipe_id]]=Metas[equipe])*(Metas_Diarias[[#This Row],[data]]&gt;Metas[data_inicio])*(Metas_Diarias[[#This Row],[data]]&lt;Metas[data_fim])),Metas[meta_mensal],0)</f>
        <v>160000</v>
      </c>
      <c r="L264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65" spans="2:12" x14ac:dyDescent="0.3">
      <c r="B265" s="34">
        <v>45554</v>
      </c>
      <c r="C265" s="34" t="str">
        <f>TEXT(Metas_Diarias[[#This Row],[data]],"dddd")</f>
        <v>quinta-feira</v>
      </c>
      <c r="D265" s="33">
        <v>1</v>
      </c>
      <c r="E265" s="33">
        <v>1</v>
      </c>
      <c r="F265" s="18"/>
      <c r="G265" s="35">
        <f>WEEKDAY(Metas_Diarias[[#This Row],[data]])</f>
        <v>5</v>
      </c>
      <c r="H265" s="35">
        <f>IF(Metas_Diarias[[#This Row],[dias_da_demana]]=1,"domingo",IF(Metas_Diarias[[#This Row],[dias_da_demana]]=7,0.5,1))</f>
        <v>1</v>
      </c>
      <c r="I265" s="35">
        <f>_xlfn.XLOOKUP(Metas_Diarias[[#This Row],[data]],Feriados[Data],Feriados[Feriado],1)</f>
        <v>1</v>
      </c>
      <c r="J265" s="33" cm="1">
        <f t="array" aca="1" ref="J265" ca="1">SUMPRODUCT(IF((NOT(ISERROR(MATCH(ROW(INDIRECT(DATE(YEAR(B265),MONTH(B265),1)&amp;":"&amp;DATE(YEAR(B265),MONTH(B265)+1,0))),Feriados[Data],0))))=FALSE,
IF(WEEKDAY(ROW(INDIRECT(DATE(YEAR(B265),MONTH(B265),1)&amp;":"&amp;DATE(YEAR(B265),MONTH(B265)+1,0))),2)&lt;=5,1,IF(WEEKDAY(ROW(INDIRECT(DATE(YEAR(B265),MONTH(B265),1)&amp;":"&amp;DATE(YEAR(B265),MONTH(B265)+1,0))),2)=6,0.5,0)),0))</f>
        <v>22.5</v>
      </c>
      <c r="K265" s="22" cm="1">
        <f t="array" ref="K265">_xlfn.XLOOKUP(1,((Metas_Diarias[[#This Row],[tipo_equipe_id]]=Metas[equipe])*(Metas_Diarias[[#This Row],[data]]&gt;Metas[data_inicio])*(Metas_Diarias[[#This Row],[data]]&lt;Metas[data_fim])),Metas[meta_mensal],0)</f>
        <v>160000</v>
      </c>
      <c r="L265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66" spans="2:12" x14ac:dyDescent="0.3">
      <c r="B266" s="34">
        <v>45555</v>
      </c>
      <c r="C266" s="34" t="str">
        <f>TEXT(Metas_Diarias[[#This Row],[data]],"dddd")</f>
        <v>sexta-feira</v>
      </c>
      <c r="D266" s="33">
        <v>1</v>
      </c>
      <c r="E266" s="33">
        <v>1</v>
      </c>
      <c r="F266" s="18"/>
      <c r="G266" s="35">
        <f>WEEKDAY(Metas_Diarias[[#This Row],[data]])</f>
        <v>6</v>
      </c>
      <c r="H266" s="35">
        <f>IF(Metas_Diarias[[#This Row],[dias_da_demana]]=1,"domingo",IF(Metas_Diarias[[#This Row],[dias_da_demana]]=7,0.5,1))</f>
        <v>1</v>
      </c>
      <c r="I266" s="35">
        <f>_xlfn.XLOOKUP(Metas_Diarias[[#This Row],[data]],Feriados[Data],Feriados[Feriado],1)</f>
        <v>1</v>
      </c>
      <c r="J266" s="33" cm="1">
        <f t="array" aca="1" ref="J266" ca="1">SUMPRODUCT(IF((NOT(ISERROR(MATCH(ROW(INDIRECT(DATE(YEAR(B266),MONTH(B266),1)&amp;":"&amp;DATE(YEAR(B266),MONTH(B266)+1,0))),Feriados[Data],0))))=FALSE,
IF(WEEKDAY(ROW(INDIRECT(DATE(YEAR(B266),MONTH(B266),1)&amp;":"&amp;DATE(YEAR(B266),MONTH(B266)+1,0))),2)&lt;=5,1,IF(WEEKDAY(ROW(INDIRECT(DATE(YEAR(B266),MONTH(B266),1)&amp;":"&amp;DATE(YEAR(B266),MONTH(B266)+1,0))),2)=6,0.5,0)),0))</f>
        <v>22.5</v>
      </c>
      <c r="K266" s="22" cm="1">
        <f t="array" ref="K266">_xlfn.XLOOKUP(1,((Metas_Diarias[[#This Row],[tipo_equipe_id]]=Metas[equipe])*(Metas_Diarias[[#This Row],[data]]&gt;Metas[data_inicio])*(Metas_Diarias[[#This Row],[data]]&lt;Metas[data_fim])),Metas[meta_mensal],0)</f>
        <v>160000</v>
      </c>
      <c r="L266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67" spans="2:12" x14ac:dyDescent="0.3">
      <c r="B267" s="34">
        <v>45556</v>
      </c>
      <c r="C267" s="34" t="str">
        <f>TEXT(Metas_Diarias[[#This Row],[data]],"dddd")</f>
        <v>sábado</v>
      </c>
      <c r="D267" s="33">
        <v>1</v>
      </c>
      <c r="E267" s="33">
        <v>1</v>
      </c>
      <c r="F267" s="18"/>
      <c r="G267" s="35">
        <f>WEEKDAY(Metas_Diarias[[#This Row],[data]])</f>
        <v>7</v>
      </c>
      <c r="H267" s="35">
        <f>IF(Metas_Diarias[[#This Row],[dias_da_demana]]=1,"domingo",IF(Metas_Diarias[[#This Row],[dias_da_demana]]=7,0.5,1))</f>
        <v>0.5</v>
      </c>
      <c r="I267" s="35">
        <f>_xlfn.XLOOKUP(Metas_Diarias[[#This Row],[data]],Feriados[Data],Feriados[Feriado],1)</f>
        <v>1</v>
      </c>
      <c r="J267" s="33" cm="1">
        <f t="array" aca="1" ref="J267" ca="1">SUMPRODUCT(IF((NOT(ISERROR(MATCH(ROW(INDIRECT(DATE(YEAR(B267),MONTH(B267),1)&amp;":"&amp;DATE(YEAR(B267),MONTH(B267)+1,0))),Feriados[Data],0))))=FALSE,
IF(WEEKDAY(ROW(INDIRECT(DATE(YEAR(B267),MONTH(B267),1)&amp;":"&amp;DATE(YEAR(B267),MONTH(B267)+1,0))),2)&lt;=5,1,IF(WEEKDAY(ROW(INDIRECT(DATE(YEAR(B267),MONTH(B267),1)&amp;":"&amp;DATE(YEAR(B267),MONTH(B267)+1,0))),2)=6,0.5,0)),0))</f>
        <v>22.5</v>
      </c>
      <c r="K267" s="22" cm="1">
        <f t="array" ref="K267">_xlfn.XLOOKUP(1,((Metas_Diarias[[#This Row],[tipo_equipe_id]]=Metas[equipe])*(Metas_Diarias[[#This Row],[data]]&gt;Metas[data_inicio])*(Metas_Diarias[[#This Row],[data]]&lt;Metas[data_fim])),Metas[meta_mensal],0)</f>
        <v>160000</v>
      </c>
      <c r="L267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268" spans="2:12" x14ac:dyDescent="0.3">
      <c r="B268" s="34">
        <v>45557</v>
      </c>
      <c r="C268" s="34" t="str">
        <f>TEXT(Metas_Diarias[[#This Row],[data]],"dddd")</f>
        <v>domingo</v>
      </c>
      <c r="D268" s="33">
        <v>1</v>
      </c>
      <c r="E268" s="33">
        <v>1</v>
      </c>
      <c r="F268" s="18"/>
      <c r="G268" s="35">
        <f>WEEKDAY(Metas_Diarias[[#This Row],[data]])</f>
        <v>1</v>
      </c>
      <c r="H268" s="35" t="str">
        <f>IF(Metas_Diarias[[#This Row],[dias_da_demana]]=1,"domingo",IF(Metas_Diarias[[#This Row],[dias_da_demana]]=7,0.5,1))</f>
        <v>domingo</v>
      </c>
      <c r="I268" s="35">
        <f>_xlfn.XLOOKUP(Metas_Diarias[[#This Row],[data]],Feriados[Data],Feriados[Feriado],1)</f>
        <v>1</v>
      </c>
      <c r="J268" s="33" cm="1">
        <f t="array" aca="1" ref="J268" ca="1">SUMPRODUCT(IF((NOT(ISERROR(MATCH(ROW(INDIRECT(DATE(YEAR(B268),MONTH(B268),1)&amp;":"&amp;DATE(YEAR(B268),MONTH(B268)+1,0))),Feriados[Data],0))))=FALSE,
IF(WEEKDAY(ROW(INDIRECT(DATE(YEAR(B268),MONTH(B268),1)&amp;":"&amp;DATE(YEAR(B268),MONTH(B268)+1,0))),2)&lt;=5,1,IF(WEEKDAY(ROW(INDIRECT(DATE(YEAR(B268),MONTH(B268),1)&amp;":"&amp;DATE(YEAR(B268),MONTH(B268)+1,0))),2)=6,0.5,0)),0))</f>
        <v>22.5</v>
      </c>
      <c r="K268" s="22" cm="1">
        <f t="array" ref="K268">_xlfn.XLOOKUP(1,((Metas_Diarias[[#This Row],[tipo_equipe_id]]=Metas[equipe])*(Metas_Diarias[[#This Row],[data]]&gt;Metas[data_inicio])*(Metas_Diarias[[#This Row],[data]]&lt;Metas[data_fim])),Metas[meta_mensal],0)</f>
        <v>160000</v>
      </c>
      <c r="L2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" spans="2:12" x14ac:dyDescent="0.3">
      <c r="B269" s="34">
        <v>45558</v>
      </c>
      <c r="C269" s="34" t="str">
        <f>TEXT(Metas_Diarias[[#This Row],[data]],"dddd")</f>
        <v>segunda-feira</v>
      </c>
      <c r="D269" s="33">
        <v>1</v>
      </c>
      <c r="E269" s="33">
        <v>1</v>
      </c>
      <c r="F269" s="18"/>
      <c r="G269" s="35">
        <f>WEEKDAY(Metas_Diarias[[#This Row],[data]])</f>
        <v>2</v>
      </c>
      <c r="H269" s="35">
        <f>IF(Metas_Diarias[[#This Row],[dias_da_demana]]=1,"domingo",IF(Metas_Diarias[[#This Row],[dias_da_demana]]=7,0.5,1))</f>
        <v>1</v>
      </c>
      <c r="I269" s="35">
        <f>_xlfn.XLOOKUP(Metas_Diarias[[#This Row],[data]],Feriados[Data],Feriados[Feriado],1)</f>
        <v>1</v>
      </c>
      <c r="J269" s="33" cm="1">
        <f t="array" aca="1" ref="J269" ca="1">SUMPRODUCT(IF((NOT(ISERROR(MATCH(ROW(INDIRECT(DATE(YEAR(B269),MONTH(B269),1)&amp;":"&amp;DATE(YEAR(B269),MONTH(B269)+1,0))),Feriados[Data],0))))=FALSE,
IF(WEEKDAY(ROW(INDIRECT(DATE(YEAR(B269),MONTH(B269),1)&amp;":"&amp;DATE(YEAR(B269),MONTH(B269)+1,0))),2)&lt;=5,1,IF(WEEKDAY(ROW(INDIRECT(DATE(YEAR(B269),MONTH(B269),1)&amp;":"&amp;DATE(YEAR(B269),MONTH(B269)+1,0))),2)=6,0.5,0)),0))</f>
        <v>22.5</v>
      </c>
      <c r="K269" s="22" cm="1">
        <f t="array" ref="K269">_xlfn.XLOOKUP(1,((Metas_Diarias[[#This Row],[tipo_equipe_id]]=Metas[equipe])*(Metas_Diarias[[#This Row],[data]]&gt;Metas[data_inicio])*(Metas_Diarias[[#This Row],[data]]&lt;Metas[data_fim])),Metas[meta_mensal],0)</f>
        <v>160000</v>
      </c>
      <c r="L269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70" spans="2:12" x14ac:dyDescent="0.3">
      <c r="B270" s="34">
        <v>45559</v>
      </c>
      <c r="C270" s="34" t="str">
        <f>TEXT(Metas_Diarias[[#This Row],[data]],"dddd")</f>
        <v>terça-feira</v>
      </c>
      <c r="D270" s="33">
        <v>1</v>
      </c>
      <c r="E270" s="33">
        <v>1</v>
      </c>
      <c r="F270" s="18"/>
      <c r="G270" s="35">
        <f>WEEKDAY(Metas_Diarias[[#This Row],[data]])</f>
        <v>3</v>
      </c>
      <c r="H270" s="35">
        <f>IF(Metas_Diarias[[#This Row],[dias_da_demana]]=1,"domingo",IF(Metas_Diarias[[#This Row],[dias_da_demana]]=7,0.5,1))</f>
        <v>1</v>
      </c>
      <c r="I270" s="35">
        <f>_xlfn.XLOOKUP(Metas_Diarias[[#This Row],[data]],Feriados[Data],Feriados[Feriado],1)</f>
        <v>1</v>
      </c>
      <c r="J270" s="33" cm="1">
        <f t="array" aca="1" ref="J270" ca="1">SUMPRODUCT(IF((NOT(ISERROR(MATCH(ROW(INDIRECT(DATE(YEAR(B270),MONTH(B270),1)&amp;":"&amp;DATE(YEAR(B270),MONTH(B270)+1,0))),Feriados[Data],0))))=FALSE,
IF(WEEKDAY(ROW(INDIRECT(DATE(YEAR(B270),MONTH(B270),1)&amp;":"&amp;DATE(YEAR(B270),MONTH(B270)+1,0))),2)&lt;=5,1,IF(WEEKDAY(ROW(INDIRECT(DATE(YEAR(B270),MONTH(B270),1)&amp;":"&amp;DATE(YEAR(B270),MONTH(B270)+1,0))),2)=6,0.5,0)),0))</f>
        <v>22.5</v>
      </c>
      <c r="K270" s="22" cm="1">
        <f t="array" ref="K270">_xlfn.XLOOKUP(1,((Metas_Diarias[[#This Row],[tipo_equipe_id]]=Metas[equipe])*(Metas_Diarias[[#This Row],[data]]&gt;Metas[data_inicio])*(Metas_Diarias[[#This Row],[data]]&lt;Metas[data_fim])),Metas[meta_mensal],0)</f>
        <v>160000</v>
      </c>
      <c r="L270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71" spans="2:12" x14ac:dyDescent="0.3">
      <c r="B271" s="34">
        <v>45560</v>
      </c>
      <c r="C271" s="34" t="str">
        <f>TEXT(Metas_Diarias[[#This Row],[data]],"dddd")</f>
        <v>quarta-feira</v>
      </c>
      <c r="D271" s="33">
        <v>1</v>
      </c>
      <c r="E271" s="33">
        <v>1</v>
      </c>
      <c r="F271" s="18"/>
      <c r="G271" s="35">
        <f>WEEKDAY(Metas_Diarias[[#This Row],[data]])</f>
        <v>4</v>
      </c>
      <c r="H271" s="35">
        <f>IF(Metas_Diarias[[#This Row],[dias_da_demana]]=1,"domingo",IF(Metas_Diarias[[#This Row],[dias_da_demana]]=7,0.5,1))</f>
        <v>1</v>
      </c>
      <c r="I271" s="35">
        <f>_xlfn.XLOOKUP(Metas_Diarias[[#This Row],[data]],Feriados[Data],Feriados[Feriado],1)</f>
        <v>1</v>
      </c>
      <c r="J271" s="33" cm="1">
        <f t="array" aca="1" ref="J271" ca="1">SUMPRODUCT(IF((NOT(ISERROR(MATCH(ROW(INDIRECT(DATE(YEAR(B271),MONTH(B271),1)&amp;":"&amp;DATE(YEAR(B271),MONTH(B271)+1,0))),Feriados[Data],0))))=FALSE,
IF(WEEKDAY(ROW(INDIRECT(DATE(YEAR(B271),MONTH(B271),1)&amp;":"&amp;DATE(YEAR(B271),MONTH(B271)+1,0))),2)&lt;=5,1,IF(WEEKDAY(ROW(INDIRECT(DATE(YEAR(B271),MONTH(B271),1)&amp;":"&amp;DATE(YEAR(B271),MONTH(B271)+1,0))),2)=6,0.5,0)),0))</f>
        <v>22.5</v>
      </c>
      <c r="K271" s="22" cm="1">
        <f t="array" ref="K271">_xlfn.XLOOKUP(1,((Metas_Diarias[[#This Row],[tipo_equipe_id]]=Metas[equipe])*(Metas_Diarias[[#This Row],[data]]&gt;Metas[data_inicio])*(Metas_Diarias[[#This Row],[data]]&lt;Metas[data_fim])),Metas[meta_mensal],0)</f>
        <v>160000</v>
      </c>
      <c r="L271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72" spans="2:12" x14ac:dyDescent="0.3">
      <c r="B272" s="34">
        <v>45561</v>
      </c>
      <c r="C272" s="34" t="str">
        <f>TEXT(Metas_Diarias[[#This Row],[data]],"dddd")</f>
        <v>quinta-feira</v>
      </c>
      <c r="D272" s="33">
        <v>1</v>
      </c>
      <c r="E272" s="33">
        <v>1</v>
      </c>
      <c r="F272" s="18"/>
      <c r="G272" s="35">
        <f>WEEKDAY(Metas_Diarias[[#This Row],[data]])</f>
        <v>5</v>
      </c>
      <c r="H272" s="35">
        <f>IF(Metas_Diarias[[#This Row],[dias_da_demana]]=1,"domingo",IF(Metas_Diarias[[#This Row],[dias_da_demana]]=7,0.5,1))</f>
        <v>1</v>
      </c>
      <c r="I272" s="35">
        <f>_xlfn.XLOOKUP(Metas_Diarias[[#This Row],[data]],Feriados[Data],Feriados[Feriado],1)</f>
        <v>1</v>
      </c>
      <c r="J272" s="33" cm="1">
        <f t="array" aca="1" ref="J272" ca="1">SUMPRODUCT(IF((NOT(ISERROR(MATCH(ROW(INDIRECT(DATE(YEAR(B272),MONTH(B272),1)&amp;":"&amp;DATE(YEAR(B272),MONTH(B272)+1,0))),Feriados[Data],0))))=FALSE,
IF(WEEKDAY(ROW(INDIRECT(DATE(YEAR(B272),MONTH(B272),1)&amp;":"&amp;DATE(YEAR(B272),MONTH(B272)+1,0))),2)&lt;=5,1,IF(WEEKDAY(ROW(INDIRECT(DATE(YEAR(B272),MONTH(B272),1)&amp;":"&amp;DATE(YEAR(B272),MONTH(B272)+1,0))),2)=6,0.5,0)),0))</f>
        <v>22.5</v>
      </c>
      <c r="K272" s="22" cm="1">
        <f t="array" ref="K272">_xlfn.XLOOKUP(1,((Metas_Diarias[[#This Row],[tipo_equipe_id]]=Metas[equipe])*(Metas_Diarias[[#This Row],[data]]&gt;Metas[data_inicio])*(Metas_Diarias[[#This Row],[data]]&lt;Metas[data_fim])),Metas[meta_mensal],0)</f>
        <v>160000</v>
      </c>
      <c r="L272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73" spans="2:12" x14ac:dyDescent="0.3">
      <c r="B273" s="34">
        <v>45562</v>
      </c>
      <c r="C273" s="34" t="str">
        <f>TEXT(Metas_Diarias[[#This Row],[data]],"dddd")</f>
        <v>sexta-feira</v>
      </c>
      <c r="D273" s="33">
        <v>1</v>
      </c>
      <c r="E273" s="33">
        <v>1</v>
      </c>
      <c r="F273" s="18"/>
      <c r="G273" s="35">
        <f>WEEKDAY(Metas_Diarias[[#This Row],[data]])</f>
        <v>6</v>
      </c>
      <c r="H273" s="35">
        <f>IF(Metas_Diarias[[#This Row],[dias_da_demana]]=1,"domingo",IF(Metas_Diarias[[#This Row],[dias_da_demana]]=7,0.5,1))</f>
        <v>1</v>
      </c>
      <c r="I273" s="35">
        <f>_xlfn.XLOOKUP(Metas_Diarias[[#This Row],[data]],Feriados[Data],Feriados[Feriado],1)</f>
        <v>1</v>
      </c>
      <c r="J273" s="33" cm="1">
        <f t="array" aca="1" ref="J273" ca="1">SUMPRODUCT(IF((NOT(ISERROR(MATCH(ROW(INDIRECT(DATE(YEAR(B273),MONTH(B273),1)&amp;":"&amp;DATE(YEAR(B273),MONTH(B273)+1,0))),Feriados[Data],0))))=FALSE,
IF(WEEKDAY(ROW(INDIRECT(DATE(YEAR(B273),MONTH(B273),1)&amp;":"&amp;DATE(YEAR(B273),MONTH(B273)+1,0))),2)&lt;=5,1,IF(WEEKDAY(ROW(INDIRECT(DATE(YEAR(B273),MONTH(B273),1)&amp;":"&amp;DATE(YEAR(B273),MONTH(B273)+1,0))),2)=6,0.5,0)),0))</f>
        <v>22.5</v>
      </c>
      <c r="K273" s="22" cm="1">
        <f t="array" ref="K273">_xlfn.XLOOKUP(1,((Metas_Diarias[[#This Row],[tipo_equipe_id]]=Metas[equipe])*(Metas_Diarias[[#This Row],[data]]&gt;Metas[data_inicio])*(Metas_Diarias[[#This Row],[data]]&lt;Metas[data_fim])),Metas[meta_mensal],0)</f>
        <v>160000</v>
      </c>
      <c r="L273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74" spans="2:12" x14ac:dyDescent="0.3">
      <c r="B274" s="34">
        <v>45563</v>
      </c>
      <c r="C274" s="34" t="str">
        <f>TEXT(Metas_Diarias[[#This Row],[data]],"dddd")</f>
        <v>sábado</v>
      </c>
      <c r="D274" s="33">
        <v>1</v>
      </c>
      <c r="E274" s="33">
        <v>1</v>
      </c>
      <c r="F274" s="18"/>
      <c r="G274" s="35">
        <f>WEEKDAY(Metas_Diarias[[#This Row],[data]])</f>
        <v>7</v>
      </c>
      <c r="H274" s="35">
        <f>IF(Metas_Diarias[[#This Row],[dias_da_demana]]=1,"domingo",IF(Metas_Diarias[[#This Row],[dias_da_demana]]=7,0.5,1))</f>
        <v>0.5</v>
      </c>
      <c r="I274" s="35">
        <f>_xlfn.XLOOKUP(Metas_Diarias[[#This Row],[data]],Feriados[Data],Feriados[Feriado],1)</f>
        <v>1</v>
      </c>
      <c r="J274" s="33" cm="1">
        <f t="array" aca="1" ref="J274" ca="1">SUMPRODUCT(IF((NOT(ISERROR(MATCH(ROW(INDIRECT(DATE(YEAR(B274),MONTH(B274),1)&amp;":"&amp;DATE(YEAR(B274),MONTH(B274)+1,0))),Feriados[Data],0))))=FALSE,
IF(WEEKDAY(ROW(INDIRECT(DATE(YEAR(B274),MONTH(B274),1)&amp;":"&amp;DATE(YEAR(B274),MONTH(B274)+1,0))),2)&lt;=5,1,IF(WEEKDAY(ROW(INDIRECT(DATE(YEAR(B274),MONTH(B274),1)&amp;":"&amp;DATE(YEAR(B274),MONTH(B274)+1,0))),2)=6,0.5,0)),0))</f>
        <v>22.5</v>
      </c>
      <c r="K274" s="22" cm="1">
        <f t="array" ref="K274">_xlfn.XLOOKUP(1,((Metas_Diarias[[#This Row],[tipo_equipe_id]]=Metas[equipe])*(Metas_Diarias[[#This Row],[data]]&gt;Metas[data_inicio])*(Metas_Diarias[[#This Row],[data]]&lt;Metas[data_fim])),Metas[meta_mensal],0)</f>
        <v>160000</v>
      </c>
      <c r="L274" s="24">
        <f ca="1">Metas_Diarias[[#This Row],[meta_mensal]]*IF(Metas_Diarias[[#This Row],[semana]]="domingo",0,Metas_Diarias[[#This Row],[semana]])*IF(Metas_Diarias[[#This Row],[feriado]]&lt;&gt;1,0,1)/Metas_Diarias[[#This Row],[dias_úteis_Mês]]</f>
        <v>3555.5555555555557</v>
      </c>
    </row>
    <row r="275" spans="2:12" x14ac:dyDescent="0.3">
      <c r="B275" s="34">
        <v>45564</v>
      </c>
      <c r="C275" s="34" t="str">
        <f>TEXT(Metas_Diarias[[#This Row],[data]],"dddd")</f>
        <v>domingo</v>
      </c>
      <c r="D275" s="33">
        <v>1</v>
      </c>
      <c r="E275" s="33">
        <v>1</v>
      </c>
      <c r="F275" s="18"/>
      <c r="G275" s="35">
        <f>WEEKDAY(Metas_Diarias[[#This Row],[data]])</f>
        <v>1</v>
      </c>
      <c r="H275" s="35" t="str">
        <f>IF(Metas_Diarias[[#This Row],[dias_da_demana]]=1,"domingo",IF(Metas_Diarias[[#This Row],[dias_da_demana]]=7,0.5,1))</f>
        <v>domingo</v>
      </c>
      <c r="I275" s="35">
        <f>_xlfn.XLOOKUP(Metas_Diarias[[#This Row],[data]],Feriados[Data],Feriados[Feriado],1)</f>
        <v>1</v>
      </c>
      <c r="J275" s="33" cm="1">
        <f t="array" aca="1" ref="J275" ca="1">SUMPRODUCT(IF((NOT(ISERROR(MATCH(ROW(INDIRECT(DATE(YEAR(B275),MONTH(B275),1)&amp;":"&amp;DATE(YEAR(B275),MONTH(B275)+1,0))),Feriados[Data],0))))=FALSE,
IF(WEEKDAY(ROW(INDIRECT(DATE(YEAR(B275),MONTH(B275),1)&amp;":"&amp;DATE(YEAR(B275),MONTH(B275)+1,0))),2)&lt;=5,1,IF(WEEKDAY(ROW(INDIRECT(DATE(YEAR(B275),MONTH(B275),1)&amp;":"&amp;DATE(YEAR(B275),MONTH(B275)+1,0))),2)=6,0.5,0)),0))</f>
        <v>22.5</v>
      </c>
      <c r="K275" s="22" cm="1">
        <f t="array" ref="K275">_xlfn.XLOOKUP(1,((Metas_Diarias[[#This Row],[tipo_equipe_id]]=Metas[equipe])*(Metas_Diarias[[#This Row],[data]]&gt;Metas[data_inicio])*(Metas_Diarias[[#This Row],[data]]&lt;Metas[data_fim])),Metas[meta_mensal],0)</f>
        <v>160000</v>
      </c>
      <c r="L2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" spans="2:12" x14ac:dyDescent="0.3">
      <c r="B276" s="34">
        <v>45565</v>
      </c>
      <c r="C276" s="34" t="str">
        <f>TEXT(Metas_Diarias[[#This Row],[data]],"dddd")</f>
        <v>segunda-feira</v>
      </c>
      <c r="D276" s="33">
        <v>1</v>
      </c>
      <c r="E276" s="33">
        <v>1</v>
      </c>
      <c r="F276" s="18"/>
      <c r="G276" s="35">
        <f>WEEKDAY(Metas_Diarias[[#This Row],[data]])</f>
        <v>2</v>
      </c>
      <c r="H276" s="35">
        <f>IF(Metas_Diarias[[#This Row],[dias_da_demana]]=1,"domingo",IF(Metas_Diarias[[#This Row],[dias_da_demana]]=7,0.5,1))</f>
        <v>1</v>
      </c>
      <c r="I276" s="35">
        <f>_xlfn.XLOOKUP(Metas_Diarias[[#This Row],[data]],Feriados[Data],Feriados[Feriado],1)</f>
        <v>1</v>
      </c>
      <c r="J276" s="33" cm="1">
        <f t="array" aca="1" ref="J276" ca="1">SUMPRODUCT(IF((NOT(ISERROR(MATCH(ROW(INDIRECT(DATE(YEAR(B276),MONTH(B276),1)&amp;":"&amp;DATE(YEAR(B276),MONTH(B276)+1,0))),Feriados[Data],0))))=FALSE,
IF(WEEKDAY(ROW(INDIRECT(DATE(YEAR(B276),MONTH(B276),1)&amp;":"&amp;DATE(YEAR(B276),MONTH(B276)+1,0))),2)&lt;=5,1,IF(WEEKDAY(ROW(INDIRECT(DATE(YEAR(B276),MONTH(B276),1)&amp;":"&amp;DATE(YEAR(B276),MONTH(B276)+1,0))),2)=6,0.5,0)),0))</f>
        <v>22.5</v>
      </c>
      <c r="K276" s="22" cm="1">
        <f t="array" ref="K276">_xlfn.XLOOKUP(1,((Metas_Diarias[[#This Row],[tipo_equipe_id]]=Metas[equipe])*(Metas_Diarias[[#This Row],[data]]&gt;Metas[data_inicio])*(Metas_Diarias[[#This Row],[data]]&lt;Metas[data_fim])),Metas[meta_mensal],0)</f>
        <v>160000</v>
      </c>
      <c r="L276" s="24">
        <f ca="1">Metas_Diarias[[#This Row],[meta_mensal]]*IF(Metas_Diarias[[#This Row],[semana]]="domingo",0,Metas_Diarias[[#This Row],[semana]])*IF(Metas_Diarias[[#This Row],[feriado]]&lt;&gt;1,0,1)/Metas_Diarias[[#This Row],[dias_úteis_Mês]]</f>
        <v>7111.1111111111113</v>
      </c>
    </row>
    <row r="277" spans="2:12" x14ac:dyDescent="0.3">
      <c r="B277" s="34">
        <v>45566</v>
      </c>
      <c r="C277" s="34" t="str">
        <f>TEXT(Metas_Diarias[[#This Row],[data]],"dddd")</f>
        <v>terça-feira</v>
      </c>
      <c r="D277" s="33">
        <v>1</v>
      </c>
      <c r="E277" s="33">
        <v>1</v>
      </c>
      <c r="F277" s="18"/>
      <c r="G277" s="35">
        <f>WEEKDAY(Metas_Diarias[[#This Row],[data]])</f>
        <v>3</v>
      </c>
      <c r="H277" s="35">
        <f>IF(Metas_Diarias[[#This Row],[dias_da_demana]]=1,"domingo",IF(Metas_Diarias[[#This Row],[dias_da_demana]]=7,0.5,1))</f>
        <v>1</v>
      </c>
      <c r="I277" s="35">
        <f>_xlfn.XLOOKUP(Metas_Diarias[[#This Row],[data]],Feriados[Data],Feriados[Feriado],1)</f>
        <v>1</v>
      </c>
      <c r="J277" s="33" cm="1">
        <f t="array" aca="1" ref="J277" ca="1">SUMPRODUCT(IF((NOT(ISERROR(MATCH(ROW(INDIRECT(DATE(YEAR(B277),MONTH(B277),1)&amp;":"&amp;DATE(YEAR(B277),MONTH(B277)+1,0))),Feriados[Data],0))))=FALSE,
IF(WEEKDAY(ROW(INDIRECT(DATE(YEAR(B277),MONTH(B277),1)&amp;":"&amp;DATE(YEAR(B277),MONTH(B277)+1,0))),2)&lt;=5,1,IF(WEEKDAY(ROW(INDIRECT(DATE(YEAR(B277),MONTH(B277),1)&amp;":"&amp;DATE(YEAR(B277),MONTH(B277)+1,0))),2)=6,0.5,0)),0))</f>
        <v>24.5</v>
      </c>
      <c r="K277" s="22" cm="1">
        <f t="array" ref="K277">_xlfn.XLOOKUP(1,((Metas_Diarias[[#This Row],[tipo_equipe_id]]=Metas[equipe])*(Metas_Diarias[[#This Row],[data]]&gt;Metas[data_inicio])*(Metas_Diarias[[#This Row],[data]]&lt;Metas[data_fim])),Metas[meta_mensal],0)</f>
        <v>160000</v>
      </c>
      <c r="L277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78" spans="2:12" x14ac:dyDescent="0.3">
      <c r="B278" s="34">
        <v>45567</v>
      </c>
      <c r="C278" s="34" t="str">
        <f>TEXT(Metas_Diarias[[#This Row],[data]],"dddd")</f>
        <v>quarta-feira</v>
      </c>
      <c r="D278" s="33">
        <v>1</v>
      </c>
      <c r="E278" s="33">
        <v>1</v>
      </c>
      <c r="F278" s="18"/>
      <c r="G278" s="35">
        <f>WEEKDAY(Metas_Diarias[[#This Row],[data]])</f>
        <v>4</v>
      </c>
      <c r="H278" s="35">
        <f>IF(Metas_Diarias[[#This Row],[dias_da_demana]]=1,"domingo",IF(Metas_Diarias[[#This Row],[dias_da_demana]]=7,0.5,1))</f>
        <v>1</v>
      </c>
      <c r="I278" s="35">
        <f>_xlfn.XLOOKUP(Metas_Diarias[[#This Row],[data]],Feriados[Data],Feriados[Feriado],1)</f>
        <v>1</v>
      </c>
      <c r="J278" s="33" cm="1">
        <f t="array" aca="1" ref="J278" ca="1">SUMPRODUCT(IF((NOT(ISERROR(MATCH(ROW(INDIRECT(DATE(YEAR(B278),MONTH(B278),1)&amp;":"&amp;DATE(YEAR(B278),MONTH(B278)+1,0))),Feriados[Data],0))))=FALSE,
IF(WEEKDAY(ROW(INDIRECT(DATE(YEAR(B278),MONTH(B278),1)&amp;":"&amp;DATE(YEAR(B278),MONTH(B278)+1,0))),2)&lt;=5,1,IF(WEEKDAY(ROW(INDIRECT(DATE(YEAR(B278),MONTH(B278),1)&amp;":"&amp;DATE(YEAR(B278),MONTH(B278)+1,0))),2)=6,0.5,0)),0))</f>
        <v>24.5</v>
      </c>
      <c r="K278" s="22" cm="1">
        <f t="array" ref="K278">_xlfn.XLOOKUP(1,((Metas_Diarias[[#This Row],[tipo_equipe_id]]=Metas[equipe])*(Metas_Diarias[[#This Row],[data]]&gt;Metas[data_inicio])*(Metas_Diarias[[#This Row],[data]]&lt;Metas[data_fim])),Metas[meta_mensal],0)</f>
        <v>160000</v>
      </c>
      <c r="L278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79" spans="2:12" x14ac:dyDescent="0.3">
      <c r="B279" s="34">
        <v>45568</v>
      </c>
      <c r="C279" s="34" t="str">
        <f>TEXT(Metas_Diarias[[#This Row],[data]],"dddd")</f>
        <v>quinta-feira</v>
      </c>
      <c r="D279" s="33">
        <v>1</v>
      </c>
      <c r="E279" s="33">
        <v>1</v>
      </c>
      <c r="F279" s="18"/>
      <c r="G279" s="35">
        <f>WEEKDAY(Metas_Diarias[[#This Row],[data]])</f>
        <v>5</v>
      </c>
      <c r="H279" s="35">
        <f>IF(Metas_Diarias[[#This Row],[dias_da_demana]]=1,"domingo",IF(Metas_Diarias[[#This Row],[dias_da_demana]]=7,0.5,1))</f>
        <v>1</v>
      </c>
      <c r="I279" s="35">
        <f>_xlfn.XLOOKUP(Metas_Diarias[[#This Row],[data]],Feriados[Data],Feriados[Feriado],1)</f>
        <v>1</v>
      </c>
      <c r="J279" s="33" cm="1">
        <f t="array" aca="1" ref="J279" ca="1">SUMPRODUCT(IF((NOT(ISERROR(MATCH(ROW(INDIRECT(DATE(YEAR(B279),MONTH(B279),1)&amp;":"&amp;DATE(YEAR(B279),MONTH(B279)+1,0))),Feriados[Data],0))))=FALSE,
IF(WEEKDAY(ROW(INDIRECT(DATE(YEAR(B279),MONTH(B279),1)&amp;":"&amp;DATE(YEAR(B279),MONTH(B279)+1,0))),2)&lt;=5,1,IF(WEEKDAY(ROW(INDIRECT(DATE(YEAR(B279),MONTH(B279),1)&amp;":"&amp;DATE(YEAR(B279),MONTH(B279)+1,0))),2)=6,0.5,0)),0))</f>
        <v>24.5</v>
      </c>
      <c r="K279" s="22" cm="1">
        <f t="array" ref="K279">_xlfn.XLOOKUP(1,((Metas_Diarias[[#This Row],[tipo_equipe_id]]=Metas[equipe])*(Metas_Diarias[[#This Row],[data]]&gt;Metas[data_inicio])*(Metas_Diarias[[#This Row],[data]]&lt;Metas[data_fim])),Metas[meta_mensal],0)</f>
        <v>160000</v>
      </c>
      <c r="L279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80" spans="2:12" x14ac:dyDescent="0.3">
      <c r="B280" s="34">
        <v>45569</v>
      </c>
      <c r="C280" s="34" t="str">
        <f>TEXT(Metas_Diarias[[#This Row],[data]],"dddd")</f>
        <v>sexta-feira</v>
      </c>
      <c r="D280" s="33">
        <v>1</v>
      </c>
      <c r="E280" s="33">
        <v>1</v>
      </c>
      <c r="F280" s="18"/>
      <c r="G280" s="35">
        <f>WEEKDAY(Metas_Diarias[[#This Row],[data]])</f>
        <v>6</v>
      </c>
      <c r="H280" s="35">
        <f>IF(Metas_Diarias[[#This Row],[dias_da_demana]]=1,"domingo",IF(Metas_Diarias[[#This Row],[dias_da_demana]]=7,0.5,1))</f>
        <v>1</v>
      </c>
      <c r="I280" s="35">
        <f>_xlfn.XLOOKUP(Metas_Diarias[[#This Row],[data]],Feriados[Data],Feriados[Feriado],1)</f>
        <v>1</v>
      </c>
      <c r="J280" s="33" cm="1">
        <f t="array" aca="1" ref="J280" ca="1">SUMPRODUCT(IF((NOT(ISERROR(MATCH(ROW(INDIRECT(DATE(YEAR(B280),MONTH(B280),1)&amp;":"&amp;DATE(YEAR(B280),MONTH(B280)+1,0))),Feriados[Data],0))))=FALSE,
IF(WEEKDAY(ROW(INDIRECT(DATE(YEAR(B280),MONTH(B280),1)&amp;":"&amp;DATE(YEAR(B280),MONTH(B280)+1,0))),2)&lt;=5,1,IF(WEEKDAY(ROW(INDIRECT(DATE(YEAR(B280),MONTH(B280),1)&amp;":"&amp;DATE(YEAR(B280),MONTH(B280)+1,0))),2)=6,0.5,0)),0))</f>
        <v>24.5</v>
      </c>
      <c r="K280" s="22" cm="1">
        <f t="array" ref="K280">_xlfn.XLOOKUP(1,((Metas_Diarias[[#This Row],[tipo_equipe_id]]=Metas[equipe])*(Metas_Diarias[[#This Row],[data]]&gt;Metas[data_inicio])*(Metas_Diarias[[#This Row],[data]]&lt;Metas[data_fim])),Metas[meta_mensal],0)</f>
        <v>160000</v>
      </c>
      <c r="L280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81" spans="2:12" x14ac:dyDescent="0.3">
      <c r="B281" s="34">
        <v>45570</v>
      </c>
      <c r="C281" s="34" t="str">
        <f>TEXT(Metas_Diarias[[#This Row],[data]],"dddd")</f>
        <v>sábado</v>
      </c>
      <c r="D281" s="33">
        <v>1</v>
      </c>
      <c r="E281" s="33">
        <v>1</v>
      </c>
      <c r="F281" s="18"/>
      <c r="G281" s="35">
        <f>WEEKDAY(Metas_Diarias[[#This Row],[data]])</f>
        <v>7</v>
      </c>
      <c r="H281" s="35">
        <f>IF(Metas_Diarias[[#This Row],[dias_da_demana]]=1,"domingo",IF(Metas_Diarias[[#This Row],[dias_da_demana]]=7,0.5,1))</f>
        <v>0.5</v>
      </c>
      <c r="I281" s="35">
        <f>_xlfn.XLOOKUP(Metas_Diarias[[#This Row],[data]],Feriados[Data],Feriados[Feriado],1)</f>
        <v>1</v>
      </c>
      <c r="J281" s="33" cm="1">
        <f t="array" aca="1" ref="J281" ca="1">SUMPRODUCT(IF((NOT(ISERROR(MATCH(ROW(INDIRECT(DATE(YEAR(B281),MONTH(B281),1)&amp;":"&amp;DATE(YEAR(B281),MONTH(B281)+1,0))),Feriados[Data],0))))=FALSE,
IF(WEEKDAY(ROW(INDIRECT(DATE(YEAR(B281),MONTH(B281),1)&amp;":"&amp;DATE(YEAR(B281),MONTH(B281)+1,0))),2)&lt;=5,1,IF(WEEKDAY(ROW(INDIRECT(DATE(YEAR(B281),MONTH(B281),1)&amp;":"&amp;DATE(YEAR(B281),MONTH(B281)+1,0))),2)=6,0.5,0)),0))</f>
        <v>24.5</v>
      </c>
      <c r="K281" s="22" cm="1">
        <f t="array" ref="K281">_xlfn.XLOOKUP(1,((Metas_Diarias[[#This Row],[tipo_equipe_id]]=Metas[equipe])*(Metas_Diarias[[#This Row],[data]]&gt;Metas[data_inicio])*(Metas_Diarias[[#This Row],[data]]&lt;Metas[data_fim])),Metas[meta_mensal],0)</f>
        <v>160000</v>
      </c>
      <c r="L281" s="24">
        <f ca="1">Metas_Diarias[[#This Row],[meta_mensal]]*IF(Metas_Diarias[[#This Row],[semana]]="domingo",0,Metas_Diarias[[#This Row],[semana]])*IF(Metas_Diarias[[#This Row],[feriado]]&lt;&gt;1,0,1)/Metas_Diarias[[#This Row],[dias_úteis_Mês]]</f>
        <v>3265.3061224489797</v>
      </c>
    </row>
    <row r="282" spans="2:12" x14ac:dyDescent="0.3">
      <c r="B282" s="34">
        <v>45571</v>
      </c>
      <c r="C282" s="34" t="str">
        <f>TEXT(Metas_Diarias[[#This Row],[data]],"dddd")</f>
        <v>domingo</v>
      </c>
      <c r="D282" s="33">
        <v>1</v>
      </c>
      <c r="E282" s="33">
        <v>1</v>
      </c>
      <c r="F282" s="18"/>
      <c r="G282" s="35">
        <f>WEEKDAY(Metas_Diarias[[#This Row],[data]])</f>
        <v>1</v>
      </c>
      <c r="H282" s="35" t="str">
        <f>IF(Metas_Diarias[[#This Row],[dias_da_demana]]=1,"domingo",IF(Metas_Diarias[[#This Row],[dias_da_demana]]=7,0.5,1))</f>
        <v>domingo</v>
      </c>
      <c r="I282" s="35">
        <f>_xlfn.XLOOKUP(Metas_Diarias[[#This Row],[data]],Feriados[Data],Feriados[Feriado],1)</f>
        <v>1</v>
      </c>
      <c r="J282" s="33" cm="1">
        <f t="array" aca="1" ref="J282" ca="1">SUMPRODUCT(IF((NOT(ISERROR(MATCH(ROW(INDIRECT(DATE(YEAR(B282),MONTH(B282),1)&amp;":"&amp;DATE(YEAR(B282),MONTH(B282)+1,0))),Feriados[Data],0))))=FALSE,
IF(WEEKDAY(ROW(INDIRECT(DATE(YEAR(B282),MONTH(B282),1)&amp;":"&amp;DATE(YEAR(B282),MONTH(B282)+1,0))),2)&lt;=5,1,IF(WEEKDAY(ROW(INDIRECT(DATE(YEAR(B282),MONTH(B282),1)&amp;":"&amp;DATE(YEAR(B282),MONTH(B282)+1,0))),2)=6,0.5,0)),0))</f>
        <v>24.5</v>
      </c>
      <c r="K282" s="22" cm="1">
        <f t="array" ref="K282">_xlfn.XLOOKUP(1,((Metas_Diarias[[#This Row],[tipo_equipe_id]]=Metas[equipe])*(Metas_Diarias[[#This Row],[data]]&gt;Metas[data_inicio])*(Metas_Diarias[[#This Row],[data]]&lt;Metas[data_fim])),Metas[meta_mensal],0)</f>
        <v>160000</v>
      </c>
      <c r="L2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" spans="2:12" x14ac:dyDescent="0.3">
      <c r="B283" s="34">
        <v>45572</v>
      </c>
      <c r="C283" s="34" t="str">
        <f>TEXT(Metas_Diarias[[#This Row],[data]],"dddd")</f>
        <v>segunda-feira</v>
      </c>
      <c r="D283" s="33">
        <v>1</v>
      </c>
      <c r="E283" s="33">
        <v>1</v>
      </c>
      <c r="F283" s="18"/>
      <c r="G283" s="35">
        <f>WEEKDAY(Metas_Diarias[[#This Row],[data]])</f>
        <v>2</v>
      </c>
      <c r="H283" s="35">
        <f>IF(Metas_Diarias[[#This Row],[dias_da_demana]]=1,"domingo",IF(Metas_Diarias[[#This Row],[dias_da_demana]]=7,0.5,1))</f>
        <v>1</v>
      </c>
      <c r="I283" s="35">
        <f>_xlfn.XLOOKUP(Metas_Diarias[[#This Row],[data]],Feriados[Data],Feriados[Feriado],1)</f>
        <v>1</v>
      </c>
      <c r="J283" s="33" cm="1">
        <f t="array" aca="1" ref="J283" ca="1">SUMPRODUCT(IF((NOT(ISERROR(MATCH(ROW(INDIRECT(DATE(YEAR(B283),MONTH(B283),1)&amp;":"&amp;DATE(YEAR(B283),MONTH(B283)+1,0))),Feriados[Data],0))))=FALSE,
IF(WEEKDAY(ROW(INDIRECT(DATE(YEAR(B283),MONTH(B283),1)&amp;":"&amp;DATE(YEAR(B283),MONTH(B283)+1,0))),2)&lt;=5,1,IF(WEEKDAY(ROW(INDIRECT(DATE(YEAR(B283),MONTH(B283),1)&amp;":"&amp;DATE(YEAR(B283),MONTH(B283)+1,0))),2)=6,0.5,0)),0))</f>
        <v>24.5</v>
      </c>
      <c r="K283" s="22" cm="1">
        <f t="array" ref="K283">_xlfn.XLOOKUP(1,((Metas_Diarias[[#This Row],[tipo_equipe_id]]=Metas[equipe])*(Metas_Diarias[[#This Row],[data]]&gt;Metas[data_inicio])*(Metas_Diarias[[#This Row],[data]]&lt;Metas[data_fim])),Metas[meta_mensal],0)</f>
        <v>160000</v>
      </c>
      <c r="L283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84" spans="2:12" x14ac:dyDescent="0.3">
      <c r="B284" s="34">
        <v>45573</v>
      </c>
      <c r="C284" s="34" t="str">
        <f>TEXT(Metas_Diarias[[#This Row],[data]],"dddd")</f>
        <v>terça-feira</v>
      </c>
      <c r="D284" s="33">
        <v>1</v>
      </c>
      <c r="E284" s="33">
        <v>1</v>
      </c>
      <c r="F284" s="18"/>
      <c r="G284" s="35">
        <f>WEEKDAY(Metas_Diarias[[#This Row],[data]])</f>
        <v>3</v>
      </c>
      <c r="H284" s="35">
        <f>IF(Metas_Diarias[[#This Row],[dias_da_demana]]=1,"domingo",IF(Metas_Diarias[[#This Row],[dias_da_demana]]=7,0.5,1))</f>
        <v>1</v>
      </c>
      <c r="I284" s="35">
        <f>_xlfn.XLOOKUP(Metas_Diarias[[#This Row],[data]],Feriados[Data],Feriados[Feriado],1)</f>
        <v>1</v>
      </c>
      <c r="J284" s="33" cm="1">
        <f t="array" aca="1" ref="J284" ca="1">SUMPRODUCT(IF((NOT(ISERROR(MATCH(ROW(INDIRECT(DATE(YEAR(B284),MONTH(B284),1)&amp;":"&amp;DATE(YEAR(B284),MONTH(B284)+1,0))),Feriados[Data],0))))=FALSE,
IF(WEEKDAY(ROW(INDIRECT(DATE(YEAR(B284),MONTH(B284),1)&amp;":"&amp;DATE(YEAR(B284),MONTH(B284)+1,0))),2)&lt;=5,1,IF(WEEKDAY(ROW(INDIRECT(DATE(YEAR(B284),MONTH(B284),1)&amp;":"&amp;DATE(YEAR(B284),MONTH(B284)+1,0))),2)=6,0.5,0)),0))</f>
        <v>24.5</v>
      </c>
      <c r="K284" s="22" cm="1">
        <f t="array" ref="K284">_xlfn.XLOOKUP(1,((Metas_Diarias[[#This Row],[tipo_equipe_id]]=Metas[equipe])*(Metas_Diarias[[#This Row],[data]]&gt;Metas[data_inicio])*(Metas_Diarias[[#This Row],[data]]&lt;Metas[data_fim])),Metas[meta_mensal],0)</f>
        <v>160000</v>
      </c>
      <c r="L284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85" spans="2:12" x14ac:dyDescent="0.3">
      <c r="B285" s="34">
        <v>45574</v>
      </c>
      <c r="C285" s="34" t="str">
        <f>TEXT(Metas_Diarias[[#This Row],[data]],"dddd")</f>
        <v>quarta-feira</v>
      </c>
      <c r="D285" s="33">
        <v>1</v>
      </c>
      <c r="E285" s="33">
        <v>1</v>
      </c>
      <c r="F285" s="18"/>
      <c r="G285" s="35">
        <f>WEEKDAY(Metas_Diarias[[#This Row],[data]])</f>
        <v>4</v>
      </c>
      <c r="H285" s="35">
        <f>IF(Metas_Diarias[[#This Row],[dias_da_demana]]=1,"domingo",IF(Metas_Diarias[[#This Row],[dias_da_demana]]=7,0.5,1))</f>
        <v>1</v>
      </c>
      <c r="I285" s="35">
        <f>_xlfn.XLOOKUP(Metas_Diarias[[#This Row],[data]],Feriados[Data],Feriados[Feriado],1)</f>
        <v>1</v>
      </c>
      <c r="J285" s="33" cm="1">
        <f t="array" aca="1" ref="J285" ca="1">SUMPRODUCT(IF((NOT(ISERROR(MATCH(ROW(INDIRECT(DATE(YEAR(B285),MONTH(B285),1)&amp;":"&amp;DATE(YEAR(B285),MONTH(B285)+1,0))),Feriados[Data],0))))=FALSE,
IF(WEEKDAY(ROW(INDIRECT(DATE(YEAR(B285),MONTH(B285),1)&amp;":"&amp;DATE(YEAR(B285),MONTH(B285)+1,0))),2)&lt;=5,1,IF(WEEKDAY(ROW(INDIRECT(DATE(YEAR(B285),MONTH(B285),1)&amp;":"&amp;DATE(YEAR(B285),MONTH(B285)+1,0))),2)=6,0.5,0)),0))</f>
        <v>24.5</v>
      </c>
      <c r="K285" s="22" cm="1">
        <f t="array" ref="K285">_xlfn.XLOOKUP(1,((Metas_Diarias[[#This Row],[tipo_equipe_id]]=Metas[equipe])*(Metas_Diarias[[#This Row],[data]]&gt;Metas[data_inicio])*(Metas_Diarias[[#This Row],[data]]&lt;Metas[data_fim])),Metas[meta_mensal],0)</f>
        <v>160000</v>
      </c>
      <c r="L285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86" spans="2:12" x14ac:dyDescent="0.3">
      <c r="B286" s="34">
        <v>45575</v>
      </c>
      <c r="C286" s="34" t="str">
        <f>TEXT(Metas_Diarias[[#This Row],[data]],"dddd")</f>
        <v>quinta-feira</v>
      </c>
      <c r="D286" s="33">
        <v>1</v>
      </c>
      <c r="E286" s="33">
        <v>1</v>
      </c>
      <c r="F286" s="18"/>
      <c r="G286" s="35">
        <f>WEEKDAY(Metas_Diarias[[#This Row],[data]])</f>
        <v>5</v>
      </c>
      <c r="H286" s="35">
        <f>IF(Metas_Diarias[[#This Row],[dias_da_demana]]=1,"domingo",IF(Metas_Diarias[[#This Row],[dias_da_demana]]=7,0.5,1))</f>
        <v>1</v>
      </c>
      <c r="I286" s="35">
        <f>_xlfn.XLOOKUP(Metas_Diarias[[#This Row],[data]],Feriados[Data],Feriados[Feriado],1)</f>
        <v>1</v>
      </c>
      <c r="J286" s="33" cm="1">
        <f t="array" aca="1" ref="J286" ca="1">SUMPRODUCT(IF((NOT(ISERROR(MATCH(ROW(INDIRECT(DATE(YEAR(B286),MONTH(B286),1)&amp;":"&amp;DATE(YEAR(B286),MONTH(B286)+1,0))),Feriados[Data],0))))=FALSE,
IF(WEEKDAY(ROW(INDIRECT(DATE(YEAR(B286),MONTH(B286),1)&amp;":"&amp;DATE(YEAR(B286),MONTH(B286)+1,0))),2)&lt;=5,1,IF(WEEKDAY(ROW(INDIRECT(DATE(YEAR(B286),MONTH(B286),1)&amp;":"&amp;DATE(YEAR(B286),MONTH(B286)+1,0))),2)=6,0.5,0)),0))</f>
        <v>24.5</v>
      </c>
      <c r="K286" s="22" cm="1">
        <f t="array" ref="K286">_xlfn.XLOOKUP(1,((Metas_Diarias[[#This Row],[tipo_equipe_id]]=Metas[equipe])*(Metas_Diarias[[#This Row],[data]]&gt;Metas[data_inicio])*(Metas_Diarias[[#This Row],[data]]&lt;Metas[data_fim])),Metas[meta_mensal],0)</f>
        <v>160000</v>
      </c>
      <c r="L286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87" spans="2:12" x14ac:dyDescent="0.3">
      <c r="B287" s="34">
        <v>45576</v>
      </c>
      <c r="C287" s="34" t="str">
        <f>TEXT(Metas_Diarias[[#This Row],[data]],"dddd")</f>
        <v>sexta-feira</v>
      </c>
      <c r="D287" s="33">
        <v>1</v>
      </c>
      <c r="E287" s="33">
        <v>1</v>
      </c>
      <c r="F287" s="18"/>
      <c r="G287" s="35">
        <f>WEEKDAY(Metas_Diarias[[#This Row],[data]])</f>
        <v>6</v>
      </c>
      <c r="H287" s="35">
        <f>IF(Metas_Diarias[[#This Row],[dias_da_demana]]=1,"domingo",IF(Metas_Diarias[[#This Row],[dias_da_demana]]=7,0.5,1))</f>
        <v>1</v>
      </c>
      <c r="I287" s="35">
        <f>_xlfn.XLOOKUP(Metas_Diarias[[#This Row],[data]],Feriados[Data],Feriados[Feriado],1)</f>
        <v>1</v>
      </c>
      <c r="J287" s="33" cm="1">
        <f t="array" aca="1" ref="J287" ca="1">SUMPRODUCT(IF((NOT(ISERROR(MATCH(ROW(INDIRECT(DATE(YEAR(B287),MONTH(B287),1)&amp;":"&amp;DATE(YEAR(B287),MONTH(B287)+1,0))),Feriados[Data],0))))=FALSE,
IF(WEEKDAY(ROW(INDIRECT(DATE(YEAR(B287),MONTH(B287),1)&amp;":"&amp;DATE(YEAR(B287),MONTH(B287)+1,0))),2)&lt;=5,1,IF(WEEKDAY(ROW(INDIRECT(DATE(YEAR(B287),MONTH(B287),1)&amp;":"&amp;DATE(YEAR(B287),MONTH(B287)+1,0))),2)=6,0.5,0)),0))</f>
        <v>24.5</v>
      </c>
      <c r="K287" s="22" cm="1">
        <f t="array" ref="K287">_xlfn.XLOOKUP(1,((Metas_Diarias[[#This Row],[tipo_equipe_id]]=Metas[equipe])*(Metas_Diarias[[#This Row],[data]]&gt;Metas[data_inicio])*(Metas_Diarias[[#This Row],[data]]&lt;Metas[data_fim])),Metas[meta_mensal],0)</f>
        <v>160000</v>
      </c>
      <c r="L287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88" spans="2:12" x14ac:dyDescent="0.3">
      <c r="B288" s="34">
        <v>45577</v>
      </c>
      <c r="C288" s="34" t="str">
        <f>TEXT(Metas_Diarias[[#This Row],[data]],"dddd")</f>
        <v>sábado</v>
      </c>
      <c r="D288" s="33">
        <v>1</v>
      </c>
      <c r="E288" s="33">
        <v>1</v>
      </c>
      <c r="F288" s="18"/>
      <c r="G288" s="35">
        <f>WEEKDAY(Metas_Diarias[[#This Row],[data]])</f>
        <v>7</v>
      </c>
      <c r="H288" s="35">
        <f>IF(Metas_Diarias[[#This Row],[dias_da_demana]]=1,"domingo",IF(Metas_Diarias[[#This Row],[dias_da_demana]]=7,0.5,1))</f>
        <v>0.5</v>
      </c>
      <c r="I288" s="35" t="str">
        <f>_xlfn.XLOOKUP(Metas_Diarias[[#This Row],[data]],Feriados[Data],Feriados[Feriado],1)</f>
        <v>Nossa Sr.a Aparecida - Padroeira do Brasil</v>
      </c>
      <c r="J288" s="33" cm="1">
        <f t="array" aca="1" ref="J288" ca="1">SUMPRODUCT(IF((NOT(ISERROR(MATCH(ROW(INDIRECT(DATE(YEAR(B288),MONTH(B288),1)&amp;":"&amp;DATE(YEAR(B288),MONTH(B288)+1,0))),Feriados[Data],0))))=FALSE,
IF(WEEKDAY(ROW(INDIRECT(DATE(YEAR(B288),MONTH(B288),1)&amp;":"&amp;DATE(YEAR(B288),MONTH(B288)+1,0))),2)&lt;=5,1,IF(WEEKDAY(ROW(INDIRECT(DATE(YEAR(B288),MONTH(B288),1)&amp;":"&amp;DATE(YEAR(B288),MONTH(B288)+1,0))),2)=6,0.5,0)),0))</f>
        <v>24.5</v>
      </c>
      <c r="K288" s="22" cm="1">
        <f t="array" ref="K288">_xlfn.XLOOKUP(1,((Metas_Diarias[[#This Row],[tipo_equipe_id]]=Metas[equipe])*(Metas_Diarias[[#This Row],[data]]&gt;Metas[data_inicio])*(Metas_Diarias[[#This Row],[data]]&lt;Metas[data_fim])),Metas[meta_mensal],0)</f>
        <v>160000</v>
      </c>
      <c r="L28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" spans="2:12" x14ac:dyDescent="0.3">
      <c r="B289" s="34">
        <v>45578</v>
      </c>
      <c r="C289" s="34" t="str">
        <f>TEXT(Metas_Diarias[[#This Row],[data]],"dddd")</f>
        <v>domingo</v>
      </c>
      <c r="D289" s="33">
        <v>1</v>
      </c>
      <c r="E289" s="33">
        <v>1</v>
      </c>
      <c r="F289" s="18"/>
      <c r="G289" s="35">
        <f>WEEKDAY(Metas_Diarias[[#This Row],[data]])</f>
        <v>1</v>
      </c>
      <c r="H289" s="35" t="str">
        <f>IF(Metas_Diarias[[#This Row],[dias_da_demana]]=1,"domingo",IF(Metas_Diarias[[#This Row],[dias_da_demana]]=7,0.5,1))</f>
        <v>domingo</v>
      </c>
      <c r="I289" s="35">
        <f>_xlfn.XLOOKUP(Metas_Diarias[[#This Row],[data]],Feriados[Data],Feriados[Feriado],1)</f>
        <v>1</v>
      </c>
      <c r="J289" s="33" cm="1">
        <f t="array" aca="1" ref="J289" ca="1">SUMPRODUCT(IF((NOT(ISERROR(MATCH(ROW(INDIRECT(DATE(YEAR(B289),MONTH(B289),1)&amp;":"&amp;DATE(YEAR(B289),MONTH(B289)+1,0))),Feriados[Data],0))))=FALSE,
IF(WEEKDAY(ROW(INDIRECT(DATE(YEAR(B289),MONTH(B289),1)&amp;":"&amp;DATE(YEAR(B289),MONTH(B289)+1,0))),2)&lt;=5,1,IF(WEEKDAY(ROW(INDIRECT(DATE(YEAR(B289),MONTH(B289),1)&amp;":"&amp;DATE(YEAR(B289),MONTH(B289)+1,0))),2)=6,0.5,0)),0))</f>
        <v>24.5</v>
      </c>
      <c r="K289" s="22" cm="1">
        <f t="array" ref="K289">_xlfn.XLOOKUP(1,((Metas_Diarias[[#This Row],[tipo_equipe_id]]=Metas[equipe])*(Metas_Diarias[[#This Row],[data]]&gt;Metas[data_inicio])*(Metas_Diarias[[#This Row],[data]]&lt;Metas[data_fim])),Metas[meta_mensal],0)</f>
        <v>160000</v>
      </c>
      <c r="L2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" spans="2:12" x14ac:dyDescent="0.3">
      <c r="B290" s="34">
        <v>45579</v>
      </c>
      <c r="C290" s="34" t="str">
        <f>TEXT(Metas_Diarias[[#This Row],[data]],"dddd")</f>
        <v>segunda-feira</v>
      </c>
      <c r="D290" s="33">
        <v>1</v>
      </c>
      <c r="E290" s="33">
        <v>1</v>
      </c>
      <c r="F290" s="18"/>
      <c r="G290" s="35">
        <f>WEEKDAY(Metas_Diarias[[#This Row],[data]])</f>
        <v>2</v>
      </c>
      <c r="H290" s="35">
        <f>IF(Metas_Diarias[[#This Row],[dias_da_demana]]=1,"domingo",IF(Metas_Diarias[[#This Row],[dias_da_demana]]=7,0.5,1))</f>
        <v>1</v>
      </c>
      <c r="I290" s="35">
        <f>_xlfn.XLOOKUP(Metas_Diarias[[#This Row],[data]],Feriados[Data],Feriados[Feriado],1)</f>
        <v>1</v>
      </c>
      <c r="J290" s="33" cm="1">
        <f t="array" aca="1" ref="J290" ca="1">SUMPRODUCT(IF((NOT(ISERROR(MATCH(ROW(INDIRECT(DATE(YEAR(B290),MONTH(B290),1)&amp;":"&amp;DATE(YEAR(B290),MONTH(B290)+1,0))),Feriados[Data],0))))=FALSE,
IF(WEEKDAY(ROW(INDIRECT(DATE(YEAR(B290),MONTH(B290),1)&amp;":"&amp;DATE(YEAR(B290),MONTH(B290)+1,0))),2)&lt;=5,1,IF(WEEKDAY(ROW(INDIRECT(DATE(YEAR(B290),MONTH(B290),1)&amp;":"&amp;DATE(YEAR(B290),MONTH(B290)+1,0))),2)=6,0.5,0)),0))</f>
        <v>24.5</v>
      </c>
      <c r="K290" s="22" cm="1">
        <f t="array" ref="K290">_xlfn.XLOOKUP(1,((Metas_Diarias[[#This Row],[tipo_equipe_id]]=Metas[equipe])*(Metas_Diarias[[#This Row],[data]]&gt;Metas[data_inicio])*(Metas_Diarias[[#This Row],[data]]&lt;Metas[data_fim])),Metas[meta_mensal],0)</f>
        <v>160000</v>
      </c>
      <c r="L290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91" spans="2:12" x14ac:dyDescent="0.3">
      <c r="B291" s="34">
        <v>45580</v>
      </c>
      <c r="C291" s="34" t="str">
        <f>TEXT(Metas_Diarias[[#This Row],[data]],"dddd")</f>
        <v>terça-feira</v>
      </c>
      <c r="D291" s="33">
        <v>1</v>
      </c>
      <c r="E291" s="33">
        <v>1</v>
      </c>
      <c r="F291" s="18"/>
      <c r="G291" s="35">
        <f>WEEKDAY(Metas_Diarias[[#This Row],[data]])</f>
        <v>3</v>
      </c>
      <c r="H291" s="35">
        <f>IF(Metas_Diarias[[#This Row],[dias_da_demana]]=1,"domingo",IF(Metas_Diarias[[#This Row],[dias_da_demana]]=7,0.5,1))</f>
        <v>1</v>
      </c>
      <c r="I291" s="35">
        <f>_xlfn.XLOOKUP(Metas_Diarias[[#This Row],[data]],Feriados[Data],Feriados[Feriado],1)</f>
        <v>1</v>
      </c>
      <c r="J291" s="33" cm="1">
        <f t="array" aca="1" ref="J291" ca="1">SUMPRODUCT(IF((NOT(ISERROR(MATCH(ROW(INDIRECT(DATE(YEAR(B291),MONTH(B291),1)&amp;":"&amp;DATE(YEAR(B291),MONTH(B291)+1,0))),Feriados[Data],0))))=FALSE,
IF(WEEKDAY(ROW(INDIRECT(DATE(YEAR(B291),MONTH(B291),1)&amp;":"&amp;DATE(YEAR(B291),MONTH(B291)+1,0))),2)&lt;=5,1,IF(WEEKDAY(ROW(INDIRECT(DATE(YEAR(B291),MONTH(B291),1)&amp;":"&amp;DATE(YEAR(B291),MONTH(B291)+1,0))),2)=6,0.5,0)),0))</f>
        <v>24.5</v>
      </c>
      <c r="K291" s="22" cm="1">
        <f t="array" ref="K291">_xlfn.XLOOKUP(1,((Metas_Diarias[[#This Row],[tipo_equipe_id]]=Metas[equipe])*(Metas_Diarias[[#This Row],[data]]&gt;Metas[data_inicio])*(Metas_Diarias[[#This Row],[data]]&lt;Metas[data_fim])),Metas[meta_mensal],0)</f>
        <v>160000</v>
      </c>
      <c r="L291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92" spans="2:12" x14ac:dyDescent="0.3">
      <c r="B292" s="34">
        <v>45581</v>
      </c>
      <c r="C292" s="34" t="str">
        <f>TEXT(Metas_Diarias[[#This Row],[data]],"dddd")</f>
        <v>quarta-feira</v>
      </c>
      <c r="D292" s="33">
        <v>1</v>
      </c>
      <c r="E292" s="33">
        <v>1</v>
      </c>
      <c r="F292" s="18"/>
      <c r="G292" s="35">
        <f>WEEKDAY(Metas_Diarias[[#This Row],[data]])</f>
        <v>4</v>
      </c>
      <c r="H292" s="35">
        <f>IF(Metas_Diarias[[#This Row],[dias_da_demana]]=1,"domingo",IF(Metas_Diarias[[#This Row],[dias_da_demana]]=7,0.5,1))</f>
        <v>1</v>
      </c>
      <c r="I292" s="35">
        <f>_xlfn.XLOOKUP(Metas_Diarias[[#This Row],[data]],Feriados[Data],Feriados[Feriado],1)</f>
        <v>1</v>
      </c>
      <c r="J292" s="33" cm="1">
        <f t="array" aca="1" ref="J292" ca="1">SUMPRODUCT(IF((NOT(ISERROR(MATCH(ROW(INDIRECT(DATE(YEAR(B292),MONTH(B292),1)&amp;":"&amp;DATE(YEAR(B292),MONTH(B292)+1,0))),Feriados[Data],0))))=FALSE,
IF(WEEKDAY(ROW(INDIRECT(DATE(YEAR(B292),MONTH(B292),1)&amp;":"&amp;DATE(YEAR(B292),MONTH(B292)+1,0))),2)&lt;=5,1,IF(WEEKDAY(ROW(INDIRECT(DATE(YEAR(B292),MONTH(B292),1)&amp;":"&amp;DATE(YEAR(B292),MONTH(B292)+1,0))),2)=6,0.5,0)),0))</f>
        <v>24.5</v>
      </c>
      <c r="K292" s="22" cm="1">
        <f t="array" ref="K292">_xlfn.XLOOKUP(1,((Metas_Diarias[[#This Row],[tipo_equipe_id]]=Metas[equipe])*(Metas_Diarias[[#This Row],[data]]&gt;Metas[data_inicio])*(Metas_Diarias[[#This Row],[data]]&lt;Metas[data_fim])),Metas[meta_mensal],0)</f>
        <v>160000</v>
      </c>
      <c r="L292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93" spans="2:12" x14ac:dyDescent="0.3">
      <c r="B293" s="34">
        <v>45582</v>
      </c>
      <c r="C293" s="34" t="str">
        <f>TEXT(Metas_Diarias[[#This Row],[data]],"dddd")</f>
        <v>quinta-feira</v>
      </c>
      <c r="D293" s="33">
        <v>1</v>
      </c>
      <c r="E293" s="33">
        <v>1</v>
      </c>
      <c r="F293" s="18"/>
      <c r="G293" s="35">
        <f>WEEKDAY(Metas_Diarias[[#This Row],[data]])</f>
        <v>5</v>
      </c>
      <c r="H293" s="35">
        <f>IF(Metas_Diarias[[#This Row],[dias_da_demana]]=1,"domingo",IF(Metas_Diarias[[#This Row],[dias_da_demana]]=7,0.5,1))</f>
        <v>1</v>
      </c>
      <c r="I293" s="35">
        <f>_xlfn.XLOOKUP(Metas_Diarias[[#This Row],[data]],Feriados[Data],Feriados[Feriado],1)</f>
        <v>1</v>
      </c>
      <c r="J293" s="33" cm="1">
        <f t="array" aca="1" ref="J293" ca="1">SUMPRODUCT(IF((NOT(ISERROR(MATCH(ROW(INDIRECT(DATE(YEAR(B293),MONTH(B293),1)&amp;":"&amp;DATE(YEAR(B293),MONTH(B293)+1,0))),Feriados[Data],0))))=FALSE,
IF(WEEKDAY(ROW(INDIRECT(DATE(YEAR(B293),MONTH(B293),1)&amp;":"&amp;DATE(YEAR(B293),MONTH(B293)+1,0))),2)&lt;=5,1,IF(WEEKDAY(ROW(INDIRECT(DATE(YEAR(B293),MONTH(B293),1)&amp;":"&amp;DATE(YEAR(B293),MONTH(B293)+1,0))),2)=6,0.5,0)),0))</f>
        <v>24.5</v>
      </c>
      <c r="K293" s="22" cm="1">
        <f t="array" ref="K293">_xlfn.XLOOKUP(1,((Metas_Diarias[[#This Row],[tipo_equipe_id]]=Metas[equipe])*(Metas_Diarias[[#This Row],[data]]&gt;Metas[data_inicio])*(Metas_Diarias[[#This Row],[data]]&lt;Metas[data_fim])),Metas[meta_mensal],0)</f>
        <v>160000</v>
      </c>
      <c r="L293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94" spans="2:12" x14ac:dyDescent="0.3">
      <c r="B294" s="34">
        <v>45583</v>
      </c>
      <c r="C294" s="34" t="str">
        <f>TEXT(Metas_Diarias[[#This Row],[data]],"dddd")</f>
        <v>sexta-feira</v>
      </c>
      <c r="D294" s="33">
        <v>1</v>
      </c>
      <c r="E294" s="33">
        <v>1</v>
      </c>
      <c r="F294" s="18"/>
      <c r="G294" s="35">
        <f>WEEKDAY(Metas_Diarias[[#This Row],[data]])</f>
        <v>6</v>
      </c>
      <c r="H294" s="35">
        <f>IF(Metas_Diarias[[#This Row],[dias_da_demana]]=1,"domingo",IF(Metas_Diarias[[#This Row],[dias_da_demana]]=7,0.5,1))</f>
        <v>1</v>
      </c>
      <c r="I294" s="35">
        <f>_xlfn.XLOOKUP(Metas_Diarias[[#This Row],[data]],Feriados[Data],Feriados[Feriado],1)</f>
        <v>1</v>
      </c>
      <c r="J294" s="33" cm="1">
        <f t="array" aca="1" ref="J294" ca="1">SUMPRODUCT(IF((NOT(ISERROR(MATCH(ROW(INDIRECT(DATE(YEAR(B294),MONTH(B294),1)&amp;":"&amp;DATE(YEAR(B294),MONTH(B294)+1,0))),Feriados[Data],0))))=FALSE,
IF(WEEKDAY(ROW(INDIRECT(DATE(YEAR(B294),MONTH(B294),1)&amp;":"&amp;DATE(YEAR(B294),MONTH(B294)+1,0))),2)&lt;=5,1,IF(WEEKDAY(ROW(INDIRECT(DATE(YEAR(B294),MONTH(B294),1)&amp;":"&amp;DATE(YEAR(B294),MONTH(B294)+1,0))),2)=6,0.5,0)),0))</f>
        <v>24.5</v>
      </c>
      <c r="K294" s="22" cm="1">
        <f t="array" ref="K294">_xlfn.XLOOKUP(1,((Metas_Diarias[[#This Row],[tipo_equipe_id]]=Metas[equipe])*(Metas_Diarias[[#This Row],[data]]&gt;Metas[data_inicio])*(Metas_Diarias[[#This Row],[data]]&lt;Metas[data_fim])),Metas[meta_mensal],0)</f>
        <v>160000</v>
      </c>
      <c r="L294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95" spans="2:12" x14ac:dyDescent="0.3">
      <c r="B295" s="34">
        <v>45584</v>
      </c>
      <c r="C295" s="34" t="str">
        <f>TEXT(Metas_Diarias[[#This Row],[data]],"dddd")</f>
        <v>sábado</v>
      </c>
      <c r="D295" s="33">
        <v>1</v>
      </c>
      <c r="E295" s="33">
        <v>1</v>
      </c>
      <c r="F295" s="18"/>
      <c r="G295" s="35">
        <f>WEEKDAY(Metas_Diarias[[#This Row],[data]])</f>
        <v>7</v>
      </c>
      <c r="H295" s="35">
        <f>IF(Metas_Diarias[[#This Row],[dias_da_demana]]=1,"domingo",IF(Metas_Diarias[[#This Row],[dias_da_demana]]=7,0.5,1))</f>
        <v>0.5</v>
      </c>
      <c r="I295" s="35">
        <f>_xlfn.XLOOKUP(Metas_Diarias[[#This Row],[data]],Feriados[Data],Feriados[Feriado],1)</f>
        <v>1</v>
      </c>
      <c r="J295" s="33" cm="1">
        <f t="array" aca="1" ref="J295" ca="1">SUMPRODUCT(IF((NOT(ISERROR(MATCH(ROW(INDIRECT(DATE(YEAR(B295),MONTH(B295),1)&amp;":"&amp;DATE(YEAR(B295),MONTH(B295)+1,0))),Feriados[Data],0))))=FALSE,
IF(WEEKDAY(ROW(INDIRECT(DATE(YEAR(B295),MONTH(B295),1)&amp;":"&amp;DATE(YEAR(B295),MONTH(B295)+1,0))),2)&lt;=5,1,IF(WEEKDAY(ROW(INDIRECT(DATE(YEAR(B295),MONTH(B295),1)&amp;":"&amp;DATE(YEAR(B295),MONTH(B295)+1,0))),2)=6,0.5,0)),0))</f>
        <v>24.5</v>
      </c>
      <c r="K295" s="22" cm="1">
        <f t="array" ref="K295">_xlfn.XLOOKUP(1,((Metas_Diarias[[#This Row],[tipo_equipe_id]]=Metas[equipe])*(Metas_Diarias[[#This Row],[data]]&gt;Metas[data_inicio])*(Metas_Diarias[[#This Row],[data]]&lt;Metas[data_fim])),Metas[meta_mensal],0)</f>
        <v>160000</v>
      </c>
      <c r="L295" s="24">
        <f ca="1">Metas_Diarias[[#This Row],[meta_mensal]]*IF(Metas_Diarias[[#This Row],[semana]]="domingo",0,Metas_Diarias[[#This Row],[semana]])*IF(Metas_Diarias[[#This Row],[feriado]]&lt;&gt;1,0,1)/Metas_Diarias[[#This Row],[dias_úteis_Mês]]</f>
        <v>3265.3061224489797</v>
      </c>
    </row>
    <row r="296" spans="2:12" x14ac:dyDescent="0.3">
      <c r="B296" s="34">
        <v>45585</v>
      </c>
      <c r="C296" s="34" t="str">
        <f>TEXT(Metas_Diarias[[#This Row],[data]],"dddd")</f>
        <v>domingo</v>
      </c>
      <c r="D296" s="33">
        <v>1</v>
      </c>
      <c r="E296" s="33">
        <v>1</v>
      </c>
      <c r="F296" s="18"/>
      <c r="G296" s="35">
        <f>WEEKDAY(Metas_Diarias[[#This Row],[data]])</f>
        <v>1</v>
      </c>
      <c r="H296" s="35" t="str">
        <f>IF(Metas_Diarias[[#This Row],[dias_da_demana]]=1,"domingo",IF(Metas_Diarias[[#This Row],[dias_da_demana]]=7,0.5,1))</f>
        <v>domingo</v>
      </c>
      <c r="I296" s="35">
        <f>_xlfn.XLOOKUP(Metas_Diarias[[#This Row],[data]],Feriados[Data],Feriados[Feriado],1)</f>
        <v>1</v>
      </c>
      <c r="J296" s="33" cm="1">
        <f t="array" aca="1" ref="J296" ca="1">SUMPRODUCT(IF((NOT(ISERROR(MATCH(ROW(INDIRECT(DATE(YEAR(B296),MONTH(B296),1)&amp;":"&amp;DATE(YEAR(B296),MONTH(B296)+1,0))),Feriados[Data],0))))=FALSE,
IF(WEEKDAY(ROW(INDIRECT(DATE(YEAR(B296),MONTH(B296),1)&amp;":"&amp;DATE(YEAR(B296),MONTH(B296)+1,0))),2)&lt;=5,1,IF(WEEKDAY(ROW(INDIRECT(DATE(YEAR(B296),MONTH(B296),1)&amp;":"&amp;DATE(YEAR(B296),MONTH(B296)+1,0))),2)=6,0.5,0)),0))</f>
        <v>24.5</v>
      </c>
      <c r="K296" s="22" cm="1">
        <f t="array" ref="K296">_xlfn.XLOOKUP(1,((Metas_Diarias[[#This Row],[tipo_equipe_id]]=Metas[equipe])*(Metas_Diarias[[#This Row],[data]]&gt;Metas[data_inicio])*(Metas_Diarias[[#This Row],[data]]&lt;Metas[data_fim])),Metas[meta_mensal],0)</f>
        <v>160000</v>
      </c>
      <c r="L2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7" spans="2:12" x14ac:dyDescent="0.3">
      <c r="B297" s="34">
        <v>45586</v>
      </c>
      <c r="C297" s="34" t="str">
        <f>TEXT(Metas_Diarias[[#This Row],[data]],"dddd")</f>
        <v>segunda-feira</v>
      </c>
      <c r="D297" s="33">
        <v>1</v>
      </c>
      <c r="E297" s="33">
        <v>1</v>
      </c>
      <c r="F297" s="18"/>
      <c r="G297" s="35">
        <f>WEEKDAY(Metas_Diarias[[#This Row],[data]])</f>
        <v>2</v>
      </c>
      <c r="H297" s="35">
        <f>IF(Metas_Diarias[[#This Row],[dias_da_demana]]=1,"domingo",IF(Metas_Diarias[[#This Row],[dias_da_demana]]=7,0.5,1))</f>
        <v>1</v>
      </c>
      <c r="I297" s="35">
        <f>_xlfn.XLOOKUP(Metas_Diarias[[#This Row],[data]],Feriados[Data],Feriados[Feriado],1)</f>
        <v>1</v>
      </c>
      <c r="J297" s="33" cm="1">
        <f t="array" aca="1" ref="J297" ca="1">SUMPRODUCT(IF((NOT(ISERROR(MATCH(ROW(INDIRECT(DATE(YEAR(B297),MONTH(B297),1)&amp;":"&amp;DATE(YEAR(B297),MONTH(B297)+1,0))),Feriados[Data],0))))=FALSE,
IF(WEEKDAY(ROW(INDIRECT(DATE(YEAR(B297),MONTH(B297),1)&amp;":"&amp;DATE(YEAR(B297),MONTH(B297)+1,0))),2)&lt;=5,1,IF(WEEKDAY(ROW(INDIRECT(DATE(YEAR(B297),MONTH(B297),1)&amp;":"&amp;DATE(YEAR(B297),MONTH(B297)+1,0))),2)=6,0.5,0)),0))</f>
        <v>24.5</v>
      </c>
      <c r="K297" s="22" cm="1">
        <f t="array" ref="K297">_xlfn.XLOOKUP(1,((Metas_Diarias[[#This Row],[tipo_equipe_id]]=Metas[equipe])*(Metas_Diarias[[#This Row],[data]]&gt;Metas[data_inicio])*(Metas_Diarias[[#This Row],[data]]&lt;Metas[data_fim])),Metas[meta_mensal],0)</f>
        <v>160000</v>
      </c>
      <c r="L297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98" spans="2:12" x14ac:dyDescent="0.3">
      <c r="B298" s="34">
        <v>45587</v>
      </c>
      <c r="C298" s="34" t="str">
        <f>TEXT(Metas_Diarias[[#This Row],[data]],"dddd")</f>
        <v>terça-feira</v>
      </c>
      <c r="D298" s="33">
        <v>1</v>
      </c>
      <c r="E298" s="33">
        <v>1</v>
      </c>
      <c r="F298" s="18"/>
      <c r="G298" s="35">
        <f>WEEKDAY(Metas_Diarias[[#This Row],[data]])</f>
        <v>3</v>
      </c>
      <c r="H298" s="35">
        <f>IF(Metas_Diarias[[#This Row],[dias_da_demana]]=1,"domingo",IF(Metas_Diarias[[#This Row],[dias_da_demana]]=7,0.5,1))</f>
        <v>1</v>
      </c>
      <c r="I298" s="35">
        <f>_xlfn.XLOOKUP(Metas_Diarias[[#This Row],[data]],Feriados[Data],Feriados[Feriado],1)</f>
        <v>1</v>
      </c>
      <c r="J298" s="33" cm="1">
        <f t="array" aca="1" ref="J298" ca="1">SUMPRODUCT(IF((NOT(ISERROR(MATCH(ROW(INDIRECT(DATE(YEAR(B298),MONTH(B298),1)&amp;":"&amp;DATE(YEAR(B298),MONTH(B298)+1,0))),Feriados[Data],0))))=FALSE,
IF(WEEKDAY(ROW(INDIRECT(DATE(YEAR(B298),MONTH(B298),1)&amp;":"&amp;DATE(YEAR(B298),MONTH(B298)+1,0))),2)&lt;=5,1,IF(WEEKDAY(ROW(INDIRECT(DATE(YEAR(B298),MONTH(B298),1)&amp;":"&amp;DATE(YEAR(B298),MONTH(B298)+1,0))),2)=6,0.5,0)),0))</f>
        <v>24.5</v>
      </c>
      <c r="K298" s="22" cm="1">
        <f t="array" ref="K298">_xlfn.XLOOKUP(1,((Metas_Diarias[[#This Row],[tipo_equipe_id]]=Metas[equipe])*(Metas_Diarias[[#This Row],[data]]&gt;Metas[data_inicio])*(Metas_Diarias[[#This Row],[data]]&lt;Metas[data_fim])),Metas[meta_mensal],0)</f>
        <v>160000</v>
      </c>
      <c r="L298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299" spans="2:12" x14ac:dyDescent="0.3">
      <c r="B299" s="34">
        <v>45588</v>
      </c>
      <c r="C299" s="34" t="str">
        <f>TEXT(Metas_Diarias[[#This Row],[data]],"dddd")</f>
        <v>quarta-feira</v>
      </c>
      <c r="D299" s="33">
        <v>1</v>
      </c>
      <c r="E299" s="33">
        <v>1</v>
      </c>
      <c r="F299" s="18"/>
      <c r="G299" s="35">
        <f>WEEKDAY(Metas_Diarias[[#This Row],[data]])</f>
        <v>4</v>
      </c>
      <c r="H299" s="35">
        <f>IF(Metas_Diarias[[#This Row],[dias_da_demana]]=1,"domingo",IF(Metas_Diarias[[#This Row],[dias_da_demana]]=7,0.5,1))</f>
        <v>1</v>
      </c>
      <c r="I299" s="35">
        <f>_xlfn.XLOOKUP(Metas_Diarias[[#This Row],[data]],Feriados[Data],Feriados[Feriado],1)</f>
        <v>1</v>
      </c>
      <c r="J299" s="33" cm="1">
        <f t="array" aca="1" ref="J299" ca="1">SUMPRODUCT(IF((NOT(ISERROR(MATCH(ROW(INDIRECT(DATE(YEAR(B299),MONTH(B299),1)&amp;":"&amp;DATE(YEAR(B299),MONTH(B299)+1,0))),Feriados[Data],0))))=FALSE,
IF(WEEKDAY(ROW(INDIRECT(DATE(YEAR(B299),MONTH(B299),1)&amp;":"&amp;DATE(YEAR(B299),MONTH(B299)+1,0))),2)&lt;=5,1,IF(WEEKDAY(ROW(INDIRECT(DATE(YEAR(B299),MONTH(B299),1)&amp;":"&amp;DATE(YEAR(B299),MONTH(B299)+1,0))),2)=6,0.5,0)),0))</f>
        <v>24.5</v>
      </c>
      <c r="K299" s="22" cm="1">
        <f t="array" ref="K299">_xlfn.XLOOKUP(1,((Metas_Diarias[[#This Row],[tipo_equipe_id]]=Metas[equipe])*(Metas_Diarias[[#This Row],[data]]&gt;Metas[data_inicio])*(Metas_Diarias[[#This Row],[data]]&lt;Metas[data_fim])),Metas[meta_mensal],0)</f>
        <v>160000</v>
      </c>
      <c r="L299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300" spans="2:12" x14ac:dyDescent="0.3">
      <c r="B300" s="34">
        <v>45589</v>
      </c>
      <c r="C300" s="34" t="str">
        <f>TEXT(Metas_Diarias[[#This Row],[data]],"dddd")</f>
        <v>quinta-feira</v>
      </c>
      <c r="D300" s="33">
        <v>1</v>
      </c>
      <c r="E300" s="33">
        <v>1</v>
      </c>
      <c r="F300" s="18"/>
      <c r="G300" s="35">
        <f>WEEKDAY(Metas_Diarias[[#This Row],[data]])</f>
        <v>5</v>
      </c>
      <c r="H300" s="35">
        <f>IF(Metas_Diarias[[#This Row],[dias_da_demana]]=1,"domingo",IF(Metas_Diarias[[#This Row],[dias_da_demana]]=7,0.5,1))</f>
        <v>1</v>
      </c>
      <c r="I300" s="35">
        <f>_xlfn.XLOOKUP(Metas_Diarias[[#This Row],[data]],Feriados[Data],Feriados[Feriado],1)</f>
        <v>1</v>
      </c>
      <c r="J300" s="33" cm="1">
        <f t="array" aca="1" ref="J300" ca="1">SUMPRODUCT(IF((NOT(ISERROR(MATCH(ROW(INDIRECT(DATE(YEAR(B300),MONTH(B300),1)&amp;":"&amp;DATE(YEAR(B300),MONTH(B300)+1,0))),Feriados[Data],0))))=FALSE,
IF(WEEKDAY(ROW(INDIRECT(DATE(YEAR(B300),MONTH(B300),1)&amp;":"&amp;DATE(YEAR(B300),MONTH(B300)+1,0))),2)&lt;=5,1,IF(WEEKDAY(ROW(INDIRECT(DATE(YEAR(B300),MONTH(B300),1)&amp;":"&amp;DATE(YEAR(B300),MONTH(B300)+1,0))),2)=6,0.5,0)),0))</f>
        <v>24.5</v>
      </c>
      <c r="K300" s="22" cm="1">
        <f t="array" ref="K300">_xlfn.XLOOKUP(1,((Metas_Diarias[[#This Row],[tipo_equipe_id]]=Metas[equipe])*(Metas_Diarias[[#This Row],[data]]&gt;Metas[data_inicio])*(Metas_Diarias[[#This Row],[data]]&lt;Metas[data_fim])),Metas[meta_mensal],0)</f>
        <v>160000</v>
      </c>
      <c r="L300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301" spans="2:12" x14ac:dyDescent="0.3">
      <c r="B301" s="34">
        <v>45590</v>
      </c>
      <c r="C301" s="34" t="str">
        <f>TEXT(Metas_Diarias[[#This Row],[data]],"dddd")</f>
        <v>sexta-feira</v>
      </c>
      <c r="D301" s="33">
        <v>1</v>
      </c>
      <c r="E301" s="33">
        <v>1</v>
      </c>
      <c r="F301" s="18"/>
      <c r="G301" s="35">
        <f>WEEKDAY(Metas_Diarias[[#This Row],[data]])</f>
        <v>6</v>
      </c>
      <c r="H301" s="35">
        <f>IF(Metas_Diarias[[#This Row],[dias_da_demana]]=1,"domingo",IF(Metas_Diarias[[#This Row],[dias_da_demana]]=7,0.5,1))</f>
        <v>1</v>
      </c>
      <c r="I301" s="35">
        <f>_xlfn.XLOOKUP(Metas_Diarias[[#This Row],[data]],Feriados[Data],Feriados[Feriado],1)</f>
        <v>1</v>
      </c>
      <c r="J301" s="33" cm="1">
        <f t="array" aca="1" ref="J301" ca="1">SUMPRODUCT(IF((NOT(ISERROR(MATCH(ROW(INDIRECT(DATE(YEAR(B301),MONTH(B301),1)&amp;":"&amp;DATE(YEAR(B301),MONTH(B301)+1,0))),Feriados[Data],0))))=FALSE,
IF(WEEKDAY(ROW(INDIRECT(DATE(YEAR(B301),MONTH(B301),1)&amp;":"&amp;DATE(YEAR(B301),MONTH(B301)+1,0))),2)&lt;=5,1,IF(WEEKDAY(ROW(INDIRECT(DATE(YEAR(B301),MONTH(B301),1)&amp;":"&amp;DATE(YEAR(B301),MONTH(B301)+1,0))),2)=6,0.5,0)),0))</f>
        <v>24.5</v>
      </c>
      <c r="K301" s="22" cm="1">
        <f t="array" ref="K301">_xlfn.XLOOKUP(1,((Metas_Diarias[[#This Row],[tipo_equipe_id]]=Metas[equipe])*(Metas_Diarias[[#This Row],[data]]&gt;Metas[data_inicio])*(Metas_Diarias[[#This Row],[data]]&lt;Metas[data_fim])),Metas[meta_mensal],0)</f>
        <v>160000</v>
      </c>
      <c r="L301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302" spans="2:12" x14ac:dyDescent="0.3">
      <c r="B302" s="34">
        <v>45591</v>
      </c>
      <c r="C302" s="34" t="str">
        <f>TEXT(Metas_Diarias[[#This Row],[data]],"dddd")</f>
        <v>sábado</v>
      </c>
      <c r="D302" s="33">
        <v>1</v>
      </c>
      <c r="E302" s="33">
        <v>1</v>
      </c>
      <c r="F302" s="18"/>
      <c r="G302" s="35">
        <f>WEEKDAY(Metas_Diarias[[#This Row],[data]])</f>
        <v>7</v>
      </c>
      <c r="H302" s="35">
        <f>IF(Metas_Diarias[[#This Row],[dias_da_demana]]=1,"domingo",IF(Metas_Diarias[[#This Row],[dias_da_demana]]=7,0.5,1))</f>
        <v>0.5</v>
      </c>
      <c r="I302" s="35">
        <f>_xlfn.XLOOKUP(Metas_Diarias[[#This Row],[data]],Feriados[Data],Feriados[Feriado],1)</f>
        <v>1</v>
      </c>
      <c r="J302" s="33" cm="1">
        <f t="array" aca="1" ref="J302" ca="1">SUMPRODUCT(IF((NOT(ISERROR(MATCH(ROW(INDIRECT(DATE(YEAR(B302),MONTH(B302),1)&amp;":"&amp;DATE(YEAR(B302),MONTH(B302)+1,0))),Feriados[Data],0))))=FALSE,
IF(WEEKDAY(ROW(INDIRECT(DATE(YEAR(B302),MONTH(B302),1)&amp;":"&amp;DATE(YEAR(B302),MONTH(B302)+1,0))),2)&lt;=5,1,IF(WEEKDAY(ROW(INDIRECT(DATE(YEAR(B302),MONTH(B302),1)&amp;":"&amp;DATE(YEAR(B302),MONTH(B302)+1,0))),2)=6,0.5,0)),0))</f>
        <v>24.5</v>
      </c>
      <c r="K302" s="22" cm="1">
        <f t="array" ref="K302">_xlfn.XLOOKUP(1,((Metas_Diarias[[#This Row],[tipo_equipe_id]]=Metas[equipe])*(Metas_Diarias[[#This Row],[data]]&gt;Metas[data_inicio])*(Metas_Diarias[[#This Row],[data]]&lt;Metas[data_fim])),Metas[meta_mensal],0)</f>
        <v>160000</v>
      </c>
      <c r="L302" s="24">
        <f ca="1">Metas_Diarias[[#This Row],[meta_mensal]]*IF(Metas_Diarias[[#This Row],[semana]]="domingo",0,Metas_Diarias[[#This Row],[semana]])*IF(Metas_Diarias[[#This Row],[feriado]]&lt;&gt;1,0,1)/Metas_Diarias[[#This Row],[dias_úteis_Mês]]</f>
        <v>3265.3061224489797</v>
      </c>
    </row>
    <row r="303" spans="2:12" x14ac:dyDescent="0.3">
      <c r="B303" s="34">
        <v>45592</v>
      </c>
      <c r="C303" s="34" t="str">
        <f>TEXT(Metas_Diarias[[#This Row],[data]],"dddd")</f>
        <v>domingo</v>
      </c>
      <c r="D303" s="33">
        <v>1</v>
      </c>
      <c r="E303" s="33">
        <v>1</v>
      </c>
      <c r="F303" s="18"/>
      <c r="G303" s="35">
        <f>WEEKDAY(Metas_Diarias[[#This Row],[data]])</f>
        <v>1</v>
      </c>
      <c r="H303" s="35" t="str">
        <f>IF(Metas_Diarias[[#This Row],[dias_da_demana]]=1,"domingo",IF(Metas_Diarias[[#This Row],[dias_da_demana]]=7,0.5,1))</f>
        <v>domingo</v>
      </c>
      <c r="I303" s="35">
        <f>_xlfn.XLOOKUP(Metas_Diarias[[#This Row],[data]],Feriados[Data],Feriados[Feriado],1)</f>
        <v>1</v>
      </c>
      <c r="J303" s="33" cm="1">
        <f t="array" aca="1" ref="J303" ca="1">SUMPRODUCT(IF((NOT(ISERROR(MATCH(ROW(INDIRECT(DATE(YEAR(B303),MONTH(B303),1)&amp;":"&amp;DATE(YEAR(B303),MONTH(B303)+1,0))),Feriados[Data],0))))=FALSE,
IF(WEEKDAY(ROW(INDIRECT(DATE(YEAR(B303),MONTH(B303),1)&amp;":"&amp;DATE(YEAR(B303),MONTH(B303)+1,0))),2)&lt;=5,1,IF(WEEKDAY(ROW(INDIRECT(DATE(YEAR(B303),MONTH(B303),1)&amp;":"&amp;DATE(YEAR(B303),MONTH(B303)+1,0))),2)=6,0.5,0)),0))</f>
        <v>24.5</v>
      </c>
      <c r="K303" s="22" cm="1">
        <f t="array" ref="K303">_xlfn.XLOOKUP(1,((Metas_Diarias[[#This Row],[tipo_equipe_id]]=Metas[equipe])*(Metas_Diarias[[#This Row],[data]]&gt;Metas[data_inicio])*(Metas_Diarias[[#This Row],[data]]&lt;Metas[data_fim])),Metas[meta_mensal],0)</f>
        <v>160000</v>
      </c>
      <c r="L3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04" spans="2:12" x14ac:dyDescent="0.3">
      <c r="B304" s="34">
        <v>45593</v>
      </c>
      <c r="C304" s="34" t="str">
        <f>TEXT(Metas_Diarias[[#This Row],[data]],"dddd")</f>
        <v>segunda-feira</v>
      </c>
      <c r="D304" s="33">
        <v>1</v>
      </c>
      <c r="E304" s="33">
        <v>1</v>
      </c>
      <c r="F304" s="18"/>
      <c r="G304" s="35">
        <f>WEEKDAY(Metas_Diarias[[#This Row],[data]])</f>
        <v>2</v>
      </c>
      <c r="H304" s="35">
        <f>IF(Metas_Diarias[[#This Row],[dias_da_demana]]=1,"domingo",IF(Metas_Diarias[[#This Row],[dias_da_demana]]=7,0.5,1))</f>
        <v>1</v>
      </c>
      <c r="I304" s="35">
        <f>_xlfn.XLOOKUP(Metas_Diarias[[#This Row],[data]],Feriados[Data],Feriados[Feriado],1)</f>
        <v>1</v>
      </c>
      <c r="J304" s="33" cm="1">
        <f t="array" aca="1" ref="J304" ca="1">SUMPRODUCT(IF((NOT(ISERROR(MATCH(ROW(INDIRECT(DATE(YEAR(B304),MONTH(B304),1)&amp;":"&amp;DATE(YEAR(B304),MONTH(B304)+1,0))),Feriados[Data],0))))=FALSE,
IF(WEEKDAY(ROW(INDIRECT(DATE(YEAR(B304),MONTH(B304),1)&amp;":"&amp;DATE(YEAR(B304),MONTH(B304)+1,0))),2)&lt;=5,1,IF(WEEKDAY(ROW(INDIRECT(DATE(YEAR(B304),MONTH(B304),1)&amp;":"&amp;DATE(YEAR(B304),MONTH(B304)+1,0))),2)=6,0.5,0)),0))</f>
        <v>24.5</v>
      </c>
      <c r="K304" s="22" cm="1">
        <f t="array" ref="K304">_xlfn.XLOOKUP(1,((Metas_Diarias[[#This Row],[tipo_equipe_id]]=Metas[equipe])*(Metas_Diarias[[#This Row],[data]]&gt;Metas[data_inicio])*(Metas_Diarias[[#This Row],[data]]&lt;Metas[data_fim])),Metas[meta_mensal],0)</f>
        <v>160000</v>
      </c>
      <c r="L304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305" spans="2:12" x14ac:dyDescent="0.3">
      <c r="B305" s="34">
        <v>45594</v>
      </c>
      <c r="C305" s="34" t="str">
        <f>TEXT(Metas_Diarias[[#This Row],[data]],"dddd")</f>
        <v>terça-feira</v>
      </c>
      <c r="D305" s="33">
        <v>1</v>
      </c>
      <c r="E305" s="33">
        <v>1</v>
      </c>
      <c r="F305" s="18"/>
      <c r="G305" s="35">
        <f>WEEKDAY(Metas_Diarias[[#This Row],[data]])</f>
        <v>3</v>
      </c>
      <c r="H305" s="35">
        <f>IF(Metas_Diarias[[#This Row],[dias_da_demana]]=1,"domingo",IF(Metas_Diarias[[#This Row],[dias_da_demana]]=7,0.5,1))</f>
        <v>1</v>
      </c>
      <c r="I305" s="35">
        <f>_xlfn.XLOOKUP(Metas_Diarias[[#This Row],[data]],Feriados[Data],Feriados[Feriado],1)</f>
        <v>1</v>
      </c>
      <c r="J305" s="33" cm="1">
        <f t="array" aca="1" ref="J305" ca="1">SUMPRODUCT(IF((NOT(ISERROR(MATCH(ROW(INDIRECT(DATE(YEAR(B305),MONTH(B305),1)&amp;":"&amp;DATE(YEAR(B305),MONTH(B305)+1,0))),Feriados[Data],0))))=FALSE,
IF(WEEKDAY(ROW(INDIRECT(DATE(YEAR(B305),MONTH(B305),1)&amp;":"&amp;DATE(YEAR(B305),MONTH(B305)+1,0))),2)&lt;=5,1,IF(WEEKDAY(ROW(INDIRECT(DATE(YEAR(B305),MONTH(B305),1)&amp;":"&amp;DATE(YEAR(B305),MONTH(B305)+1,0))),2)=6,0.5,0)),0))</f>
        <v>24.5</v>
      </c>
      <c r="K305" s="22" cm="1">
        <f t="array" ref="K305">_xlfn.XLOOKUP(1,((Metas_Diarias[[#This Row],[tipo_equipe_id]]=Metas[equipe])*(Metas_Diarias[[#This Row],[data]]&gt;Metas[data_inicio])*(Metas_Diarias[[#This Row],[data]]&lt;Metas[data_fim])),Metas[meta_mensal],0)</f>
        <v>160000</v>
      </c>
      <c r="L305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306" spans="2:12" x14ac:dyDescent="0.3">
      <c r="B306" s="34">
        <v>45595</v>
      </c>
      <c r="C306" s="34" t="str">
        <f>TEXT(Metas_Diarias[[#This Row],[data]],"dddd")</f>
        <v>quarta-feira</v>
      </c>
      <c r="D306" s="33">
        <v>1</v>
      </c>
      <c r="E306" s="33">
        <v>1</v>
      </c>
      <c r="F306" s="18"/>
      <c r="G306" s="35">
        <f>WEEKDAY(Metas_Diarias[[#This Row],[data]])</f>
        <v>4</v>
      </c>
      <c r="H306" s="35">
        <f>IF(Metas_Diarias[[#This Row],[dias_da_demana]]=1,"domingo",IF(Metas_Diarias[[#This Row],[dias_da_demana]]=7,0.5,1))</f>
        <v>1</v>
      </c>
      <c r="I306" s="35">
        <f>_xlfn.XLOOKUP(Metas_Diarias[[#This Row],[data]],Feriados[Data],Feriados[Feriado],1)</f>
        <v>1</v>
      </c>
      <c r="J306" s="33" cm="1">
        <f t="array" aca="1" ref="J306" ca="1">SUMPRODUCT(IF((NOT(ISERROR(MATCH(ROW(INDIRECT(DATE(YEAR(B306),MONTH(B306),1)&amp;":"&amp;DATE(YEAR(B306),MONTH(B306)+1,0))),Feriados[Data],0))))=FALSE,
IF(WEEKDAY(ROW(INDIRECT(DATE(YEAR(B306),MONTH(B306),1)&amp;":"&amp;DATE(YEAR(B306),MONTH(B306)+1,0))),2)&lt;=5,1,IF(WEEKDAY(ROW(INDIRECT(DATE(YEAR(B306),MONTH(B306),1)&amp;":"&amp;DATE(YEAR(B306),MONTH(B306)+1,0))),2)=6,0.5,0)),0))</f>
        <v>24.5</v>
      </c>
      <c r="K306" s="22" cm="1">
        <f t="array" ref="K306">_xlfn.XLOOKUP(1,((Metas_Diarias[[#This Row],[tipo_equipe_id]]=Metas[equipe])*(Metas_Diarias[[#This Row],[data]]&gt;Metas[data_inicio])*(Metas_Diarias[[#This Row],[data]]&lt;Metas[data_fim])),Metas[meta_mensal],0)</f>
        <v>160000</v>
      </c>
      <c r="L306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307" spans="2:12" x14ac:dyDescent="0.3">
      <c r="B307" s="34">
        <v>45596</v>
      </c>
      <c r="C307" s="34" t="str">
        <f>TEXT(Metas_Diarias[[#This Row],[data]],"dddd")</f>
        <v>quinta-feira</v>
      </c>
      <c r="D307" s="33">
        <v>1</v>
      </c>
      <c r="E307" s="33">
        <v>1</v>
      </c>
      <c r="F307" s="18"/>
      <c r="G307" s="35">
        <f>WEEKDAY(Metas_Diarias[[#This Row],[data]])</f>
        <v>5</v>
      </c>
      <c r="H307" s="35">
        <f>IF(Metas_Diarias[[#This Row],[dias_da_demana]]=1,"domingo",IF(Metas_Diarias[[#This Row],[dias_da_demana]]=7,0.5,1))</f>
        <v>1</v>
      </c>
      <c r="I307" s="35">
        <f>_xlfn.XLOOKUP(Metas_Diarias[[#This Row],[data]],Feriados[Data],Feriados[Feriado],1)</f>
        <v>1</v>
      </c>
      <c r="J307" s="33" cm="1">
        <f t="array" aca="1" ref="J307" ca="1">SUMPRODUCT(IF((NOT(ISERROR(MATCH(ROW(INDIRECT(DATE(YEAR(B307),MONTH(B307),1)&amp;":"&amp;DATE(YEAR(B307),MONTH(B307)+1,0))),Feriados[Data],0))))=FALSE,
IF(WEEKDAY(ROW(INDIRECT(DATE(YEAR(B307),MONTH(B307),1)&amp;":"&amp;DATE(YEAR(B307),MONTH(B307)+1,0))),2)&lt;=5,1,IF(WEEKDAY(ROW(INDIRECT(DATE(YEAR(B307),MONTH(B307),1)&amp;":"&amp;DATE(YEAR(B307),MONTH(B307)+1,0))),2)=6,0.5,0)),0))</f>
        <v>24.5</v>
      </c>
      <c r="K307" s="22" cm="1">
        <f t="array" ref="K307">_xlfn.XLOOKUP(1,((Metas_Diarias[[#This Row],[tipo_equipe_id]]=Metas[equipe])*(Metas_Diarias[[#This Row],[data]]&gt;Metas[data_inicio])*(Metas_Diarias[[#This Row],[data]]&lt;Metas[data_fim])),Metas[meta_mensal],0)</f>
        <v>160000</v>
      </c>
      <c r="L307" s="24">
        <f ca="1">Metas_Diarias[[#This Row],[meta_mensal]]*IF(Metas_Diarias[[#This Row],[semana]]="domingo",0,Metas_Diarias[[#This Row],[semana]])*IF(Metas_Diarias[[#This Row],[feriado]]&lt;&gt;1,0,1)/Metas_Diarias[[#This Row],[dias_úteis_Mês]]</f>
        <v>6530.6122448979595</v>
      </c>
    </row>
    <row r="308" spans="2:12" x14ac:dyDescent="0.3">
      <c r="B308" s="34">
        <v>45597</v>
      </c>
      <c r="C308" s="34" t="str">
        <f>TEXT(Metas_Diarias[[#This Row],[data]],"dddd")</f>
        <v>sexta-feira</v>
      </c>
      <c r="D308" s="33">
        <v>1</v>
      </c>
      <c r="E308" s="33">
        <v>1</v>
      </c>
      <c r="F308" s="18"/>
      <c r="G308" s="35">
        <f>WEEKDAY(Metas_Diarias[[#This Row],[data]])</f>
        <v>6</v>
      </c>
      <c r="H308" s="35">
        <f>IF(Metas_Diarias[[#This Row],[dias_da_demana]]=1,"domingo",IF(Metas_Diarias[[#This Row],[dias_da_demana]]=7,0.5,1))</f>
        <v>1</v>
      </c>
      <c r="I308" s="35">
        <f>_xlfn.XLOOKUP(Metas_Diarias[[#This Row],[data]],Feriados[Data],Feriados[Feriado],1)</f>
        <v>1</v>
      </c>
      <c r="J308" s="33" cm="1">
        <f t="array" aca="1" ref="J308" ca="1">SUMPRODUCT(IF((NOT(ISERROR(MATCH(ROW(INDIRECT(DATE(YEAR(B308),MONTH(B308),1)&amp;":"&amp;DATE(YEAR(B308),MONTH(B308)+1,0))),Feriados[Data],0))))=FALSE,
IF(WEEKDAY(ROW(INDIRECT(DATE(YEAR(B308),MONTH(B308),1)&amp;":"&amp;DATE(YEAR(B308),MONTH(B308)+1,0))),2)&lt;=5,1,IF(WEEKDAY(ROW(INDIRECT(DATE(YEAR(B308),MONTH(B308),1)&amp;":"&amp;DATE(YEAR(B308),MONTH(B308)+1,0))),2)=6,0.5,0)),0))</f>
        <v>22</v>
      </c>
      <c r="K308" s="22" cm="1">
        <f t="array" ref="K308">_xlfn.XLOOKUP(1,((Metas_Diarias[[#This Row],[tipo_equipe_id]]=Metas[equipe])*(Metas_Diarias[[#This Row],[data]]&gt;Metas[data_inicio])*(Metas_Diarias[[#This Row],[data]]&lt;Metas[data_fim])),Metas[meta_mensal],0)</f>
        <v>160000</v>
      </c>
      <c r="L30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09" spans="2:12" x14ac:dyDescent="0.3">
      <c r="B309" s="34">
        <v>45598</v>
      </c>
      <c r="C309" s="34" t="str">
        <f>TEXT(Metas_Diarias[[#This Row],[data]],"dddd")</f>
        <v>sábado</v>
      </c>
      <c r="D309" s="33">
        <v>1</v>
      </c>
      <c r="E309" s="33">
        <v>1</v>
      </c>
      <c r="F309" s="18"/>
      <c r="G309" s="35">
        <f>WEEKDAY(Metas_Diarias[[#This Row],[data]])</f>
        <v>7</v>
      </c>
      <c r="H309" s="35">
        <f>IF(Metas_Diarias[[#This Row],[dias_da_demana]]=1,"domingo",IF(Metas_Diarias[[#This Row],[dias_da_demana]]=7,0.5,1))</f>
        <v>0.5</v>
      </c>
      <c r="I309" s="35" t="str">
        <f>_xlfn.XLOOKUP(Metas_Diarias[[#This Row],[data]],Feriados[Data],Feriados[Feriado],1)</f>
        <v>Finados</v>
      </c>
      <c r="J309" s="33" cm="1">
        <f t="array" aca="1" ref="J309" ca="1">SUMPRODUCT(IF((NOT(ISERROR(MATCH(ROW(INDIRECT(DATE(YEAR(B309),MONTH(B309),1)&amp;":"&amp;DATE(YEAR(B309),MONTH(B309)+1,0))),Feriados[Data],0))))=FALSE,
IF(WEEKDAY(ROW(INDIRECT(DATE(YEAR(B309),MONTH(B309),1)&amp;":"&amp;DATE(YEAR(B309),MONTH(B309)+1,0))),2)&lt;=5,1,IF(WEEKDAY(ROW(INDIRECT(DATE(YEAR(B309),MONTH(B309),1)&amp;":"&amp;DATE(YEAR(B309),MONTH(B309)+1,0))),2)=6,0.5,0)),0))</f>
        <v>22</v>
      </c>
      <c r="K309" s="22" cm="1">
        <f t="array" ref="K309">_xlfn.XLOOKUP(1,((Metas_Diarias[[#This Row],[tipo_equipe_id]]=Metas[equipe])*(Metas_Diarias[[#This Row],[data]]&gt;Metas[data_inicio])*(Metas_Diarias[[#This Row],[data]]&lt;Metas[data_fim])),Metas[meta_mensal],0)</f>
        <v>160000</v>
      </c>
      <c r="L30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10" spans="2:12" x14ac:dyDescent="0.3">
      <c r="B310" s="34">
        <v>45599</v>
      </c>
      <c r="C310" s="34" t="str">
        <f>TEXT(Metas_Diarias[[#This Row],[data]],"dddd")</f>
        <v>domingo</v>
      </c>
      <c r="D310" s="33">
        <v>1</v>
      </c>
      <c r="E310" s="33">
        <v>1</v>
      </c>
      <c r="F310" s="18"/>
      <c r="G310" s="35">
        <f>WEEKDAY(Metas_Diarias[[#This Row],[data]])</f>
        <v>1</v>
      </c>
      <c r="H310" s="35" t="str">
        <f>IF(Metas_Diarias[[#This Row],[dias_da_demana]]=1,"domingo",IF(Metas_Diarias[[#This Row],[dias_da_demana]]=7,0.5,1))</f>
        <v>domingo</v>
      </c>
      <c r="I310" s="35">
        <f>_xlfn.XLOOKUP(Metas_Diarias[[#This Row],[data]],Feriados[Data],Feriados[Feriado],1)</f>
        <v>1</v>
      </c>
      <c r="J310" s="33" cm="1">
        <f t="array" aca="1" ref="J310" ca="1">SUMPRODUCT(IF((NOT(ISERROR(MATCH(ROW(INDIRECT(DATE(YEAR(B310),MONTH(B310),1)&amp;":"&amp;DATE(YEAR(B310),MONTH(B310)+1,0))),Feriados[Data],0))))=FALSE,
IF(WEEKDAY(ROW(INDIRECT(DATE(YEAR(B310),MONTH(B310),1)&amp;":"&amp;DATE(YEAR(B310),MONTH(B310)+1,0))),2)&lt;=5,1,IF(WEEKDAY(ROW(INDIRECT(DATE(YEAR(B310),MONTH(B310),1)&amp;":"&amp;DATE(YEAR(B310),MONTH(B310)+1,0))),2)=6,0.5,0)),0))</f>
        <v>22</v>
      </c>
      <c r="K310" s="22" cm="1">
        <f t="array" ref="K310">_xlfn.XLOOKUP(1,((Metas_Diarias[[#This Row],[tipo_equipe_id]]=Metas[equipe])*(Metas_Diarias[[#This Row],[data]]&gt;Metas[data_inicio])*(Metas_Diarias[[#This Row],[data]]&lt;Metas[data_fim])),Metas[meta_mensal],0)</f>
        <v>160000</v>
      </c>
      <c r="L3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11" spans="2:12" x14ac:dyDescent="0.3">
      <c r="B311" s="34">
        <v>45600</v>
      </c>
      <c r="C311" s="34" t="str">
        <f>TEXT(Metas_Diarias[[#This Row],[data]],"dddd")</f>
        <v>segunda-feira</v>
      </c>
      <c r="D311" s="33">
        <v>1</v>
      </c>
      <c r="E311" s="33">
        <v>1</v>
      </c>
      <c r="F311" s="18"/>
      <c r="G311" s="35">
        <f>WEEKDAY(Metas_Diarias[[#This Row],[data]])</f>
        <v>2</v>
      </c>
      <c r="H311" s="35">
        <f>IF(Metas_Diarias[[#This Row],[dias_da_demana]]=1,"domingo",IF(Metas_Diarias[[#This Row],[dias_da_demana]]=7,0.5,1))</f>
        <v>1</v>
      </c>
      <c r="I311" s="35">
        <f>_xlfn.XLOOKUP(Metas_Diarias[[#This Row],[data]],Feriados[Data],Feriados[Feriado],1)</f>
        <v>1</v>
      </c>
      <c r="J311" s="33" cm="1">
        <f t="array" aca="1" ref="J311" ca="1">SUMPRODUCT(IF((NOT(ISERROR(MATCH(ROW(INDIRECT(DATE(YEAR(B311),MONTH(B311),1)&amp;":"&amp;DATE(YEAR(B311),MONTH(B311)+1,0))),Feriados[Data],0))))=FALSE,
IF(WEEKDAY(ROW(INDIRECT(DATE(YEAR(B311),MONTH(B311),1)&amp;":"&amp;DATE(YEAR(B311),MONTH(B311)+1,0))),2)&lt;=5,1,IF(WEEKDAY(ROW(INDIRECT(DATE(YEAR(B311),MONTH(B311),1)&amp;":"&amp;DATE(YEAR(B311),MONTH(B311)+1,0))),2)=6,0.5,0)),0))</f>
        <v>22</v>
      </c>
      <c r="K311" s="22" cm="1">
        <f t="array" ref="K311">_xlfn.XLOOKUP(1,((Metas_Diarias[[#This Row],[tipo_equipe_id]]=Metas[equipe])*(Metas_Diarias[[#This Row],[data]]&gt;Metas[data_inicio])*(Metas_Diarias[[#This Row],[data]]&lt;Metas[data_fim])),Metas[meta_mensal],0)</f>
        <v>160000</v>
      </c>
      <c r="L311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12" spans="2:12" x14ac:dyDescent="0.3">
      <c r="B312" s="34">
        <v>45601</v>
      </c>
      <c r="C312" s="34" t="str">
        <f>TEXT(Metas_Diarias[[#This Row],[data]],"dddd")</f>
        <v>terça-feira</v>
      </c>
      <c r="D312" s="33">
        <v>1</v>
      </c>
      <c r="E312" s="33">
        <v>1</v>
      </c>
      <c r="F312" s="18"/>
      <c r="G312" s="35">
        <f>WEEKDAY(Metas_Diarias[[#This Row],[data]])</f>
        <v>3</v>
      </c>
      <c r="H312" s="35">
        <f>IF(Metas_Diarias[[#This Row],[dias_da_demana]]=1,"domingo",IF(Metas_Diarias[[#This Row],[dias_da_demana]]=7,0.5,1))</f>
        <v>1</v>
      </c>
      <c r="I312" s="35">
        <f>_xlfn.XLOOKUP(Metas_Diarias[[#This Row],[data]],Feriados[Data],Feriados[Feriado],1)</f>
        <v>1</v>
      </c>
      <c r="J312" s="33" cm="1">
        <f t="array" aca="1" ref="J312" ca="1">SUMPRODUCT(IF((NOT(ISERROR(MATCH(ROW(INDIRECT(DATE(YEAR(B312),MONTH(B312),1)&amp;":"&amp;DATE(YEAR(B312),MONTH(B312)+1,0))),Feriados[Data],0))))=FALSE,
IF(WEEKDAY(ROW(INDIRECT(DATE(YEAR(B312),MONTH(B312),1)&amp;":"&amp;DATE(YEAR(B312),MONTH(B312)+1,0))),2)&lt;=5,1,IF(WEEKDAY(ROW(INDIRECT(DATE(YEAR(B312),MONTH(B312),1)&amp;":"&amp;DATE(YEAR(B312),MONTH(B312)+1,0))),2)=6,0.5,0)),0))</f>
        <v>22</v>
      </c>
      <c r="K312" s="22" cm="1">
        <f t="array" ref="K312">_xlfn.XLOOKUP(1,((Metas_Diarias[[#This Row],[tipo_equipe_id]]=Metas[equipe])*(Metas_Diarias[[#This Row],[data]]&gt;Metas[data_inicio])*(Metas_Diarias[[#This Row],[data]]&lt;Metas[data_fim])),Metas[meta_mensal],0)</f>
        <v>160000</v>
      </c>
      <c r="L31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13" spans="2:12" x14ac:dyDescent="0.3">
      <c r="B313" s="34">
        <v>45602</v>
      </c>
      <c r="C313" s="34" t="str">
        <f>TEXT(Metas_Diarias[[#This Row],[data]],"dddd")</f>
        <v>quarta-feira</v>
      </c>
      <c r="D313" s="33">
        <v>1</v>
      </c>
      <c r="E313" s="33">
        <v>1</v>
      </c>
      <c r="F313" s="18"/>
      <c r="G313" s="35">
        <f>WEEKDAY(Metas_Diarias[[#This Row],[data]])</f>
        <v>4</v>
      </c>
      <c r="H313" s="35">
        <f>IF(Metas_Diarias[[#This Row],[dias_da_demana]]=1,"domingo",IF(Metas_Diarias[[#This Row],[dias_da_demana]]=7,0.5,1))</f>
        <v>1</v>
      </c>
      <c r="I313" s="35">
        <f>_xlfn.XLOOKUP(Metas_Diarias[[#This Row],[data]],Feriados[Data],Feriados[Feriado],1)</f>
        <v>1</v>
      </c>
      <c r="J313" s="33" cm="1">
        <f t="array" aca="1" ref="J313" ca="1">SUMPRODUCT(IF((NOT(ISERROR(MATCH(ROW(INDIRECT(DATE(YEAR(B313),MONTH(B313),1)&amp;":"&amp;DATE(YEAR(B313),MONTH(B313)+1,0))),Feriados[Data],0))))=FALSE,
IF(WEEKDAY(ROW(INDIRECT(DATE(YEAR(B313),MONTH(B313),1)&amp;":"&amp;DATE(YEAR(B313),MONTH(B313)+1,0))),2)&lt;=5,1,IF(WEEKDAY(ROW(INDIRECT(DATE(YEAR(B313),MONTH(B313),1)&amp;":"&amp;DATE(YEAR(B313),MONTH(B313)+1,0))),2)=6,0.5,0)),0))</f>
        <v>22</v>
      </c>
      <c r="K313" s="22" cm="1">
        <f t="array" ref="K313">_xlfn.XLOOKUP(1,((Metas_Diarias[[#This Row],[tipo_equipe_id]]=Metas[equipe])*(Metas_Diarias[[#This Row],[data]]&gt;Metas[data_inicio])*(Metas_Diarias[[#This Row],[data]]&lt;Metas[data_fim])),Metas[meta_mensal],0)</f>
        <v>160000</v>
      </c>
      <c r="L31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14" spans="2:12" x14ac:dyDescent="0.3">
      <c r="B314" s="34">
        <v>45603</v>
      </c>
      <c r="C314" s="34" t="str">
        <f>TEXT(Metas_Diarias[[#This Row],[data]],"dddd")</f>
        <v>quinta-feira</v>
      </c>
      <c r="D314" s="33">
        <v>1</v>
      </c>
      <c r="E314" s="33">
        <v>1</v>
      </c>
      <c r="F314" s="18"/>
      <c r="G314" s="35">
        <f>WEEKDAY(Metas_Diarias[[#This Row],[data]])</f>
        <v>5</v>
      </c>
      <c r="H314" s="35">
        <f>IF(Metas_Diarias[[#This Row],[dias_da_demana]]=1,"domingo",IF(Metas_Diarias[[#This Row],[dias_da_demana]]=7,0.5,1))</f>
        <v>1</v>
      </c>
      <c r="I314" s="35">
        <f>_xlfn.XLOOKUP(Metas_Diarias[[#This Row],[data]],Feriados[Data],Feriados[Feriado],1)</f>
        <v>1</v>
      </c>
      <c r="J314" s="33" cm="1">
        <f t="array" aca="1" ref="J314" ca="1">SUMPRODUCT(IF((NOT(ISERROR(MATCH(ROW(INDIRECT(DATE(YEAR(B314),MONTH(B314),1)&amp;":"&amp;DATE(YEAR(B314),MONTH(B314)+1,0))),Feriados[Data],0))))=FALSE,
IF(WEEKDAY(ROW(INDIRECT(DATE(YEAR(B314),MONTH(B314),1)&amp;":"&amp;DATE(YEAR(B314),MONTH(B314)+1,0))),2)&lt;=5,1,IF(WEEKDAY(ROW(INDIRECT(DATE(YEAR(B314),MONTH(B314),1)&amp;":"&amp;DATE(YEAR(B314),MONTH(B314)+1,0))),2)=6,0.5,0)),0))</f>
        <v>22</v>
      </c>
      <c r="K314" s="22" cm="1">
        <f t="array" ref="K314">_xlfn.XLOOKUP(1,((Metas_Diarias[[#This Row],[tipo_equipe_id]]=Metas[equipe])*(Metas_Diarias[[#This Row],[data]]&gt;Metas[data_inicio])*(Metas_Diarias[[#This Row],[data]]&lt;Metas[data_fim])),Metas[meta_mensal],0)</f>
        <v>160000</v>
      </c>
      <c r="L314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15" spans="2:12" x14ac:dyDescent="0.3">
      <c r="B315" s="34">
        <v>45604</v>
      </c>
      <c r="C315" s="34" t="str">
        <f>TEXT(Metas_Diarias[[#This Row],[data]],"dddd")</f>
        <v>sexta-feira</v>
      </c>
      <c r="D315" s="33">
        <v>1</v>
      </c>
      <c r="E315" s="33">
        <v>1</v>
      </c>
      <c r="F315" s="18"/>
      <c r="G315" s="35">
        <f>WEEKDAY(Metas_Diarias[[#This Row],[data]])</f>
        <v>6</v>
      </c>
      <c r="H315" s="35">
        <f>IF(Metas_Diarias[[#This Row],[dias_da_demana]]=1,"domingo",IF(Metas_Diarias[[#This Row],[dias_da_demana]]=7,0.5,1))</f>
        <v>1</v>
      </c>
      <c r="I315" s="35">
        <f>_xlfn.XLOOKUP(Metas_Diarias[[#This Row],[data]],Feriados[Data],Feriados[Feriado],1)</f>
        <v>1</v>
      </c>
      <c r="J315" s="33" cm="1">
        <f t="array" aca="1" ref="J315" ca="1">SUMPRODUCT(IF((NOT(ISERROR(MATCH(ROW(INDIRECT(DATE(YEAR(B315),MONTH(B315),1)&amp;":"&amp;DATE(YEAR(B315),MONTH(B315)+1,0))),Feriados[Data],0))))=FALSE,
IF(WEEKDAY(ROW(INDIRECT(DATE(YEAR(B315),MONTH(B315),1)&amp;":"&amp;DATE(YEAR(B315),MONTH(B315)+1,0))),2)&lt;=5,1,IF(WEEKDAY(ROW(INDIRECT(DATE(YEAR(B315),MONTH(B315),1)&amp;":"&amp;DATE(YEAR(B315),MONTH(B315)+1,0))),2)=6,0.5,0)),0))</f>
        <v>22</v>
      </c>
      <c r="K315" s="22" cm="1">
        <f t="array" ref="K315">_xlfn.XLOOKUP(1,((Metas_Diarias[[#This Row],[tipo_equipe_id]]=Metas[equipe])*(Metas_Diarias[[#This Row],[data]]&gt;Metas[data_inicio])*(Metas_Diarias[[#This Row],[data]]&lt;Metas[data_fim])),Metas[meta_mensal],0)</f>
        <v>160000</v>
      </c>
      <c r="L31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16" spans="2:12" x14ac:dyDescent="0.3">
      <c r="B316" s="34">
        <v>45605</v>
      </c>
      <c r="C316" s="34" t="str">
        <f>TEXT(Metas_Diarias[[#This Row],[data]],"dddd")</f>
        <v>sábado</v>
      </c>
      <c r="D316" s="33">
        <v>1</v>
      </c>
      <c r="E316" s="33">
        <v>1</v>
      </c>
      <c r="F316" s="18"/>
      <c r="G316" s="35">
        <f>WEEKDAY(Metas_Diarias[[#This Row],[data]])</f>
        <v>7</v>
      </c>
      <c r="H316" s="35">
        <f>IF(Metas_Diarias[[#This Row],[dias_da_demana]]=1,"domingo",IF(Metas_Diarias[[#This Row],[dias_da_demana]]=7,0.5,1))</f>
        <v>0.5</v>
      </c>
      <c r="I316" s="35">
        <f>_xlfn.XLOOKUP(Metas_Diarias[[#This Row],[data]],Feriados[Data],Feriados[Feriado],1)</f>
        <v>1</v>
      </c>
      <c r="J316" s="33" cm="1">
        <f t="array" aca="1" ref="J316" ca="1">SUMPRODUCT(IF((NOT(ISERROR(MATCH(ROW(INDIRECT(DATE(YEAR(B316),MONTH(B316),1)&amp;":"&amp;DATE(YEAR(B316),MONTH(B316)+1,0))),Feriados[Data],0))))=FALSE,
IF(WEEKDAY(ROW(INDIRECT(DATE(YEAR(B316),MONTH(B316),1)&amp;":"&amp;DATE(YEAR(B316),MONTH(B316)+1,0))),2)&lt;=5,1,IF(WEEKDAY(ROW(INDIRECT(DATE(YEAR(B316),MONTH(B316),1)&amp;":"&amp;DATE(YEAR(B316),MONTH(B316)+1,0))),2)=6,0.5,0)),0))</f>
        <v>22</v>
      </c>
      <c r="K316" s="22" cm="1">
        <f t="array" ref="K316">_xlfn.XLOOKUP(1,((Metas_Diarias[[#This Row],[tipo_equipe_id]]=Metas[equipe])*(Metas_Diarias[[#This Row],[data]]&gt;Metas[data_inicio])*(Metas_Diarias[[#This Row],[data]]&lt;Metas[data_fim])),Metas[meta_mensal],0)</f>
        <v>160000</v>
      </c>
      <c r="L316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317" spans="2:12" x14ac:dyDescent="0.3">
      <c r="B317" s="34">
        <v>45606</v>
      </c>
      <c r="C317" s="34" t="str">
        <f>TEXT(Metas_Diarias[[#This Row],[data]],"dddd")</f>
        <v>domingo</v>
      </c>
      <c r="D317" s="33">
        <v>1</v>
      </c>
      <c r="E317" s="33">
        <v>1</v>
      </c>
      <c r="F317" s="18"/>
      <c r="G317" s="35">
        <f>WEEKDAY(Metas_Diarias[[#This Row],[data]])</f>
        <v>1</v>
      </c>
      <c r="H317" s="35" t="str">
        <f>IF(Metas_Diarias[[#This Row],[dias_da_demana]]=1,"domingo",IF(Metas_Diarias[[#This Row],[dias_da_demana]]=7,0.5,1))</f>
        <v>domingo</v>
      </c>
      <c r="I317" s="35">
        <f>_xlfn.XLOOKUP(Metas_Diarias[[#This Row],[data]],Feriados[Data],Feriados[Feriado],1)</f>
        <v>1</v>
      </c>
      <c r="J317" s="33" cm="1">
        <f t="array" aca="1" ref="J317" ca="1">SUMPRODUCT(IF((NOT(ISERROR(MATCH(ROW(INDIRECT(DATE(YEAR(B317),MONTH(B317),1)&amp;":"&amp;DATE(YEAR(B317),MONTH(B317)+1,0))),Feriados[Data],0))))=FALSE,
IF(WEEKDAY(ROW(INDIRECT(DATE(YEAR(B317),MONTH(B317),1)&amp;":"&amp;DATE(YEAR(B317),MONTH(B317)+1,0))),2)&lt;=5,1,IF(WEEKDAY(ROW(INDIRECT(DATE(YEAR(B317),MONTH(B317),1)&amp;":"&amp;DATE(YEAR(B317),MONTH(B317)+1,0))),2)=6,0.5,0)),0))</f>
        <v>22</v>
      </c>
      <c r="K317" s="22" cm="1">
        <f t="array" ref="K317">_xlfn.XLOOKUP(1,((Metas_Diarias[[#This Row],[tipo_equipe_id]]=Metas[equipe])*(Metas_Diarias[[#This Row],[data]]&gt;Metas[data_inicio])*(Metas_Diarias[[#This Row],[data]]&lt;Metas[data_fim])),Metas[meta_mensal],0)</f>
        <v>160000</v>
      </c>
      <c r="L3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18" spans="2:12" x14ac:dyDescent="0.3">
      <c r="B318" s="34">
        <v>45607</v>
      </c>
      <c r="C318" s="34" t="str">
        <f>TEXT(Metas_Diarias[[#This Row],[data]],"dddd")</f>
        <v>segunda-feira</v>
      </c>
      <c r="D318" s="33">
        <v>1</v>
      </c>
      <c r="E318" s="33">
        <v>1</v>
      </c>
      <c r="F318" s="18"/>
      <c r="G318" s="35">
        <f>WEEKDAY(Metas_Diarias[[#This Row],[data]])</f>
        <v>2</v>
      </c>
      <c r="H318" s="35">
        <f>IF(Metas_Diarias[[#This Row],[dias_da_demana]]=1,"domingo",IF(Metas_Diarias[[#This Row],[dias_da_demana]]=7,0.5,1))</f>
        <v>1</v>
      </c>
      <c r="I318" s="35">
        <f>_xlfn.XLOOKUP(Metas_Diarias[[#This Row],[data]],Feriados[Data],Feriados[Feriado],1)</f>
        <v>1</v>
      </c>
      <c r="J318" s="33" cm="1">
        <f t="array" aca="1" ref="J318" ca="1">SUMPRODUCT(IF((NOT(ISERROR(MATCH(ROW(INDIRECT(DATE(YEAR(B318),MONTH(B318),1)&amp;":"&amp;DATE(YEAR(B318),MONTH(B318)+1,0))),Feriados[Data],0))))=FALSE,
IF(WEEKDAY(ROW(INDIRECT(DATE(YEAR(B318),MONTH(B318),1)&amp;":"&amp;DATE(YEAR(B318),MONTH(B318)+1,0))),2)&lt;=5,1,IF(WEEKDAY(ROW(INDIRECT(DATE(YEAR(B318),MONTH(B318),1)&amp;":"&amp;DATE(YEAR(B318),MONTH(B318)+1,0))),2)=6,0.5,0)),0))</f>
        <v>22</v>
      </c>
      <c r="K318" s="22" cm="1">
        <f t="array" ref="K318">_xlfn.XLOOKUP(1,((Metas_Diarias[[#This Row],[tipo_equipe_id]]=Metas[equipe])*(Metas_Diarias[[#This Row],[data]]&gt;Metas[data_inicio])*(Metas_Diarias[[#This Row],[data]]&lt;Metas[data_fim])),Metas[meta_mensal],0)</f>
        <v>160000</v>
      </c>
      <c r="L31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19" spans="2:12" x14ac:dyDescent="0.3">
      <c r="B319" s="34">
        <v>45608</v>
      </c>
      <c r="C319" s="34" t="str">
        <f>TEXT(Metas_Diarias[[#This Row],[data]],"dddd")</f>
        <v>terça-feira</v>
      </c>
      <c r="D319" s="33">
        <v>1</v>
      </c>
      <c r="E319" s="33">
        <v>1</v>
      </c>
      <c r="F319" s="18"/>
      <c r="G319" s="35">
        <f>WEEKDAY(Metas_Diarias[[#This Row],[data]])</f>
        <v>3</v>
      </c>
      <c r="H319" s="35">
        <f>IF(Metas_Diarias[[#This Row],[dias_da_demana]]=1,"domingo",IF(Metas_Diarias[[#This Row],[dias_da_demana]]=7,0.5,1))</f>
        <v>1</v>
      </c>
      <c r="I319" s="35">
        <f>_xlfn.XLOOKUP(Metas_Diarias[[#This Row],[data]],Feriados[Data],Feriados[Feriado],1)</f>
        <v>1</v>
      </c>
      <c r="J319" s="33" cm="1">
        <f t="array" aca="1" ref="J319" ca="1">SUMPRODUCT(IF((NOT(ISERROR(MATCH(ROW(INDIRECT(DATE(YEAR(B319),MONTH(B319),1)&amp;":"&amp;DATE(YEAR(B319),MONTH(B319)+1,0))),Feriados[Data],0))))=FALSE,
IF(WEEKDAY(ROW(INDIRECT(DATE(YEAR(B319),MONTH(B319),1)&amp;":"&amp;DATE(YEAR(B319),MONTH(B319)+1,0))),2)&lt;=5,1,IF(WEEKDAY(ROW(INDIRECT(DATE(YEAR(B319),MONTH(B319),1)&amp;":"&amp;DATE(YEAR(B319),MONTH(B319)+1,0))),2)=6,0.5,0)),0))</f>
        <v>22</v>
      </c>
      <c r="K319" s="22" cm="1">
        <f t="array" ref="K319">_xlfn.XLOOKUP(1,((Metas_Diarias[[#This Row],[tipo_equipe_id]]=Metas[equipe])*(Metas_Diarias[[#This Row],[data]]&gt;Metas[data_inicio])*(Metas_Diarias[[#This Row],[data]]&lt;Metas[data_fim])),Metas[meta_mensal],0)</f>
        <v>160000</v>
      </c>
      <c r="L31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20" spans="2:12" x14ac:dyDescent="0.3">
      <c r="B320" s="34">
        <v>45609</v>
      </c>
      <c r="C320" s="34" t="str">
        <f>TEXT(Metas_Diarias[[#This Row],[data]],"dddd")</f>
        <v>quarta-feira</v>
      </c>
      <c r="D320" s="33">
        <v>1</v>
      </c>
      <c r="E320" s="33">
        <v>1</v>
      </c>
      <c r="F320" s="18"/>
      <c r="G320" s="35">
        <f>WEEKDAY(Metas_Diarias[[#This Row],[data]])</f>
        <v>4</v>
      </c>
      <c r="H320" s="35">
        <f>IF(Metas_Diarias[[#This Row],[dias_da_demana]]=1,"domingo",IF(Metas_Diarias[[#This Row],[dias_da_demana]]=7,0.5,1))</f>
        <v>1</v>
      </c>
      <c r="I320" s="35">
        <f>_xlfn.XLOOKUP(Metas_Diarias[[#This Row],[data]],Feriados[Data],Feriados[Feriado],1)</f>
        <v>1</v>
      </c>
      <c r="J320" s="33" cm="1">
        <f t="array" aca="1" ref="J320" ca="1">SUMPRODUCT(IF((NOT(ISERROR(MATCH(ROW(INDIRECT(DATE(YEAR(B320),MONTH(B320),1)&amp;":"&amp;DATE(YEAR(B320),MONTH(B320)+1,0))),Feriados[Data],0))))=FALSE,
IF(WEEKDAY(ROW(INDIRECT(DATE(YEAR(B320),MONTH(B320),1)&amp;":"&amp;DATE(YEAR(B320),MONTH(B320)+1,0))),2)&lt;=5,1,IF(WEEKDAY(ROW(INDIRECT(DATE(YEAR(B320),MONTH(B320),1)&amp;":"&amp;DATE(YEAR(B320),MONTH(B320)+1,0))),2)=6,0.5,0)),0))</f>
        <v>22</v>
      </c>
      <c r="K320" s="22" cm="1">
        <f t="array" ref="K320">_xlfn.XLOOKUP(1,((Metas_Diarias[[#This Row],[tipo_equipe_id]]=Metas[equipe])*(Metas_Diarias[[#This Row],[data]]&gt;Metas[data_inicio])*(Metas_Diarias[[#This Row],[data]]&lt;Metas[data_fim])),Metas[meta_mensal],0)</f>
        <v>160000</v>
      </c>
      <c r="L320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21" spans="2:12" x14ac:dyDescent="0.3">
      <c r="B321" s="34">
        <v>45610</v>
      </c>
      <c r="C321" s="34" t="str">
        <f>TEXT(Metas_Diarias[[#This Row],[data]],"dddd")</f>
        <v>quinta-feira</v>
      </c>
      <c r="D321" s="33">
        <v>1</v>
      </c>
      <c r="E321" s="33">
        <v>1</v>
      </c>
      <c r="F321" s="18"/>
      <c r="G321" s="35">
        <f>WEEKDAY(Metas_Diarias[[#This Row],[data]])</f>
        <v>5</v>
      </c>
      <c r="H321" s="35">
        <f>IF(Metas_Diarias[[#This Row],[dias_da_demana]]=1,"domingo",IF(Metas_Diarias[[#This Row],[dias_da_demana]]=7,0.5,1))</f>
        <v>1</v>
      </c>
      <c r="I321" s="35">
        <f>_xlfn.XLOOKUP(Metas_Diarias[[#This Row],[data]],Feriados[Data],Feriados[Feriado],1)</f>
        <v>1</v>
      </c>
      <c r="J321" s="33" cm="1">
        <f t="array" aca="1" ref="J321" ca="1">SUMPRODUCT(IF((NOT(ISERROR(MATCH(ROW(INDIRECT(DATE(YEAR(B321),MONTH(B321),1)&amp;":"&amp;DATE(YEAR(B321),MONTH(B321)+1,0))),Feriados[Data],0))))=FALSE,
IF(WEEKDAY(ROW(INDIRECT(DATE(YEAR(B321),MONTH(B321),1)&amp;":"&amp;DATE(YEAR(B321),MONTH(B321)+1,0))),2)&lt;=5,1,IF(WEEKDAY(ROW(INDIRECT(DATE(YEAR(B321),MONTH(B321),1)&amp;":"&amp;DATE(YEAR(B321),MONTH(B321)+1,0))),2)=6,0.5,0)),0))</f>
        <v>22</v>
      </c>
      <c r="K321" s="22" cm="1">
        <f t="array" ref="K321">_xlfn.XLOOKUP(1,((Metas_Diarias[[#This Row],[tipo_equipe_id]]=Metas[equipe])*(Metas_Diarias[[#This Row],[data]]&gt;Metas[data_inicio])*(Metas_Diarias[[#This Row],[data]]&lt;Metas[data_fim])),Metas[meta_mensal],0)</f>
        <v>160000</v>
      </c>
      <c r="L321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22" spans="2:12" x14ac:dyDescent="0.3">
      <c r="B322" s="34">
        <v>45611</v>
      </c>
      <c r="C322" s="34" t="str">
        <f>TEXT(Metas_Diarias[[#This Row],[data]],"dddd")</f>
        <v>sexta-feira</v>
      </c>
      <c r="D322" s="33">
        <v>1</v>
      </c>
      <c r="E322" s="33">
        <v>1</v>
      </c>
      <c r="F322" s="18"/>
      <c r="G322" s="35">
        <f>WEEKDAY(Metas_Diarias[[#This Row],[data]])</f>
        <v>6</v>
      </c>
      <c r="H322" s="35">
        <f>IF(Metas_Diarias[[#This Row],[dias_da_demana]]=1,"domingo",IF(Metas_Diarias[[#This Row],[dias_da_demana]]=7,0.5,1))</f>
        <v>1</v>
      </c>
      <c r="I322" s="35" t="str">
        <f>_xlfn.XLOOKUP(Metas_Diarias[[#This Row],[data]],Feriados[Data],Feriados[Feriado],1)</f>
        <v>Proclamação da República</v>
      </c>
      <c r="J322" s="33" cm="1">
        <f t="array" aca="1" ref="J322" ca="1">SUMPRODUCT(IF((NOT(ISERROR(MATCH(ROW(INDIRECT(DATE(YEAR(B322),MONTH(B322),1)&amp;":"&amp;DATE(YEAR(B322),MONTH(B322)+1,0))),Feriados[Data],0))))=FALSE,
IF(WEEKDAY(ROW(INDIRECT(DATE(YEAR(B322),MONTH(B322),1)&amp;":"&amp;DATE(YEAR(B322),MONTH(B322)+1,0))),2)&lt;=5,1,IF(WEEKDAY(ROW(INDIRECT(DATE(YEAR(B322),MONTH(B322),1)&amp;":"&amp;DATE(YEAR(B322),MONTH(B322)+1,0))),2)=6,0.5,0)),0))</f>
        <v>22</v>
      </c>
      <c r="K322" s="22" cm="1">
        <f t="array" ref="K322">_xlfn.XLOOKUP(1,((Metas_Diarias[[#This Row],[tipo_equipe_id]]=Metas[equipe])*(Metas_Diarias[[#This Row],[data]]&gt;Metas[data_inicio])*(Metas_Diarias[[#This Row],[data]]&lt;Metas[data_fim])),Metas[meta_mensal],0)</f>
        <v>160000</v>
      </c>
      <c r="L3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23" spans="2:12" x14ac:dyDescent="0.3">
      <c r="B323" s="34">
        <v>45612</v>
      </c>
      <c r="C323" s="34" t="str">
        <f>TEXT(Metas_Diarias[[#This Row],[data]],"dddd")</f>
        <v>sábado</v>
      </c>
      <c r="D323" s="33">
        <v>1</v>
      </c>
      <c r="E323" s="33">
        <v>1</v>
      </c>
      <c r="F323" s="18"/>
      <c r="G323" s="35">
        <f>WEEKDAY(Metas_Diarias[[#This Row],[data]])</f>
        <v>7</v>
      </c>
      <c r="H323" s="35">
        <f>IF(Metas_Diarias[[#This Row],[dias_da_demana]]=1,"domingo",IF(Metas_Diarias[[#This Row],[dias_da_demana]]=7,0.5,1))</f>
        <v>0.5</v>
      </c>
      <c r="I323" s="35">
        <f>_xlfn.XLOOKUP(Metas_Diarias[[#This Row],[data]],Feriados[Data],Feriados[Feriado],1)</f>
        <v>1</v>
      </c>
      <c r="J323" s="33" cm="1">
        <f t="array" aca="1" ref="J323" ca="1">SUMPRODUCT(IF((NOT(ISERROR(MATCH(ROW(INDIRECT(DATE(YEAR(B323),MONTH(B323),1)&amp;":"&amp;DATE(YEAR(B323),MONTH(B323)+1,0))),Feriados[Data],0))))=FALSE,
IF(WEEKDAY(ROW(INDIRECT(DATE(YEAR(B323),MONTH(B323),1)&amp;":"&amp;DATE(YEAR(B323),MONTH(B323)+1,0))),2)&lt;=5,1,IF(WEEKDAY(ROW(INDIRECT(DATE(YEAR(B323),MONTH(B323),1)&amp;":"&amp;DATE(YEAR(B323),MONTH(B323)+1,0))),2)=6,0.5,0)),0))</f>
        <v>22</v>
      </c>
      <c r="K323" s="22" cm="1">
        <f t="array" ref="K323">_xlfn.XLOOKUP(1,((Metas_Diarias[[#This Row],[tipo_equipe_id]]=Metas[equipe])*(Metas_Diarias[[#This Row],[data]]&gt;Metas[data_inicio])*(Metas_Diarias[[#This Row],[data]]&lt;Metas[data_fim])),Metas[meta_mensal],0)</f>
        <v>160000</v>
      </c>
      <c r="L323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324" spans="2:12" x14ac:dyDescent="0.3">
      <c r="B324" s="34">
        <v>45613</v>
      </c>
      <c r="C324" s="34" t="str">
        <f>TEXT(Metas_Diarias[[#This Row],[data]],"dddd")</f>
        <v>domingo</v>
      </c>
      <c r="D324" s="33">
        <v>1</v>
      </c>
      <c r="E324" s="33">
        <v>1</v>
      </c>
      <c r="F324" s="18"/>
      <c r="G324" s="35">
        <f>WEEKDAY(Metas_Diarias[[#This Row],[data]])</f>
        <v>1</v>
      </c>
      <c r="H324" s="35" t="str">
        <f>IF(Metas_Diarias[[#This Row],[dias_da_demana]]=1,"domingo",IF(Metas_Diarias[[#This Row],[dias_da_demana]]=7,0.5,1))</f>
        <v>domingo</v>
      </c>
      <c r="I324" s="35">
        <f>_xlfn.XLOOKUP(Metas_Diarias[[#This Row],[data]],Feriados[Data],Feriados[Feriado],1)</f>
        <v>1</v>
      </c>
      <c r="J324" s="33" cm="1">
        <f t="array" aca="1" ref="J324" ca="1">SUMPRODUCT(IF((NOT(ISERROR(MATCH(ROW(INDIRECT(DATE(YEAR(B324),MONTH(B324),1)&amp;":"&amp;DATE(YEAR(B324),MONTH(B324)+1,0))),Feriados[Data],0))))=FALSE,
IF(WEEKDAY(ROW(INDIRECT(DATE(YEAR(B324),MONTH(B324),1)&amp;":"&amp;DATE(YEAR(B324),MONTH(B324)+1,0))),2)&lt;=5,1,IF(WEEKDAY(ROW(INDIRECT(DATE(YEAR(B324),MONTH(B324),1)&amp;":"&amp;DATE(YEAR(B324),MONTH(B324)+1,0))),2)=6,0.5,0)),0))</f>
        <v>22</v>
      </c>
      <c r="K324" s="22" cm="1">
        <f t="array" ref="K324">_xlfn.XLOOKUP(1,((Metas_Diarias[[#This Row],[tipo_equipe_id]]=Metas[equipe])*(Metas_Diarias[[#This Row],[data]]&gt;Metas[data_inicio])*(Metas_Diarias[[#This Row],[data]]&lt;Metas[data_fim])),Metas[meta_mensal],0)</f>
        <v>160000</v>
      </c>
      <c r="L3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25" spans="2:12" x14ac:dyDescent="0.3">
      <c r="B325" s="34">
        <v>45614</v>
      </c>
      <c r="C325" s="34" t="str">
        <f>TEXT(Metas_Diarias[[#This Row],[data]],"dddd")</f>
        <v>segunda-feira</v>
      </c>
      <c r="D325" s="33">
        <v>1</v>
      </c>
      <c r="E325" s="33">
        <v>1</v>
      </c>
      <c r="F325" s="18"/>
      <c r="G325" s="35">
        <f>WEEKDAY(Metas_Diarias[[#This Row],[data]])</f>
        <v>2</v>
      </c>
      <c r="H325" s="35">
        <f>IF(Metas_Diarias[[#This Row],[dias_da_demana]]=1,"domingo",IF(Metas_Diarias[[#This Row],[dias_da_demana]]=7,0.5,1))</f>
        <v>1</v>
      </c>
      <c r="I325" s="35">
        <f>_xlfn.XLOOKUP(Metas_Diarias[[#This Row],[data]],Feriados[Data],Feriados[Feriado],1)</f>
        <v>1</v>
      </c>
      <c r="J325" s="33" cm="1">
        <f t="array" aca="1" ref="J325" ca="1">SUMPRODUCT(IF((NOT(ISERROR(MATCH(ROW(INDIRECT(DATE(YEAR(B325),MONTH(B325),1)&amp;":"&amp;DATE(YEAR(B325),MONTH(B325)+1,0))),Feriados[Data],0))))=FALSE,
IF(WEEKDAY(ROW(INDIRECT(DATE(YEAR(B325),MONTH(B325),1)&amp;":"&amp;DATE(YEAR(B325),MONTH(B325)+1,0))),2)&lt;=5,1,IF(WEEKDAY(ROW(INDIRECT(DATE(YEAR(B325),MONTH(B325),1)&amp;":"&amp;DATE(YEAR(B325),MONTH(B325)+1,0))),2)=6,0.5,0)),0))</f>
        <v>22</v>
      </c>
      <c r="K325" s="22" cm="1">
        <f t="array" ref="K325">_xlfn.XLOOKUP(1,((Metas_Diarias[[#This Row],[tipo_equipe_id]]=Metas[equipe])*(Metas_Diarias[[#This Row],[data]]&gt;Metas[data_inicio])*(Metas_Diarias[[#This Row],[data]]&lt;Metas[data_fim])),Metas[meta_mensal],0)</f>
        <v>160000</v>
      </c>
      <c r="L32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26" spans="2:12" x14ac:dyDescent="0.3">
      <c r="B326" s="34">
        <v>45615</v>
      </c>
      <c r="C326" s="34" t="str">
        <f>TEXT(Metas_Diarias[[#This Row],[data]],"dddd")</f>
        <v>terça-feira</v>
      </c>
      <c r="D326" s="33">
        <v>1</v>
      </c>
      <c r="E326" s="33">
        <v>1</v>
      </c>
      <c r="F326" s="18"/>
      <c r="G326" s="35">
        <f>WEEKDAY(Metas_Diarias[[#This Row],[data]])</f>
        <v>3</v>
      </c>
      <c r="H326" s="35">
        <f>IF(Metas_Diarias[[#This Row],[dias_da_demana]]=1,"domingo",IF(Metas_Diarias[[#This Row],[dias_da_demana]]=7,0.5,1))</f>
        <v>1</v>
      </c>
      <c r="I326" s="35">
        <f>_xlfn.XLOOKUP(Metas_Diarias[[#This Row],[data]],Feriados[Data],Feriados[Feriado],1)</f>
        <v>1</v>
      </c>
      <c r="J326" s="33" cm="1">
        <f t="array" aca="1" ref="J326" ca="1">SUMPRODUCT(IF((NOT(ISERROR(MATCH(ROW(INDIRECT(DATE(YEAR(B326),MONTH(B326),1)&amp;":"&amp;DATE(YEAR(B326),MONTH(B326)+1,0))),Feriados[Data],0))))=FALSE,
IF(WEEKDAY(ROW(INDIRECT(DATE(YEAR(B326),MONTH(B326),1)&amp;":"&amp;DATE(YEAR(B326),MONTH(B326)+1,0))),2)&lt;=5,1,IF(WEEKDAY(ROW(INDIRECT(DATE(YEAR(B326),MONTH(B326),1)&amp;":"&amp;DATE(YEAR(B326),MONTH(B326)+1,0))),2)=6,0.5,0)),0))</f>
        <v>22</v>
      </c>
      <c r="K326" s="22" cm="1">
        <f t="array" ref="K326">_xlfn.XLOOKUP(1,((Metas_Diarias[[#This Row],[tipo_equipe_id]]=Metas[equipe])*(Metas_Diarias[[#This Row],[data]]&gt;Metas[data_inicio])*(Metas_Diarias[[#This Row],[data]]&lt;Metas[data_fim])),Metas[meta_mensal],0)</f>
        <v>160000</v>
      </c>
      <c r="L32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27" spans="2:12" x14ac:dyDescent="0.3">
      <c r="B327" s="34">
        <v>45616</v>
      </c>
      <c r="C327" s="34" t="str">
        <f>TEXT(Metas_Diarias[[#This Row],[data]],"dddd")</f>
        <v>quarta-feira</v>
      </c>
      <c r="D327" s="33">
        <v>1</v>
      </c>
      <c r="E327" s="33">
        <v>1</v>
      </c>
      <c r="F327" s="18"/>
      <c r="G327" s="35">
        <f>WEEKDAY(Metas_Diarias[[#This Row],[data]])</f>
        <v>4</v>
      </c>
      <c r="H327" s="35">
        <f>IF(Metas_Diarias[[#This Row],[dias_da_demana]]=1,"domingo",IF(Metas_Diarias[[#This Row],[dias_da_demana]]=7,0.5,1))</f>
        <v>1</v>
      </c>
      <c r="I327" s="35">
        <f>_xlfn.XLOOKUP(Metas_Diarias[[#This Row],[data]],Feriados[Data],Feriados[Feriado],1)</f>
        <v>1</v>
      </c>
      <c r="J327" s="33" cm="1">
        <f t="array" aca="1" ref="J327" ca="1">SUMPRODUCT(IF((NOT(ISERROR(MATCH(ROW(INDIRECT(DATE(YEAR(B327),MONTH(B327),1)&amp;":"&amp;DATE(YEAR(B327),MONTH(B327)+1,0))),Feriados[Data],0))))=FALSE,
IF(WEEKDAY(ROW(INDIRECT(DATE(YEAR(B327),MONTH(B327),1)&amp;":"&amp;DATE(YEAR(B327),MONTH(B327)+1,0))),2)&lt;=5,1,IF(WEEKDAY(ROW(INDIRECT(DATE(YEAR(B327),MONTH(B327),1)&amp;":"&amp;DATE(YEAR(B327),MONTH(B327)+1,0))),2)=6,0.5,0)),0))</f>
        <v>22</v>
      </c>
      <c r="K327" s="22" cm="1">
        <f t="array" ref="K327">_xlfn.XLOOKUP(1,((Metas_Diarias[[#This Row],[tipo_equipe_id]]=Metas[equipe])*(Metas_Diarias[[#This Row],[data]]&gt;Metas[data_inicio])*(Metas_Diarias[[#This Row],[data]]&lt;Metas[data_fim])),Metas[meta_mensal],0)</f>
        <v>160000</v>
      </c>
      <c r="L327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28" spans="2:12" x14ac:dyDescent="0.3">
      <c r="B328" s="34">
        <v>45617</v>
      </c>
      <c r="C328" s="34" t="str">
        <f>TEXT(Metas_Diarias[[#This Row],[data]],"dddd")</f>
        <v>quinta-feira</v>
      </c>
      <c r="D328" s="33">
        <v>1</v>
      </c>
      <c r="E328" s="33">
        <v>1</v>
      </c>
      <c r="F328" s="18"/>
      <c r="G328" s="35">
        <f>WEEKDAY(Metas_Diarias[[#This Row],[data]])</f>
        <v>5</v>
      </c>
      <c r="H328" s="35">
        <f>IF(Metas_Diarias[[#This Row],[dias_da_demana]]=1,"domingo",IF(Metas_Diarias[[#This Row],[dias_da_demana]]=7,0.5,1))</f>
        <v>1</v>
      </c>
      <c r="I328" s="35">
        <f>_xlfn.XLOOKUP(Metas_Diarias[[#This Row],[data]],Feriados[Data],Feriados[Feriado],1)</f>
        <v>1</v>
      </c>
      <c r="J328" s="33" cm="1">
        <f t="array" aca="1" ref="J328" ca="1">SUMPRODUCT(IF((NOT(ISERROR(MATCH(ROW(INDIRECT(DATE(YEAR(B328),MONTH(B328),1)&amp;":"&amp;DATE(YEAR(B328),MONTH(B328)+1,0))),Feriados[Data],0))))=FALSE,
IF(WEEKDAY(ROW(INDIRECT(DATE(YEAR(B328),MONTH(B328),1)&amp;":"&amp;DATE(YEAR(B328),MONTH(B328)+1,0))),2)&lt;=5,1,IF(WEEKDAY(ROW(INDIRECT(DATE(YEAR(B328),MONTH(B328),1)&amp;":"&amp;DATE(YEAR(B328),MONTH(B328)+1,0))),2)=6,0.5,0)),0))</f>
        <v>22</v>
      </c>
      <c r="K328" s="22" cm="1">
        <f t="array" ref="K328">_xlfn.XLOOKUP(1,((Metas_Diarias[[#This Row],[tipo_equipe_id]]=Metas[equipe])*(Metas_Diarias[[#This Row],[data]]&gt;Metas[data_inicio])*(Metas_Diarias[[#This Row],[data]]&lt;Metas[data_fim])),Metas[meta_mensal],0)</f>
        <v>160000</v>
      </c>
      <c r="L32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29" spans="2:12" x14ac:dyDescent="0.3">
      <c r="B329" s="34">
        <v>45618</v>
      </c>
      <c r="C329" s="34" t="str">
        <f>TEXT(Metas_Diarias[[#This Row],[data]],"dddd")</f>
        <v>sexta-feira</v>
      </c>
      <c r="D329" s="33">
        <v>1</v>
      </c>
      <c r="E329" s="33">
        <v>1</v>
      </c>
      <c r="F329" s="18"/>
      <c r="G329" s="35">
        <f>WEEKDAY(Metas_Diarias[[#This Row],[data]])</f>
        <v>6</v>
      </c>
      <c r="H329" s="35">
        <f>IF(Metas_Diarias[[#This Row],[dias_da_demana]]=1,"domingo",IF(Metas_Diarias[[#This Row],[dias_da_demana]]=7,0.5,1))</f>
        <v>1</v>
      </c>
      <c r="I329" s="35">
        <f>_xlfn.XLOOKUP(Metas_Diarias[[#This Row],[data]],Feriados[Data],Feriados[Feriado],1)</f>
        <v>1</v>
      </c>
      <c r="J329" s="33" cm="1">
        <f t="array" aca="1" ref="J329" ca="1">SUMPRODUCT(IF((NOT(ISERROR(MATCH(ROW(INDIRECT(DATE(YEAR(B329),MONTH(B329),1)&amp;":"&amp;DATE(YEAR(B329),MONTH(B329)+1,0))),Feriados[Data],0))))=FALSE,
IF(WEEKDAY(ROW(INDIRECT(DATE(YEAR(B329),MONTH(B329),1)&amp;":"&amp;DATE(YEAR(B329),MONTH(B329)+1,0))),2)&lt;=5,1,IF(WEEKDAY(ROW(INDIRECT(DATE(YEAR(B329),MONTH(B329),1)&amp;":"&amp;DATE(YEAR(B329),MONTH(B329)+1,0))),2)=6,0.5,0)),0))</f>
        <v>22</v>
      </c>
      <c r="K329" s="22" cm="1">
        <f t="array" ref="K329">_xlfn.XLOOKUP(1,((Metas_Diarias[[#This Row],[tipo_equipe_id]]=Metas[equipe])*(Metas_Diarias[[#This Row],[data]]&gt;Metas[data_inicio])*(Metas_Diarias[[#This Row],[data]]&lt;Metas[data_fim])),Metas[meta_mensal],0)</f>
        <v>160000</v>
      </c>
      <c r="L32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30" spans="2:12" x14ac:dyDescent="0.3">
      <c r="B330" s="34">
        <v>45619</v>
      </c>
      <c r="C330" s="34" t="str">
        <f>TEXT(Metas_Diarias[[#This Row],[data]],"dddd")</f>
        <v>sábado</v>
      </c>
      <c r="D330" s="33">
        <v>1</v>
      </c>
      <c r="E330" s="33">
        <v>1</v>
      </c>
      <c r="F330" s="18"/>
      <c r="G330" s="35">
        <f>WEEKDAY(Metas_Diarias[[#This Row],[data]])</f>
        <v>7</v>
      </c>
      <c r="H330" s="35">
        <f>IF(Metas_Diarias[[#This Row],[dias_da_demana]]=1,"domingo",IF(Metas_Diarias[[#This Row],[dias_da_demana]]=7,0.5,1))</f>
        <v>0.5</v>
      </c>
      <c r="I330" s="35">
        <f>_xlfn.XLOOKUP(Metas_Diarias[[#This Row],[data]],Feriados[Data],Feriados[Feriado],1)</f>
        <v>1</v>
      </c>
      <c r="J330" s="33" cm="1">
        <f t="array" aca="1" ref="J330" ca="1">SUMPRODUCT(IF((NOT(ISERROR(MATCH(ROW(INDIRECT(DATE(YEAR(B330),MONTH(B330),1)&amp;":"&amp;DATE(YEAR(B330),MONTH(B330)+1,0))),Feriados[Data],0))))=FALSE,
IF(WEEKDAY(ROW(INDIRECT(DATE(YEAR(B330),MONTH(B330),1)&amp;":"&amp;DATE(YEAR(B330),MONTH(B330)+1,0))),2)&lt;=5,1,IF(WEEKDAY(ROW(INDIRECT(DATE(YEAR(B330),MONTH(B330),1)&amp;":"&amp;DATE(YEAR(B330),MONTH(B330)+1,0))),2)=6,0.5,0)),0))</f>
        <v>22</v>
      </c>
      <c r="K330" s="22" cm="1">
        <f t="array" ref="K330">_xlfn.XLOOKUP(1,((Metas_Diarias[[#This Row],[tipo_equipe_id]]=Metas[equipe])*(Metas_Diarias[[#This Row],[data]]&gt;Metas[data_inicio])*(Metas_Diarias[[#This Row],[data]]&lt;Metas[data_fim])),Metas[meta_mensal],0)</f>
        <v>160000</v>
      </c>
      <c r="L330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331" spans="2:12" x14ac:dyDescent="0.3">
      <c r="B331" s="34">
        <v>45620</v>
      </c>
      <c r="C331" s="34" t="str">
        <f>TEXT(Metas_Diarias[[#This Row],[data]],"dddd")</f>
        <v>domingo</v>
      </c>
      <c r="D331" s="33">
        <v>1</v>
      </c>
      <c r="E331" s="33">
        <v>1</v>
      </c>
      <c r="F331" s="18"/>
      <c r="G331" s="35">
        <f>WEEKDAY(Metas_Diarias[[#This Row],[data]])</f>
        <v>1</v>
      </c>
      <c r="H331" s="35" t="str">
        <f>IF(Metas_Diarias[[#This Row],[dias_da_demana]]=1,"domingo",IF(Metas_Diarias[[#This Row],[dias_da_demana]]=7,0.5,1))</f>
        <v>domingo</v>
      </c>
      <c r="I331" s="35">
        <f>_xlfn.XLOOKUP(Metas_Diarias[[#This Row],[data]],Feriados[Data],Feriados[Feriado],1)</f>
        <v>1</v>
      </c>
      <c r="J331" s="33" cm="1">
        <f t="array" aca="1" ref="J331" ca="1">SUMPRODUCT(IF((NOT(ISERROR(MATCH(ROW(INDIRECT(DATE(YEAR(B331),MONTH(B331),1)&amp;":"&amp;DATE(YEAR(B331),MONTH(B331)+1,0))),Feriados[Data],0))))=FALSE,
IF(WEEKDAY(ROW(INDIRECT(DATE(YEAR(B331),MONTH(B331),1)&amp;":"&amp;DATE(YEAR(B331),MONTH(B331)+1,0))),2)&lt;=5,1,IF(WEEKDAY(ROW(INDIRECT(DATE(YEAR(B331),MONTH(B331),1)&amp;":"&amp;DATE(YEAR(B331),MONTH(B331)+1,0))),2)=6,0.5,0)),0))</f>
        <v>22</v>
      </c>
      <c r="K331" s="22" cm="1">
        <f t="array" ref="K331">_xlfn.XLOOKUP(1,((Metas_Diarias[[#This Row],[tipo_equipe_id]]=Metas[equipe])*(Metas_Diarias[[#This Row],[data]]&gt;Metas[data_inicio])*(Metas_Diarias[[#This Row],[data]]&lt;Metas[data_fim])),Metas[meta_mensal],0)</f>
        <v>160000</v>
      </c>
      <c r="L3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32" spans="2:12" x14ac:dyDescent="0.3">
      <c r="B332" s="34">
        <v>45621</v>
      </c>
      <c r="C332" s="34" t="str">
        <f>TEXT(Metas_Diarias[[#This Row],[data]],"dddd")</f>
        <v>segunda-feira</v>
      </c>
      <c r="D332" s="33">
        <v>1</v>
      </c>
      <c r="E332" s="33">
        <v>1</v>
      </c>
      <c r="F332" s="18"/>
      <c r="G332" s="35">
        <f>WEEKDAY(Metas_Diarias[[#This Row],[data]])</f>
        <v>2</v>
      </c>
      <c r="H332" s="35">
        <f>IF(Metas_Diarias[[#This Row],[dias_da_demana]]=1,"domingo",IF(Metas_Diarias[[#This Row],[dias_da_demana]]=7,0.5,1))</f>
        <v>1</v>
      </c>
      <c r="I332" s="35">
        <f>_xlfn.XLOOKUP(Metas_Diarias[[#This Row],[data]],Feriados[Data],Feriados[Feriado],1)</f>
        <v>1</v>
      </c>
      <c r="J332" s="33" cm="1">
        <f t="array" aca="1" ref="J332" ca="1">SUMPRODUCT(IF((NOT(ISERROR(MATCH(ROW(INDIRECT(DATE(YEAR(B332),MONTH(B332),1)&amp;":"&amp;DATE(YEAR(B332),MONTH(B332)+1,0))),Feriados[Data],0))))=FALSE,
IF(WEEKDAY(ROW(INDIRECT(DATE(YEAR(B332),MONTH(B332),1)&amp;":"&amp;DATE(YEAR(B332),MONTH(B332)+1,0))),2)&lt;=5,1,IF(WEEKDAY(ROW(INDIRECT(DATE(YEAR(B332),MONTH(B332),1)&amp;":"&amp;DATE(YEAR(B332),MONTH(B332)+1,0))),2)=6,0.5,0)),0))</f>
        <v>22</v>
      </c>
      <c r="K332" s="22" cm="1">
        <f t="array" ref="K332">_xlfn.XLOOKUP(1,((Metas_Diarias[[#This Row],[tipo_equipe_id]]=Metas[equipe])*(Metas_Diarias[[#This Row],[data]]&gt;Metas[data_inicio])*(Metas_Diarias[[#This Row],[data]]&lt;Metas[data_fim])),Metas[meta_mensal],0)</f>
        <v>160000</v>
      </c>
      <c r="L33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33" spans="2:12" x14ac:dyDescent="0.3">
      <c r="B333" s="34">
        <v>45622</v>
      </c>
      <c r="C333" s="34" t="str">
        <f>TEXT(Metas_Diarias[[#This Row],[data]],"dddd")</f>
        <v>terça-feira</v>
      </c>
      <c r="D333" s="33">
        <v>1</v>
      </c>
      <c r="E333" s="33">
        <v>1</v>
      </c>
      <c r="F333" s="18"/>
      <c r="G333" s="35">
        <f>WEEKDAY(Metas_Diarias[[#This Row],[data]])</f>
        <v>3</v>
      </c>
      <c r="H333" s="35">
        <f>IF(Metas_Diarias[[#This Row],[dias_da_demana]]=1,"domingo",IF(Metas_Diarias[[#This Row],[dias_da_demana]]=7,0.5,1))</f>
        <v>1</v>
      </c>
      <c r="I333" s="35">
        <f>_xlfn.XLOOKUP(Metas_Diarias[[#This Row],[data]],Feriados[Data],Feriados[Feriado],1)</f>
        <v>1</v>
      </c>
      <c r="J333" s="33" cm="1">
        <f t="array" aca="1" ref="J333" ca="1">SUMPRODUCT(IF((NOT(ISERROR(MATCH(ROW(INDIRECT(DATE(YEAR(B333),MONTH(B333),1)&amp;":"&amp;DATE(YEAR(B333),MONTH(B333)+1,0))),Feriados[Data],0))))=FALSE,
IF(WEEKDAY(ROW(INDIRECT(DATE(YEAR(B333),MONTH(B333),1)&amp;":"&amp;DATE(YEAR(B333),MONTH(B333)+1,0))),2)&lt;=5,1,IF(WEEKDAY(ROW(INDIRECT(DATE(YEAR(B333),MONTH(B333),1)&amp;":"&amp;DATE(YEAR(B333),MONTH(B333)+1,0))),2)=6,0.5,0)),0))</f>
        <v>22</v>
      </c>
      <c r="K333" s="22" cm="1">
        <f t="array" ref="K333">_xlfn.XLOOKUP(1,((Metas_Diarias[[#This Row],[tipo_equipe_id]]=Metas[equipe])*(Metas_Diarias[[#This Row],[data]]&gt;Metas[data_inicio])*(Metas_Diarias[[#This Row],[data]]&lt;Metas[data_fim])),Metas[meta_mensal],0)</f>
        <v>160000</v>
      </c>
      <c r="L33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34" spans="2:12" x14ac:dyDescent="0.3">
      <c r="B334" s="34">
        <v>45623</v>
      </c>
      <c r="C334" s="34" t="str">
        <f>TEXT(Metas_Diarias[[#This Row],[data]],"dddd")</f>
        <v>quarta-feira</v>
      </c>
      <c r="D334" s="33">
        <v>1</v>
      </c>
      <c r="E334" s="33">
        <v>1</v>
      </c>
      <c r="F334" s="18"/>
      <c r="G334" s="35">
        <f>WEEKDAY(Metas_Diarias[[#This Row],[data]])</f>
        <v>4</v>
      </c>
      <c r="H334" s="35">
        <f>IF(Metas_Diarias[[#This Row],[dias_da_demana]]=1,"domingo",IF(Metas_Diarias[[#This Row],[dias_da_demana]]=7,0.5,1))</f>
        <v>1</v>
      </c>
      <c r="I334" s="35">
        <f>_xlfn.XLOOKUP(Metas_Diarias[[#This Row],[data]],Feriados[Data],Feriados[Feriado],1)</f>
        <v>1</v>
      </c>
      <c r="J334" s="33" cm="1">
        <f t="array" aca="1" ref="J334" ca="1">SUMPRODUCT(IF((NOT(ISERROR(MATCH(ROW(INDIRECT(DATE(YEAR(B334),MONTH(B334),1)&amp;":"&amp;DATE(YEAR(B334),MONTH(B334)+1,0))),Feriados[Data],0))))=FALSE,
IF(WEEKDAY(ROW(INDIRECT(DATE(YEAR(B334),MONTH(B334),1)&amp;":"&amp;DATE(YEAR(B334),MONTH(B334)+1,0))),2)&lt;=5,1,IF(WEEKDAY(ROW(INDIRECT(DATE(YEAR(B334),MONTH(B334),1)&amp;":"&amp;DATE(YEAR(B334),MONTH(B334)+1,0))),2)=6,0.5,0)),0))</f>
        <v>22</v>
      </c>
      <c r="K334" s="22" cm="1">
        <f t="array" ref="K334">_xlfn.XLOOKUP(1,((Metas_Diarias[[#This Row],[tipo_equipe_id]]=Metas[equipe])*(Metas_Diarias[[#This Row],[data]]&gt;Metas[data_inicio])*(Metas_Diarias[[#This Row],[data]]&lt;Metas[data_fim])),Metas[meta_mensal],0)</f>
        <v>160000</v>
      </c>
      <c r="L334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35" spans="2:12" x14ac:dyDescent="0.3">
      <c r="B335" s="34">
        <v>45624</v>
      </c>
      <c r="C335" s="34" t="str">
        <f>TEXT(Metas_Diarias[[#This Row],[data]],"dddd")</f>
        <v>quinta-feira</v>
      </c>
      <c r="D335" s="33">
        <v>1</v>
      </c>
      <c r="E335" s="33">
        <v>1</v>
      </c>
      <c r="F335" s="18"/>
      <c r="G335" s="35">
        <f>WEEKDAY(Metas_Diarias[[#This Row],[data]])</f>
        <v>5</v>
      </c>
      <c r="H335" s="35">
        <f>IF(Metas_Diarias[[#This Row],[dias_da_demana]]=1,"domingo",IF(Metas_Diarias[[#This Row],[dias_da_demana]]=7,0.5,1))</f>
        <v>1</v>
      </c>
      <c r="I335" s="35">
        <f>_xlfn.XLOOKUP(Metas_Diarias[[#This Row],[data]],Feriados[Data],Feriados[Feriado],1)</f>
        <v>1</v>
      </c>
      <c r="J335" s="33" cm="1">
        <f t="array" aca="1" ref="J335" ca="1">SUMPRODUCT(IF((NOT(ISERROR(MATCH(ROW(INDIRECT(DATE(YEAR(B335),MONTH(B335),1)&amp;":"&amp;DATE(YEAR(B335),MONTH(B335)+1,0))),Feriados[Data],0))))=FALSE,
IF(WEEKDAY(ROW(INDIRECT(DATE(YEAR(B335),MONTH(B335),1)&amp;":"&amp;DATE(YEAR(B335),MONTH(B335)+1,0))),2)&lt;=5,1,IF(WEEKDAY(ROW(INDIRECT(DATE(YEAR(B335),MONTH(B335),1)&amp;":"&amp;DATE(YEAR(B335),MONTH(B335)+1,0))),2)=6,0.5,0)),0))</f>
        <v>22</v>
      </c>
      <c r="K335" s="22" cm="1">
        <f t="array" ref="K335">_xlfn.XLOOKUP(1,((Metas_Diarias[[#This Row],[tipo_equipe_id]]=Metas[equipe])*(Metas_Diarias[[#This Row],[data]]&gt;Metas[data_inicio])*(Metas_Diarias[[#This Row],[data]]&lt;Metas[data_fim])),Metas[meta_mensal],0)</f>
        <v>160000</v>
      </c>
      <c r="L33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36" spans="2:12" x14ac:dyDescent="0.3">
      <c r="B336" s="34">
        <v>45625</v>
      </c>
      <c r="C336" s="34" t="str">
        <f>TEXT(Metas_Diarias[[#This Row],[data]],"dddd")</f>
        <v>sexta-feira</v>
      </c>
      <c r="D336" s="33">
        <v>1</v>
      </c>
      <c r="E336" s="33">
        <v>1</v>
      </c>
      <c r="F336" s="18"/>
      <c r="G336" s="35">
        <f>WEEKDAY(Metas_Diarias[[#This Row],[data]])</f>
        <v>6</v>
      </c>
      <c r="H336" s="35">
        <f>IF(Metas_Diarias[[#This Row],[dias_da_demana]]=1,"domingo",IF(Metas_Diarias[[#This Row],[dias_da_demana]]=7,0.5,1))</f>
        <v>1</v>
      </c>
      <c r="I336" s="35">
        <f>_xlfn.XLOOKUP(Metas_Diarias[[#This Row],[data]],Feriados[Data],Feriados[Feriado],1)</f>
        <v>1</v>
      </c>
      <c r="J336" s="33" cm="1">
        <f t="array" aca="1" ref="J336" ca="1">SUMPRODUCT(IF((NOT(ISERROR(MATCH(ROW(INDIRECT(DATE(YEAR(B336),MONTH(B336),1)&amp;":"&amp;DATE(YEAR(B336),MONTH(B336)+1,0))),Feriados[Data],0))))=FALSE,
IF(WEEKDAY(ROW(INDIRECT(DATE(YEAR(B336),MONTH(B336),1)&amp;":"&amp;DATE(YEAR(B336),MONTH(B336)+1,0))),2)&lt;=5,1,IF(WEEKDAY(ROW(INDIRECT(DATE(YEAR(B336),MONTH(B336),1)&amp;":"&amp;DATE(YEAR(B336),MONTH(B336)+1,0))),2)=6,0.5,0)),0))</f>
        <v>22</v>
      </c>
      <c r="K336" s="22" cm="1">
        <f t="array" ref="K336">_xlfn.XLOOKUP(1,((Metas_Diarias[[#This Row],[tipo_equipe_id]]=Metas[equipe])*(Metas_Diarias[[#This Row],[data]]&gt;Metas[data_inicio])*(Metas_Diarias[[#This Row],[data]]&lt;Metas[data_fim])),Metas[meta_mensal],0)</f>
        <v>160000</v>
      </c>
      <c r="L33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337" spans="2:12" x14ac:dyDescent="0.3">
      <c r="B337" s="34">
        <v>45626</v>
      </c>
      <c r="C337" s="34" t="str">
        <f>TEXT(Metas_Diarias[[#This Row],[data]],"dddd")</f>
        <v>sábado</v>
      </c>
      <c r="D337" s="33">
        <v>1</v>
      </c>
      <c r="E337" s="33">
        <v>1</v>
      </c>
      <c r="F337" s="18"/>
      <c r="G337" s="35">
        <f>WEEKDAY(Metas_Diarias[[#This Row],[data]])</f>
        <v>7</v>
      </c>
      <c r="H337" s="35">
        <f>IF(Metas_Diarias[[#This Row],[dias_da_demana]]=1,"domingo",IF(Metas_Diarias[[#This Row],[dias_da_demana]]=7,0.5,1))</f>
        <v>0.5</v>
      </c>
      <c r="I337" s="35">
        <f>_xlfn.XLOOKUP(Metas_Diarias[[#This Row],[data]],Feriados[Data],Feriados[Feriado],1)</f>
        <v>1</v>
      </c>
      <c r="J337" s="33" cm="1">
        <f t="array" aca="1" ref="J337" ca="1">SUMPRODUCT(IF((NOT(ISERROR(MATCH(ROW(INDIRECT(DATE(YEAR(B337),MONTH(B337),1)&amp;":"&amp;DATE(YEAR(B337),MONTH(B337)+1,0))),Feriados[Data],0))))=FALSE,
IF(WEEKDAY(ROW(INDIRECT(DATE(YEAR(B337),MONTH(B337),1)&amp;":"&amp;DATE(YEAR(B337),MONTH(B337)+1,0))),2)&lt;=5,1,IF(WEEKDAY(ROW(INDIRECT(DATE(YEAR(B337),MONTH(B337),1)&amp;":"&amp;DATE(YEAR(B337),MONTH(B337)+1,0))),2)=6,0.5,0)),0))</f>
        <v>22</v>
      </c>
      <c r="K337" s="22" cm="1">
        <f t="array" ref="K337">_xlfn.XLOOKUP(1,((Metas_Diarias[[#This Row],[tipo_equipe_id]]=Metas[equipe])*(Metas_Diarias[[#This Row],[data]]&gt;Metas[data_inicio])*(Metas_Diarias[[#This Row],[data]]&lt;Metas[data_fim])),Metas[meta_mensal],0)</f>
        <v>160000</v>
      </c>
      <c r="L337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338" spans="2:12" x14ac:dyDescent="0.3">
      <c r="B338" s="34">
        <v>45627</v>
      </c>
      <c r="C338" s="34" t="str">
        <f>TEXT(Metas_Diarias[[#This Row],[data]],"dddd")</f>
        <v>domingo</v>
      </c>
      <c r="D338" s="33">
        <v>1</v>
      </c>
      <c r="E338" s="33">
        <v>1</v>
      </c>
      <c r="F338" s="18"/>
      <c r="G338" s="35">
        <f>WEEKDAY(Metas_Diarias[[#This Row],[data]])</f>
        <v>1</v>
      </c>
      <c r="H338" s="35" t="str">
        <f>IF(Metas_Diarias[[#This Row],[dias_da_demana]]=1,"domingo",IF(Metas_Diarias[[#This Row],[dias_da_demana]]=7,0.5,1))</f>
        <v>domingo</v>
      </c>
      <c r="I338" s="35">
        <f>_xlfn.XLOOKUP(Metas_Diarias[[#This Row],[data]],Feriados[Data],Feriados[Feriado],1)</f>
        <v>1</v>
      </c>
      <c r="J338" s="33" cm="1">
        <f t="array" aca="1" ref="J338" ca="1">SUMPRODUCT(IF((NOT(ISERROR(MATCH(ROW(INDIRECT(DATE(YEAR(B338),MONTH(B338),1)&amp;":"&amp;DATE(YEAR(B338),MONTH(B338)+1,0))),Feriados[Data],0))))=FALSE,
IF(WEEKDAY(ROW(INDIRECT(DATE(YEAR(B338),MONTH(B338),1)&amp;":"&amp;DATE(YEAR(B338),MONTH(B338)+1,0))),2)&lt;=5,1,IF(WEEKDAY(ROW(INDIRECT(DATE(YEAR(B338),MONTH(B338),1)&amp;":"&amp;DATE(YEAR(B338),MONTH(B338)+1,0))),2)=6,0.5,0)),0))</f>
        <v>23</v>
      </c>
      <c r="K338" s="22" cm="1">
        <f t="array" ref="K338">_xlfn.XLOOKUP(1,((Metas_Diarias[[#This Row],[tipo_equipe_id]]=Metas[equipe])*(Metas_Diarias[[#This Row],[data]]&gt;Metas[data_inicio])*(Metas_Diarias[[#This Row],[data]]&lt;Metas[data_fim])),Metas[meta_mensal],0)</f>
        <v>160000</v>
      </c>
      <c r="L3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39" spans="2:12" x14ac:dyDescent="0.3">
      <c r="B339" s="34">
        <v>45628</v>
      </c>
      <c r="C339" s="34" t="str">
        <f>TEXT(Metas_Diarias[[#This Row],[data]],"dddd")</f>
        <v>segunda-feira</v>
      </c>
      <c r="D339" s="33">
        <v>1</v>
      </c>
      <c r="E339" s="33">
        <v>1</v>
      </c>
      <c r="F339" s="18"/>
      <c r="G339" s="35">
        <f>WEEKDAY(Metas_Diarias[[#This Row],[data]])</f>
        <v>2</v>
      </c>
      <c r="H339" s="35">
        <f>IF(Metas_Diarias[[#This Row],[dias_da_demana]]=1,"domingo",IF(Metas_Diarias[[#This Row],[dias_da_demana]]=7,0.5,1))</f>
        <v>1</v>
      </c>
      <c r="I339" s="35">
        <f>_xlfn.XLOOKUP(Metas_Diarias[[#This Row],[data]],Feriados[Data],Feriados[Feriado],1)</f>
        <v>1</v>
      </c>
      <c r="J339" s="33" cm="1">
        <f t="array" aca="1" ref="J339" ca="1">SUMPRODUCT(IF((NOT(ISERROR(MATCH(ROW(INDIRECT(DATE(YEAR(B339),MONTH(B339),1)&amp;":"&amp;DATE(YEAR(B339),MONTH(B339)+1,0))),Feriados[Data],0))))=FALSE,
IF(WEEKDAY(ROW(INDIRECT(DATE(YEAR(B339),MONTH(B339),1)&amp;":"&amp;DATE(YEAR(B339),MONTH(B339)+1,0))),2)&lt;=5,1,IF(WEEKDAY(ROW(INDIRECT(DATE(YEAR(B339),MONTH(B339),1)&amp;":"&amp;DATE(YEAR(B339),MONTH(B339)+1,0))),2)=6,0.5,0)),0))</f>
        <v>23</v>
      </c>
      <c r="K339" s="22" cm="1">
        <f t="array" ref="K339">_xlfn.XLOOKUP(1,((Metas_Diarias[[#This Row],[tipo_equipe_id]]=Metas[equipe])*(Metas_Diarias[[#This Row],[data]]&gt;Metas[data_inicio])*(Metas_Diarias[[#This Row],[data]]&lt;Metas[data_fim])),Metas[meta_mensal],0)</f>
        <v>160000</v>
      </c>
      <c r="L339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40" spans="2:12" x14ac:dyDescent="0.3">
      <c r="B340" s="34">
        <v>45629</v>
      </c>
      <c r="C340" s="34" t="str">
        <f>TEXT(Metas_Diarias[[#This Row],[data]],"dddd")</f>
        <v>terça-feira</v>
      </c>
      <c r="D340" s="33">
        <v>1</v>
      </c>
      <c r="E340" s="33">
        <v>1</v>
      </c>
      <c r="F340" s="18"/>
      <c r="G340" s="35">
        <f>WEEKDAY(Metas_Diarias[[#This Row],[data]])</f>
        <v>3</v>
      </c>
      <c r="H340" s="35">
        <f>IF(Metas_Diarias[[#This Row],[dias_da_demana]]=1,"domingo",IF(Metas_Diarias[[#This Row],[dias_da_demana]]=7,0.5,1))</f>
        <v>1</v>
      </c>
      <c r="I340" s="35">
        <f>_xlfn.XLOOKUP(Metas_Diarias[[#This Row],[data]],Feriados[Data],Feriados[Feriado],1)</f>
        <v>1</v>
      </c>
      <c r="J340" s="33" cm="1">
        <f t="array" aca="1" ref="J340" ca="1">SUMPRODUCT(IF((NOT(ISERROR(MATCH(ROW(INDIRECT(DATE(YEAR(B340),MONTH(B340),1)&amp;":"&amp;DATE(YEAR(B340),MONTH(B340)+1,0))),Feriados[Data],0))))=FALSE,
IF(WEEKDAY(ROW(INDIRECT(DATE(YEAR(B340),MONTH(B340),1)&amp;":"&amp;DATE(YEAR(B340),MONTH(B340)+1,0))),2)&lt;=5,1,IF(WEEKDAY(ROW(INDIRECT(DATE(YEAR(B340),MONTH(B340),1)&amp;":"&amp;DATE(YEAR(B340),MONTH(B340)+1,0))),2)=6,0.5,0)),0))</f>
        <v>23</v>
      </c>
      <c r="K340" s="22" cm="1">
        <f t="array" ref="K340">_xlfn.XLOOKUP(1,((Metas_Diarias[[#This Row],[tipo_equipe_id]]=Metas[equipe])*(Metas_Diarias[[#This Row],[data]]&gt;Metas[data_inicio])*(Metas_Diarias[[#This Row],[data]]&lt;Metas[data_fim])),Metas[meta_mensal],0)</f>
        <v>160000</v>
      </c>
      <c r="L340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41" spans="2:12" x14ac:dyDescent="0.3">
      <c r="B341" s="34">
        <v>45630</v>
      </c>
      <c r="C341" s="34" t="str">
        <f>TEXT(Metas_Diarias[[#This Row],[data]],"dddd")</f>
        <v>quarta-feira</v>
      </c>
      <c r="D341" s="33">
        <v>1</v>
      </c>
      <c r="E341" s="33">
        <v>1</v>
      </c>
      <c r="F341" s="18"/>
      <c r="G341" s="35">
        <f>WEEKDAY(Metas_Diarias[[#This Row],[data]])</f>
        <v>4</v>
      </c>
      <c r="H341" s="35">
        <f>IF(Metas_Diarias[[#This Row],[dias_da_demana]]=1,"domingo",IF(Metas_Diarias[[#This Row],[dias_da_demana]]=7,0.5,1))</f>
        <v>1</v>
      </c>
      <c r="I341" s="35">
        <f>_xlfn.XLOOKUP(Metas_Diarias[[#This Row],[data]],Feriados[Data],Feriados[Feriado],1)</f>
        <v>1</v>
      </c>
      <c r="J341" s="33" cm="1">
        <f t="array" aca="1" ref="J341" ca="1">SUMPRODUCT(IF((NOT(ISERROR(MATCH(ROW(INDIRECT(DATE(YEAR(B341),MONTH(B341),1)&amp;":"&amp;DATE(YEAR(B341),MONTH(B341)+1,0))),Feriados[Data],0))))=FALSE,
IF(WEEKDAY(ROW(INDIRECT(DATE(YEAR(B341),MONTH(B341),1)&amp;":"&amp;DATE(YEAR(B341),MONTH(B341)+1,0))),2)&lt;=5,1,IF(WEEKDAY(ROW(INDIRECT(DATE(YEAR(B341),MONTH(B341),1)&amp;":"&amp;DATE(YEAR(B341),MONTH(B341)+1,0))),2)=6,0.5,0)),0))</f>
        <v>23</v>
      </c>
      <c r="K341" s="22" cm="1">
        <f t="array" ref="K341">_xlfn.XLOOKUP(1,((Metas_Diarias[[#This Row],[tipo_equipe_id]]=Metas[equipe])*(Metas_Diarias[[#This Row],[data]]&gt;Metas[data_inicio])*(Metas_Diarias[[#This Row],[data]]&lt;Metas[data_fim])),Metas[meta_mensal],0)</f>
        <v>160000</v>
      </c>
      <c r="L341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42" spans="2:12" x14ac:dyDescent="0.3">
      <c r="B342" s="34">
        <v>45631</v>
      </c>
      <c r="C342" s="34" t="str">
        <f>TEXT(Metas_Diarias[[#This Row],[data]],"dddd")</f>
        <v>quinta-feira</v>
      </c>
      <c r="D342" s="33">
        <v>1</v>
      </c>
      <c r="E342" s="33">
        <v>1</v>
      </c>
      <c r="F342" s="18"/>
      <c r="G342" s="35">
        <f>WEEKDAY(Metas_Diarias[[#This Row],[data]])</f>
        <v>5</v>
      </c>
      <c r="H342" s="35">
        <f>IF(Metas_Diarias[[#This Row],[dias_da_demana]]=1,"domingo",IF(Metas_Diarias[[#This Row],[dias_da_demana]]=7,0.5,1))</f>
        <v>1</v>
      </c>
      <c r="I342" s="35">
        <f>_xlfn.XLOOKUP(Metas_Diarias[[#This Row],[data]],Feriados[Data],Feriados[Feriado],1)</f>
        <v>1</v>
      </c>
      <c r="J342" s="33" cm="1">
        <f t="array" aca="1" ref="J342" ca="1">SUMPRODUCT(IF((NOT(ISERROR(MATCH(ROW(INDIRECT(DATE(YEAR(B342),MONTH(B342),1)&amp;":"&amp;DATE(YEAR(B342),MONTH(B342)+1,0))),Feriados[Data],0))))=FALSE,
IF(WEEKDAY(ROW(INDIRECT(DATE(YEAR(B342),MONTH(B342),1)&amp;":"&amp;DATE(YEAR(B342),MONTH(B342)+1,0))),2)&lt;=5,1,IF(WEEKDAY(ROW(INDIRECT(DATE(YEAR(B342),MONTH(B342),1)&amp;":"&amp;DATE(YEAR(B342),MONTH(B342)+1,0))),2)=6,0.5,0)),0))</f>
        <v>23</v>
      </c>
      <c r="K342" s="22" cm="1">
        <f t="array" ref="K342">_xlfn.XLOOKUP(1,((Metas_Diarias[[#This Row],[tipo_equipe_id]]=Metas[equipe])*(Metas_Diarias[[#This Row],[data]]&gt;Metas[data_inicio])*(Metas_Diarias[[#This Row],[data]]&lt;Metas[data_fim])),Metas[meta_mensal],0)</f>
        <v>160000</v>
      </c>
      <c r="L342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43" spans="2:12" x14ac:dyDescent="0.3">
      <c r="B343" s="34">
        <v>45632</v>
      </c>
      <c r="C343" s="34" t="str">
        <f>TEXT(Metas_Diarias[[#This Row],[data]],"dddd")</f>
        <v>sexta-feira</v>
      </c>
      <c r="D343" s="33">
        <v>1</v>
      </c>
      <c r="E343" s="33">
        <v>1</v>
      </c>
      <c r="F343" s="18"/>
      <c r="G343" s="35">
        <f>WEEKDAY(Metas_Diarias[[#This Row],[data]])</f>
        <v>6</v>
      </c>
      <c r="H343" s="35">
        <f>IF(Metas_Diarias[[#This Row],[dias_da_demana]]=1,"domingo",IF(Metas_Diarias[[#This Row],[dias_da_demana]]=7,0.5,1))</f>
        <v>1</v>
      </c>
      <c r="I343" s="35">
        <f>_xlfn.XLOOKUP(Metas_Diarias[[#This Row],[data]],Feriados[Data],Feriados[Feriado],1)</f>
        <v>1</v>
      </c>
      <c r="J343" s="33" cm="1">
        <f t="array" aca="1" ref="J343" ca="1">SUMPRODUCT(IF((NOT(ISERROR(MATCH(ROW(INDIRECT(DATE(YEAR(B343),MONTH(B343),1)&amp;":"&amp;DATE(YEAR(B343),MONTH(B343)+1,0))),Feriados[Data],0))))=FALSE,
IF(WEEKDAY(ROW(INDIRECT(DATE(YEAR(B343),MONTH(B343),1)&amp;":"&amp;DATE(YEAR(B343),MONTH(B343)+1,0))),2)&lt;=5,1,IF(WEEKDAY(ROW(INDIRECT(DATE(YEAR(B343),MONTH(B343),1)&amp;":"&amp;DATE(YEAR(B343),MONTH(B343)+1,0))),2)=6,0.5,0)),0))</f>
        <v>23</v>
      </c>
      <c r="K343" s="22" cm="1">
        <f t="array" ref="K343">_xlfn.XLOOKUP(1,((Metas_Diarias[[#This Row],[tipo_equipe_id]]=Metas[equipe])*(Metas_Diarias[[#This Row],[data]]&gt;Metas[data_inicio])*(Metas_Diarias[[#This Row],[data]]&lt;Metas[data_fim])),Metas[meta_mensal],0)</f>
        <v>160000</v>
      </c>
      <c r="L343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44" spans="2:12" x14ac:dyDescent="0.3">
      <c r="B344" s="34">
        <v>45633</v>
      </c>
      <c r="C344" s="34" t="str">
        <f>TEXT(Metas_Diarias[[#This Row],[data]],"dddd")</f>
        <v>sábado</v>
      </c>
      <c r="D344" s="33">
        <v>1</v>
      </c>
      <c r="E344" s="33">
        <v>1</v>
      </c>
      <c r="F344" s="18"/>
      <c r="G344" s="35">
        <f>WEEKDAY(Metas_Diarias[[#This Row],[data]])</f>
        <v>7</v>
      </c>
      <c r="H344" s="35">
        <f>IF(Metas_Diarias[[#This Row],[dias_da_demana]]=1,"domingo",IF(Metas_Diarias[[#This Row],[dias_da_demana]]=7,0.5,1))</f>
        <v>0.5</v>
      </c>
      <c r="I344" s="35">
        <f>_xlfn.XLOOKUP(Metas_Diarias[[#This Row],[data]],Feriados[Data],Feriados[Feriado],1)</f>
        <v>1</v>
      </c>
      <c r="J344" s="33" cm="1">
        <f t="array" aca="1" ref="J344" ca="1">SUMPRODUCT(IF((NOT(ISERROR(MATCH(ROW(INDIRECT(DATE(YEAR(B344),MONTH(B344),1)&amp;":"&amp;DATE(YEAR(B344),MONTH(B344)+1,0))),Feriados[Data],0))))=FALSE,
IF(WEEKDAY(ROW(INDIRECT(DATE(YEAR(B344),MONTH(B344),1)&amp;":"&amp;DATE(YEAR(B344),MONTH(B344)+1,0))),2)&lt;=5,1,IF(WEEKDAY(ROW(INDIRECT(DATE(YEAR(B344),MONTH(B344),1)&amp;":"&amp;DATE(YEAR(B344),MONTH(B344)+1,0))),2)=6,0.5,0)),0))</f>
        <v>23</v>
      </c>
      <c r="K344" s="22" cm="1">
        <f t="array" ref="K344">_xlfn.XLOOKUP(1,((Metas_Diarias[[#This Row],[tipo_equipe_id]]=Metas[equipe])*(Metas_Diarias[[#This Row],[data]]&gt;Metas[data_inicio])*(Metas_Diarias[[#This Row],[data]]&lt;Metas[data_fim])),Metas[meta_mensal],0)</f>
        <v>160000</v>
      </c>
      <c r="L344" s="24">
        <f ca="1">Metas_Diarias[[#This Row],[meta_mensal]]*IF(Metas_Diarias[[#This Row],[semana]]="domingo",0,Metas_Diarias[[#This Row],[semana]])*IF(Metas_Diarias[[#This Row],[feriado]]&lt;&gt;1,0,1)/Metas_Diarias[[#This Row],[dias_úteis_Mês]]</f>
        <v>3478.2608695652175</v>
      </c>
    </row>
    <row r="345" spans="2:12" x14ac:dyDescent="0.3">
      <c r="B345" s="34">
        <v>45634</v>
      </c>
      <c r="C345" s="34" t="str">
        <f>TEXT(Metas_Diarias[[#This Row],[data]],"dddd")</f>
        <v>domingo</v>
      </c>
      <c r="D345" s="33">
        <v>1</v>
      </c>
      <c r="E345" s="33">
        <v>1</v>
      </c>
      <c r="F345" s="18"/>
      <c r="G345" s="35">
        <f>WEEKDAY(Metas_Diarias[[#This Row],[data]])</f>
        <v>1</v>
      </c>
      <c r="H345" s="35" t="str">
        <f>IF(Metas_Diarias[[#This Row],[dias_da_demana]]=1,"domingo",IF(Metas_Diarias[[#This Row],[dias_da_demana]]=7,0.5,1))</f>
        <v>domingo</v>
      </c>
      <c r="I345" s="35">
        <f>_xlfn.XLOOKUP(Metas_Diarias[[#This Row],[data]],Feriados[Data],Feriados[Feriado],1)</f>
        <v>1</v>
      </c>
      <c r="J345" s="33" cm="1">
        <f t="array" aca="1" ref="J345" ca="1">SUMPRODUCT(IF((NOT(ISERROR(MATCH(ROW(INDIRECT(DATE(YEAR(B345),MONTH(B345),1)&amp;":"&amp;DATE(YEAR(B345),MONTH(B345)+1,0))),Feriados[Data],0))))=FALSE,
IF(WEEKDAY(ROW(INDIRECT(DATE(YEAR(B345),MONTH(B345),1)&amp;":"&amp;DATE(YEAR(B345),MONTH(B345)+1,0))),2)&lt;=5,1,IF(WEEKDAY(ROW(INDIRECT(DATE(YEAR(B345),MONTH(B345),1)&amp;":"&amp;DATE(YEAR(B345),MONTH(B345)+1,0))),2)=6,0.5,0)),0))</f>
        <v>23</v>
      </c>
      <c r="K345" s="22" cm="1">
        <f t="array" ref="K345">_xlfn.XLOOKUP(1,((Metas_Diarias[[#This Row],[tipo_equipe_id]]=Metas[equipe])*(Metas_Diarias[[#This Row],[data]]&gt;Metas[data_inicio])*(Metas_Diarias[[#This Row],[data]]&lt;Metas[data_fim])),Metas[meta_mensal],0)</f>
        <v>160000</v>
      </c>
      <c r="L3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46" spans="2:12" x14ac:dyDescent="0.3">
      <c r="B346" s="34">
        <v>45635</v>
      </c>
      <c r="C346" s="34" t="str">
        <f>TEXT(Metas_Diarias[[#This Row],[data]],"dddd")</f>
        <v>segunda-feira</v>
      </c>
      <c r="D346" s="33">
        <v>1</v>
      </c>
      <c r="E346" s="33">
        <v>1</v>
      </c>
      <c r="F346" s="18"/>
      <c r="G346" s="35">
        <f>WEEKDAY(Metas_Diarias[[#This Row],[data]])</f>
        <v>2</v>
      </c>
      <c r="H346" s="35">
        <f>IF(Metas_Diarias[[#This Row],[dias_da_demana]]=1,"domingo",IF(Metas_Diarias[[#This Row],[dias_da_demana]]=7,0.5,1))</f>
        <v>1</v>
      </c>
      <c r="I346" s="35">
        <f>_xlfn.XLOOKUP(Metas_Diarias[[#This Row],[data]],Feriados[Data],Feriados[Feriado],1)</f>
        <v>1</v>
      </c>
      <c r="J346" s="33" cm="1">
        <f t="array" aca="1" ref="J346" ca="1">SUMPRODUCT(IF((NOT(ISERROR(MATCH(ROW(INDIRECT(DATE(YEAR(B346),MONTH(B346),1)&amp;":"&amp;DATE(YEAR(B346),MONTH(B346)+1,0))),Feriados[Data],0))))=FALSE,
IF(WEEKDAY(ROW(INDIRECT(DATE(YEAR(B346),MONTH(B346),1)&amp;":"&amp;DATE(YEAR(B346),MONTH(B346)+1,0))),2)&lt;=5,1,IF(WEEKDAY(ROW(INDIRECT(DATE(YEAR(B346),MONTH(B346),1)&amp;":"&amp;DATE(YEAR(B346),MONTH(B346)+1,0))),2)=6,0.5,0)),0))</f>
        <v>23</v>
      </c>
      <c r="K346" s="22" cm="1">
        <f t="array" ref="K346">_xlfn.XLOOKUP(1,((Metas_Diarias[[#This Row],[tipo_equipe_id]]=Metas[equipe])*(Metas_Diarias[[#This Row],[data]]&gt;Metas[data_inicio])*(Metas_Diarias[[#This Row],[data]]&lt;Metas[data_fim])),Metas[meta_mensal],0)</f>
        <v>160000</v>
      </c>
      <c r="L346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47" spans="2:12" x14ac:dyDescent="0.3">
      <c r="B347" s="34">
        <v>45636</v>
      </c>
      <c r="C347" s="34" t="str">
        <f>TEXT(Metas_Diarias[[#This Row],[data]],"dddd")</f>
        <v>terça-feira</v>
      </c>
      <c r="D347" s="33">
        <v>1</v>
      </c>
      <c r="E347" s="33">
        <v>1</v>
      </c>
      <c r="F347" s="18"/>
      <c r="G347" s="35">
        <f>WEEKDAY(Metas_Diarias[[#This Row],[data]])</f>
        <v>3</v>
      </c>
      <c r="H347" s="35">
        <f>IF(Metas_Diarias[[#This Row],[dias_da_demana]]=1,"domingo",IF(Metas_Diarias[[#This Row],[dias_da_demana]]=7,0.5,1))</f>
        <v>1</v>
      </c>
      <c r="I347" s="35">
        <f>_xlfn.XLOOKUP(Metas_Diarias[[#This Row],[data]],Feriados[Data],Feriados[Feriado],1)</f>
        <v>1</v>
      </c>
      <c r="J347" s="33" cm="1">
        <f t="array" aca="1" ref="J347" ca="1">SUMPRODUCT(IF((NOT(ISERROR(MATCH(ROW(INDIRECT(DATE(YEAR(B347),MONTH(B347),1)&amp;":"&amp;DATE(YEAR(B347),MONTH(B347)+1,0))),Feriados[Data],0))))=FALSE,
IF(WEEKDAY(ROW(INDIRECT(DATE(YEAR(B347),MONTH(B347),1)&amp;":"&amp;DATE(YEAR(B347),MONTH(B347)+1,0))),2)&lt;=5,1,IF(WEEKDAY(ROW(INDIRECT(DATE(YEAR(B347),MONTH(B347),1)&amp;":"&amp;DATE(YEAR(B347),MONTH(B347)+1,0))),2)=6,0.5,0)),0))</f>
        <v>23</v>
      </c>
      <c r="K347" s="22" cm="1">
        <f t="array" ref="K347">_xlfn.XLOOKUP(1,((Metas_Diarias[[#This Row],[tipo_equipe_id]]=Metas[equipe])*(Metas_Diarias[[#This Row],[data]]&gt;Metas[data_inicio])*(Metas_Diarias[[#This Row],[data]]&lt;Metas[data_fim])),Metas[meta_mensal],0)</f>
        <v>160000</v>
      </c>
      <c r="L347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48" spans="2:12" x14ac:dyDescent="0.3">
      <c r="B348" s="34">
        <v>45637</v>
      </c>
      <c r="C348" s="34" t="str">
        <f>TEXT(Metas_Diarias[[#This Row],[data]],"dddd")</f>
        <v>quarta-feira</v>
      </c>
      <c r="D348" s="33">
        <v>1</v>
      </c>
      <c r="E348" s="33">
        <v>1</v>
      </c>
      <c r="F348" s="18"/>
      <c r="G348" s="35">
        <f>WEEKDAY(Metas_Diarias[[#This Row],[data]])</f>
        <v>4</v>
      </c>
      <c r="H348" s="35">
        <f>IF(Metas_Diarias[[#This Row],[dias_da_demana]]=1,"domingo",IF(Metas_Diarias[[#This Row],[dias_da_demana]]=7,0.5,1))</f>
        <v>1</v>
      </c>
      <c r="I348" s="35">
        <f>_xlfn.XLOOKUP(Metas_Diarias[[#This Row],[data]],Feriados[Data],Feriados[Feriado],1)</f>
        <v>1</v>
      </c>
      <c r="J348" s="33" cm="1">
        <f t="array" aca="1" ref="J348" ca="1">SUMPRODUCT(IF((NOT(ISERROR(MATCH(ROW(INDIRECT(DATE(YEAR(B348),MONTH(B348),1)&amp;":"&amp;DATE(YEAR(B348),MONTH(B348)+1,0))),Feriados[Data],0))))=FALSE,
IF(WEEKDAY(ROW(INDIRECT(DATE(YEAR(B348),MONTH(B348),1)&amp;":"&amp;DATE(YEAR(B348),MONTH(B348)+1,0))),2)&lt;=5,1,IF(WEEKDAY(ROW(INDIRECT(DATE(YEAR(B348),MONTH(B348),1)&amp;":"&amp;DATE(YEAR(B348),MONTH(B348)+1,0))),2)=6,0.5,0)),0))</f>
        <v>23</v>
      </c>
      <c r="K348" s="22" cm="1">
        <f t="array" ref="K348">_xlfn.XLOOKUP(1,((Metas_Diarias[[#This Row],[tipo_equipe_id]]=Metas[equipe])*(Metas_Diarias[[#This Row],[data]]&gt;Metas[data_inicio])*(Metas_Diarias[[#This Row],[data]]&lt;Metas[data_fim])),Metas[meta_mensal],0)</f>
        <v>160000</v>
      </c>
      <c r="L348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49" spans="2:12" x14ac:dyDescent="0.3">
      <c r="B349" s="34">
        <v>45638</v>
      </c>
      <c r="C349" s="34" t="str">
        <f>TEXT(Metas_Diarias[[#This Row],[data]],"dddd")</f>
        <v>quinta-feira</v>
      </c>
      <c r="D349" s="33">
        <v>1</v>
      </c>
      <c r="E349" s="33">
        <v>1</v>
      </c>
      <c r="F349" s="18"/>
      <c r="G349" s="35">
        <f>WEEKDAY(Metas_Diarias[[#This Row],[data]])</f>
        <v>5</v>
      </c>
      <c r="H349" s="35">
        <f>IF(Metas_Diarias[[#This Row],[dias_da_demana]]=1,"domingo",IF(Metas_Diarias[[#This Row],[dias_da_demana]]=7,0.5,1))</f>
        <v>1</v>
      </c>
      <c r="I349" s="35">
        <f>_xlfn.XLOOKUP(Metas_Diarias[[#This Row],[data]],Feriados[Data],Feriados[Feriado],1)</f>
        <v>1</v>
      </c>
      <c r="J349" s="33" cm="1">
        <f t="array" aca="1" ref="J349" ca="1">SUMPRODUCT(IF((NOT(ISERROR(MATCH(ROW(INDIRECT(DATE(YEAR(B349),MONTH(B349),1)&amp;":"&amp;DATE(YEAR(B349),MONTH(B349)+1,0))),Feriados[Data],0))))=FALSE,
IF(WEEKDAY(ROW(INDIRECT(DATE(YEAR(B349),MONTH(B349),1)&amp;":"&amp;DATE(YEAR(B349),MONTH(B349)+1,0))),2)&lt;=5,1,IF(WEEKDAY(ROW(INDIRECT(DATE(YEAR(B349),MONTH(B349),1)&amp;":"&amp;DATE(YEAR(B349),MONTH(B349)+1,0))),2)=6,0.5,0)),0))</f>
        <v>23</v>
      </c>
      <c r="K349" s="22" cm="1">
        <f t="array" ref="K349">_xlfn.XLOOKUP(1,((Metas_Diarias[[#This Row],[tipo_equipe_id]]=Metas[equipe])*(Metas_Diarias[[#This Row],[data]]&gt;Metas[data_inicio])*(Metas_Diarias[[#This Row],[data]]&lt;Metas[data_fim])),Metas[meta_mensal],0)</f>
        <v>160000</v>
      </c>
      <c r="L349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50" spans="2:12" x14ac:dyDescent="0.3">
      <c r="B350" s="34">
        <v>45639</v>
      </c>
      <c r="C350" s="34" t="str">
        <f>TEXT(Metas_Diarias[[#This Row],[data]],"dddd")</f>
        <v>sexta-feira</v>
      </c>
      <c r="D350" s="33">
        <v>1</v>
      </c>
      <c r="E350" s="33">
        <v>1</v>
      </c>
      <c r="F350" s="18"/>
      <c r="G350" s="35">
        <f>WEEKDAY(Metas_Diarias[[#This Row],[data]])</f>
        <v>6</v>
      </c>
      <c r="H350" s="35">
        <f>IF(Metas_Diarias[[#This Row],[dias_da_demana]]=1,"domingo",IF(Metas_Diarias[[#This Row],[dias_da_demana]]=7,0.5,1))</f>
        <v>1</v>
      </c>
      <c r="I350" s="35">
        <f>_xlfn.XLOOKUP(Metas_Diarias[[#This Row],[data]],Feriados[Data],Feriados[Feriado],1)</f>
        <v>1</v>
      </c>
      <c r="J350" s="33" cm="1">
        <f t="array" aca="1" ref="J350" ca="1">SUMPRODUCT(IF((NOT(ISERROR(MATCH(ROW(INDIRECT(DATE(YEAR(B350),MONTH(B350),1)&amp;":"&amp;DATE(YEAR(B350),MONTH(B350)+1,0))),Feriados[Data],0))))=FALSE,
IF(WEEKDAY(ROW(INDIRECT(DATE(YEAR(B350),MONTH(B350),1)&amp;":"&amp;DATE(YEAR(B350),MONTH(B350)+1,0))),2)&lt;=5,1,IF(WEEKDAY(ROW(INDIRECT(DATE(YEAR(B350),MONTH(B350),1)&amp;":"&amp;DATE(YEAR(B350),MONTH(B350)+1,0))),2)=6,0.5,0)),0))</f>
        <v>23</v>
      </c>
      <c r="K350" s="22" cm="1">
        <f t="array" ref="K350">_xlfn.XLOOKUP(1,((Metas_Diarias[[#This Row],[tipo_equipe_id]]=Metas[equipe])*(Metas_Diarias[[#This Row],[data]]&gt;Metas[data_inicio])*(Metas_Diarias[[#This Row],[data]]&lt;Metas[data_fim])),Metas[meta_mensal],0)</f>
        <v>160000</v>
      </c>
      <c r="L350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51" spans="2:12" x14ac:dyDescent="0.3">
      <c r="B351" s="34">
        <v>45640</v>
      </c>
      <c r="C351" s="34" t="str">
        <f>TEXT(Metas_Diarias[[#This Row],[data]],"dddd")</f>
        <v>sábado</v>
      </c>
      <c r="D351" s="33">
        <v>1</v>
      </c>
      <c r="E351" s="33">
        <v>1</v>
      </c>
      <c r="F351" s="18"/>
      <c r="G351" s="35">
        <f>WEEKDAY(Metas_Diarias[[#This Row],[data]])</f>
        <v>7</v>
      </c>
      <c r="H351" s="35">
        <f>IF(Metas_Diarias[[#This Row],[dias_da_demana]]=1,"domingo",IF(Metas_Diarias[[#This Row],[dias_da_demana]]=7,0.5,1))</f>
        <v>0.5</v>
      </c>
      <c r="I351" s="35">
        <f>_xlfn.XLOOKUP(Metas_Diarias[[#This Row],[data]],Feriados[Data],Feriados[Feriado],1)</f>
        <v>1</v>
      </c>
      <c r="J351" s="33" cm="1">
        <f t="array" aca="1" ref="J351" ca="1">SUMPRODUCT(IF((NOT(ISERROR(MATCH(ROW(INDIRECT(DATE(YEAR(B351),MONTH(B351),1)&amp;":"&amp;DATE(YEAR(B351),MONTH(B351)+1,0))),Feriados[Data],0))))=FALSE,
IF(WEEKDAY(ROW(INDIRECT(DATE(YEAR(B351),MONTH(B351),1)&amp;":"&amp;DATE(YEAR(B351),MONTH(B351)+1,0))),2)&lt;=5,1,IF(WEEKDAY(ROW(INDIRECT(DATE(YEAR(B351),MONTH(B351),1)&amp;":"&amp;DATE(YEAR(B351),MONTH(B351)+1,0))),2)=6,0.5,0)),0))</f>
        <v>23</v>
      </c>
      <c r="K351" s="22" cm="1">
        <f t="array" ref="K351">_xlfn.XLOOKUP(1,((Metas_Diarias[[#This Row],[tipo_equipe_id]]=Metas[equipe])*(Metas_Diarias[[#This Row],[data]]&gt;Metas[data_inicio])*(Metas_Diarias[[#This Row],[data]]&lt;Metas[data_fim])),Metas[meta_mensal],0)</f>
        <v>160000</v>
      </c>
      <c r="L351" s="24">
        <f ca="1">Metas_Diarias[[#This Row],[meta_mensal]]*IF(Metas_Diarias[[#This Row],[semana]]="domingo",0,Metas_Diarias[[#This Row],[semana]])*IF(Metas_Diarias[[#This Row],[feriado]]&lt;&gt;1,0,1)/Metas_Diarias[[#This Row],[dias_úteis_Mês]]</f>
        <v>3478.2608695652175</v>
      </c>
    </row>
    <row r="352" spans="2:12" x14ac:dyDescent="0.3">
      <c r="B352" s="34">
        <v>45641</v>
      </c>
      <c r="C352" s="34" t="str">
        <f>TEXT(Metas_Diarias[[#This Row],[data]],"dddd")</f>
        <v>domingo</v>
      </c>
      <c r="D352" s="33">
        <v>1</v>
      </c>
      <c r="E352" s="33">
        <v>1</v>
      </c>
      <c r="F352" s="18"/>
      <c r="G352" s="35">
        <f>WEEKDAY(Metas_Diarias[[#This Row],[data]])</f>
        <v>1</v>
      </c>
      <c r="H352" s="35" t="str">
        <f>IF(Metas_Diarias[[#This Row],[dias_da_demana]]=1,"domingo",IF(Metas_Diarias[[#This Row],[dias_da_demana]]=7,0.5,1))</f>
        <v>domingo</v>
      </c>
      <c r="I352" s="35">
        <f>_xlfn.XLOOKUP(Metas_Diarias[[#This Row],[data]],Feriados[Data],Feriados[Feriado],1)</f>
        <v>1</v>
      </c>
      <c r="J352" s="33" cm="1">
        <f t="array" aca="1" ref="J352" ca="1">SUMPRODUCT(IF((NOT(ISERROR(MATCH(ROW(INDIRECT(DATE(YEAR(B352),MONTH(B352),1)&amp;":"&amp;DATE(YEAR(B352),MONTH(B352)+1,0))),Feriados[Data],0))))=FALSE,
IF(WEEKDAY(ROW(INDIRECT(DATE(YEAR(B352),MONTH(B352),1)&amp;":"&amp;DATE(YEAR(B352),MONTH(B352)+1,0))),2)&lt;=5,1,IF(WEEKDAY(ROW(INDIRECT(DATE(YEAR(B352),MONTH(B352),1)&amp;":"&amp;DATE(YEAR(B352),MONTH(B352)+1,0))),2)=6,0.5,0)),0))</f>
        <v>23</v>
      </c>
      <c r="K352" s="22" cm="1">
        <f t="array" ref="K352">_xlfn.XLOOKUP(1,((Metas_Diarias[[#This Row],[tipo_equipe_id]]=Metas[equipe])*(Metas_Diarias[[#This Row],[data]]&gt;Metas[data_inicio])*(Metas_Diarias[[#This Row],[data]]&lt;Metas[data_fim])),Metas[meta_mensal],0)</f>
        <v>160000</v>
      </c>
      <c r="L3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53" spans="2:12" x14ac:dyDescent="0.3">
      <c r="B353" s="34">
        <v>45642</v>
      </c>
      <c r="C353" s="34" t="str">
        <f>TEXT(Metas_Diarias[[#This Row],[data]],"dddd")</f>
        <v>segunda-feira</v>
      </c>
      <c r="D353" s="33">
        <v>1</v>
      </c>
      <c r="E353" s="33">
        <v>1</v>
      </c>
      <c r="F353" s="18"/>
      <c r="G353" s="35">
        <f>WEEKDAY(Metas_Diarias[[#This Row],[data]])</f>
        <v>2</v>
      </c>
      <c r="H353" s="35">
        <f>IF(Metas_Diarias[[#This Row],[dias_da_demana]]=1,"domingo",IF(Metas_Diarias[[#This Row],[dias_da_demana]]=7,0.5,1))</f>
        <v>1</v>
      </c>
      <c r="I353" s="35">
        <f>_xlfn.XLOOKUP(Metas_Diarias[[#This Row],[data]],Feriados[Data],Feriados[Feriado],1)</f>
        <v>1</v>
      </c>
      <c r="J353" s="33" cm="1">
        <f t="array" aca="1" ref="J353" ca="1">SUMPRODUCT(IF((NOT(ISERROR(MATCH(ROW(INDIRECT(DATE(YEAR(B353),MONTH(B353),1)&amp;":"&amp;DATE(YEAR(B353),MONTH(B353)+1,0))),Feriados[Data],0))))=FALSE,
IF(WEEKDAY(ROW(INDIRECT(DATE(YEAR(B353),MONTH(B353),1)&amp;":"&amp;DATE(YEAR(B353),MONTH(B353)+1,0))),2)&lt;=5,1,IF(WEEKDAY(ROW(INDIRECT(DATE(YEAR(B353),MONTH(B353),1)&amp;":"&amp;DATE(YEAR(B353),MONTH(B353)+1,0))),2)=6,0.5,0)),0))</f>
        <v>23</v>
      </c>
      <c r="K353" s="22" cm="1">
        <f t="array" ref="K353">_xlfn.XLOOKUP(1,((Metas_Diarias[[#This Row],[tipo_equipe_id]]=Metas[equipe])*(Metas_Diarias[[#This Row],[data]]&gt;Metas[data_inicio])*(Metas_Diarias[[#This Row],[data]]&lt;Metas[data_fim])),Metas[meta_mensal],0)</f>
        <v>160000</v>
      </c>
      <c r="L353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54" spans="2:12" x14ac:dyDescent="0.3">
      <c r="B354" s="34">
        <v>45643</v>
      </c>
      <c r="C354" s="34" t="str">
        <f>TEXT(Metas_Diarias[[#This Row],[data]],"dddd")</f>
        <v>terça-feira</v>
      </c>
      <c r="D354" s="33">
        <v>1</v>
      </c>
      <c r="E354" s="33">
        <v>1</v>
      </c>
      <c r="F354" s="18"/>
      <c r="G354" s="35">
        <f>WEEKDAY(Metas_Diarias[[#This Row],[data]])</f>
        <v>3</v>
      </c>
      <c r="H354" s="35">
        <f>IF(Metas_Diarias[[#This Row],[dias_da_demana]]=1,"domingo",IF(Metas_Diarias[[#This Row],[dias_da_demana]]=7,0.5,1))</f>
        <v>1</v>
      </c>
      <c r="I354" s="35">
        <f>_xlfn.XLOOKUP(Metas_Diarias[[#This Row],[data]],Feriados[Data],Feriados[Feriado],1)</f>
        <v>1</v>
      </c>
      <c r="J354" s="33" cm="1">
        <f t="array" aca="1" ref="J354" ca="1">SUMPRODUCT(IF((NOT(ISERROR(MATCH(ROW(INDIRECT(DATE(YEAR(B354),MONTH(B354),1)&amp;":"&amp;DATE(YEAR(B354),MONTH(B354)+1,0))),Feriados[Data],0))))=FALSE,
IF(WEEKDAY(ROW(INDIRECT(DATE(YEAR(B354),MONTH(B354),1)&amp;":"&amp;DATE(YEAR(B354),MONTH(B354)+1,0))),2)&lt;=5,1,IF(WEEKDAY(ROW(INDIRECT(DATE(YEAR(B354),MONTH(B354),1)&amp;":"&amp;DATE(YEAR(B354),MONTH(B354)+1,0))),2)=6,0.5,0)),0))</f>
        <v>23</v>
      </c>
      <c r="K354" s="22" cm="1">
        <f t="array" ref="K354">_xlfn.XLOOKUP(1,((Metas_Diarias[[#This Row],[tipo_equipe_id]]=Metas[equipe])*(Metas_Diarias[[#This Row],[data]]&gt;Metas[data_inicio])*(Metas_Diarias[[#This Row],[data]]&lt;Metas[data_fim])),Metas[meta_mensal],0)</f>
        <v>160000</v>
      </c>
      <c r="L354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55" spans="2:12" x14ac:dyDescent="0.3">
      <c r="B355" s="34">
        <v>45644</v>
      </c>
      <c r="C355" s="34" t="str">
        <f>TEXT(Metas_Diarias[[#This Row],[data]],"dddd")</f>
        <v>quarta-feira</v>
      </c>
      <c r="D355" s="33">
        <v>1</v>
      </c>
      <c r="E355" s="33">
        <v>1</v>
      </c>
      <c r="F355" s="18"/>
      <c r="G355" s="35">
        <f>WEEKDAY(Metas_Diarias[[#This Row],[data]])</f>
        <v>4</v>
      </c>
      <c r="H355" s="35">
        <f>IF(Metas_Diarias[[#This Row],[dias_da_demana]]=1,"domingo",IF(Metas_Diarias[[#This Row],[dias_da_demana]]=7,0.5,1))</f>
        <v>1</v>
      </c>
      <c r="I355" s="35">
        <f>_xlfn.XLOOKUP(Metas_Diarias[[#This Row],[data]],Feriados[Data],Feriados[Feriado],1)</f>
        <v>1</v>
      </c>
      <c r="J355" s="33" cm="1">
        <f t="array" aca="1" ref="J355" ca="1">SUMPRODUCT(IF((NOT(ISERROR(MATCH(ROW(INDIRECT(DATE(YEAR(B355),MONTH(B355),1)&amp;":"&amp;DATE(YEAR(B355),MONTH(B355)+1,0))),Feriados[Data],0))))=FALSE,
IF(WEEKDAY(ROW(INDIRECT(DATE(YEAR(B355),MONTH(B355),1)&amp;":"&amp;DATE(YEAR(B355),MONTH(B355)+1,0))),2)&lt;=5,1,IF(WEEKDAY(ROW(INDIRECT(DATE(YEAR(B355),MONTH(B355),1)&amp;":"&amp;DATE(YEAR(B355),MONTH(B355)+1,0))),2)=6,0.5,0)),0))</f>
        <v>23</v>
      </c>
      <c r="K355" s="22" cm="1">
        <f t="array" ref="K355">_xlfn.XLOOKUP(1,((Metas_Diarias[[#This Row],[tipo_equipe_id]]=Metas[equipe])*(Metas_Diarias[[#This Row],[data]]&gt;Metas[data_inicio])*(Metas_Diarias[[#This Row],[data]]&lt;Metas[data_fim])),Metas[meta_mensal],0)</f>
        <v>160000</v>
      </c>
      <c r="L355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56" spans="2:12" x14ac:dyDescent="0.3">
      <c r="B356" s="34">
        <v>45645</v>
      </c>
      <c r="C356" s="34" t="str">
        <f>TEXT(Metas_Diarias[[#This Row],[data]],"dddd")</f>
        <v>quinta-feira</v>
      </c>
      <c r="D356" s="33">
        <v>1</v>
      </c>
      <c r="E356" s="33">
        <v>1</v>
      </c>
      <c r="F356" s="18"/>
      <c r="G356" s="35">
        <f>WEEKDAY(Metas_Diarias[[#This Row],[data]])</f>
        <v>5</v>
      </c>
      <c r="H356" s="35">
        <f>IF(Metas_Diarias[[#This Row],[dias_da_demana]]=1,"domingo",IF(Metas_Diarias[[#This Row],[dias_da_demana]]=7,0.5,1))</f>
        <v>1</v>
      </c>
      <c r="I356" s="35">
        <f>_xlfn.XLOOKUP(Metas_Diarias[[#This Row],[data]],Feriados[Data],Feriados[Feriado],1)</f>
        <v>1</v>
      </c>
      <c r="J356" s="33" cm="1">
        <f t="array" aca="1" ref="J356" ca="1">SUMPRODUCT(IF((NOT(ISERROR(MATCH(ROW(INDIRECT(DATE(YEAR(B356),MONTH(B356),1)&amp;":"&amp;DATE(YEAR(B356),MONTH(B356)+1,0))),Feriados[Data],0))))=FALSE,
IF(WEEKDAY(ROW(INDIRECT(DATE(YEAR(B356),MONTH(B356),1)&amp;":"&amp;DATE(YEAR(B356),MONTH(B356)+1,0))),2)&lt;=5,1,IF(WEEKDAY(ROW(INDIRECT(DATE(YEAR(B356),MONTH(B356),1)&amp;":"&amp;DATE(YEAR(B356),MONTH(B356)+1,0))),2)=6,0.5,0)),0))</f>
        <v>23</v>
      </c>
      <c r="K356" s="22" cm="1">
        <f t="array" ref="K356">_xlfn.XLOOKUP(1,((Metas_Diarias[[#This Row],[tipo_equipe_id]]=Metas[equipe])*(Metas_Diarias[[#This Row],[data]]&gt;Metas[data_inicio])*(Metas_Diarias[[#This Row],[data]]&lt;Metas[data_fim])),Metas[meta_mensal],0)</f>
        <v>160000</v>
      </c>
      <c r="L356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57" spans="2:12" x14ac:dyDescent="0.3">
      <c r="B357" s="34">
        <v>45646</v>
      </c>
      <c r="C357" s="34" t="str">
        <f>TEXT(Metas_Diarias[[#This Row],[data]],"dddd")</f>
        <v>sexta-feira</v>
      </c>
      <c r="D357" s="33">
        <v>1</v>
      </c>
      <c r="E357" s="33">
        <v>1</v>
      </c>
      <c r="F357" s="18"/>
      <c r="G357" s="35">
        <f>WEEKDAY(Metas_Diarias[[#This Row],[data]])</f>
        <v>6</v>
      </c>
      <c r="H357" s="35">
        <f>IF(Metas_Diarias[[#This Row],[dias_da_demana]]=1,"domingo",IF(Metas_Diarias[[#This Row],[dias_da_demana]]=7,0.5,1))</f>
        <v>1</v>
      </c>
      <c r="I357" s="35">
        <f>_xlfn.XLOOKUP(Metas_Diarias[[#This Row],[data]],Feriados[Data],Feriados[Feriado],1)</f>
        <v>1</v>
      </c>
      <c r="J357" s="33" cm="1">
        <f t="array" aca="1" ref="J357" ca="1">SUMPRODUCT(IF((NOT(ISERROR(MATCH(ROW(INDIRECT(DATE(YEAR(B357),MONTH(B357),1)&amp;":"&amp;DATE(YEAR(B357),MONTH(B357)+1,0))),Feriados[Data],0))))=FALSE,
IF(WEEKDAY(ROW(INDIRECT(DATE(YEAR(B357),MONTH(B357),1)&amp;":"&amp;DATE(YEAR(B357),MONTH(B357)+1,0))),2)&lt;=5,1,IF(WEEKDAY(ROW(INDIRECT(DATE(YEAR(B357),MONTH(B357),1)&amp;":"&amp;DATE(YEAR(B357),MONTH(B357)+1,0))),2)=6,0.5,0)),0))</f>
        <v>23</v>
      </c>
      <c r="K357" s="22" cm="1">
        <f t="array" ref="K357">_xlfn.XLOOKUP(1,((Metas_Diarias[[#This Row],[tipo_equipe_id]]=Metas[equipe])*(Metas_Diarias[[#This Row],[data]]&gt;Metas[data_inicio])*(Metas_Diarias[[#This Row],[data]]&lt;Metas[data_fim])),Metas[meta_mensal],0)</f>
        <v>160000</v>
      </c>
      <c r="L357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58" spans="2:12" x14ac:dyDescent="0.3">
      <c r="B358" s="34">
        <v>45647</v>
      </c>
      <c r="C358" s="34" t="str">
        <f>TEXT(Metas_Diarias[[#This Row],[data]],"dddd")</f>
        <v>sábado</v>
      </c>
      <c r="D358" s="33">
        <v>1</v>
      </c>
      <c r="E358" s="33">
        <v>1</v>
      </c>
      <c r="F358" s="18"/>
      <c r="G358" s="35">
        <f>WEEKDAY(Metas_Diarias[[#This Row],[data]])</f>
        <v>7</v>
      </c>
      <c r="H358" s="35">
        <f>IF(Metas_Diarias[[#This Row],[dias_da_demana]]=1,"domingo",IF(Metas_Diarias[[#This Row],[dias_da_demana]]=7,0.5,1))</f>
        <v>0.5</v>
      </c>
      <c r="I358" s="35">
        <f>_xlfn.XLOOKUP(Metas_Diarias[[#This Row],[data]],Feriados[Data],Feriados[Feriado],1)</f>
        <v>1</v>
      </c>
      <c r="J358" s="33" cm="1">
        <f t="array" aca="1" ref="J358" ca="1">SUMPRODUCT(IF((NOT(ISERROR(MATCH(ROW(INDIRECT(DATE(YEAR(B358),MONTH(B358),1)&amp;":"&amp;DATE(YEAR(B358),MONTH(B358)+1,0))),Feriados[Data],0))))=FALSE,
IF(WEEKDAY(ROW(INDIRECT(DATE(YEAR(B358),MONTH(B358),1)&amp;":"&amp;DATE(YEAR(B358),MONTH(B358)+1,0))),2)&lt;=5,1,IF(WEEKDAY(ROW(INDIRECT(DATE(YEAR(B358),MONTH(B358),1)&amp;":"&amp;DATE(YEAR(B358),MONTH(B358)+1,0))),2)=6,0.5,0)),0))</f>
        <v>23</v>
      </c>
      <c r="K358" s="22" cm="1">
        <f t="array" ref="K358">_xlfn.XLOOKUP(1,((Metas_Diarias[[#This Row],[tipo_equipe_id]]=Metas[equipe])*(Metas_Diarias[[#This Row],[data]]&gt;Metas[data_inicio])*(Metas_Diarias[[#This Row],[data]]&lt;Metas[data_fim])),Metas[meta_mensal],0)</f>
        <v>160000</v>
      </c>
      <c r="L358" s="24">
        <f ca="1">Metas_Diarias[[#This Row],[meta_mensal]]*IF(Metas_Diarias[[#This Row],[semana]]="domingo",0,Metas_Diarias[[#This Row],[semana]])*IF(Metas_Diarias[[#This Row],[feriado]]&lt;&gt;1,0,1)/Metas_Diarias[[#This Row],[dias_úteis_Mês]]</f>
        <v>3478.2608695652175</v>
      </c>
    </row>
    <row r="359" spans="2:12" x14ac:dyDescent="0.3">
      <c r="B359" s="34">
        <v>45648</v>
      </c>
      <c r="C359" s="34" t="str">
        <f>TEXT(Metas_Diarias[[#This Row],[data]],"dddd")</f>
        <v>domingo</v>
      </c>
      <c r="D359" s="33">
        <v>1</v>
      </c>
      <c r="E359" s="33">
        <v>1</v>
      </c>
      <c r="F359" s="18"/>
      <c r="G359" s="35">
        <f>WEEKDAY(Metas_Diarias[[#This Row],[data]])</f>
        <v>1</v>
      </c>
      <c r="H359" s="35" t="str">
        <f>IF(Metas_Diarias[[#This Row],[dias_da_demana]]=1,"domingo",IF(Metas_Diarias[[#This Row],[dias_da_demana]]=7,0.5,1))</f>
        <v>domingo</v>
      </c>
      <c r="I359" s="35">
        <f>_xlfn.XLOOKUP(Metas_Diarias[[#This Row],[data]],Feriados[Data],Feriados[Feriado],1)</f>
        <v>1</v>
      </c>
      <c r="J359" s="33" cm="1">
        <f t="array" aca="1" ref="J359" ca="1">SUMPRODUCT(IF((NOT(ISERROR(MATCH(ROW(INDIRECT(DATE(YEAR(B359),MONTH(B359),1)&amp;":"&amp;DATE(YEAR(B359),MONTH(B359)+1,0))),Feriados[Data],0))))=FALSE,
IF(WEEKDAY(ROW(INDIRECT(DATE(YEAR(B359),MONTH(B359),1)&amp;":"&amp;DATE(YEAR(B359),MONTH(B359)+1,0))),2)&lt;=5,1,IF(WEEKDAY(ROW(INDIRECT(DATE(YEAR(B359),MONTH(B359),1)&amp;":"&amp;DATE(YEAR(B359),MONTH(B359)+1,0))),2)=6,0.5,0)),0))</f>
        <v>23</v>
      </c>
      <c r="K359" s="22" cm="1">
        <f t="array" ref="K359">_xlfn.XLOOKUP(1,((Metas_Diarias[[#This Row],[tipo_equipe_id]]=Metas[equipe])*(Metas_Diarias[[#This Row],[data]]&gt;Metas[data_inicio])*(Metas_Diarias[[#This Row],[data]]&lt;Metas[data_fim])),Metas[meta_mensal],0)</f>
        <v>160000</v>
      </c>
      <c r="L3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60" spans="2:12" x14ac:dyDescent="0.3">
      <c r="B360" s="34">
        <v>45649</v>
      </c>
      <c r="C360" s="34" t="str">
        <f>TEXT(Metas_Diarias[[#This Row],[data]],"dddd")</f>
        <v>segunda-feira</v>
      </c>
      <c r="D360" s="33">
        <v>1</v>
      </c>
      <c r="E360" s="33">
        <v>1</v>
      </c>
      <c r="F360" s="18"/>
      <c r="G360" s="35">
        <f>WEEKDAY(Metas_Diarias[[#This Row],[data]])</f>
        <v>2</v>
      </c>
      <c r="H360" s="35">
        <f>IF(Metas_Diarias[[#This Row],[dias_da_demana]]=1,"domingo",IF(Metas_Diarias[[#This Row],[dias_da_demana]]=7,0.5,1))</f>
        <v>1</v>
      </c>
      <c r="I360" s="35">
        <f>_xlfn.XLOOKUP(Metas_Diarias[[#This Row],[data]],Feriados[Data],Feriados[Feriado],1)</f>
        <v>1</v>
      </c>
      <c r="J360" s="33" cm="1">
        <f t="array" aca="1" ref="J360" ca="1">SUMPRODUCT(IF((NOT(ISERROR(MATCH(ROW(INDIRECT(DATE(YEAR(B360),MONTH(B360),1)&amp;":"&amp;DATE(YEAR(B360),MONTH(B360)+1,0))),Feriados[Data],0))))=FALSE,
IF(WEEKDAY(ROW(INDIRECT(DATE(YEAR(B360),MONTH(B360),1)&amp;":"&amp;DATE(YEAR(B360),MONTH(B360)+1,0))),2)&lt;=5,1,IF(WEEKDAY(ROW(INDIRECT(DATE(YEAR(B360),MONTH(B360),1)&amp;":"&amp;DATE(YEAR(B360),MONTH(B360)+1,0))),2)=6,0.5,0)),0))</f>
        <v>23</v>
      </c>
      <c r="K360" s="22" cm="1">
        <f t="array" ref="K360">_xlfn.XLOOKUP(1,((Metas_Diarias[[#This Row],[tipo_equipe_id]]=Metas[equipe])*(Metas_Diarias[[#This Row],[data]]&gt;Metas[data_inicio])*(Metas_Diarias[[#This Row],[data]]&lt;Metas[data_fim])),Metas[meta_mensal],0)</f>
        <v>160000</v>
      </c>
      <c r="L360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61" spans="2:12" x14ac:dyDescent="0.3">
      <c r="B361" s="34">
        <v>45650</v>
      </c>
      <c r="C361" s="34" t="str">
        <f>TEXT(Metas_Diarias[[#This Row],[data]],"dddd")</f>
        <v>terça-feira</v>
      </c>
      <c r="D361" s="33">
        <v>1</v>
      </c>
      <c r="E361" s="33">
        <v>1</v>
      </c>
      <c r="F361" s="18"/>
      <c r="G361" s="35">
        <f>WEEKDAY(Metas_Diarias[[#This Row],[data]])</f>
        <v>3</v>
      </c>
      <c r="H361" s="35">
        <f>IF(Metas_Diarias[[#This Row],[dias_da_demana]]=1,"domingo",IF(Metas_Diarias[[#This Row],[dias_da_demana]]=7,0.5,1))</f>
        <v>1</v>
      </c>
      <c r="I361" s="35">
        <f>_xlfn.XLOOKUP(Metas_Diarias[[#This Row],[data]],Feriados[Data],Feriados[Feriado],1)</f>
        <v>1</v>
      </c>
      <c r="J361" s="33" cm="1">
        <f t="array" aca="1" ref="J361" ca="1">SUMPRODUCT(IF((NOT(ISERROR(MATCH(ROW(INDIRECT(DATE(YEAR(B361),MONTH(B361),1)&amp;":"&amp;DATE(YEAR(B361),MONTH(B361)+1,0))),Feriados[Data],0))))=FALSE,
IF(WEEKDAY(ROW(INDIRECT(DATE(YEAR(B361),MONTH(B361),1)&amp;":"&amp;DATE(YEAR(B361),MONTH(B361)+1,0))),2)&lt;=5,1,IF(WEEKDAY(ROW(INDIRECT(DATE(YEAR(B361),MONTH(B361),1)&amp;":"&amp;DATE(YEAR(B361),MONTH(B361)+1,0))),2)=6,0.5,0)),0))</f>
        <v>23</v>
      </c>
      <c r="K361" s="22" cm="1">
        <f t="array" ref="K361">_xlfn.XLOOKUP(1,((Metas_Diarias[[#This Row],[tipo_equipe_id]]=Metas[equipe])*(Metas_Diarias[[#This Row],[data]]&gt;Metas[data_inicio])*(Metas_Diarias[[#This Row],[data]]&lt;Metas[data_fim])),Metas[meta_mensal],0)</f>
        <v>160000</v>
      </c>
      <c r="L361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62" spans="2:12" x14ac:dyDescent="0.3">
      <c r="B362" s="34">
        <v>45651</v>
      </c>
      <c r="C362" s="34" t="str">
        <f>TEXT(Metas_Diarias[[#This Row],[data]],"dddd")</f>
        <v>quarta-feira</v>
      </c>
      <c r="D362" s="33">
        <v>1</v>
      </c>
      <c r="E362" s="33">
        <v>1</v>
      </c>
      <c r="F362" s="18"/>
      <c r="G362" s="35">
        <f>WEEKDAY(Metas_Diarias[[#This Row],[data]])</f>
        <v>4</v>
      </c>
      <c r="H362" s="35">
        <f>IF(Metas_Diarias[[#This Row],[dias_da_demana]]=1,"domingo",IF(Metas_Diarias[[#This Row],[dias_da_demana]]=7,0.5,1))</f>
        <v>1</v>
      </c>
      <c r="I362" s="35" t="str">
        <f>_xlfn.XLOOKUP(Metas_Diarias[[#This Row],[data]],Feriados[Data],Feriados[Feriado],1)</f>
        <v>Natal</v>
      </c>
      <c r="J362" s="33" cm="1">
        <f t="array" aca="1" ref="J362" ca="1">SUMPRODUCT(IF((NOT(ISERROR(MATCH(ROW(INDIRECT(DATE(YEAR(B362),MONTH(B362),1)&amp;":"&amp;DATE(YEAR(B362),MONTH(B362)+1,0))),Feriados[Data],0))))=FALSE,
IF(WEEKDAY(ROW(INDIRECT(DATE(YEAR(B362),MONTH(B362),1)&amp;":"&amp;DATE(YEAR(B362),MONTH(B362)+1,0))),2)&lt;=5,1,IF(WEEKDAY(ROW(INDIRECT(DATE(YEAR(B362),MONTH(B362),1)&amp;":"&amp;DATE(YEAR(B362),MONTH(B362)+1,0))),2)=6,0.5,0)),0))</f>
        <v>23</v>
      </c>
      <c r="K362" s="22" cm="1">
        <f t="array" ref="K362">_xlfn.XLOOKUP(1,((Metas_Diarias[[#This Row],[tipo_equipe_id]]=Metas[equipe])*(Metas_Diarias[[#This Row],[data]]&gt;Metas[data_inicio])*(Metas_Diarias[[#This Row],[data]]&lt;Metas[data_fim])),Metas[meta_mensal],0)</f>
        <v>160000</v>
      </c>
      <c r="L36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63" spans="2:12" x14ac:dyDescent="0.3">
      <c r="B363" s="34">
        <v>45652</v>
      </c>
      <c r="C363" s="34" t="str">
        <f>TEXT(Metas_Diarias[[#This Row],[data]],"dddd")</f>
        <v>quinta-feira</v>
      </c>
      <c r="D363" s="33">
        <v>1</v>
      </c>
      <c r="E363" s="33">
        <v>1</v>
      </c>
      <c r="F363" s="18"/>
      <c r="G363" s="35">
        <f>WEEKDAY(Metas_Diarias[[#This Row],[data]])</f>
        <v>5</v>
      </c>
      <c r="H363" s="35">
        <f>IF(Metas_Diarias[[#This Row],[dias_da_demana]]=1,"domingo",IF(Metas_Diarias[[#This Row],[dias_da_demana]]=7,0.5,1))</f>
        <v>1</v>
      </c>
      <c r="I363" s="35">
        <f>_xlfn.XLOOKUP(Metas_Diarias[[#This Row],[data]],Feriados[Data],Feriados[Feriado],1)</f>
        <v>1</v>
      </c>
      <c r="J363" s="33" cm="1">
        <f t="array" aca="1" ref="J363" ca="1">SUMPRODUCT(IF((NOT(ISERROR(MATCH(ROW(INDIRECT(DATE(YEAR(B363),MONTH(B363),1)&amp;":"&amp;DATE(YEAR(B363),MONTH(B363)+1,0))),Feriados[Data],0))))=FALSE,
IF(WEEKDAY(ROW(INDIRECT(DATE(YEAR(B363),MONTH(B363),1)&amp;":"&amp;DATE(YEAR(B363),MONTH(B363)+1,0))),2)&lt;=5,1,IF(WEEKDAY(ROW(INDIRECT(DATE(YEAR(B363),MONTH(B363),1)&amp;":"&amp;DATE(YEAR(B363),MONTH(B363)+1,0))),2)=6,0.5,0)),0))</f>
        <v>23</v>
      </c>
      <c r="K363" s="22" cm="1">
        <f t="array" ref="K363">_xlfn.XLOOKUP(1,((Metas_Diarias[[#This Row],[tipo_equipe_id]]=Metas[equipe])*(Metas_Diarias[[#This Row],[data]]&gt;Metas[data_inicio])*(Metas_Diarias[[#This Row],[data]]&lt;Metas[data_fim])),Metas[meta_mensal],0)</f>
        <v>160000</v>
      </c>
      <c r="L363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64" spans="2:12" x14ac:dyDescent="0.3">
      <c r="B364" s="34">
        <v>45653</v>
      </c>
      <c r="C364" s="34" t="str">
        <f>TEXT(Metas_Diarias[[#This Row],[data]],"dddd")</f>
        <v>sexta-feira</v>
      </c>
      <c r="D364" s="33">
        <v>1</v>
      </c>
      <c r="E364" s="33">
        <v>1</v>
      </c>
      <c r="F364" s="18"/>
      <c r="G364" s="35">
        <f>WEEKDAY(Metas_Diarias[[#This Row],[data]])</f>
        <v>6</v>
      </c>
      <c r="H364" s="35">
        <f>IF(Metas_Diarias[[#This Row],[dias_da_demana]]=1,"domingo",IF(Metas_Diarias[[#This Row],[dias_da_demana]]=7,0.5,1))</f>
        <v>1</v>
      </c>
      <c r="I364" s="35">
        <f>_xlfn.XLOOKUP(Metas_Diarias[[#This Row],[data]],Feriados[Data],Feriados[Feriado],1)</f>
        <v>1</v>
      </c>
      <c r="J364" s="33" cm="1">
        <f t="array" aca="1" ref="J364" ca="1">SUMPRODUCT(IF((NOT(ISERROR(MATCH(ROW(INDIRECT(DATE(YEAR(B364),MONTH(B364),1)&amp;":"&amp;DATE(YEAR(B364),MONTH(B364)+1,0))),Feriados[Data],0))))=FALSE,
IF(WEEKDAY(ROW(INDIRECT(DATE(YEAR(B364),MONTH(B364),1)&amp;":"&amp;DATE(YEAR(B364),MONTH(B364)+1,0))),2)&lt;=5,1,IF(WEEKDAY(ROW(INDIRECT(DATE(YEAR(B364),MONTH(B364),1)&amp;":"&amp;DATE(YEAR(B364),MONTH(B364)+1,0))),2)=6,0.5,0)),0))</f>
        <v>23</v>
      </c>
      <c r="K364" s="22" cm="1">
        <f t="array" ref="K364">_xlfn.XLOOKUP(1,((Metas_Diarias[[#This Row],[tipo_equipe_id]]=Metas[equipe])*(Metas_Diarias[[#This Row],[data]]&gt;Metas[data_inicio])*(Metas_Diarias[[#This Row],[data]]&lt;Metas[data_fim])),Metas[meta_mensal],0)</f>
        <v>160000</v>
      </c>
      <c r="L364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65" spans="2:12" x14ac:dyDescent="0.3">
      <c r="B365" s="34">
        <v>45654</v>
      </c>
      <c r="C365" s="34" t="str">
        <f>TEXT(Metas_Diarias[[#This Row],[data]],"dddd")</f>
        <v>sábado</v>
      </c>
      <c r="D365" s="33">
        <v>1</v>
      </c>
      <c r="E365" s="33">
        <v>1</v>
      </c>
      <c r="F365" s="18"/>
      <c r="G365" s="35">
        <f>WEEKDAY(Metas_Diarias[[#This Row],[data]])</f>
        <v>7</v>
      </c>
      <c r="H365" s="35">
        <f>IF(Metas_Diarias[[#This Row],[dias_da_demana]]=1,"domingo",IF(Metas_Diarias[[#This Row],[dias_da_demana]]=7,0.5,1))</f>
        <v>0.5</v>
      </c>
      <c r="I365" s="35">
        <f>_xlfn.XLOOKUP(Metas_Diarias[[#This Row],[data]],Feriados[Data],Feriados[Feriado],1)</f>
        <v>1</v>
      </c>
      <c r="J365" s="33" cm="1">
        <f t="array" aca="1" ref="J365" ca="1">SUMPRODUCT(IF((NOT(ISERROR(MATCH(ROW(INDIRECT(DATE(YEAR(B365),MONTH(B365),1)&amp;":"&amp;DATE(YEAR(B365),MONTH(B365)+1,0))),Feriados[Data],0))))=FALSE,
IF(WEEKDAY(ROW(INDIRECT(DATE(YEAR(B365),MONTH(B365),1)&amp;":"&amp;DATE(YEAR(B365),MONTH(B365)+1,0))),2)&lt;=5,1,IF(WEEKDAY(ROW(INDIRECT(DATE(YEAR(B365),MONTH(B365),1)&amp;":"&amp;DATE(YEAR(B365),MONTH(B365)+1,0))),2)=6,0.5,0)),0))</f>
        <v>23</v>
      </c>
      <c r="K365" s="22" cm="1">
        <f t="array" ref="K365">_xlfn.XLOOKUP(1,((Metas_Diarias[[#This Row],[tipo_equipe_id]]=Metas[equipe])*(Metas_Diarias[[#This Row],[data]]&gt;Metas[data_inicio])*(Metas_Diarias[[#This Row],[data]]&lt;Metas[data_fim])),Metas[meta_mensal],0)</f>
        <v>160000</v>
      </c>
      <c r="L365" s="24">
        <f ca="1">Metas_Diarias[[#This Row],[meta_mensal]]*IF(Metas_Diarias[[#This Row],[semana]]="domingo",0,Metas_Diarias[[#This Row],[semana]])*IF(Metas_Diarias[[#This Row],[feriado]]&lt;&gt;1,0,1)/Metas_Diarias[[#This Row],[dias_úteis_Mês]]</f>
        <v>3478.2608695652175</v>
      </c>
    </row>
    <row r="366" spans="2:12" x14ac:dyDescent="0.3">
      <c r="B366" s="34">
        <v>45655</v>
      </c>
      <c r="C366" s="34" t="str">
        <f>TEXT(Metas_Diarias[[#This Row],[data]],"dddd")</f>
        <v>domingo</v>
      </c>
      <c r="D366" s="33">
        <v>1</v>
      </c>
      <c r="E366" s="33">
        <v>1</v>
      </c>
      <c r="F366" s="18"/>
      <c r="G366" s="35">
        <f>WEEKDAY(Metas_Diarias[[#This Row],[data]])</f>
        <v>1</v>
      </c>
      <c r="H366" s="35" t="str">
        <f>IF(Metas_Diarias[[#This Row],[dias_da_demana]]=1,"domingo",IF(Metas_Diarias[[#This Row],[dias_da_demana]]=7,0.5,1))</f>
        <v>domingo</v>
      </c>
      <c r="I366" s="35">
        <f>_xlfn.XLOOKUP(Metas_Diarias[[#This Row],[data]],Feriados[Data],Feriados[Feriado],1)</f>
        <v>1</v>
      </c>
      <c r="J366" s="33" cm="1">
        <f t="array" aca="1" ref="J366" ca="1">SUMPRODUCT(IF((NOT(ISERROR(MATCH(ROW(INDIRECT(DATE(YEAR(B366),MONTH(B366),1)&amp;":"&amp;DATE(YEAR(B366),MONTH(B366)+1,0))),Feriados[Data],0))))=FALSE,
IF(WEEKDAY(ROW(INDIRECT(DATE(YEAR(B366),MONTH(B366),1)&amp;":"&amp;DATE(YEAR(B366),MONTH(B366)+1,0))),2)&lt;=5,1,IF(WEEKDAY(ROW(INDIRECT(DATE(YEAR(B366),MONTH(B366),1)&amp;":"&amp;DATE(YEAR(B366),MONTH(B366)+1,0))),2)=6,0.5,0)),0))</f>
        <v>23</v>
      </c>
      <c r="K366" s="22" cm="1">
        <f t="array" ref="K366">_xlfn.XLOOKUP(1,((Metas_Diarias[[#This Row],[tipo_equipe_id]]=Metas[equipe])*(Metas_Diarias[[#This Row],[data]]&gt;Metas[data_inicio])*(Metas_Diarias[[#This Row],[data]]&lt;Metas[data_fim])),Metas[meta_mensal],0)</f>
        <v>160000</v>
      </c>
      <c r="L3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67" spans="2:12" x14ac:dyDescent="0.3">
      <c r="B367" s="34">
        <v>45656</v>
      </c>
      <c r="C367" s="34" t="str">
        <f>TEXT(Metas_Diarias[[#This Row],[data]],"dddd")</f>
        <v>segunda-feira</v>
      </c>
      <c r="D367" s="33">
        <v>1</v>
      </c>
      <c r="E367" s="33">
        <v>1</v>
      </c>
      <c r="F367" s="18"/>
      <c r="G367" s="35">
        <f>WEEKDAY(Metas_Diarias[[#This Row],[data]])</f>
        <v>2</v>
      </c>
      <c r="H367" s="35">
        <f>IF(Metas_Diarias[[#This Row],[dias_da_demana]]=1,"domingo",IF(Metas_Diarias[[#This Row],[dias_da_demana]]=7,0.5,1))</f>
        <v>1</v>
      </c>
      <c r="I367" s="35">
        <f>_xlfn.XLOOKUP(Metas_Diarias[[#This Row],[data]],Feriados[Data],Feriados[Feriado],1)</f>
        <v>1</v>
      </c>
      <c r="J367" s="33" cm="1">
        <f t="array" aca="1" ref="J367" ca="1">SUMPRODUCT(IF((NOT(ISERROR(MATCH(ROW(INDIRECT(DATE(YEAR(B367),MONTH(B367),1)&amp;":"&amp;DATE(YEAR(B367),MONTH(B367)+1,0))),Feriados[Data],0))))=FALSE,
IF(WEEKDAY(ROW(INDIRECT(DATE(YEAR(B367),MONTH(B367),1)&amp;":"&amp;DATE(YEAR(B367),MONTH(B367)+1,0))),2)&lt;=5,1,IF(WEEKDAY(ROW(INDIRECT(DATE(YEAR(B367),MONTH(B367),1)&amp;":"&amp;DATE(YEAR(B367),MONTH(B367)+1,0))),2)=6,0.5,0)),0))</f>
        <v>23</v>
      </c>
      <c r="K367" s="22" cm="1">
        <f t="array" ref="K367">_xlfn.XLOOKUP(1,((Metas_Diarias[[#This Row],[tipo_equipe_id]]=Metas[equipe])*(Metas_Diarias[[#This Row],[data]]&gt;Metas[data_inicio])*(Metas_Diarias[[#This Row],[data]]&lt;Metas[data_fim])),Metas[meta_mensal],0)</f>
        <v>160000</v>
      </c>
      <c r="L367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68" spans="2:12" x14ac:dyDescent="0.3">
      <c r="B368" s="34">
        <v>45657</v>
      </c>
      <c r="C368" s="34" t="str">
        <f>TEXT(Metas_Diarias[[#This Row],[data]],"dddd")</f>
        <v>terça-feira</v>
      </c>
      <c r="D368" s="33">
        <v>1</v>
      </c>
      <c r="E368" s="33">
        <v>1</v>
      </c>
      <c r="F368" s="18"/>
      <c r="G368" s="35">
        <f>WEEKDAY(Metas_Diarias[[#This Row],[data]])</f>
        <v>3</v>
      </c>
      <c r="H368" s="35">
        <f>IF(Metas_Diarias[[#This Row],[dias_da_demana]]=1,"domingo",IF(Metas_Diarias[[#This Row],[dias_da_demana]]=7,0.5,1))</f>
        <v>1</v>
      </c>
      <c r="I368" s="35">
        <f>_xlfn.XLOOKUP(Metas_Diarias[[#This Row],[data]],Feriados[Data],Feriados[Feriado],1)</f>
        <v>1</v>
      </c>
      <c r="J368" s="33" cm="1">
        <f t="array" aca="1" ref="J368" ca="1">SUMPRODUCT(IF((NOT(ISERROR(MATCH(ROW(INDIRECT(DATE(YEAR(B368),MONTH(B368),1)&amp;":"&amp;DATE(YEAR(B368),MONTH(B368)+1,0))),Feriados[Data],0))))=FALSE,
IF(WEEKDAY(ROW(INDIRECT(DATE(YEAR(B368),MONTH(B368),1)&amp;":"&amp;DATE(YEAR(B368),MONTH(B368)+1,0))),2)&lt;=5,1,IF(WEEKDAY(ROW(INDIRECT(DATE(YEAR(B368),MONTH(B368),1)&amp;":"&amp;DATE(YEAR(B368),MONTH(B368)+1,0))),2)=6,0.5,0)),0))</f>
        <v>23</v>
      </c>
      <c r="K368" s="22" cm="1">
        <f t="array" ref="K368">_xlfn.XLOOKUP(1,((Metas_Diarias[[#This Row],[tipo_equipe_id]]=Metas[equipe])*(Metas_Diarias[[#This Row],[data]]&gt;Metas[data_inicio])*(Metas_Diarias[[#This Row],[data]]&lt;Metas[data_fim])),Metas[meta_mensal],0)</f>
        <v>160000</v>
      </c>
      <c r="L368" s="24">
        <f ca="1">Metas_Diarias[[#This Row],[meta_mensal]]*IF(Metas_Diarias[[#This Row],[semana]]="domingo",0,Metas_Diarias[[#This Row],[semana]])*IF(Metas_Diarias[[#This Row],[feriado]]&lt;&gt;1,0,1)/Metas_Diarias[[#This Row],[dias_úteis_Mês]]</f>
        <v>6956.521739130435</v>
      </c>
    </row>
    <row r="369" spans="2:12" x14ac:dyDescent="0.3">
      <c r="B369" s="34">
        <v>45658</v>
      </c>
      <c r="C369" s="34" t="str">
        <f>TEXT(Metas_Diarias[[#This Row],[data]],"dddd")</f>
        <v>quarta-feira</v>
      </c>
      <c r="D369" s="33">
        <v>1</v>
      </c>
      <c r="E369" s="33">
        <v>1</v>
      </c>
      <c r="F369" s="18"/>
      <c r="G369" s="35">
        <f>WEEKDAY(Metas_Diarias[[#This Row],[data]])</f>
        <v>4</v>
      </c>
      <c r="H369" s="35">
        <f>IF(Metas_Diarias[[#This Row],[dias_da_demana]]=1,"domingo",IF(Metas_Diarias[[#This Row],[dias_da_demana]]=7,0.5,1))</f>
        <v>1</v>
      </c>
      <c r="I369" s="35" t="str">
        <f>_xlfn.XLOOKUP(Metas_Diarias[[#This Row],[data]],Feriados[Data],Feriados[Feriado],1)</f>
        <v>Confraternização Universal</v>
      </c>
      <c r="J369" s="33" cm="1">
        <f t="array" aca="1" ref="J369" ca="1">SUMPRODUCT(IF((NOT(ISERROR(MATCH(ROW(INDIRECT(DATE(YEAR(B369),MONTH(B369),1)&amp;":"&amp;DATE(YEAR(B369),MONTH(B369)+1,0))),Feriados[Data],0))))=FALSE,
IF(WEEKDAY(ROW(INDIRECT(DATE(YEAR(B369),MONTH(B369),1)&amp;":"&amp;DATE(YEAR(B369),MONTH(B369)+1,0))),2)&lt;=5,1,IF(WEEKDAY(ROW(INDIRECT(DATE(YEAR(B369),MONTH(B369),1)&amp;":"&amp;DATE(YEAR(B369),MONTH(B369)+1,0))),2)=6,0.5,0)),0))</f>
        <v>24</v>
      </c>
      <c r="K369" s="22" cm="1">
        <f t="array" ref="K369">_xlfn.XLOOKUP(1,((Metas_Diarias[[#This Row],[tipo_equipe_id]]=Metas[equipe])*(Metas_Diarias[[#This Row],[data]]&gt;Metas[data_inicio])*(Metas_Diarias[[#This Row],[data]]&lt;Metas[data_fim])),Metas[meta_mensal],0)</f>
        <v>160000</v>
      </c>
      <c r="L36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70" spans="2:12" x14ac:dyDescent="0.3">
      <c r="B370" s="34">
        <v>45659</v>
      </c>
      <c r="C370" s="34" t="str">
        <f>TEXT(Metas_Diarias[[#This Row],[data]],"dddd")</f>
        <v>quinta-feira</v>
      </c>
      <c r="D370" s="33">
        <v>1</v>
      </c>
      <c r="E370" s="33">
        <v>1</v>
      </c>
      <c r="F370" s="18"/>
      <c r="G370" s="35">
        <f>WEEKDAY(Metas_Diarias[[#This Row],[data]])</f>
        <v>5</v>
      </c>
      <c r="H370" s="35">
        <f>IF(Metas_Diarias[[#This Row],[dias_da_demana]]=1,"domingo",IF(Metas_Diarias[[#This Row],[dias_da_demana]]=7,0.5,1))</f>
        <v>1</v>
      </c>
      <c r="I370" s="35">
        <f>_xlfn.XLOOKUP(Metas_Diarias[[#This Row],[data]],Feriados[Data],Feriados[Feriado],1)</f>
        <v>1</v>
      </c>
      <c r="J370" s="33" cm="1">
        <f t="array" aca="1" ref="J370" ca="1">SUMPRODUCT(IF((NOT(ISERROR(MATCH(ROW(INDIRECT(DATE(YEAR(B370),MONTH(B370),1)&amp;":"&amp;DATE(YEAR(B370),MONTH(B370)+1,0))),Feriados[Data],0))))=FALSE,
IF(WEEKDAY(ROW(INDIRECT(DATE(YEAR(B370),MONTH(B370),1)&amp;":"&amp;DATE(YEAR(B370),MONTH(B370)+1,0))),2)&lt;=5,1,IF(WEEKDAY(ROW(INDIRECT(DATE(YEAR(B370),MONTH(B370),1)&amp;":"&amp;DATE(YEAR(B370),MONTH(B370)+1,0))),2)=6,0.5,0)),0))</f>
        <v>24</v>
      </c>
      <c r="K370" s="22" cm="1">
        <f t="array" ref="K370">_xlfn.XLOOKUP(1,((Metas_Diarias[[#This Row],[tipo_equipe_id]]=Metas[equipe])*(Metas_Diarias[[#This Row],[data]]&gt;Metas[data_inicio])*(Metas_Diarias[[#This Row],[data]]&lt;Metas[data_fim])),Metas[meta_mensal],0)</f>
        <v>160000</v>
      </c>
      <c r="L37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71" spans="2:12" x14ac:dyDescent="0.3">
      <c r="B371" s="34">
        <v>45660</v>
      </c>
      <c r="C371" s="34" t="str">
        <f>TEXT(Metas_Diarias[[#This Row],[data]],"dddd")</f>
        <v>sexta-feira</v>
      </c>
      <c r="D371" s="33">
        <v>1</v>
      </c>
      <c r="E371" s="33">
        <v>1</v>
      </c>
      <c r="F371" s="18"/>
      <c r="G371" s="35">
        <f>WEEKDAY(Metas_Diarias[[#This Row],[data]])</f>
        <v>6</v>
      </c>
      <c r="H371" s="35">
        <f>IF(Metas_Diarias[[#This Row],[dias_da_demana]]=1,"domingo",IF(Metas_Diarias[[#This Row],[dias_da_demana]]=7,0.5,1))</f>
        <v>1</v>
      </c>
      <c r="I371" s="35">
        <f>_xlfn.XLOOKUP(Metas_Diarias[[#This Row],[data]],Feriados[Data],Feriados[Feriado],1)</f>
        <v>1</v>
      </c>
      <c r="J371" s="33" cm="1">
        <f t="array" aca="1" ref="J371" ca="1">SUMPRODUCT(IF((NOT(ISERROR(MATCH(ROW(INDIRECT(DATE(YEAR(B371),MONTH(B371),1)&amp;":"&amp;DATE(YEAR(B371),MONTH(B371)+1,0))),Feriados[Data],0))))=FALSE,
IF(WEEKDAY(ROW(INDIRECT(DATE(YEAR(B371),MONTH(B371),1)&amp;":"&amp;DATE(YEAR(B371),MONTH(B371)+1,0))),2)&lt;=5,1,IF(WEEKDAY(ROW(INDIRECT(DATE(YEAR(B371),MONTH(B371),1)&amp;":"&amp;DATE(YEAR(B371),MONTH(B371)+1,0))),2)=6,0.5,0)),0))</f>
        <v>24</v>
      </c>
      <c r="K371" s="22" cm="1">
        <f t="array" ref="K371">_xlfn.XLOOKUP(1,((Metas_Diarias[[#This Row],[tipo_equipe_id]]=Metas[equipe])*(Metas_Diarias[[#This Row],[data]]&gt;Metas[data_inicio])*(Metas_Diarias[[#This Row],[data]]&lt;Metas[data_fim])),Metas[meta_mensal],0)</f>
        <v>160000</v>
      </c>
      <c r="L37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72" spans="2:12" x14ac:dyDescent="0.3">
      <c r="B372" s="34">
        <v>45661</v>
      </c>
      <c r="C372" s="34" t="str">
        <f>TEXT(Metas_Diarias[[#This Row],[data]],"dddd")</f>
        <v>sábado</v>
      </c>
      <c r="D372" s="33">
        <v>1</v>
      </c>
      <c r="E372" s="33">
        <v>1</v>
      </c>
      <c r="F372" s="18"/>
      <c r="G372" s="35">
        <f>WEEKDAY(Metas_Diarias[[#This Row],[data]])</f>
        <v>7</v>
      </c>
      <c r="H372" s="35">
        <f>IF(Metas_Diarias[[#This Row],[dias_da_demana]]=1,"domingo",IF(Metas_Diarias[[#This Row],[dias_da_demana]]=7,0.5,1))</f>
        <v>0.5</v>
      </c>
      <c r="I372" s="35">
        <f>_xlfn.XLOOKUP(Metas_Diarias[[#This Row],[data]],Feriados[Data],Feriados[Feriado],1)</f>
        <v>1</v>
      </c>
      <c r="J372" s="33" cm="1">
        <f t="array" aca="1" ref="J372" ca="1">SUMPRODUCT(IF((NOT(ISERROR(MATCH(ROW(INDIRECT(DATE(YEAR(B372),MONTH(B372),1)&amp;":"&amp;DATE(YEAR(B372),MONTH(B372)+1,0))),Feriados[Data],0))))=FALSE,
IF(WEEKDAY(ROW(INDIRECT(DATE(YEAR(B372),MONTH(B372),1)&amp;":"&amp;DATE(YEAR(B372),MONTH(B372)+1,0))),2)&lt;=5,1,IF(WEEKDAY(ROW(INDIRECT(DATE(YEAR(B372),MONTH(B372),1)&amp;":"&amp;DATE(YEAR(B372),MONTH(B372)+1,0))),2)=6,0.5,0)),0))</f>
        <v>24</v>
      </c>
      <c r="K372" s="22" cm="1">
        <f t="array" ref="K372">_xlfn.XLOOKUP(1,((Metas_Diarias[[#This Row],[tipo_equipe_id]]=Metas[equipe])*(Metas_Diarias[[#This Row],[data]]&gt;Metas[data_inicio])*(Metas_Diarias[[#This Row],[data]]&lt;Metas[data_fim])),Metas[meta_mensal],0)</f>
        <v>160000</v>
      </c>
      <c r="L372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373" spans="2:12" x14ac:dyDescent="0.3">
      <c r="B373" s="34">
        <v>45662</v>
      </c>
      <c r="C373" s="34" t="str">
        <f>TEXT(Metas_Diarias[[#This Row],[data]],"dddd")</f>
        <v>domingo</v>
      </c>
      <c r="D373" s="33">
        <v>1</v>
      </c>
      <c r="E373" s="33">
        <v>1</v>
      </c>
      <c r="F373" s="18"/>
      <c r="G373" s="35">
        <f>WEEKDAY(Metas_Diarias[[#This Row],[data]])</f>
        <v>1</v>
      </c>
      <c r="H373" s="35" t="str">
        <f>IF(Metas_Diarias[[#This Row],[dias_da_demana]]=1,"domingo",IF(Metas_Diarias[[#This Row],[dias_da_demana]]=7,0.5,1))</f>
        <v>domingo</v>
      </c>
      <c r="I373" s="35">
        <f>_xlfn.XLOOKUP(Metas_Diarias[[#This Row],[data]],Feriados[Data],Feriados[Feriado],1)</f>
        <v>1</v>
      </c>
      <c r="J373" s="33" cm="1">
        <f t="array" aca="1" ref="J373" ca="1">SUMPRODUCT(IF((NOT(ISERROR(MATCH(ROW(INDIRECT(DATE(YEAR(B373),MONTH(B373),1)&amp;":"&amp;DATE(YEAR(B373),MONTH(B373)+1,0))),Feriados[Data],0))))=FALSE,
IF(WEEKDAY(ROW(INDIRECT(DATE(YEAR(B373),MONTH(B373),1)&amp;":"&amp;DATE(YEAR(B373),MONTH(B373)+1,0))),2)&lt;=5,1,IF(WEEKDAY(ROW(INDIRECT(DATE(YEAR(B373),MONTH(B373),1)&amp;":"&amp;DATE(YEAR(B373),MONTH(B373)+1,0))),2)=6,0.5,0)),0))</f>
        <v>24</v>
      </c>
      <c r="K373" s="22" cm="1">
        <f t="array" ref="K373">_xlfn.XLOOKUP(1,((Metas_Diarias[[#This Row],[tipo_equipe_id]]=Metas[equipe])*(Metas_Diarias[[#This Row],[data]]&gt;Metas[data_inicio])*(Metas_Diarias[[#This Row],[data]]&lt;Metas[data_fim])),Metas[meta_mensal],0)</f>
        <v>160000</v>
      </c>
      <c r="L3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74" spans="2:12" x14ac:dyDescent="0.3">
      <c r="B374" s="34">
        <v>45663</v>
      </c>
      <c r="C374" s="34" t="str">
        <f>TEXT(Metas_Diarias[[#This Row],[data]],"dddd")</f>
        <v>segunda-feira</v>
      </c>
      <c r="D374" s="33">
        <v>1</v>
      </c>
      <c r="E374" s="33">
        <v>1</v>
      </c>
      <c r="F374" s="18"/>
      <c r="G374" s="35">
        <f>WEEKDAY(Metas_Diarias[[#This Row],[data]])</f>
        <v>2</v>
      </c>
      <c r="H374" s="35">
        <f>IF(Metas_Diarias[[#This Row],[dias_da_demana]]=1,"domingo",IF(Metas_Diarias[[#This Row],[dias_da_demana]]=7,0.5,1))</f>
        <v>1</v>
      </c>
      <c r="I374" s="35">
        <f>_xlfn.XLOOKUP(Metas_Diarias[[#This Row],[data]],Feriados[Data],Feriados[Feriado],1)</f>
        <v>1</v>
      </c>
      <c r="J374" s="33" cm="1">
        <f t="array" aca="1" ref="J374" ca="1">SUMPRODUCT(IF((NOT(ISERROR(MATCH(ROW(INDIRECT(DATE(YEAR(B374),MONTH(B374),1)&amp;":"&amp;DATE(YEAR(B374),MONTH(B374)+1,0))),Feriados[Data],0))))=FALSE,
IF(WEEKDAY(ROW(INDIRECT(DATE(YEAR(B374),MONTH(B374),1)&amp;":"&amp;DATE(YEAR(B374),MONTH(B374)+1,0))),2)&lt;=5,1,IF(WEEKDAY(ROW(INDIRECT(DATE(YEAR(B374),MONTH(B374),1)&amp;":"&amp;DATE(YEAR(B374),MONTH(B374)+1,0))),2)=6,0.5,0)),0))</f>
        <v>24</v>
      </c>
      <c r="K374" s="22" cm="1">
        <f t="array" ref="K374">_xlfn.XLOOKUP(1,((Metas_Diarias[[#This Row],[tipo_equipe_id]]=Metas[equipe])*(Metas_Diarias[[#This Row],[data]]&gt;Metas[data_inicio])*(Metas_Diarias[[#This Row],[data]]&lt;Metas[data_fim])),Metas[meta_mensal],0)</f>
        <v>160000</v>
      </c>
      <c r="L37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75" spans="2:12" x14ac:dyDescent="0.3">
      <c r="B375" s="34">
        <v>45664</v>
      </c>
      <c r="C375" s="34" t="str">
        <f>TEXT(Metas_Diarias[[#This Row],[data]],"dddd")</f>
        <v>terça-feira</v>
      </c>
      <c r="D375" s="33">
        <v>1</v>
      </c>
      <c r="E375" s="33">
        <v>1</v>
      </c>
      <c r="F375" s="18"/>
      <c r="G375" s="35">
        <f>WEEKDAY(Metas_Diarias[[#This Row],[data]])</f>
        <v>3</v>
      </c>
      <c r="H375" s="35">
        <f>IF(Metas_Diarias[[#This Row],[dias_da_demana]]=1,"domingo",IF(Metas_Diarias[[#This Row],[dias_da_demana]]=7,0.5,1))</f>
        <v>1</v>
      </c>
      <c r="I375" s="35">
        <f>_xlfn.XLOOKUP(Metas_Diarias[[#This Row],[data]],Feriados[Data],Feriados[Feriado],1)</f>
        <v>1</v>
      </c>
      <c r="J375" s="33" cm="1">
        <f t="array" aca="1" ref="J375" ca="1">SUMPRODUCT(IF((NOT(ISERROR(MATCH(ROW(INDIRECT(DATE(YEAR(B375),MONTH(B375),1)&amp;":"&amp;DATE(YEAR(B375),MONTH(B375)+1,0))),Feriados[Data],0))))=FALSE,
IF(WEEKDAY(ROW(INDIRECT(DATE(YEAR(B375),MONTH(B375),1)&amp;":"&amp;DATE(YEAR(B375),MONTH(B375)+1,0))),2)&lt;=5,1,IF(WEEKDAY(ROW(INDIRECT(DATE(YEAR(B375),MONTH(B375),1)&amp;":"&amp;DATE(YEAR(B375),MONTH(B375)+1,0))),2)=6,0.5,0)),0))</f>
        <v>24</v>
      </c>
      <c r="K375" s="22" cm="1">
        <f t="array" ref="K375">_xlfn.XLOOKUP(1,((Metas_Diarias[[#This Row],[tipo_equipe_id]]=Metas[equipe])*(Metas_Diarias[[#This Row],[data]]&gt;Metas[data_inicio])*(Metas_Diarias[[#This Row],[data]]&lt;Metas[data_fim])),Metas[meta_mensal],0)</f>
        <v>160000</v>
      </c>
      <c r="L37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76" spans="2:12" x14ac:dyDescent="0.3">
      <c r="B376" s="34">
        <v>45665</v>
      </c>
      <c r="C376" s="34" t="str">
        <f>TEXT(Metas_Diarias[[#This Row],[data]],"dddd")</f>
        <v>quarta-feira</v>
      </c>
      <c r="D376" s="33">
        <v>1</v>
      </c>
      <c r="E376" s="33">
        <v>1</v>
      </c>
      <c r="F376" s="18"/>
      <c r="G376" s="35">
        <f>WEEKDAY(Metas_Diarias[[#This Row],[data]])</f>
        <v>4</v>
      </c>
      <c r="H376" s="35">
        <f>IF(Metas_Diarias[[#This Row],[dias_da_demana]]=1,"domingo",IF(Metas_Diarias[[#This Row],[dias_da_demana]]=7,0.5,1))</f>
        <v>1</v>
      </c>
      <c r="I376" s="35">
        <f>_xlfn.XLOOKUP(Metas_Diarias[[#This Row],[data]],Feriados[Data],Feriados[Feriado],1)</f>
        <v>1</v>
      </c>
      <c r="J376" s="33" cm="1">
        <f t="array" aca="1" ref="J376" ca="1">SUMPRODUCT(IF((NOT(ISERROR(MATCH(ROW(INDIRECT(DATE(YEAR(B376),MONTH(B376),1)&amp;":"&amp;DATE(YEAR(B376),MONTH(B376)+1,0))),Feriados[Data],0))))=FALSE,
IF(WEEKDAY(ROW(INDIRECT(DATE(YEAR(B376),MONTH(B376),1)&amp;":"&amp;DATE(YEAR(B376),MONTH(B376)+1,0))),2)&lt;=5,1,IF(WEEKDAY(ROW(INDIRECT(DATE(YEAR(B376),MONTH(B376),1)&amp;":"&amp;DATE(YEAR(B376),MONTH(B376)+1,0))),2)=6,0.5,0)),0))</f>
        <v>24</v>
      </c>
      <c r="K376" s="22" cm="1">
        <f t="array" ref="K376">_xlfn.XLOOKUP(1,((Metas_Diarias[[#This Row],[tipo_equipe_id]]=Metas[equipe])*(Metas_Diarias[[#This Row],[data]]&gt;Metas[data_inicio])*(Metas_Diarias[[#This Row],[data]]&lt;Metas[data_fim])),Metas[meta_mensal],0)</f>
        <v>160000</v>
      </c>
      <c r="L37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77" spans="2:12" x14ac:dyDescent="0.3">
      <c r="B377" s="34">
        <v>45666</v>
      </c>
      <c r="C377" s="34" t="str">
        <f>TEXT(Metas_Diarias[[#This Row],[data]],"dddd")</f>
        <v>quinta-feira</v>
      </c>
      <c r="D377" s="33">
        <v>1</v>
      </c>
      <c r="E377" s="33">
        <v>1</v>
      </c>
      <c r="F377" s="18"/>
      <c r="G377" s="35">
        <f>WEEKDAY(Metas_Diarias[[#This Row],[data]])</f>
        <v>5</v>
      </c>
      <c r="H377" s="35">
        <f>IF(Metas_Diarias[[#This Row],[dias_da_demana]]=1,"domingo",IF(Metas_Diarias[[#This Row],[dias_da_demana]]=7,0.5,1))</f>
        <v>1</v>
      </c>
      <c r="I377" s="35">
        <f>_xlfn.XLOOKUP(Metas_Diarias[[#This Row],[data]],Feriados[Data],Feriados[Feriado],1)</f>
        <v>1</v>
      </c>
      <c r="J377" s="33" cm="1">
        <f t="array" aca="1" ref="J377" ca="1">SUMPRODUCT(IF((NOT(ISERROR(MATCH(ROW(INDIRECT(DATE(YEAR(B377),MONTH(B377),1)&amp;":"&amp;DATE(YEAR(B377),MONTH(B377)+1,0))),Feriados[Data],0))))=FALSE,
IF(WEEKDAY(ROW(INDIRECT(DATE(YEAR(B377),MONTH(B377),1)&amp;":"&amp;DATE(YEAR(B377),MONTH(B377)+1,0))),2)&lt;=5,1,IF(WEEKDAY(ROW(INDIRECT(DATE(YEAR(B377),MONTH(B377),1)&amp;":"&amp;DATE(YEAR(B377),MONTH(B377)+1,0))),2)=6,0.5,0)),0))</f>
        <v>24</v>
      </c>
      <c r="K377" s="22" cm="1">
        <f t="array" ref="K377">_xlfn.XLOOKUP(1,((Metas_Diarias[[#This Row],[tipo_equipe_id]]=Metas[equipe])*(Metas_Diarias[[#This Row],[data]]&gt;Metas[data_inicio])*(Metas_Diarias[[#This Row],[data]]&lt;Metas[data_fim])),Metas[meta_mensal],0)</f>
        <v>160000</v>
      </c>
      <c r="L37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78" spans="2:12" x14ac:dyDescent="0.3">
      <c r="B378" s="34">
        <v>45667</v>
      </c>
      <c r="C378" s="34" t="str">
        <f>TEXT(Metas_Diarias[[#This Row],[data]],"dddd")</f>
        <v>sexta-feira</v>
      </c>
      <c r="D378" s="33">
        <v>1</v>
      </c>
      <c r="E378" s="33">
        <v>1</v>
      </c>
      <c r="F378" s="18"/>
      <c r="G378" s="35">
        <f>WEEKDAY(Metas_Diarias[[#This Row],[data]])</f>
        <v>6</v>
      </c>
      <c r="H378" s="35">
        <f>IF(Metas_Diarias[[#This Row],[dias_da_demana]]=1,"domingo",IF(Metas_Diarias[[#This Row],[dias_da_demana]]=7,0.5,1))</f>
        <v>1</v>
      </c>
      <c r="I378" s="35">
        <f>_xlfn.XLOOKUP(Metas_Diarias[[#This Row],[data]],Feriados[Data],Feriados[Feriado],1)</f>
        <v>1</v>
      </c>
      <c r="J378" s="33" cm="1">
        <f t="array" aca="1" ref="J378" ca="1">SUMPRODUCT(IF((NOT(ISERROR(MATCH(ROW(INDIRECT(DATE(YEAR(B378),MONTH(B378),1)&amp;":"&amp;DATE(YEAR(B378),MONTH(B378)+1,0))),Feriados[Data],0))))=FALSE,
IF(WEEKDAY(ROW(INDIRECT(DATE(YEAR(B378),MONTH(B378),1)&amp;":"&amp;DATE(YEAR(B378),MONTH(B378)+1,0))),2)&lt;=5,1,IF(WEEKDAY(ROW(INDIRECT(DATE(YEAR(B378),MONTH(B378),1)&amp;":"&amp;DATE(YEAR(B378),MONTH(B378)+1,0))),2)=6,0.5,0)),0))</f>
        <v>24</v>
      </c>
      <c r="K378" s="22" cm="1">
        <f t="array" ref="K378">_xlfn.XLOOKUP(1,((Metas_Diarias[[#This Row],[tipo_equipe_id]]=Metas[equipe])*(Metas_Diarias[[#This Row],[data]]&gt;Metas[data_inicio])*(Metas_Diarias[[#This Row],[data]]&lt;Metas[data_fim])),Metas[meta_mensal],0)</f>
        <v>160000</v>
      </c>
      <c r="L37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79" spans="2:12" x14ac:dyDescent="0.3">
      <c r="B379" s="34">
        <v>45668</v>
      </c>
      <c r="C379" s="34" t="str">
        <f>TEXT(Metas_Diarias[[#This Row],[data]],"dddd")</f>
        <v>sábado</v>
      </c>
      <c r="D379" s="33">
        <v>1</v>
      </c>
      <c r="E379" s="33">
        <v>1</v>
      </c>
      <c r="F379" s="18"/>
      <c r="G379" s="35">
        <f>WEEKDAY(Metas_Diarias[[#This Row],[data]])</f>
        <v>7</v>
      </c>
      <c r="H379" s="35">
        <f>IF(Metas_Diarias[[#This Row],[dias_da_demana]]=1,"domingo",IF(Metas_Diarias[[#This Row],[dias_da_demana]]=7,0.5,1))</f>
        <v>0.5</v>
      </c>
      <c r="I379" s="35">
        <f>_xlfn.XLOOKUP(Metas_Diarias[[#This Row],[data]],Feriados[Data],Feriados[Feriado],1)</f>
        <v>1</v>
      </c>
      <c r="J379" s="33" cm="1">
        <f t="array" aca="1" ref="J379" ca="1">SUMPRODUCT(IF((NOT(ISERROR(MATCH(ROW(INDIRECT(DATE(YEAR(B379),MONTH(B379),1)&amp;":"&amp;DATE(YEAR(B379),MONTH(B379)+1,0))),Feriados[Data],0))))=FALSE,
IF(WEEKDAY(ROW(INDIRECT(DATE(YEAR(B379),MONTH(B379),1)&amp;":"&amp;DATE(YEAR(B379),MONTH(B379)+1,0))),2)&lt;=5,1,IF(WEEKDAY(ROW(INDIRECT(DATE(YEAR(B379),MONTH(B379),1)&amp;":"&amp;DATE(YEAR(B379),MONTH(B379)+1,0))),2)=6,0.5,0)),0))</f>
        <v>24</v>
      </c>
      <c r="K379" s="22" cm="1">
        <f t="array" ref="K379">_xlfn.XLOOKUP(1,((Metas_Diarias[[#This Row],[tipo_equipe_id]]=Metas[equipe])*(Metas_Diarias[[#This Row],[data]]&gt;Metas[data_inicio])*(Metas_Diarias[[#This Row],[data]]&lt;Metas[data_fim])),Metas[meta_mensal],0)</f>
        <v>160000</v>
      </c>
      <c r="L379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380" spans="2:12" x14ac:dyDescent="0.3">
      <c r="B380" s="34">
        <v>45669</v>
      </c>
      <c r="C380" s="34" t="str">
        <f>TEXT(Metas_Diarias[[#This Row],[data]],"dddd")</f>
        <v>domingo</v>
      </c>
      <c r="D380" s="33">
        <v>1</v>
      </c>
      <c r="E380" s="33">
        <v>1</v>
      </c>
      <c r="F380" s="18"/>
      <c r="G380" s="35">
        <f>WEEKDAY(Metas_Diarias[[#This Row],[data]])</f>
        <v>1</v>
      </c>
      <c r="H380" s="35" t="str">
        <f>IF(Metas_Diarias[[#This Row],[dias_da_demana]]=1,"domingo",IF(Metas_Diarias[[#This Row],[dias_da_demana]]=7,0.5,1))</f>
        <v>domingo</v>
      </c>
      <c r="I380" s="35">
        <f>_xlfn.XLOOKUP(Metas_Diarias[[#This Row],[data]],Feriados[Data],Feriados[Feriado],1)</f>
        <v>1</v>
      </c>
      <c r="J380" s="33" cm="1">
        <f t="array" aca="1" ref="J380" ca="1">SUMPRODUCT(IF((NOT(ISERROR(MATCH(ROW(INDIRECT(DATE(YEAR(B380),MONTH(B380),1)&amp;":"&amp;DATE(YEAR(B380),MONTH(B380)+1,0))),Feriados[Data],0))))=FALSE,
IF(WEEKDAY(ROW(INDIRECT(DATE(YEAR(B380),MONTH(B380),1)&amp;":"&amp;DATE(YEAR(B380),MONTH(B380)+1,0))),2)&lt;=5,1,IF(WEEKDAY(ROW(INDIRECT(DATE(YEAR(B380),MONTH(B380),1)&amp;":"&amp;DATE(YEAR(B380),MONTH(B380)+1,0))),2)=6,0.5,0)),0))</f>
        <v>24</v>
      </c>
      <c r="K380" s="22" cm="1">
        <f t="array" ref="K380">_xlfn.XLOOKUP(1,((Metas_Diarias[[#This Row],[tipo_equipe_id]]=Metas[equipe])*(Metas_Diarias[[#This Row],[data]]&gt;Metas[data_inicio])*(Metas_Diarias[[#This Row],[data]]&lt;Metas[data_fim])),Metas[meta_mensal],0)</f>
        <v>160000</v>
      </c>
      <c r="L3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81" spans="2:12" x14ac:dyDescent="0.3">
      <c r="B381" s="34">
        <v>45670</v>
      </c>
      <c r="C381" s="34" t="str">
        <f>TEXT(Metas_Diarias[[#This Row],[data]],"dddd")</f>
        <v>segunda-feira</v>
      </c>
      <c r="D381" s="33">
        <v>1</v>
      </c>
      <c r="E381" s="33">
        <v>1</v>
      </c>
      <c r="F381" s="18"/>
      <c r="G381" s="35">
        <f>WEEKDAY(Metas_Diarias[[#This Row],[data]])</f>
        <v>2</v>
      </c>
      <c r="H381" s="35">
        <f>IF(Metas_Diarias[[#This Row],[dias_da_demana]]=1,"domingo",IF(Metas_Diarias[[#This Row],[dias_da_demana]]=7,0.5,1))</f>
        <v>1</v>
      </c>
      <c r="I381" s="35">
        <f>_xlfn.XLOOKUP(Metas_Diarias[[#This Row],[data]],Feriados[Data],Feriados[Feriado],1)</f>
        <v>1</v>
      </c>
      <c r="J381" s="33" cm="1">
        <f t="array" aca="1" ref="J381" ca="1">SUMPRODUCT(IF((NOT(ISERROR(MATCH(ROW(INDIRECT(DATE(YEAR(B381),MONTH(B381),1)&amp;":"&amp;DATE(YEAR(B381),MONTH(B381)+1,0))),Feriados[Data],0))))=FALSE,
IF(WEEKDAY(ROW(INDIRECT(DATE(YEAR(B381),MONTH(B381),1)&amp;":"&amp;DATE(YEAR(B381),MONTH(B381)+1,0))),2)&lt;=5,1,IF(WEEKDAY(ROW(INDIRECT(DATE(YEAR(B381),MONTH(B381),1)&amp;":"&amp;DATE(YEAR(B381),MONTH(B381)+1,0))),2)=6,0.5,0)),0))</f>
        <v>24</v>
      </c>
      <c r="K381" s="22" cm="1">
        <f t="array" ref="K381">_xlfn.XLOOKUP(1,((Metas_Diarias[[#This Row],[tipo_equipe_id]]=Metas[equipe])*(Metas_Diarias[[#This Row],[data]]&gt;Metas[data_inicio])*(Metas_Diarias[[#This Row],[data]]&lt;Metas[data_fim])),Metas[meta_mensal],0)</f>
        <v>160000</v>
      </c>
      <c r="L38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82" spans="2:12" x14ac:dyDescent="0.3">
      <c r="B382" s="34">
        <v>45671</v>
      </c>
      <c r="C382" s="34" t="str">
        <f>TEXT(Metas_Diarias[[#This Row],[data]],"dddd")</f>
        <v>terça-feira</v>
      </c>
      <c r="D382" s="33">
        <v>1</v>
      </c>
      <c r="E382" s="33">
        <v>1</v>
      </c>
      <c r="F382" s="18"/>
      <c r="G382" s="35">
        <f>WEEKDAY(Metas_Diarias[[#This Row],[data]])</f>
        <v>3</v>
      </c>
      <c r="H382" s="35">
        <f>IF(Metas_Diarias[[#This Row],[dias_da_demana]]=1,"domingo",IF(Metas_Diarias[[#This Row],[dias_da_demana]]=7,0.5,1))</f>
        <v>1</v>
      </c>
      <c r="I382" s="35">
        <f>_xlfn.XLOOKUP(Metas_Diarias[[#This Row],[data]],Feriados[Data],Feriados[Feriado],1)</f>
        <v>1</v>
      </c>
      <c r="J382" s="33" cm="1">
        <f t="array" aca="1" ref="J382" ca="1">SUMPRODUCT(IF((NOT(ISERROR(MATCH(ROW(INDIRECT(DATE(YEAR(B382),MONTH(B382),1)&amp;":"&amp;DATE(YEAR(B382),MONTH(B382)+1,0))),Feriados[Data],0))))=FALSE,
IF(WEEKDAY(ROW(INDIRECT(DATE(YEAR(B382),MONTH(B382),1)&amp;":"&amp;DATE(YEAR(B382),MONTH(B382)+1,0))),2)&lt;=5,1,IF(WEEKDAY(ROW(INDIRECT(DATE(YEAR(B382),MONTH(B382),1)&amp;":"&amp;DATE(YEAR(B382),MONTH(B382)+1,0))),2)=6,0.5,0)),0))</f>
        <v>24</v>
      </c>
      <c r="K382" s="22" cm="1">
        <f t="array" ref="K382">_xlfn.XLOOKUP(1,((Metas_Diarias[[#This Row],[tipo_equipe_id]]=Metas[equipe])*(Metas_Diarias[[#This Row],[data]]&gt;Metas[data_inicio])*(Metas_Diarias[[#This Row],[data]]&lt;Metas[data_fim])),Metas[meta_mensal],0)</f>
        <v>160000</v>
      </c>
      <c r="L38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83" spans="2:12" x14ac:dyDescent="0.3">
      <c r="B383" s="34">
        <v>45672</v>
      </c>
      <c r="C383" s="34" t="str">
        <f>TEXT(Metas_Diarias[[#This Row],[data]],"dddd")</f>
        <v>quarta-feira</v>
      </c>
      <c r="D383" s="33">
        <v>1</v>
      </c>
      <c r="E383" s="33">
        <v>1</v>
      </c>
      <c r="F383" s="18"/>
      <c r="G383" s="35">
        <f>WEEKDAY(Metas_Diarias[[#This Row],[data]])</f>
        <v>4</v>
      </c>
      <c r="H383" s="35">
        <f>IF(Metas_Diarias[[#This Row],[dias_da_demana]]=1,"domingo",IF(Metas_Diarias[[#This Row],[dias_da_demana]]=7,0.5,1))</f>
        <v>1</v>
      </c>
      <c r="I383" s="35">
        <f>_xlfn.XLOOKUP(Metas_Diarias[[#This Row],[data]],Feriados[Data],Feriados[Feriado],1)</f>
        <v>1</v>
      </c>
      <c r="J383" s="33" cm="1">
        <f t="array" aca="1" ref="J383" ca="1">SUMPRODUCT(IF((NOT(ISERROR(MATCH(ROW(INDIRECT(DATE(YEAR(B383),MONTH(B383),1)&amp;":"&amp;DATE(YEAR(B383),MONTH(B383)+1,0))),Feriados[Data],0))))=FALSE,
IF(WEEKDAY(ROW(INDIRECT(DATE(YEAR(B383),MONTH(B383),1)&amp;":"&amp;DATE(YEAR(B383),MONTH(B383)+1,0))),2)&lt;=5,1,IF(WEEKDAY(ROW(INDIRECT(DATE(YEAR(B383),MONTH(B383),1)&amp;":"&amp;DATE(YEAR(B383),MONTH(B383)+1,0))),2)=6,0.5,0)),0))</f>
        <v>24</v>
      </c>
      <c r="K383" s="22" cm="1">
        <f t="array" ref="K383">_xlfn.XLOOKUP(1,((Metas_Diarias[[#This Row],[tipo_equipe_id]]=Metas[equipe])*(Metas_Diarias[[#This Row],[data]]&gt;Metas[data_inicio])*(Metas_Diarias[[#This Row],[data]]&lt;Metas[data_fim])),Metas[meta_mensal],0)</f>
        <v>160000</v>
      </c>
      <c r="L38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84" spans="2:12" x14ac:dyDescent="0.3">
      <c r="B384" s="34">
        <v>45673</v>
      </c>
      <c r="C384" s="34" t="str">
        <f>TEXT(Metas_Diarias[[#This Row],[data]],"dddd")</f>
        <v>quinta-feira</v>
      </c>
      <c r="D384" s="33">
        <v>1</v>
      </c>
      <c r="E384" s="33">
        <v>1</v>
      </c>
      <c r="F384" s="18"/>
      <c r="G384" s="35">
        <f>WEEKDAY(Metas_Diarias[[#This Row],[data]])</f>
        <v>5</v>
      </c>
      <c r="H384" s="35">
        <f>IF(Metas_Diarias[[#This Row],[dias_da_demana]]=1,"domingo",IF(Metas_Diarias[[#This Row],[dias_da_demana]]=7,0.5,1))</f>
        <v>1</v>
      </c>
      <c r="I384" s="35">
        <f>_xlfn.XLOOKUP(Metas_Diarias[[#This Row],[data]],Feriados[Data],Feriados[Feriado],1)</f>
        <v>1</v>
      </c>
      <c r="J384" s="33" cm="1">
        <f t="array" aca="1" ref="J384" ca="1">SUMPRODUCT(IF((NOT(ISERROR(MATCH(ROW(INDIRECT(DATE(YEAR(B384),MONTH(B384),1)&amp;":"&amp;DATE(YEAR(B384),MONTH(B384)+1,0))),Feriados[Data],0))))=FALSE,
IF(WEEKDAY(ROW(INDIRECT(DATE(YEAR(B384),MONTH(B384),1)&amp;":"&amp;DATE(YEAR(B384),MONTH(B384)+1,0))),2)&lt;=5,1,IF(WEEKDAY(ROW(INDIRECT(DATE(YEAR(B384),MONTH(B384),1)&amp;":"&amp;DATE(YEAR(B384),MONTH(B384)+1,0))),2)=6,0.5,0)),0))</f>
        <v>24</v>
      </c>
      <c r="K384" s="22" cm="1">
        <f t="array" ref="K384">_xlfn.XLOOKUP(1,((Metas_Diarias[[#This Row],[tipo_equipe_id]]=Metas[equipe])*(Metas_Diarias[[#This Row],[data]]&gt;Metas[data_inicio])*(Metas_Diarias[[#This Row],[data]]&lt;Metas[data_fim])),Metas[meta_mensal],0)</f>
        <v>160000</v>
      </c>
      <c r="L38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85" spans="2:12" x14ac:dyDescent="0.3">
      <c r="B385" s="34">
        <v>45674</v>
      </c>
      <c r="C385" s="34" t="str">
        <f>TEXT(Metas_Diarias[[#This Row],[data]],"dddd")</f>
        <v>sexta-feira</v>
      </c>
      <c r="D385" s="33">
        <v>1</v>
      </c>
      <c r="E385" s="33">
        <v>1</v>
      </c>
      <c r="F385" s="18"/>
      <c r="G385" s="35">
        <f>WEEKDAY(Metas_Diarias[[#This Row],[data]])</f>
        <v>6</v>
      </c>
      <c r="H385" s="35">
        <f>IF(Metas_Diarias[[#This Row],[dias_da_demana]]=1,"domingo",IF(Metas_Diarias[[#This Row],[dias_da_demana]]=7,0.5,1))</f>
        <v>1</v>
      </c>
      <c r="I385" s="35">
        <f>_xlfn.XLOOKUP(Metas_Diarias[[#This Row],[data]],Feriados[Data],Feriados[Feriado],1)</f>
        <v>1</v>
      </c>
      <c r="J385" s="33" cm="1">
        <f t="array" aca="1" ref="J385" ca="1">SUMPRODUCT(IF((NOT(ISERROR(MATCH(ROW(INDIRECT(DATE(YEAR(B385),MONTH(B385),1)&amp;":"&amp;DATE(YEAR(B385),MONTH(B385)+1,0))),Feriados[Data],0))))=FALSE,
IF(WEEKDAY(ROW(INDIRECT(DATE(YEAR(B385),MONTH(B385),1)&amp;":"&amp;DATE(YEAR(B385),MONTH(B385)+1,0))),2)&lt;=5,1,IF(WEEKDAY(ROW(INDIRECT(DATE(YEAR(B385),MONTH(B385),1)&amp;":"&amp;DATE(YEAR(B385),MONTH(B385)+1,0))),2)=6,0.5,0)),0))</f>
        <v>24</v>
      </c>
      <c r="K385" s="22" cm="1">
        <f t="array" ref="K385">_xlfn.XLOOKUP(1,((Metas_Diarias[[#This Row],[tipo_equipe_id]]=Metas[equipe])*(Metas_Diarias[[#This Row],[data]]&gt;Metas[data_inicio])*(Metas_Diarias[[#This Row],[data]]&lt;Metas[data_fim])),Metas[meta_mensal],0)</f>
        <v>160000</v>
      </c>
      <c r="L38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86" spans="2:12" x14ac:dyDescent="0.3">
      <c r="B386" s="34">
        <v>45675</v>
      </c>
      <c r="C386" s="34" t="str">
        <f>TEXT(Metas_Diarias[[#This Row],[data]],"dddd")</f>
        <v>sábado</v>
      </c>
      <c r="D386" s="33">
        <v>1</v>
      </c>
      <c r="E386" s="33">
        <v>1</v>
      </c>
      <c r="F386" s="18"/>
      <c r="G386" s="35">
        <f>WEEKDAY(Metas_Diarias[[#This Row],[data]])</f>
        <v>7</v>
      </c>
      <c r="H386" s="35">
        <f>IF(Metas_Diarias[[#This Row],[dias_da_demana]]=1,"domingo",IF(Metas_Diarias[[#This Row],[dias_da_demana]]=7,0.5,1))</f>
        <v>0.5</v>
      </c>
      <c r="I386" s="35">
        <f>_xlfn.XLOOKUP(Metas_Diarias[[#This Row],[data]],Feriados[Data],Feriados[Feriado],1)</f>
        <v>1</v>
      </c>
      <c r="J386" s="33" cm="1">
        <f t="array" aca="1" ref="J386" ca="1">SUMPRODUCT(IF((NOT(ISERROR(MATCH(ROW(INDIRECT(DATE(YEAR(B386),MONTH(B386),1)&amp;":"&amp;DATE(YEAR(B386),MONTH(B386)+1,0))),Feriados[Data],0))))=FALSE,
IF(WEEKDAY(ROW(INDIRECT(DATE(YEAR(B386),MONTH(B386),1)&amp;":"&amp;DATE(YEAR(B386),MONTH(B386)+1,0))),2)&lt;=5,1,IF(WEEKDAY(ROW(INDIRECT(DATE(YEAR(B386),MONTH(B386),1)&amp;":"&amp;DATE(YEAR(B386),MONTH(B386)+1,0))),2)=6,0.5,0)),0))</f>
        <v>24</v>
      </c>
      <c r="K386" s="22" cm="1">
        <f t="array" ref="K386">_xlfn.XLOOKUP(1,((Metas_Diarias[[#This Row],[tipo_equipe_id]]=Metas[equipe])*(Metas_Diarias[[#This Row],[data]]&gt;Metas[data_inicio])*(Metas_Diarias[[#This Row],[data]]&lt;Metas[data_fim])),Metas[meta_mensal],0)</f>
        <v>160000</v>
      </c>
      <c r="L386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387" spans="2:12" x14ac:dyDescent="0.3">
      <c r="B387" s="34">
        <v>45676</v>
      </c>
      <c r="C387" s="34" t="str">
        <f>TEXT(Metas_Diarias[[#This Row],[data]],"dddd")</f>
        <v>domingo</v>
      </c>
      <c r="D387" s="33">
        <v>1</v>
      </c>
      <c r="E387" s="33">
        <v>1</v>
      </c>
      <c r="F387" s="18"/>
      <c r="G387" s="35">
        <f>WEEKDAY(Metas_Diarias[[#This Row],[data]])</f>
        <v>1</v>
      </c>
      <c r="H387" s="35" t="str">
        <f>IF(Metas_Diarias[[#This Row],[dias_da_demana]]=1,"domingo",IF(Metas_Diarias[[#This Row],[dias_da_demana]]=7,0.5,1))</f>
        <v>domingo</v>
      </c>
      <c r="I387" s="35">
        <f>_xlfn.XLOOKUP(Metas_Diarias[[#This Row],[data]],Feriados[Data],Feriados[Feriado],1)</f>
        <v>1</v>
      </c>
      <c r="J387" s="33" cm="1">
        <f t="array" aca="1" ref="J387" ca="1">SUMPRODUCT(IF((NOT(ISERROR(MATCH(ROW(INDIRECT(DATE(YEAR(B387),MONTH(B387),1)&amp;":"&amp;DATE(YEAR(B387),MONTH(B387)+1,0))),Feriados[Data],0))))=FALSE,
IF(WEEKDAY(ROW(INDIRECT(DATE(YEAR(B387),MONTH(B387),1)&amp;":"&amp;DATE(YEAR(B387),MONTH(B387)+1,0))),2)&lt;=5,1,IF(WEEKDAY(ROW(INDIRECT(DATE(YEAR(B387),MONTH(B387),1)&amp;":"&amp;DATE(YEAR(B387),MONTH(B387)+1,0))),2)=6,0.5,0)),0))</f>
        <v>24</v>
      </c>
      <c r="K387" s="22" cm="1">
        <f t="array" ref="K387">_xlfn.XLOOKUP(1,((Metas_Diarias[[#This Row],[tipo_equipe_id]]=Metas[equipe])*(Metas_Diarias[[#This Row],[data]]&gt;Metas[data_inicio])*(Metas_Diarias[[#This Row],[data]]&lt;Metas[data_fim])),Metas[meta_mensal],0)</f>
        <v>160000</v>
      </c>
      <c r="L3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88" spans="2:12" x14ac:dyDescent="0.3">
      <c r="B388" s="34">
        <v>45677</v>
      </c>
      <c r="C388" s="34" t="str">
        <f>TEXT(Metas_Diarias[[#This Row],[data]],"dddd")</f>
        <v>segunda-feira</v>
      </c>
      <c r="D388" s="33">
        <v>1</v>
      </c>
      <c r="E388" s="33">
        <v>1</v>
      </c>
      <c r="F388" s="18"/>
      <c r="G388" s="35">
        <f>WEEKDAY(Metas_Diarias[[#This Row],[data]])</f>
        <v>2</v>
      </c>
      <c r="H388" s="35">
        <f>IF(Metas_Diarias[[#This Row],[dias_da_demana]]=1,"domingo",IF(Metas_Diarias[[#This Row],[dias_da_demana]]=7,0.5,1))</f>
        <v>1</v>
      </c>
      <c r="I388" s="35">
        <f>_xlfn.XLOOKUP(Metas_Diarias[[#This Row],[data]],Feriados[Data],Feriados[Feriado],1)</f>
        <v>1</v>
      </c>
      <c r="J388" s="33" cm="1">
        <f t="array" aca="1" ref="J388" ca="1">SUMPRODUCT(IF((NOT(ISERROR(MATCH(ROW(INDIRECT(DATE(YEAR(B388),MONTH(B388),1)&amp;":"&amp;DATE(YEAR(B388),MONTH(B388)+1,0))),Feriados[Data],0))))=FALSE,
IF(WEEKDAY(ROW(INDIRECT(DATE(YEAR(B388),MONTH(B388),1)&amp;":"&amp;DATE(YEAR(B388),MONTH(B388)+1,0))),2)&lt;=5,1,IF(WEEKDAY(ROW(INDIRECT(DATE(YEAR(B388),MONTH(B388),1)&amp;":"&amp;DATE(YEAR(B388),MONTH(B388)+1,0))),2)=6,0.5,0)),0))</f>
        <v>24</v>
      </c>
      <c r="K388" s="22" cm="1">
        <f t="array" ref="K388">_xlfn.XLOOKUP(1,((Metas_Diarias[[#This Row],[tipo_equipe_id]]=Metas[equipe])*(Metas_Diarias[[#This Row],[data]]&gt;Metas[data_inicio])*(Metas_Diarias[[#This Row],[data]]&lt;Metas[data_fim])),Metas[meta_mensal],0)</f>
        <v>160000</v>
      </c>
      <c r="L38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89" spans="2:12" x14ac:dyDescent="0.3">
      <c r="B389" s="34">
        <v>45678</v>
      </c>
      <c r="C389" s="34" t="str">
        <f>TEXT(Metas_Diarias[[#This Row],[data]],"dddd")</f>
        <v>terça-feira</v>
      </c>
      <c r="D389" s="33">
        <v>1</v>
      </c>
      <c r="E389" s="33">
        <v>1</v>
      </c>
      <c r="F389" s="18"/>
      <c r="G389" s="35">
        <f>WEEKDAY(Metas_Diarias[[#This Row],[data]])</f>
        <v>3</v>
      </c>
      <c r="H389" s="35">
        <f>IF(Metas_Diarias[[#This Row],[dias_da_demana]]=1,"domingo",IF(Metas_Diarias[[#This Row],[dias_da_demana]]=7,0.5,1))</f>
        <v>1</v>
      </c>
      <c r="I389" s="35">
        <f>_xlfn.XLOOKUP(Metas_Diarias[[#This Row],[data]],Feriados[Data],Feriados[Feriado],1)</f>
        <v>1</v>
      </c>
      <c r="J389" s="33" cm="1">
        <f t="array" aca="1" ref="J389" ca="1">SUMPRODUCT(IF((NOT(ISERROR(MATCH(ROW(INDIRECT(DATE(YEAR(B389),MONTH(B389),1)&amp;":"&amp;DATE(YEAR(B389),MONTH(B389)+1,0))),Feriados[Data],0))))=FALSE,
IF(WEEKDAY(ROW(INDIRECT(DATE(YEAR(B389),MONTH(B389),1)&amp;":"&amp;DATE(YEAR(B389),MONTH(B389)+1,0))),2)&lt;=5,1,IF(WEEKDAY(ROW(INDIRECT(DATE(YEAR(B389),MONTH(B389),1)&amp;":"&amp;DATE(YEAR(B389),MONTH(B389)+1,0))),2)=6,0.5,0)),0))</f>
        <v>24</v>
      </c>
      <c r="K389" s="22" cm="1">
        <f t="array" ref="K389">_xlfn.XLOOKUP(1,((Metas_Diarias[[#This Row],[tipo_equipe_id]]=Metas[equipe])*(Metas_Diarias[[#This Row],[data]]&gt;Metas[data_inicio])*(Metas_Diarias[[#This Row],[data]]&lt;Metas[data_fim])),Metas[meta_mensal],0)</f>
        <v>160000</v>
      </c>
      <c r="L389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90" spans="2:12" x14ac:dyDescent="0.3">
      <c r="B390" s="34">
        <v>45679</v>
      </c>
      <c r="C390" s="34" t="str">
        <f>TEXT(Metas_Diarias[[#This Row],[data]],"dddd")</f>
        <v>quarta-feira</v>
      </c>
      <c r="D390" s="33">
        <v>1</v>
      </c>
      <c r="E390" s="33">
        <v>1</v>
      </c>
      <c r="F390" s="18"/>
      <c r="G390" s="35">
        <f>WEEKDAY(Metas_Diarias[[#This Row],[data]])</f>
        <v>4</v>
      </c>
      <c r="H390" s="35">
        <f>IF(Metas_Diarias[[#This Row],[dias_da_demana]]=1,"domingo",IF(Metas_Diarias[[#This Row],[dias_da_demana]]=7,0.5,1))</f>
        <v>1</v>
      </c>
      <c r="I390" s="35">
        <f>_xlfn.XLOOKUP(Metas_Diarias[[#This Row],[data]],Feriados[Data],Feriados[Feriado],1)</f>
        <v>1</v>
      </c>
      <c r="J390" s="33" cm="1">
        <f t="array" aca="1" ref="J390" ca="1">SUMPRODUCT(IF((NOT(ISERROR(MATCH(ROW(INDIRECT(DATE(YEAR(B390),MONTH(B390),1)&amp;":"&amp;DATE(YEAR(B390),MONTH(B390)+1,0))),Feriados[Data],0))))=FALSE,
IF(WEEKDAY(ROW(INDIRECT(DATE(YEAR(B390),MONTH(B390),1)&amp;":"&amp;DATE(YEAR(B390),MONTH(B390)+1,0))),2)&lt;=5,1,IF(WEEKDAY(ROW(INDIRECT(DATE(YEAR(B390),MONTH(B390),1)&amp;":"&amp;DATE(YEAR(B390),MONTH(B390)+1,0))),2)=6,0.5,0)),0))</f>
        <v>24</v>
      </c>
      <c r="K390" s="22" cm="1">
        <f t="array" ref="K390">_xlfn.XLOOKUP(1,((Metas_Diarias[[#This Row],[tipo_equipe_id]]=Metas[equipe])*(Metas_Diarias[[#This Row],[data]]&gt;Metas[data_inicio])*(Metas_Diarias[[#This Row],[data]]&lt;Metas[data_fim])),Metas[meta_mensal],0)</f>
        <v>160000</v>
      </c>
      <c r="L39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91" spans="2:12" x14ac:dyDescent="0.3">
      <c r="B391" s="34">
        <v>45680</v>
      </c>
      <c r="C391" s="34" t="str">
        <f>TEXT(Metas_Diarias[[#This Row],[data]],"dddd")</f>
        <v>quinta-feira</v>
      </c>
      <c r="D391" s="33">
        <v>1</v>
      </c>
      <c r="E391" s="33">
        <v>1</v>
      </c>
      <c r="F391" s="18"/>
      <c r="G391" s="35">
        <f>WEEKDAY(Metas_Diarias[[#This Row],[data]])</f>
        <v>5</v>
      </c>
      <c r="H391" s="35">
        <f>IF(Metas_Diarias[[#This Row],[dias_da_demana]]=1,"domingo",IF(Metas_Diarias[[#This Row],[dias_da_demana]]=7,0.5,1))</f>
        <v>1</v>
      </c>
      <c r="I391" s="35">
        <f>_xlfn.XLOOKUP(Metas_Diarias[[#This Row],[data]],Feriados[Data],Feriados[Feriado],1)</f>
        <v>1</v>
      </c>
      <c r="J391" s="33" cm="1">
        <f t="array" aca="1" ref="J391" ca="1">SUMPRODUCT(IF((NOT(ISERROR(MATCH(ROW(INDIRECT(DATE(YEAR(B391),MONTH(B391),1)&amp;":"&amp;DATE(YEAR(B391),MONTH(B391)+1,0))),Feriados[Data],0))))=FALSE,
IF(WEEKDAY(ROW(INDIRECT(DATE(YEAR(B391),MONTH(B391),1)&amp;":"&amp;DATE(YEAR(B391),MONTH(B391)+1,0))),2)&lt;=5,1,IF(WEEKDAY(ROW(INDIRECT(DATE(YEAR(B391),MONTH(B391),1)&amp;":"&amp;DATE(YEAR(B391),MONTH(B391)+1,0))),2)=6,0.5,0)),0))</f>
        <v>24</v>
      </c>
      <c r="K391" s="22" cm="1">
        <f t="array" ref="K391">_xlfn.XLOOKUP(1,((Metas_Diarias[[#This Row],[tipo_equipe_id]]=Metas[equipe])*(Metas_Diarias[[#This Row],[data]]&gt;Metas[data_inicio])*(Metas_Diarias[[#This Row],[data]]&lt;Metas[data_fim])),Metas[meta_mensal],0)</f>
        <v>160000</v>
      </c>
      <c r="L39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92" spans="2:12" x14ac:dyDescent="0.3">
      <c r="B392" s="34">
        <v>45681</v>
      </c>
      <c r="C392" s="34" t="str">
        <f>TEXT(Metas_Diarias[[#This Row],[data]],"dddd")</f>
        <v>sexta-feira</v>
      </c>
      <c r="D392" s="33">
        <v>1</v>
      </c>
      <c r="E392" s="33">
        <v>1</v>
      </c>
      <c r="F392" s="18"/>
      <c r="G392" s="35">
        <f>WEEKDAY(Metas_Diarias[[#This Row],[data]])</f>
        <v>6</v>
      </c>
      <c r="H392" s="35">
        <f>IF(Metas_Diarias[[#This Row],[dias_da_demana]]=1,"domingo",IF(Metas_Diarias[[#This Row],[dias_da_demana]]=7,0.5,1))</f>
        <v>1</v>
      </c>
      <c r="I392" s="35">
        <f>_xlfn.XLOOKUP(Metas_Diarias[[#This Row],[data]],Feriados[Data],Feriados[Feriado],1)</f>
        <v>1</v>
      </c>
      <c r="J392" s="33" cm="1">
        <f t="array" aca="1" ref="J392" ca="1">SUMPRODUCT(IF((NOT(ISERROR(MATCH(ROW(INDIRECT(DATE(YEAR(B392),MONTH(B392),1)&amp;":"&amp;DATE(YEAR(B392),MONTH(B392)+1,0))),Feriados[Data],0))))=FALSE,
IF(WEEKDAY(ROW(INDIRECT(DATE(YEAR(B392),MONTH(B392),1)&amp;":"&amp;DATE(YEAR(B392),MONTH(B392)+1,0))),2)&lt;=5,1,IF(WEEKDAY(ROW(INDIRECT(DATE(YEAR(B392),MONTH(B392),1)&amp;":"&amp;DATE(YEAR(B392),MONTH(B392)+1,0))),2)=6,0.5,0)),0))</f>
        <v>24</v>
      </c>
      <c r="K392" s="22" cm="1">
        <f t="array" ref="K392">_xlfn.XLOOKUP(1,((Metas_Diarias[[#This Row],[tipo_equipe_id]]=Metas[equipe])*(Metas_Diarias[[#This Row],[data]]&gt;Metas[data_inicio])*(Metas_Diarias[[#This Row],[data]]&lt;Metas[data_fim])),Metas[meta_mensal],0)</f>
        <v>160000</v>
      </c>
      <c r="L39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93" spans="2:12" x14ac:dyDescent="0.3">
      <c r="B393" s="34">
        <v>45682</v>
      </c>
      <c r="C393" s="34" t="str">
        <f>TEXT(Metas_Diarias[[#This Row],[data]],"dddd")</f>
        <v>sábado</v>
      </c>
      <c r="D393" s="33">
        <v>1</v>
      </c>
      <c r="E393" s="33">
        <v>1</v>
      </c>
      <c r="F393" s="18"/>
      <c r="G393" s="35">
        <f>WEEKDAY(Metas_Diarias[[#This Row],[data]])</f>
        <v>7</v>
      </c>
      <c r="H393" s="35">
        <f>IF(Metas_Diarias[[#This Row],[dias_da_demana]]=1,"domingo",IF(Metas_Diarias[[#This Row],[dias_da_demana]]=7,0.5,1))</f>
        <v>0.5</v>
      </c>
      <c r="I393" s="35">
        <f>_xlfn.XLOOKUP(Metas_Diarias[[#This Row],[data]],Feriados[Data],Feriados[Feriado],1)</f>
        <v>1</v>
      </c>
      <c r="J393" s="33" cm="1">
        <f t="array" aca="1" ref="J393" ca="1">SUMPRODUCT(IF((NOT(ISERROR(MATCH(ROW(INDIRECT(DATE(YEAR(B393),MONTH(B393),1)&amp;":"&amp;DATE(YEAR(B393),MONTH(B393)+1,0))),Feriados[Data],0))))=FALSE,
IF(WEEKDAY(ROW(INDIRECT(DATE(YEAR(B393),MONTH(B393),1)&amp;":"&amp;DATE(YEAR(B393),MONTH(B393)+1,0))),2)&lt;=5,1,IF(WEEKDAY(ROW(INDIRECT(DATE(YEAR(B393),MONTH(B393),1)&amp;":"&amp;DATE(YEAR(B393),MONTH(B393)+1,0))),2)=6,0.5,0)),0))</f>
        <v>24</v>
      </c>
      <c r="K393" s="22" cm="1">
        <f t="array" ref="K393">_xlfn.XLOOKUP(1,((Metas_Diarias[[#This Row],[tipo_equipe_id]]=Metas[equipe])*(Metas_Diarias[[#This Row],[data]]&gt;Metas[data_inicio])*(Metas_Diarias[[#This Row],[data]]&lt;Metas[data_fim])),Metas[meta_mensal],0)</f>
        <v>160000</v>
      </c>
      <c r="L393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394" spans="2:12" x14ac:dyDescent="0.3">
      <c r="B394" s="34">
        <v>45683</v>
      </c>
      <c r="C394" s="34" t="str">
        <f>TEXT(Metas_Diarias[[#This Row],[data]],"dddd")</f>
        <v>domingo</v>
      </c>
      <c r="D394" s="33">
        <v>1</v>
      </c>
      <c r="E394" s="33">
        <v>1</v>
      </c>
      <c r="F394" s="18"/>
      <c r="G394" s="35">
        <f>WEEKDAY(Metas_Diarias[[#This Row],[data]])</f>
        <v>1</v>
      </c>
      <c r="H394" s="35" t="str">
        <f>IF(Metas_Diarias[[#This Row],[dias_da_demana]]=1,"domingo",IF(Metas_Diarias[[#This Row],[dias_da_demana]]=7,0.5,1))</f>
        <v>domingo</v>
      </c>
      <c r="I394" s="35">
        <f>_xlfn.XLOOKUP(Metas_Diarias[[#This Row],[data]],Feriados[Data],Feriados[Feriado],1)</f>
        <v>1</v>
      </c>
      <c r="J394" s="33" cm="1">
        <f t="array" aca="1" ref="J394" ca="1">SUMPRODUCT(IF((NOT(ISERROR(MATCH(ROW(INDIRECT(DATE(YEAR(B394),MONTH(B394),1)&amp;":"&amp;DATE(YEAR(B394),MONTH(B394)+1,0))),Feriados[Data],0))))=FALSE,
IF(WEEKDAY(ROW(INDIRECT(DATE(YEAR(B394),MONTH(B394),1)&amp;":"&amp;DATE(YEAR(B394),MONTH(B394)+1,0))),2)&lt;=5,1,IF(WEEKDAY(ROW(INDIRECT(DATE(YEAR(B394),MONTH(B394),1)&amp;":"&amp;DATE(YEAR(B394),MONTH(B394)+1,0))),2)=6,0.5,0)),0))</f>
        <v>24</v>
      </c>
      <c r="K394" s="22" cm="1">
        <f t="array" ref="K394">_xlfn.XLOOKUP(1,((Metas_Diarias[[#This Row],[tipo_equipe_id]]=Metas[equipe])*(Metas_Diarias[[#This Row],[data]]&gt;Metas[data_inicio])*(Metas_Diarias[[#This Row],[data]]&lt;Metas[data_fim])),Metas[meta_mensal],0)</f>
        <v>160000</v>
      </c>
      <c r="L3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395" spans="2:12" x14ac:dyDescent="0.3">
      <c r="B395" s="34">
        <v>45684</v>
      </c>
      <c r="C395" s="34" t="str">
        <f>TEXT(Metas_Diarias[[#This Row],[data]],"dddd")</f>
        <v>segunda-feira</v>
      </c>
      <c r="D395" s="33">
        <v>1</v>
      </c>
      <c r="E395" s="33">
        <v>1</v>
      </c>
      <c r="F395" s="18"/>
      <c r="G395" s="35">
        <f>WEEKDAY(Metas_Diarias[[#This Row],[data]])</f>
        <v>2</v>
      </c>
      <c r="H395" s="35">
        <f>IF(Metas_Diarias[[#This Row],[dias_da_demana]]=1,"domingo",IF(Metas_Diarias[[#This Row],[dias_da_demana]]=7,0.5,1))</f>
        <v>1</v>
      </c>
      <c r="I395" s="35">
        <f>_xlfn.XLOOKUP(Metas_Diarias[[#This Row],[data]],Feriados[Data],Feriados[Feriado],1)</f>
        <v>1</v>
      </c>
      <c r="J395" s="33" cm="1">
        <f t="array" aca="1" ref="J395" ca="1">SUMPRODUCT(IF((NOT(ISERROR(MATCH(ROW(INDIRECT(DATE(YEAR(B395),MONTH(B395),1)&amp;":"&amp;DATE(YEAR(B395),MONTH(B395)+1,0))),Feriados[Data],0))))=FALSE,
IF(WEEKDAY(ROW(INDIRECT(DATE(YEAR(B395),MONTH(B395),1)&amp;":"&amp;DATE(YEAR(B395),MONTH(B395)+1,0))),2)&lt;=5,1,IF(WEEKDAY(ROW(INDIRECT(DATE(YEAR(B395),MONTH(B395),1)&amp;":"&amp;DATE(YEAR(B395),MONTH(B395)+1,0))),2)=6,0.5,0)),0))</f>
        <v>24</v>
      </c>
      <c r="K395" s="22" cm="1">
        <f t="array" ref="K395">_xlfn.XLOOKUP(1,((Metas_Diarias[[#This Row],[tipo_equipe_id]]=Metas[equipe])*(Metas_Diarias[[#This Row],[data]]&gt;Metas[data_inicio])*(Metas_Diarias[[#This Row],[data]]&lt;Metas[data_fim])),Metas[meta_mensal],0)</f>
        <v>160000</v>
      </c>
      <c r="L39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96" spans="2:12" x14ac:dyDescent="0.3">
      <c r="B396" s="34">
        <v>45685</v>
      </c>
      <c r="C396" s="34" t="str">
        <f>TEXT(Metas_Diarias[[#This Row],[data]],"dddd")</f>
        <v>terça-feira</v>
      </c>
      <c r="D396" s="33">
        <v>1</v>
      </c>
      <c r="E396" s="33">
        <v>1</v>
      </c>
      <c r="F396" s="18"/>
      <c r="G396" s="35">
        <f>WEEKDAY(Metas_Diarias[[#This Row],[data]])</f>
        <v>3</v>
      </c>
      <c r="H396" s="35">
        <f>IF(Metas_Diarias[[#This Row],[dias_da_demana]]=1,"domingo",IF(Metas_Diarias[[#This Row],[dias_da_demana]]=7,0.5,1))</f>
        <v>1</v>
      </c>
      <c r="I396" s="35">
        <f>_xlfn.XLOOKUP(Metas_Diarias[[#This Row],[data]],Feriados[Data],Feriados[Feriado],1)</f>
        <v>1</v>
      </c>
      <c r="J396" s="33" cm="1">
        <f t="array" aca="1" ref="J396" ca="1">SUMPRODUCT(IF((NOT(ISERROR(MATCH(ROW(INDIRECT(DATE(YEAR(B396),MONTH(B396),1)&amp;":"&amp;DATE(YEAR(B396),MONTH(B396)+1,0))),Feriados[Data],0))))=FALSE,
IF(WEEKDAY(ROW(INDIRECT(DATE(YEAR(B396),MONTH(B396),1)&amp;":"&amp;DATE(YEAR(B396),MONTH(B396)+1,0))),2)&lt;=5,1,IF(WEEKDAY(ROW(INDIRECT(DATE(YEAR(B396),MONTH(B396),1)&amp;":"&amp;DATE(YEAR(B396),MONTH(B396)+1,0))),2)=6,0.5,0)),0))</f>
        <v>24</v>
      </c>
      <c r="K396" s="22" cm="1">
        <f t="array" ref="K396">_xlfn.XLOOKUP(1,((Metas_Diarias[[#This Row],[tipo_equipe_id]]=Metas[equipe])*(Metas_Diarias[[#This Row],[data]]&gt;Metas[data_inicio])*(Metas_Diarias[[#This Row],[data]]&lt;Metas[data_fim])),Metas[meta_mensal],0)</f>
        <v>160000</v>
      </c>
      <c r="L39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97" spans="2:12" x14ac:dyDescent="0.3">
      <c r="B397" s="34">
        <v>45686</v>
      </c>
      <c r="C397" s="34" t="str">
        <f>TEXT(Metas_Diarias[[#This Row],[data]],"dddd")</f>
        <v>quarta-feira</v>
      </c>
      <c r="D397" s="33">
        <v>1</v>
      </c>
      <c r="E397" s="33">
        <v>1</v>
      </c>
      <c r="F397" s="18"/>
      <c r="G397" s="35">
        <f>WEEKDAY(Metas_Diarias[[#This Row],[data]])</f>
        <v>4</v>
      </c>
      <c r="H397" s="35">
        <f>IF(Metas_Diarias[[#This Row],[dias_da_demana]]=1,"domingo",IF(Metas_Diarias[[#This Row],[dias_da_demana]]=7,0.5,1))</f>
        <v>1</v>
      </c>
      <c r="I397" s="35">
        <f>_xlfn.XLOOKUP(Metas_Diarias[[#This Row],[data]],Feriados[Data],Feriados[Feriado],1)</f>
        <v>1</v>
      </c>
      <c r="J397" s="33" cm="1">
        <f t="array" aca="1" ref="J397" ca="1">SUMPRODUCT(IF((NOT(ISERROR(MATCH(ROW(INDIRECT(DATE(YEAR(B397),MONTH(B397),1)&amp;":"&amp;DATE(YEAR(B397),MONTH(B397)+1,0))),Feriados[Data],0))))=FALSE,
IF(WEEKDAY(ROW(INDIRECT(DATE(YEAR(B397),MONTH(B397),1)&amp;":"&amp;DATE(YEAR(B397),MONTH(B397)+1,0))),2)&lt;=5,1,IF(WEEKDAY(ROW(INDIRECT(DATE(YEAR(B397),MONTH(B397),1)&amp;":"&amp;DATE(YEAR(B397),MONTH(B397)+1,0))),2)=6,0.5,0)),0))</f>
        <v>24</v>
      </c>
      <c r="K397" s="22" cm="1">
        <f t="array" ref="K397">_xlfn.XLOOKUP(1,((Metas_Diarias[[#This Row],[tipo_equipe_id]]=Metas[equipe])*(Metas_Diarias[[#This Row],[data]]&gt;Metas[data_inicio])*(Metas_Diarias[[#This Row],[data]]&lt;Metas[data_fim])),Metas[meta_mensal],0)</f>
        <v>160000</v>
      </c>
      <c r="L39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98" spans="2:12" x14ac:dyDescent="0.3">
      <c r="B398" s="34">
        <v>45687</v>
      </c>
      <c r="C398" s="34" t="str">
        <f>TEXT(Metas_Diarias[[#This Row],[data]],"dddd")</f>
        <v>quinta-feira</v>
      </c>
      <c r="D398" s="33">
        <v>1</v>
      </c>
      <c r="E398" s="33">
        <v>1</v>
      </c>
      <c r="F398" s="18"/>
      <c r="G398" s="35">
        <f>WEEKDAY(Metas_Diarias[[#This Row],[data]])</f>
        <v>5</v>
      </c>
      <c r="H398" s="35">
        <f>IF(Metas_Diarias[[#This Row],[dias_da_demana]]=1,"domingo",IF(Metas_Diarias[[#This Row],[dias_da_demana]]=7,0.5,1))</f>
        <v>1</v>
      </c>
      <c r="I398" s="35">
        <f>_xlfn.XLOOKUP(Metas_Diarias[[#This Row],[data]],Feriados[Data],Feriados[Feriado],1)</f>
        <v>1</v>
      </c>
      <c r="J398" s="33" cm="1">
        <f t="array" aca="1" ref="J398" ca="1">SUMPRODUCT(IF((NOT(ISERROR(MATCH(ROW(INDIRECT(DATE(YEAR(B398),MONTH(B398),1)&amp;":"&amp;DATE(YEAR(B398),MONTH(B398)+1,0))),Feriados[Data],0))))=FALSE,
IF(WEEKDAY(ROW(INDIRECT(DATE(YEAR(B398),MONTH(B398),1)&amp;":"&amp;DATE(YEAR(B398),MONTH(B398)+1,0))),2)&lt;=5,1,IF(WEEKDAY(ROW(INDIRECT(DATE(YEAR(B398),MONTH(B398),1)&amp;":"&amp;DATE(YEAR(B398),MONTH(B398)+1,0))),2)=6,0.5,0)),0))</f>
        <v>24</v>
      </c>
      <c r="K398" s="22" cm="1">
        <f t="array" ref="K398">_xlfn.XLOOKUP(1,((Metas_Diarias[[#This Row],[tipo_equipe_id]]=Metas[equipe])*(Metas_Diarias[[#This Row],[data]]&gt;Metas[data_inicio])*(Metas_Diarias[[#This Row],[data]]&lt;Metas[data_fim])),Metas[meta_mensal],0)</f>
        <v>160000</v>
      </c>
      <c r="L39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399" spans="2:12" x14ac:dyDescent="0.3">
      <c r="B399" s="34">
        <v>45688</v>
      </c>
      <c r="C399" s="34" t="str">
        <f>TEXT(Metas_Diarias[[#This Row],[data]],"dddd")</f>
        <v>sexta-feira</v>
      </c>
      <c r="D399" s="33">
        <v>1</v>
      </c>
      <c r="E399" s="33">
        <v>1</v>
      </c>
      <c r="F399" s="18"/>
      <c r="G399" s="35">
        <f>WEEKDAY(Metas_Diarias[[#This Row],[data]])</f>
        <v>6</v>
      </c>
      <c r="H399" s="35">
        <f>IF(Metas_Diarias[[#This Row],[dias_da_demana]]=1,"domingo",IF(Metas_Diarias[[#This Row],[dias_da_demana]]=7,0.5,1))</f>
        <v>1</v>
      </c>
      <c r="I399" s="35">
        <f>_xlfn.XLOOKUP(Metas_Diarias[[#This Row],[data]],Feriados[Data],Feriados[Feriado],1)</f>
        <v>1</v>
      </c>
      <c r="J399" s="33" cm="1">
        <f t="array" aca="1" ref="J399" ca="1">SUMPRODUCT(IF((NOT(ISERROR(MATCH(ROW(INDIRECT(DATE(YEAR(B399),MONTH(B399),1)&amp;":"&amp;DATE(YEAR(B399),MONTH(B399)+1,0))),Feriados[Data],0))))=FALSE,
IF(WEEKDAY(ROW(INDIRECT(DATE(YEAR(B399),MONTH(B399),1)&amp;":"&amp;DATE(YEAR(B399),MONTH(B399)+1,0))),2)&lt;=5,1,IF(WEEKDAY(ROW(INDIRECT(DATE(YEAR(B399),MONTH(B399),1)&amp;":"&amp;DATE(YEAR(B399),MONTH(B399)+1,0))),2)=6,0.5,0)),0))</f>
        <v>24</v>
      </c>
      <c r="K399" s="22" cm="1">
        <f t="array" ref="K399">_xlfn.XLOOKUP(1,((Metas_Diarias[[#This Row],[tipo_equipe_id]]=Metas[equipe])*(Metas_Diarias[[#This Row],[data]]&gt;Metas[data_inicio])*(Metas_Diarias[[#This Row],[data]]&lt;Metas[data_fim])),Metas[meta_mensal],0)</f>
        <v>160000</v>
      </c>
      <c r="L399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400" spans="2:12" x14ac:dyDescent="0.3">
      <c r="B400" s="34">
        <v>45689</v>
      </c>
      <c r="C400" s="34" t="str">
        <f>TEXT(Metas_Diarias[[#This Row],[data]],"dddd")</f>
        <v>sábado</v>
      </c>
      <c r="D400" s="33">
        <v>1</v>
      </c>
      <c r="E400" s="33">
        <v>1</v>
      </c>
      <c r="F400" s="18"/>
      <c r="G400" s="35">
        <f>WEEKDAY(Metas_Diarias[[#This Row],[data]])</f>
        <v>7</v>
      </c>
      <c r="H400" s="35">
        <f>IF(Metas_Diarias[[#This Row],[dias_da_demana]]=1,"domingo",IF(Metas_Diarias[[#This Row],[dias_da_demana]]=7,0.5,1))</f>
        <v>0.5</v>
      </c>
      <c r="I400" s="35">
        <f>_xlfn.XLOOKUP(Metas_Diarias[[#This Row],[data]],Feriados[Data],Feriados[Feriado],1)</f>
        <v>1</v>
      </c>
      <c r="J400" s="33" cm="1">
        <f t="array" aca="1" ref="J400" ca="1">SUMPRODUCT(IF((NOT(ISERROR(MATCH(ROW(INDIRECT(DATE(YEAR(B400),MONTH(B400),1)&amp;":"&amp;DATE(YEAR(B400),MONTH(B400)+1,0))),Feriados[Data],0))))=FALSE,
IF(WEEKDAY(ROW(INDIRECT(DATE(YEAR(B400),MONTH(B400),1)&amp;":"&amp;DATE(YEAR(B400),MONTH(B400)+1,0))),2)&lt;=5,1,IF(WEEKDAY(ROW(INDIRECT(DATE(YEAR(B400),MONTH(B400),1)&amp;":"&amp;DATE(YEAR(B400),MONTH(B400)+1,0))),2)=6,0.5,0)),0))</f>
        <v>22</v>
      </c>
      <c r="K400" s="22" cm="1">
        <f t="array" ref="K400">_xlfn.XLOOKUP(1,((Metas_Diarias[[#This Row],[tipo_equipe_id]]=Metas[equipe])*(Metas_Diarias[[#This Row],[data]]&gt;Metas[data_inicio])*(Metas_Diarias[[#This Row],[data]]&lt;Metas[data_fim])),Metas[meta_mensal],0)</f>
        <v>160000</v>
      </c>
      <c r="L400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401" spans="2:12" x14ac:dyDescent="0.3">
      <c r="B401" s="34">
        <v>45690</v>
      </c>
      <c r="C401" s="34" t="str">
        <f>TEXT(Metas_Diarias[[#This Row],[data]],"dddd")</f>
        <v>domingo</v>
      </c>
      <c r="D401" s="33">
        <v>1</v>
      </c>
      <c r="E401" s="33">
        <v>1</v>
      </c>
      <c r="F401" s="18"/>
      <c r="G401" s="35">
        <f>WEEKDAY(Metas_Diarias[[#This Row],[data]])</f>
        <v>1</v>
      </c>
      <c r="H401" s="35" t="str">
        <f>IF(Metas_Diarias[[#This Row],[dias_da_demana]]=1,"domingo",IF(Metas_Diarias[[#This Row],[dias_da_demana]]=7,0.5,1))</f>
        <v>domingo</v>
      </c>
      <c r="I401" s="35">
        <f>_xlfn.XLOOKUP(Metas_Diarias[[#This Row],[data]],Feriados[Data],Feriados[Feriado],1)</f>
        <v>1</v>
      </c>
      <c r="J401" s="33" cm="1">
        <f t="array" aca="1" ref="J401" ca="1">SUMPRODUCT(IF((NOT(ISERROR(MATCH(ROW(INDIRECT(DATE(YEAR(B401),MONTH(B401),1)&amp;":"&amp;DATE(YEAR(B401),MONTH(B401)+1,0))),Feriados[Data],0))))=FALSE,
IF(WEEKDAY(ROW(INDIRECT(DATE(YEAR(B401),MONTH(B401),1)&amp;":"&amp;DATE(YEAR(B401),MONTH(B401)+1,0))),2)&lt;=5,1,IF(WEEKDAY(ROW(INDIRECT(DATE(YEAR(B401),MONTH(B401),1)&amp;":"&amp;DATE(YEAR(B401),MONTH(B401)+1,0))),2)=6,0.5,0)),0))</f>
        <v>22</v>
      </c>
      <c r="K401" s="22" cm="1">
        <f t="array" ref="K401">_xlfn.XLOOKUP(1,((Metas_Diarias[[#This Row],[tipo_equipe_id]]=Metas[equipe])*(Metas_Diarias[[#This Row],[data]]&gt;Metas[data_inicio])*(Metas_Diarias[[#This Row],[data]]&lt;Metas[data_fim])),Metas[meta_mensal],0)</f>
        <v>160000</v>
      </c>
      <c r="L4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02" spans="2:12" x14ac:dyDescent="0.3">
      <c r="B402" s="34">
        <v>45691</v>
      </c>
      <c r="C402" s="34" t="str">
        <f>TEXT(Metas_Diarias[[#This Row],[data]],"dddd")</f>
        <v>segunda-feira</v>
      </c>
      <c r="D402" s="33">
        <v>1</v>
      </c>
      <c r="E402" s="33">
        <v>1</v>
      </c>
      <c r="F402" s="18"/>
      <c r="G402" s="35">
        <f>WEEKDAY(Metas_Diarias[[#This Row],[data]])</f>
        <v>2</v>
      </c>
      <c r="H402" s="35">
        <f>IF(Metas_Diarias[[#This Row],[dias_da_demana]]=1,"domingo",IF(Metas_Diarias[[#This Row],[dias_da_demana]]=7,0.5,1))</f>
        <v>1</v>
      </c>
      <c r="I402" s="35">
        <f>_xlfn.XLOOKUP(Metas_Diarias[[#This Row],[data]],Feriados[Data],Feriados[Feriado],1)</f>
        <v>1</v>
      </c>
      <c r="J402" s="33" cm="1">
        <f t="array" aca="1" ref="J402" ca="1">SUMPRODUCT(IF((NOT(ISERROR(MATCH(ROW(INDIRECT(DATE(YEAR(B402),MONTH(B402),1)&amp;":"&amp;DATE(YEAR(B402),MONTH(B402)+1,0))),Feriados[Data],0))))=FALSE,
IF(WEEKDAY(ROW(INDIRECT(DATE(YEAR(B402),MONTH(B402),1)&amp;":"&amp;DATE(YEAR(B402),MONTH(B402)+1,0))),2)&lt;=5,1,IF(WEEKDAY(ROW(INDIRECT(DATE(YEAR(B402),MONTH(B402),1)&amp;":"&amp;DATE(YEAR(B402),MONTH(B402)+1,0))),2)=6,0.5,0)),0))</f>
        <v>22</v>
      </c>
      <c r="K402" s="22" cm="1">
        <f t="array" ref="K402">_xlfn.XLOOKUP(1,((Metas_Diarias[[#This Row],[tipo_equipe_id]]=Metas[equipe])*(Metas_Diarias[[#This Row],[data]]&gt;Metas[data_inicio])*(Metas_Diarias[[#This Row],[data]]&lt;Metas[data_fim])),Metas[meta_mensal],0)</f>
        <v>160000</v>
      </c>
      <c r="L40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03" spans="2:12" x14ac:dyDescent="0.3">
      <c r="B403" s="34">
        <v>45692</v>
      </c>
      <c r="C403" s="34" t="str">
        <f>TEXT(Metas_Diarias[[#This Row],[data]],"dddd")</f>
        <v>terça-feira</v>
      </c>
      <c r="D403" s="33">
        <v>1</v>
      </c>
      <c r="E403" s="33">
        <v>1</v>
      </c>
      <c r="F403" s="18"/>
      <c r="G403" s="35">
        <f>WEEKDAY(Metas_Diarias[[#This Row],[data]])</f>
        <v>3</v>
      </c>
      <c r="H403" s="35">
        <f>IF(Metas_Diarias[[#This Row],[dias_da_demana]]=1,"domingo",IF(Metas_Diarias[[#This Row],[dias_da_demana]]=7,0.5,1))</f>
        <v>1</v>
      </c>
      <c r="I403" s="35">
        <f>_xlfn.XLOOKUP(Metas_Diarias[[#This Row],[data]],Feriados[Data],Feriados[Feriado],1)</f>
        <v>1</v>
      </c>
      <c r="J403" s="33" cm="1">
        <f t="array" aca="1" ref="J403" ca="1">SUMPRODUCT(IF((NOT(ISERROR(MATCH(ROW(INDIRECT(DATE(YEAR(B403),MONTH(B403),1)&amp;":"&amp;DATE(YEAR(B403),MONTH(B403)+1,0))),Feriados[Data],0))))=FALSE,
IF(WEEKDAY(ROW(INDIRECT(DATE(YEAR(B403),MONTH(B403),1)&amp;":"&amp;DATE(YEAR(B403),MONTH(B403)+1,0))),2)&lt;=5,1,IF(WEEKDAY(ROW(INDIRECT(DATE(YEAR(B403),MONTH(B403),1)&amp;":"&amp;DATE(YEAR(B403),MONTH(B403)+1,0))),2)=6,0.5,0)),0))</f>
        <v>22</v>
      </c>
      <c r="K403" s="22" cm="1">
        <f t="array" ref="K403">_xlfn.XLOOKUP(1,((Metas_Diarias[[#This Row],[tipo_equipe_id]]=Metas[equipe])*(Metas_Diarias[[#This Row],[data]]&gt;Metas[data_inicio])*(Metas_Diarias[[#This Row],[data]]&lt;Metas[data_fim])),Metas[meta_mensal],0)</f>
        <v>160000</v>
      </c>
      <c r="L40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04" spans="2:12" x14ac:dyDescent="0.3">
      <c r="B404" s="34">
        <v>45693</v>
      </c>
      <c r="C404" s="34" t="str">
        <f>TEXT(Metas_Diarias[[#This Row],[data]],"dddd")</f>
        <v>quarta-feira</v>
      </c>
      <c r="D404" s="33">
        <v>1</v>
      </c>
      <c r="E404" s="33">
        <v>1</v>
      </c>
      <c r="F404" s="18"/>
      <c r="G404" s="35">
        <f>WEEKDAY(Metas_Diarias[[#This Row],[data]])</f>
        <v>4</v>
      </c>
      <c r="H404" s="35">
        <f>IF(Metas_Diarias[[#This Row],[dias_da_demana]]=1,"domingo",IF(Metas_Diarias[[#This Row],[dias_da_demana]]=7,0.5,1))</f>
        <v>1</v>
      </c>
      <c r="I404" s="35">
        <f>_xlfn.XLOOKUP(Metas_Diarias[[#This Row],[data]],Feriados[Data],Feriados[Feriado],1)</f>
        <v>1</v>
      </c>
      <c r="J404" s="33" cm="1">
        <f t="array" aca="1" ref="J404" ca="1">SUMPRODUCT(IF((NOT(ISERROR(MATCH(ROW(INDIRECT(DATE(YEAR(B404),MONTH(B404),1)&amp;":"&amp;DATE(YEAR(B404),MONTH(B404)+1,0))),Feriados[Data],0))))=FALSE,
IF(WEEKDAY(ROW(INDIRECT(DATE(YEAR(B404),MONTH(B404),1)&amp;":"&amp;DATE(YEAR(B404),MONTH(B404)+1,0))),2)&lt;=5,1,IF(WEEKDAY(ROW(INDIRECT(DATE(YEAR(B404),MONTH(B404),1)&amp;":"&amp;DATE(YEAR(B404),MONTH(B404)+1,0))),2)=6,0.5,0)),0))</f>
        <v>22</v>
      </c>
      <c r="K404" s="22" cm="1">
        <f t="array" ref="K404">_xlfn.XLOOKUP(1,((Metas_Diarias[[#This Row],[tipo_equipe_id]]=Metas[equipe])*(Metas_Diarias[[#This Row],[data]]&gt;Metas[data_inicio])*(Metas_Diarias[[#This Row],[data]]&lt;Metas[data_fim])),Metas[meta_mensal],0)</f>
        <v>160000</v>
      </c>
      <c r="L404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05" spans="2:12" x14ac:dyDescent="0.3">
      <c r="B405" s="34">
        <v>45694</v>
      </c>
      <c r="C405" s="34" t="str">
        <f>TEXT(Metas_Diarias[[#This Row],[data]],"dddd")</f>
        <v>quinta-feira</v>
      </c>
      <c r="D405" s="33">
        <v>1</v>
      </c>
      <c r="E405" s="33">
        <v>1</v>
      </c>
      <c r="F405" s="18"/>
      <c r="G405" s="35">
        <f>WEEKDAY(Metas_Diarias[[#This Row],[data]])</f>
        <v>5</v>
      </c>
      <c r="H405" s="35">
        <f>IF(Metas_Diarias[[#This Row],[dias_da_demana]]=1,"domingo",IF(Metas_Diarias[[#This Row],[dias_da_demana]]=7,0.5,1))</f>
        <v>1</v>
      </c>
      <c r="I405" s="35">
        <f>_xlfn.XLOOKUP(Metas_Diarias[[#This Row],[data]],Feriados[Data],Feriados[Feriado],1)</f>
        <v>1</v>
      </c>
      <c r="J405" s="33" cm="1">
        <f t="array" aca="1" ref="J405" ca="1">SUMPRODUCT(IF((NOT(ISERROR(MATCH(ROW(INDIRECT(DATE(YEAR(B405),MONTH(B405),1)&amp;":"&amp;DATE(YEAR(B405),MONTH(B405)+1,0))),Feriados[Data],0))))=FALSE,
IF(WEEKDAY(ROW(INDIRECT(DATE(YEAR(B405),MONTH(B405),1)&amp;":"&amp;DATE(YEAR(B405),MONTH(B405)+1,0))),2)&lt;=5,1,IF(WEEKDAY(ROW(INDIRECT(DATE(YEAR(B405),MONTH(B405),1)&amp;":"&amp;DATE(YEAR(B405),MONTH(B405)+1,0))),2)=6,0.5,0)),0))</f>
        <v>22</v>
      </c>
      <c r="K405" s="22" cm="1">
        <f t="array" ref="K405">_xlfn.XLOOKUP(1,((Metas_Diarias[[#This Row],[tipo_equipe_id]]=Metas[equipe])*(Metas_Diarias[[#This Row],[data]]&gt;Metas[data_inicio])*(Metas_Diarias[[#This Row],[data]]&lt;Metas[data_fim])),Metas[meta_mensal],0)</f>
        <v>160000</v>
      </c>
      <c r="L40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06" spans="2:12" x14ac:dyDescent="0.3">
      <c r="B406" s="34">
        <v>45695</v>
      </c>
      <c r="C406" s="34" t="str">
        <f>TEXT(Metas_Diarias[[#This Row],[data]],"dddd")</f>
        <v>sexta-feira</v>
      </c>
      <c r="D406" s="33">
        <v>1</v>
      </c>
      <c r="E406" s="33">
        <v>1</v>
      </c>
      <c r="F406" s="18"/>
      <c r="G406" s="35">
        <f>WEEKDAY(Metas_Diarias[[#This Row],[data]])</f>
        <v>6</v>
      </c>
      <c r="H406" s="35">
        <f>IF(Metas_Diarias[[#This Row],[dias_da_demana]]=1,"domingo",IF(Metas_Diarias[[#This Row],[dias_da_demana]]=7,0.5,1))</f>
        <v>1</v>
      </c>
      <c r="I406" s="35">
        <f>_xlfn.XLOOKUP(Metas_Diarias[[#This Row],[data]],Feriados[Data],Feriados[Feriado],1)</f>
        <v>1</v>
      </c>
      <c r="J406" s="33" cm="1">
        <f t="array" aca="1" ref="J406" ca="1">SUMPRODUCT(IF((NOT(ISERROR(MATCH(ROW(INDIRECT(DATE(YEAR(B406),MONTH(B406),1)&amp;":"&amp;DATE(YEAR(B406),MONTH(B406)+1,0))),Feriados[Data],0))))=FALSE,
IF(WEEKDAY(ROW(INDIRECT(DATE(YEAR(B406),MONTH(B406),1)&amp;":"&amp;DATE(YEAR(B406),MONTH(B406)+1,0))),2)&lt;=5,1,IF(WEEKDAY(ROW(INDIRECT(DATE(YEAR(B406),MONTH(B406),1)&amp;":"&amp;DATE(YEAR(B406),MONTH(B406)+1,0))),2)=6,0.5,0)),0))</f>
        <v>22</v>
      </c>
      <c r="K406" s="22" cm="1">
        <f t="array" ref="K406">_xlfn.XLOOKUP(1,((Metas_Diarias[[#This Row],[tipo_equipe_id]]=Metas[equipe])*(Metas_Diarias[[#This Row],[data]]&gt;Metas[data_inicio])*(Metas_Diarias[[#This Row],[data]]&lt;Metas[data_fim])),Metas[meta_mensal],0)</f>
        <v>160000</v>
      </c>
      <c r="L40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07" spans="2:12" x14ac:dyDescent="0.3">
      <c r="B407" s="34">
        <v>45696</v>
      </c>
      <c r="C407" s="34" t="str">
        <f>TEXT(Metas_Diarias[[#This Row],[data]],"dddd")</f>
        <v>sábado</v>
      </c>
      <c r="D407" s="33">
        <v>1</v>
      </c>
      <c r="E407" s="33">
        <v>1</v>
      </c>
      <c r="F407" s="18"/>
      <c r="G407" s="35">
        <f>WEEKDAY(Metas_Diarias[[#This Row],[data]])</f>
        <v>7</v>
      </c>
      <c r="H407" s="35">
        <f>IF(Metas_Diarias[[#This Row],[dias_da_demana]]=1,"domingo",IF(Metas_Diarias[[#This Row],[dias_da_demana]]=7,0.5,1))</f>
        <v>0.5</v>
      </c>
      <c r="I407" s="35">
        <f>_xlfn.XLOOKUP(Metas_Diarias[[#This Row],[data]],Feriados[Data],Feriados[Feriado],1)</f>
        <v>1</v>
      </c>
      <c r="J407" s="33" cm="1">
        <f t="array" aca="1" ref="J407" ca="1">SUMPRODUCT(IF((NOT(ISERROR(MATCH(ROW(INDIRECT(DATE(YEAR(B407),MONTH(B407),1)&amp;":"&amp;DATE(YEAR(B407),MONTH(B407)+1,0))),Feriados[Data],0))))=FALSE,
IF(WEEKDAY(ROW(INDIRECT(DATE(YEAR(B407),MONTH(B407),1)&amp;":"&amp;DATE(YEAR(B407),MONTH(B407)+1,0))),2)&lt;=5,1,IF(WEEKDAY(ROW(INDIRECT(DATE(YEAR(B407),MONTH(B407),1)&amp;":"&amp;DATE(YEAR(B407),MONTH(B407)+1,0))),2)=6,0.5,0)),0))</f>
        <v>22</v>
      </c>
      <c r="K407" s="22" cm="1">
        <f t="array" ref="K407">_xlfn.XLOOKUP(1,((Metas_Diarias[[#This Row],[tipo_equipe_id]]=Metas[equipe])*(Metas_Diarias[[#This Row],[data]]&gt;Metas[data_inicio])*(Metas_Diarias[[#This Row],[data]]&lt;Metas[data_fim])),Metas[meta_mensal],0)</f>
        <v>160000</v>
      </c>
      <c r="L407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408" spans="2:12" x14ac:dyDescent="0.3">
      <c r="B408" s="34">
        <v>45697</v>
      </c>
      <c r="C408" s="34" t="str">
        <f>TEXT(Metas_Diarias[[#This Row],[data]],"dddd")</f>
        <v>domingo</v>
      </c>
      <c r="D408" s="33">
        <v>1</v>
      </c>
      <c r="E408" s="33">
        <v>1</v>
      </c>
      <c r="F408" s="18"/>
      <c r="G408" s="35">
        <f>WEEKDAY(Metas_Diarias[[#This Row],[data]])</f>
        <v>1</v>
      </c>
      <c r="H408" s="35" t="str">
        <f>IF(Metas_Diarias[[#This Row],[dias_da_demana]]=1,"domingo",IF(Metas_Diarias[[#This Row],[dias_da_demana]]=7,0.5,1))</f>
        <v>domingo</v>
      </c>
      <c r="I408" s="35">
        <f>_xlfn.XLOOKUP(Metas_Diarias[[#This Row],[data]],Feriados[Data],Feriados[Feriado],1)</f>
        <v>1</v>
      </c>
      <c r="J408" s="33" cm="1">
        <f t="array" aca="1" ref="J408" ca="1">SUMPRODUCT(IF((NOT(ISERROR(MATCH(ROW(INDIRECT(DATE(YEAR(B408),MONTH(B408),1)&amp;":"&amp;DATE(YEAR(B408),MONTH(B408)+1,0))),Feriados[Data],0))))=FALSE,
IF(WEEKDAY(ROW(INDIRECT(DATE(YEAR(B408),MONTH(B408),1)&amp;":"&amp;DATE(YEAR(B408),MONTH(B408)+1,0))),2)&lt;=5,1,IF(WEEKDAY(ROW(INDIRECT(DATE(YEAR(B408),MONTH(B408),1)&amp;":"&amp;DATE(YEAR(B408),MONTH(B408)+1,0))),2)=6,0.5,0)),0))</f>
        <v>22</v>
      </c>
      <c r="K408" s="22" cm="1">
        <f t="array" ref="K408">_xlfn.XLOOKUP(1,((Metas_Diarias[[#This Row],[tipo_equipe_id]]=Metas[equipe])*(Metas_Diarias[[#This Row],[data]]&gt;Metas[data_inicio])*(Metas_Diarias[[#This Row],[data]]&lt;Metas[data_fim])),Metas[meta_mensal],0)</f>
        <v>160000</v>
      </c>
      <c r="L4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09" spans="2:12" x14ac:dyDescent="0.3">
      <c r="B409" s="34">
        <v>45698</v>
      </c>
      <c r="C409" s="34" t="str">
        <f>TEXT(Metas_Diarias[[#This Row],[data]],"dddd")</f>
        <v>segunda-feira</v>
      </c>
      <c r="D409" s="33">
        <v>1</v>
      </c>
      <c r="E409" s="33">
        <v>1</v>
      </c>
      <c r="F409" s="18"/>
      <c r="G409" s="35">
        <f>WEEKDAY(Metas_Diarias[[#This Row],[data]])</f>
        <v>2</v>
      </c>
      <c r="H409" s="35">
        <f>IF(Metas_Diarias[[#This Row],[dias_da_demana]]=1,"domingo",IF(Metas_Diarias[[#This Row],[dias_da_demana]]=7,0.5,1))</f>
        <v>1</v>
      </c>
      <c r="I409" s="35">
        <f>_xlfn.XLOOKUP(Metas_Diarias[[#This Row],[data]],Feriados[Data],Feriados[Feriado],1)</f>
        <v>1</v>
      </c>
      <c r="J409" s="33" cm="1">
        <f t="array" aca="1" ref="J409" ca="1">SUMPRODUCT(IF((NOT(ISERROR(MATCH(ROW(INDIRECT(DATE(YEAR(B409),MONTH(B409),1)&amp;":"&amp;DATE(YEAR(B409),MONTH(B409)+1,0))),Feriados[Data],0))))=FALSE,
IF(WEEKDAY(ROW(INDIRECT(DATE(YEAR(B409),MONTH(B409),1)&amp;":"&amp;DATE(YEAR(B409),MONTH(B409)+1,0))),2)&lt;=5,1,IF(WEEKDAY(ROW(INDIRECT(DATE(YEAR(B409),MONTH(B409),1)&amp;":"&amp;DATE(YEAR(B409),MONTH(B409)+1,0))),2)=6,0.5,0)),0))</f>
        <v>22</v>
      </c>
      <c r="K409" s="22" cm="1">
        <f t="array" ref="K409">_xlfn.XLOOKUP(1,((Metas_Diarias[[#This Row],[tipo_equipe_id]]=Metas[equipe])*(Metas_Diarias[[#This Row],[data]]&gt;Metas[data_inicio])*(Metas_Diarias[[#This Row],[data]]&lt;Metas[data_fim])),Metas[meta_mensal],0)</f>
        <v>160000</v>
      </c>
      <c r="L40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10" spans="2:12" x14ac:dyDescent="0.3">
      <c r="B410" s="34">
        <v>45699</v>
      </c>
      <c r="C410" s="34" t="str">
        <f>TEXT(Metas_Diarias[[#This Row],[data]],"dddd")</f>
        <v>terça-feira</v>
      </c>
      <c r="D410" s="33">
        <v>1</v>
      </c>
      <c r="E410" s="33">
        <v>1</v>
      </c>
      <c r="F410" s="18"/>
      <c r="G410" s="35">
        <f>WEEKDAY(Metas_Diarias[[#This Row],[data]])</f>
        <v>3</v>
      </c>
      <c r="H410" s="35">
        <f>IF(Metas_Diarias[[#This Row],[dias_da_demana]]=1,"domingo",IF(Metas_Diarias[[#This Row],[dias_da_demana]]=7,0.5,1))</f>
        <v>1</v>
      </c>
      <c r="I410" s="35">
        <f>_xlfn.XLOOKUP(Metas_Diarias[[#This Row],[data]],Feriados[Data],Feriados[Feriado],1)</f>
        <v>1</v>
      </c>
      <c r="J410" s="33" cm="1">
        <f t="array" aca="1" ref="J410" ca="1">SUMPRODUCT(IF((NOT(ISERROR(MATCH(ROW(INDIRECT(DATE(YEAR(B410),MONTH(B410),1)&amp;":"&amp;DATE(YEAR(B410),MONTH(B410)+1,0))),Feriados[Data],0))))=FALSE,
IF(WEEKDAY(ROW(INDIRECT(DATE(YEAR(B410),MONTH(B410),1)&amp;":"&amp;DATE(YEAR(B410),MONTH(B410)+1,0))),2)&lt;=5,1,IF(WEEKDAY(ROW(INDIRECT(DATE(YEAR(B410),MONTH(B410),1)&amp;":"&amp;DATE(YEAR(B410),MONTH(B410)+1,0))),2)=6,0.5,0)),0))</f>
        <v>22</v>
      </c>
      <c r="K410" s="22" cm="1">
        <f t="array" ref="K410">_xlfn.XLOOKUP(1,((Metas_Diarias[[#This Row],[tipo_equipe_id]]=Metas[equipe])*(Metas_Diarias[[#This Row],[data]]&gt;Metas[data_inicio])*(Metas_Diarias[[#This Row],[data]]&lt;Metas[data_fim])),Metas[meta_mensal],0)</f>
        <v>160000</v>
      </c>
      <c r="L410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11" spans="2:12" x14ac:dyDescent="0.3">
      <c r="B411" s="34">
        <v>45700</v>
      </c>
      <c r="C411" s="34" t="str">
        <f>TEXT(Metas_Diarias[[#This Row],[data]],"dddd")</f>
        <v>quarta-feira</v>
      </c>
      <c r="D411" s="33">
        <v>1</v>
      </c>
      <c r="E411" s="33">
        <v>1</v>
      </c>
      <c r="F411" s="18"/>
      <c r="G411" s="35">
        <f>WEEKDAY(Metas_Diarias[[#This Row],[data]])</f>
        <v>4</v>
      </c>
      <c r="H411" s="35">
        <f>IF(Metas_Diarias[[#This Row],[dias_da_demana]]=1,"domingo",IF(Metas_Diarias[[#This Row],[dias_da_demana]]=7,0.5,1))</f>
        <v>1</v>
      </c>
      <c r="I411" s="35">
        <f>_xlfn.XLOOKUP(Metas_Diarias[[#This Row],[data]],Feriados[Data],Feriados[Feriado],1)</f>
        <v>1</v>
      </c>
      <c r="J411" s="33" cm="1">
        <f t="array" aca="1" ref="J411" ca="1">SUMPRODUCT(IF((NOT(ISERROR(MATCH(ROW(INDIRECT(DATE(YEAR(B411),MONTH(B411),1)&amp;":"&amp;DATE(YEAR(B411),MONTH(B411)+1,0))),Feriados[Data],0))))=FALSE,
IF(WEEKDAY(ROW(INDIRECT(DATE(YEAR(B411),MONTH(B411),1)&amp;":"&amp;DATE(YEAR(B411),MONTH(B411)+1,0))),2)&lt;=5,1,IF(WEEKDAY(ROW(INDIRECT(DATE(YEAR(B411),MONTH(B411),1)&amp;":"&amp;DATE(YEAR(B411),MONTH(B411)+1,0))),2)=6,0.5,0)),0))</f>
        <v>22</v>
      </c>
      <c r="K411" s="22" cm="1">
        <f t="array" ref="K411">_xlfn.XLOOKUP(1,((Metas_Diarias[[#This Row],[tipo_equipe_id]]=Metas[equipe])*(Metas_Diarias[[#This Row],[data]]&gt;Metas[data_inicio])*(Metas_Diarias[[#This Row],[data]]&lt;Metas[data_fim])),Metas[meta_mensal],0)</f>
        <v>160000</v>
      </c>
      <c r="L411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12" spans="2:12" x14ac:dyDescent="0.3">
      <c r="B412" s="34">
        <v>45701</v>
      </c>
      <c r="C412" s="34" t="str">
        <f>TEXT(Metas_Diarias[[#This Row],[data]],"dddd")</f>
        <v>quinta-feira</v>
      </c>
      <c r="D412" s="33">
        <v>1</v>
      </c>
      <c r="E412" s="33">
        <v>1</v>
      </c>
      <c r="F412" s="18"/>
      <c r="G412" s="35">
        <f>WEEKDAY(Metas_Diarias[[#This Row],[data]])</f>
        <v>5</v>
      </c>
      <c r="H412" s="35">
        <f>IF(Metas_Diarias[[#This Row],[dias_da_demana]]=1,"domingo",IF(Metas_Diarias[[#This Row],[dias_da_demana]]=7,0.5,1))</f>
        <v>1</v>
      </c>
      <c r="I412" s="35">
        <f>_xlfn.XLOOKUP(Metas_Diarias[[#This Row],[data]],Feriados[Data],Feriados[Feriado],1)</f>
        <v>1</v>
      </c>
      <c r="J412" s="33" cm="1">
        <f t="array" aca="1" ref="J412" ca="1">SUMPRODUCT(IF((NOT(ISERROR(MATCH(ROW(INDIRECT(DATE(YEAR(B412),MONTH(B412),1)&amp;":"&amp;DATE(YEAR(B412),MONTH(B412)+1,0))),Feriados[Data],0))))=FALSE,
IF(WEEKDAY(ROW(INDIRECT(DATE(YEAR(B412),MONTH(B412),1)&amp;":"&amp;DATE(YEAR(B412),MONTH(B412)+1,0))),2)&lt;=5,1,IF(WEEKDAY(ROW(INDIRECT(DATE(YEAR(B412),MONTH(B412),1)&amp;":"&amp;DATE(YEAR(B412),MONTH(B412)+1,0))),2)=6,0.5,0)),0))</f>
        <v>22</v>
      </c>
      <c r="K412" s="22" cm="1">
        <f t="array" ref="K412">_xlfn.XLOOKUP(1,((Metas_Diarias[[#This Row],[tipo_equipe_id]]=Metas[equipe])*(Metas_Diarias[[#This Row],[data]]&gt;Metas[data_inicio])*(Metas_Diarias[[#This Row],[data]]&lt;Metas[data_fim])),Metas[meta_mensal],0)</f>
        <v>160000</v>
      </c>
      <c r="L41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13" spans="2:12" x14ac:dyDescent="0.3">
      <c r="B413" s="34">
        <v>45702</v>
      </c>
      <c r="C413" s="34" t="str">
        <f>TEXT(Metas_Diarias[[#This Row],[data]],"dddd")</f>
        <v>sexta-feira</v>
      </c>
      <c r="D413" s="33">
        <v>1</v>
      </c>
      <c r="E413" s="33">
        <v>1</v>
      </c>
      <c r="F413" s="18"/>
      <c r="G413" s="35">
        <f>WEEKDAY(Metas_Diarias[[#This Row],[data]])</f>
        <v>6</v>
      </c>
      <c r="H413" s="35">
        <f>IF(Metas_Diarias[[#This Row],[dias_da_demana]]=1,"domingo",IF(Metas_Diarias[[#This Row],[dias_da_demana]]=7,0.5,1))</f>
        <v>1</v>
      </c>
      <c r="I413" s="35">
        <f>_xlfn.XLOOKUP(Metas_Diarias[[#This Row],[data]],Feriados[Data],Feriados[Feriado],1)</f>
        <v>1</v>
      </c>
      <c r="J413" s="33" cm="1">
        <f t="array" aca="1" ref="J413" ca="1">SUMPRODUCT(IF((NOT(ISERROR(MATCH(ROW(INDIRECT(DATE(YEAR(B413),MONTH(B413),1)&amp;":"&amp;DATE(YEAR(B413),MONTH(B413)+1,0))),Feriados[Data],0))))=FALSE,
IF(WEEKDAY(ROW(INDIRECT(DATE(YEAR(B413),MONTH(B413),1)&amp;":"&amp;DATE(YEAR(B413),MONTH(B413)+1,0))),2)&lt;=5,1,IF(WEEKDAY(ROW(INDIRECT(DATE(YEAR(B413),MONTH(B413),1)&amp;":"&amp;DATE(YEAR(B413),MONTH(B413)+1,0))),2)=6,0.5,0)),0))</f>
        <v>22</v>
      </c>
      <c r="K413" s="22" cm="1">
        <f t="array" ref="K413">_xlfn.XLOOKUP(1,((Metas_Diarias[[#This Row],[tipo_equipe_id]]=Metas[equipe])*(Metas_Diarias[[#This Row],[data]]&gt;Metas[data_inicio])*(Metas_Diarias[[#This Row],[data]]&lt;Metas[data_fim])),Metas[meta_mensal],0)</f>
        <v>160000</v>
      </c>
      <c r="L41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14" spans="2:12" x14ac:dyDescent="0.3">
      <c r="B414" s="34">
        <v>45703</v>
      </c>
      <c r="C414" s="34" t="str">
        <f>TEXT(Metas_Diarias[[#This Row],[data]],"dddd")</f>
        <v>sábado</v>
      </c>
      <c r="D414" s="33">
        <v>1</v>
      </c>
      <c r="E414" s="33">
        <v>1</v>
      </c>
      <c r="F414" s="18"/>
      <c r="G414" s="35">
        <f>WEEKDAY(Metas_Diarias[[#This Row],[data]])</f>
        <v>7</v>
      </c>
      <c r="H414" s="35">
        <f>IF(Metas_Diarias[[#This Row],[dias_da_demana]]=1,"domingo",IF(Metas_Diarias[[#This Row],[dias_da_demana]]=7,0.5,1))</f>
        <v>0.5</v>
      </c>
      <c r="I414" s="35">
        <f>_xlfn.XLOOKUP(Metas_Diarias[[#This Row],[data]],Feriados[Data],Feriados[Feriado],1)</f>
        <v>1</v>
      </c>
      <c r="J414" s="33" cm="1">
        <f t="array" aca="1" ref="J414" ca="1">SUMPRODUCT(IF((NOT(ISERROR(MATCH(ROW(INDIRECT(DATE(YEAR(B414),MONTH(B414),1)&amp;":"&amp;DATE(YEAR(B414),MONTH(B414)+1,0))),Feriados[Data],0))))=FALSE,
IF(WEEKDAY(ROW(INDIRECT(DATE(YEAR(B414),MONTH(B414),1)&amp;":"&amp;DATE(YEAR(B414),MONTH(B414)+1,0))),2)&lt;=5,1,IF(WEEKDAY(ROW(INDIRECT(DATE(YEAR(B414),MONTH(B414),1)&amp;":"&amp;DATE(YEAR(B414),MONTH(B414)+1,0))),2)=6,0.5,0)),0))</f>
        <v>22</v>
      </c>
      <c r="K414" s="22" cm="1">
        <f t="array" ref="K414">_xlfn.XLOOKUP(1,((Metas_Diarias[[#This Row],[tipo_equipe_id]]=Metas[equipe])*(Metas_Diarias[[#This Row],[data]]&gt;Metas[data_inicio])*(Metas_Diarias[[#This Row],[data]]&lt;Metas[data_fim])),Metas[meta_mensal],0)</f>
        <v>160000</v>
      </c>
      <c r="L414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415" spans="2:12" x14ac:dyDescent="0.3">
      <c r="B415" s="34">
        <v>45704</v>
      </c>
      <c r="C415" s="34" t="str">
        <f>TEXT(Metas_Diarias[[#This Row],[data]],"dddd")</f>
        <v>domingo</v>
      </c>
      <c r="D415" s="33">
        <v>1</v>
      </c>
      <c r="E415" s="33">
        <v>1</v>
      </c>
      <c r="F415" s="18"/>
      <c r="G415" s="35">
        <f>WEEKDAY(Metas_Diarias[[#This Row],[data]])</f>
        <v>1</v>
      </c>
      <c r="H415" s="35" t="str">
        <f>IF(Metas_Diarias[[#This Row],[dias_da_demana]]=1,"domingo",IF(Metas_Diarias[[#This Row],[dias_da_demana]]=7,0.5,1))</f>
        <v>domingo</v>
      </c>
      <c r="I415" s="35">
        <f>_xlfn.XLOOKUP(Metas_Diarias[[#This Row],[data]],Feriados[Data],Feriados[Feriado],1)</f>
        <v>1</v>
      </c>
      <c r="J415" s="33" cm="1">
        <f t="array" aca="1" ref="J415" ca="1">SUMPRODUCT(IF((NOT(ISERROR(MATCH(ROW(INDIRECT(DATE(YEAR(B415),MONTH(B415),1)&amp;":"&amp;DATE(YEAR(B415),MONTH(B415)+1,0))),Feriados[Data],0))))=FALSE,
IF(WEEKDAY(ROW(INDIRECT(DATE(YEAR(B415),MONTH(B415),1)&amp;":"&amp;DATE(YEAR(B415),MONTH(B415)+1,0))),2)&lt;=5,1,IF(WEEKDAY(ROW(INDIRECT(DATE(YEAR(B415),MONTH(B415),1)&amp;":"&amp;DATE(YEAR(B415),MONTH(B415)+1,0))),2)=6,0.5,0)),0))</f>
        <v>22</v>
      </c>
      <c r="K415" s="22" cm="1">
        <f t="array" ref="K415">_xlfn.XLOOKUP(1,((Metas_Diarias[[#This Row],[tipo_equipe_id]]=Metas[equipe])*(Metas_Diarias[[#This Row],[data]]&gt;Metas[data_inicio])*(Metas_Diarias[[#This Row],[data]]&lt;Metas[data_fim])),Metas[meta_mensal],0)</f>
        <v>160000</v>
      </c>
      <c r="L4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16" spans="2:12" x14ac:dyDescent="0.3">
      <c r="B416" s="34">
        <v>45705</v>
      </c>
      <c r="C416" s="34" t="str">
        <f>TEXT(Metas_Diarias[[#This Row],[data]],"dddd")</f>
        <v>segunda-feira</v>
      </c>
      <c r="D416" s="33">
        <v>1</v>
      </c>
      <c r="E416" s="33">
        <v>1</v>
      </c>
      <c r="F416" s="18"/>
      <c r="G416" s="35">
        <f>WEEKDAY(Metas_Diarias[[#This Row],[data]])</f>
        <v>2</v>
      </c>
      <c r="H416" s="35">
        <f>IF(Metas_Diarias[[#This Row],[dias_da_demana]]=1,"domingo",IF(Metas_Diarias[[#This Row],[dias_da_demana]]=7,0.5,1))</f>
        <v>1</v>
      </c>
      <c r="I416" s="35">
        <f>_xlfn.XLOOKUP(Metas_Diarias[[#This Row],[data]],Feriados[Data],Feriados[Feriado],1)</f>
        <v>1</v>
      </c>
      <c r="J416" s="33" cm="1">
        <f t="array" aca="1" ref="J416" ca="1">SUMPRODUCT(IF((NOT(ISERROR(MATCH(ROW(INDIRECT(DATE(YEAR(B416),MONTH(B416),1)&amp;":"&amp;DATE(YEAR(B416),MONTH(B416)+1,0))),Feriados[Data],0))))=FALSE,
IF(WEEKDAY(ROW(INDIRECT(DATE(YEAR(B416),MONTH(B416),1)&amp;":"&amp;DATE(YEAR(B416),MONTH(B416)+1,0))),2)&lt;=5,1,IF(WEEKDAY(ROW(INDIRECT(DATE(YEAR(B416),MONTH(B416),1)&amp;":"&amp;DATE(YEAR(B416),MONTH(B416)+1,0))),2)=6,0.5,0)),0))</f>
        <v>22</v>
      </c>
      <c r="K416" s="22" cm="1">
        <f t="array" ref="K416">_xlfn.XLOOKUP(1,((Metas_Diarias[[#This Row],[tipo_equipe_id]]=Metas[equipe])*(Metas_Diarias[[#This Row],[data]]&gt;Metas[data_inicio])*(Metas_Diarias[[#This Row],[data]]&lt;Metas[data_fim])),Metas[meta_mensal],0)</f>
        <v>160000</v>
      </c>
      <c r="L41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17" spans="2:12" x14ac:dyDescent="0.3">
      <c r="B417" s="34">
        <v>45706</v>
      </c>
      <c r="C417" s="34" t="str">
        <f>TEXT(Metas_Diarias[[#This Row],[data]],"dddd")</f>
        <v>terça-feira</v>
      </c>
      <c r="D417" s="33">
        <v>1</v>
      </c>
      <c r="E417" s="33">
        <v>1</v>
      </c>
      <c r="F417" s="18"/>
      <c r="G417" s="35">
        <f>WEEKDAY(Metas_Diarias[[#This Row],[data]])</f>
        <v>3</v>
      </c>
      <c r="H417" s="35">
        <f>IF(Metas_Diarias[[#This Row],[dias_da_demana]]=1,"domingo",IF(Metas_Diarias[[#This Row],[dias_da_demana]]=7,0.5,1))</f>
        <v>1</v>
      </c>
      <c r="I417" s="35">
        <f>_xlfn.XLOOKUP(Metas_Diarias[[#This Row],[data]],Feriados[Data],Feriados[Feriado],1)</f>
        <v>1</v>
      </c>
      <c r="J417" s="33" cm="1">
        <f t="array" aca="1" ref="J417" ca="1">SUMPRODUCT(IF((NOT(ISERROR(MATCH(ROW(INDIRECT(DATE(YEAR(B417),MONTH(B417),1)&amp;":"&amp;DATE(YEAR(B417),MONTH(B417)+1,0))),Feriados[Data],0))))=FALSE,
IF(WEEKDAY(ROW(INDIRECT(DATE(YEAR(B417),MONTH(B417),1)&amp;":"&amp;DATE(YEAR(B417),MONTH(B417)+1,0))),2)&lt;=5,1,IF(WEEKDAY(ROW(INDIRECT(DATE(YEAR(B417),MONTH(B417),1)&amp;":"&amp;DATE(YEAR(B417),MONTH(B417)+1,0))),2)=6,0.5,0)),0))</f>
        <v>22</v>
      </c>
      <c r="K417" s="22" cm="1">
        <f t="array" ref="K417">_xlfn.XLOOKUP(1,((Metas_Diarias[[#This Row],[tipo_equipe_id]]=Metas[equipe])*(Metas_Diarias[[#This Row],[data]]&gt;Metas[data_inicio])*(Metas_Diarias[[#This Row],[data]]&lt;Metas[data_fim])),Metas[meta_mensal],0)</f>
        <v>160000</v>
      </c>
      <c r="L417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18" spans="2:12" x14ac:dyDescent="0.3">
      <c r="B418" s="34">
        <v>45707</v>
      </c>
      <c r="C418" s="34" t="str">
        <f>TEXT(Metas_Diarias[[#This Row],[data]],"dddd")</f>
        <v>quarta-feira</v>
      </c>
      <c r="D418" s="33">
        <v>1</v>
      </c>
      <c r="E418" s="33">
        <v>1</v>
      </c>
      <c r="F418" s="18"/>
      <c r="G418" s="35">
        <f>WEEKDAY(Metas_Diarias[[#This Row],[data]])</f>
        <v>4</v>
      </c>
      <c r="H418" s="35">
        <f>IF(Metas_Diarias[[#This Row],[dias_da_demana]]=1,"domingo",IF(Metas_Diarias[[#This Row],[dias_da_demana]]=7,0.5,1))</f>
        <v>1</v>
      </c>
      <c r="I418" s="35">
        <f>_xlfn.XLOOKUP(Metas_Diarias[[#This Row],[data]],Feriados[Data],Feriados[Feriado],1)</f>
        <v>1</v>
      </c>
      <c r="J418" s="33" cm="1">
        <f t="array" aca="1" ref="J418" ca="1">SUMPRODUCT(IF((NOT(ISERROR(MATCH(ROW(INDIRECT(DATE(YEAR(B418),MONTH(B418),1)&amp;":"&amp;DATE(YEAR(B418),MONTH(B418)+1,0))),Feriados[Data],0))))=FALSE,
IF(WEEKDAY(ROW(INDIRECT(DATE(YEAR(B418),MONTH(B418),1)&amp;":"&amp;DATE(YEAR(B418),MONTH(B418)+1,0))),2)&lt;=5,1,IF(WEEKDAY(ROW(INDIRECT(DATE(YEAR(B418),MONTH(B418),1)&amp;":"&amp;DATE(YEAR(B418),MONTH(B418)+1,0))),2)=6,0.5,0)),0))</f>
        <v>22</v>
      </c>
      <c r="K418" s="22" cm="1">
        <f t="array" ref="K418">_xlfn.XLOOKUP(1,((Metas_Diarias[[#This Row],[tipo_equipe_id]]=Metas[equipe])*(Metas_Diarias[[#This Row],[data]]&gt;Metas[data_inicio])*(Metas_Diarias[[#This Row],[data]]&lt;Metas[data_fim])),Metas[meta_mensal],0)</f>
        <v>160000</v>
      </c>
      <c r="L41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19" spans="2:12" x14ac:dyDescent="0.3">
      <c r="B419" s="34">
        <v>45708</v>
      </c>
      <c r="C419" s="34" t="str">
        <f>TEXT(Metas_Diarias[[#This Row],[data]],"dddd")</f>
        <v>quinta-feira</v>
      </c>
      <c r="D419" s="33">
        <v>1</v>
      </c>
      <c r="E419" s="33">
        <v>1</v>
      </c>
      <c r="F419" s="18"/>
      <c r="G419" s="35">
        <f>WEEKDAY(Metas_Diarias[[#This Row],[data]])</f>
        <v>5</v>
      </c>
      <c r="H419" s="35">
        <f>IF(Metas_Diarias[[#This Row],[dias_da_demana]]=1,"domingo",IF(Metas_Diarias[[#This Row],[dias_da_demana]]=7,0.5,1))</f>
        <v>1</v>
      </c>
      <c r="I419" s="35">
        <f>_xlfn.XLOOKUP(Metas_Diarias[[#This Row],[data]],Feriados[Data],Feriados[Feriado],1)</f>
        <v>1</v>
      </c>
      <c r="J419" s="33" cm="1">
        <f t="array" aca="1" ref="J419" ca="1">SUMPRODUCT(IF((NOT(ISERROR(MATCH(ROW(INDIRECT(DATE(YEAR(B419),MONTH(B419),1)&amp;":"&amp;DATE(YEAR(B419),MONTH(B419)+1,0))),Feriados[Data],0))))=FALSE,
IF(WEEKDAY(ROW(INDIRECT(DATE(YEAR(B419),MONTH(B419),1)&amp;":"&amp;DATE(YEAR(B419),MONTH(B419)+1,0))),2)&lt;=5,1,IF(WEEKDAY(ROW(INDIRECT(DATE(YEAR(B419),MONTH(B419),1)&amp;":"&amp;DATE(YEAR(B419),MONTH(B419)+1,0))),2)=6,0.5,0)),0))</f>
        <v>22</v>
      </c>
      <c r="K419" s="22" cm="1">
        <f t="array" ref="K419">_xlfn.XLOOKUP(1,((Metas_Diarias[[#This Row],[tipo_equipe_id]]=Metas[equipe])*(Metas_Diarias[[#This Row],[data]]&gt;Metas[data_inicio])*(Metas_Diarias[[#This Row],[data]]&lt;Metas[data_fim])),Metas[meta_mensal],0)</f>
        <v>160000</v>
      </c>
      <c r="L41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20" spans="2:12" x14ac:dyDescent="0.3">
      <c r="B420" s="34">
        <v>45709</v>
      </c>
      <c r="C420" s="34" t="str">
        <f>TEXT(Metas_Diarias[[#This Row],[data]],"dddd")</f>
        <v>sexta-feira</v>
      </c>
      <c r="D420" s="33">
        <v>1</v>
      </c>
      <c r="E420" s="33">
        <v>1</v>
      </c>
      <c r="F420" s="18"/>
      <c r="G420" s="35">
        <f>WEEKDAY(Metas_Diarias[[#This Row],[data]])</f>
        <v>6</v>
      </c>
      <c r="H420" s="35">
        <f>IF(Metas_Diarias[[#This Row],[dias_da_demana]]=1,"domingo",IF(Metas_Diarias[[#This Row],[dias_da_demana]]=7,0.5,1))</f>
        <v>1</v>
      </c>
      <c r="I420" s="35">
        <f>_xlfn.XLOOKUP(Metas_Diarias[[#This Row],[data]],Feriados[Data],Feriados[Feriado],1)</f>
        <v>1</v>
      </c>
      <c r="J420" s="33" cm="1">
        <f t="array" aca="1" ref="J420" ca="1">SUMPRODUCT(IF((NOT(ISERROR(MATCH(ROW(INDIRECT(DATE(YEAR(B420),MONTH(B420),1)&amp;":"&amp;DATE(YEAR(B420),MONTH(B420)+1,0))),Feriados[Data],0))))=FALSE,
IF(WEEKDAY(ROW(INDIRECT(DATE(YEAR(B420),MONTH(B420),1)&amp;":"&amp;DATE(YEAR(B420),MONTH(B420)+1,0))),2)&lt;=5,1,IF(WEEKDAY(ROW(INDIRECT(DATE(YEAR(B420),MONTH(B420),1)&amp;":"&amp;DATE(YEAR(B420),MONTH(B420)+1,0))),2)=6,0.5,0)),0))</f>
        <v>22</v>
      </c>
      <c r="K420" s="22" cm="1">
        <f t="array" ref="K420">_xlfn.XLOOKUP(1,((Metas_Diarias[[#This Row],[tipo_equipe_id]]=Metas[equipe])*(Metas_Diarias[[#This Row],[data]]&gt;Metas[data_inicio])*(Metas_Diarias[[#This Row],[data]]&lt;Metas[data_fim])),Metas[meta_mensal],0)</f>
        <v>160000</v>
      </c>
      <c r="L420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21" spans="2:12" x14ac:dyDescent="0.3">
      <c r="B421" s="34">
        <v>45710</v>
      </c>
      <c r="C421" s="34" t="str">
        <f>TEXT(Metas_Diarias[[#This Row],[data]],"dddd")</f>
        <v>sábado</v>
      </c>
      <c r="D421" s="33">
        <v>1</v>
      </c>
      <c r="E421" s="33">
        <v>1</v>
      </c>
      <c r="F421" s="18"/>
      <c r="G421" s="35">
        <f>WEEKDAY(Metas_Diarias[[#This Row],[data]])</f>
        <v>7</v>
      </c>
      <c r="H421" s="35">
        <f>IF(Metas_Diarias[[#This Row],[dias_da_demana]]=1,"domingo",IF(Metas_Diarias[[#This Row],[dias_da_demana]]=7,0.5,1))</f>
        <v>0.5</v>
      </c>
      <c r="I421" s="35">
        <f>_xlfn.XLOOKUP(Metas_Diarias[[#This Row],[data]],Feriados[Data],Feriados[Feriado],1)</f>
        <v>1</v>
      </c>
      <c r="J421" s="33" cm="1">
        <f t="array" aca="1" ref="J421" ca="1">SUMPRODUCT(IF((NOT(ISERROR(MATCH(ROW(INDIRECT(DATE(YEAR(B421),MONTH(B421),1)&amp;":"&amp;DATE(YEAR(B421),MONTH(B421)+1,0))),Feriados[Data],0))))=FALSE,
IF(WEEKDAY(ROW(INDIRECT(DATE(YEAR(B421),MONTH(B421),1)&amp;":"&amp;DATE(YEAR(B421),MONTH(B421)+1,0))),2)&lt;=5,1,IF(WEEKDAY(ROW(INDIRECT(DATE(YEAR(B421),MONTH(B421),1)&amp;":"&amp;DATE(YEAR(B421),MONTH(B421)+1,0))),2)=6,0.5,0)),0))</f>
        <v>22</v>
      </c>
      <c r="K421" s="22" cm="1">
        <f t="array" ref="K421">_xlfn.XLOOKUP(1,((Metas_Diarias[[#This Row],[tipo_equipe_id]]=Metas[equipe])*(Metas_Diarias[[#This Row],[data]]&gt;Metas[data_inicio])*(Metas_Diarias[[#This Row],[data]]&lt;Metas[data_fim])),Metas[meta_mensal],0)</f>
        <v>160000</v>
      </c>
      <c r="L421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422" spans="2:12" x14ac:dyDescent="0.3">
      <c r="B422" s="34">
        <v>45711</v>
      </c>
      <c r="C422" s="34" t="str">
        <f>TEXT(Metas_Diarias[[#This Row],[data]],"dddd")</f>
        <v>domingo</v>
      </c>
      <c r="D422" s="33">
        <v>1</v>
      </c>
      <c r="E422" s="33">
        <v>1</v>
      </c>
      <c r="F422" s="18"/>
      <c r="G422" s="35">
        <f>WEEKDAY(Metas_Diarias[[#This Row],[data]])</f>
        <v>1</v>
      </c>
      <c r="H422" s="35" t="str">
        <f>IF(Metas_Diarias[[#This Row],[dias_da_demana]]=1,"domingo",IF(Metas_Diarias[[#This Row],[dias_da_demana]]=7,0.5,1))</f>
        <v>domingo</v>
      </c>
      <c r="I422" s="35">
        <f>_xlfn.XLOOKUP(Metas_Diarias[[#This Row],[data]],Feriados[Data],Feriados[Feriado],1)</f>
        <v>1</v>
      </c>
      <c r="J422" s="33" cm="1">
        <f t="array" aca="1" ref="J422" ca="1">SUMPRODUCT(IF((NOT(ISERROR(MATCH(ROW(INDIRECT(DATE(YEAR(B422),MONTH(B422),1)&amp;":"&amp;DATE(YEAR(B422),MONTH(B422)+1,0))),Feriados[Data],0))))=FALSE,
IF(WEEKDAY(ROW(INDIRECT(DATE(YEAR(B422),MONTH(B422),1)&amp;":"&amp;DATE(YEAR(B422),MONTH(B422)+1,0))),2)&lt;=5,1,IF(WEEKDAY(ROW(INDIRECT(DATE(YEAR(B422),MONTH(B422),1)&amp;":"&amp;DATE(YEAR(B422),MONTH(B422)+1,0))),2)=6,0.5,0)),0))</f>
        <v>22</v>
      </c>
      <c r="K422" s="22" cm="1">
        <f t="array" ref="K422">_xlfn.XLOOKUP(1,((Metas_Diarias[[#This Row],[tipo_equipe_id]]=Metas[equipe])*(Metas_Diarias[[#This Row],[data]]&gt;Metas[data_inicio])*(Metas_Diarias[[#This Row],[data]]&lt;Metas[data_fim])),Metas[meta_mensal],0)</f>
        <v>160000</v>
      </c>
      <c r="L4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23" spans="2:12" x14ac:dyDescent="0.3">
      <c r="B423" s="34">
        <v>45712</v>
      </c>
      <c r="C423" s="34" t="str">
        <f>TEXT(Metas_Diarias[[#This Row],[data]],"dddd")</f>
        <v>segunda-feira</v>
      </c>
      <c r="D423" s="33">
        <v>1</v>
      </c>
      <c r="E423" s="33">
        <v>1</v>
      </c>
      <c r="F423" s="18"/>
      <c r="G423" s="35">
        <f>WEEKDAY(Metas_Diarias[[#This Row],[data]])</f>
        <v>2</v>
      </c>
      <c r="H423" s="35">
        <f>IF(Metas_Diarias[[#This Row],[dias_da_demana]]=1,"domingo",IF(Metas_Diarias[[#This Row],[dias_da_demana]]=7,0.5,1))</f>
        <v>1</v>
      </c>
      <c r="I423" s="35">
        <f>_xlfn.XLOOKUP(Metas_Diarias[[#This Row],[data]],Feriados[Data],Feriados[Feriado],1)</f>
        <v>1</v>
      </c>
      <c r="J423" s="33" cm="1">
        <f t="array" aca="1" ref="J423" ca="1">SUMPRODUCT(IF((NOT(ISERROR(MATCH(ROW(INDIRECT(DATE(YEAR(B423),MONTH(B423),1)&amp;":"&amp;DATE(YEAR(B423),MONTH(B423)+1,0))),Feriados[Data],0))))=FALSE,
IF(WEEKDAY(ROW(INDIRECT(DATE(YEAR(B423),MONTH(B423),1)&amp;":"&amp;DATE(YEAR(B423),MONTH(B423)+1,0))),2)&lt;=5,1,IF(WEEKDAY(ROW(INDIRECT(DATE(YEAR(B423),MONTH(B423),1)&amp;":"&amp;DATE(YEAR(B423),MONTH(B423)+1,0))),2)=6,0.5,0)),0))</f>
        <v>22</v>
      </c>
      <c r="K423" s="22" cm="1">
        <f t="array" ref="K423">_xlfn.XLOOKUP(1,((Metas_Diarias[[#This Row],[tipo_equipe_id]]=Metas[equipe])*(Metas_Diarias[[#This Row],[data]]&gt;Metas[data_inicio])*(Metas_Diarias[[#This Row],[data]]&lt;Metas[data_fim])),Metas[meta_mensal],0)</f>
        <v>160000</v>
      </c>
      <c r="L42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24" spans="2:12" x14ac:dyDescent="0.3">
      <c r="B424" s="34">
        <v>45713</v>
      </c>
      <c r="C424" s="34" t="str">
        <f>TEXT(Metas_Diarias[[#This Row],[data]],"dddd")</f>
        <v>terça-feira</v>
      </c>
      <c r="D424" s="33">
        <v>1</v>
      </c>
      <c r="E424" s="33">
        <v>1</v>
      </c>
      <c r="F424" s="18"/>
      <c r="G424" s="35">
        <f>WEEKDAY(Metas_Diarias[[#This Row],[data]])</f>
        <v>3</v>
      </c>
      <c r="H424" s="35">
        <f>IF(Metas_Diarias[[#This Row],[dias_da_demana]]=1,"domingo",IF(Metas_Diarias[[#This Row],[dias_da_demana]]=7,0.5,1))</f>
        <v>1</v>
      </c>
      <c r="I424" s="35">
        <f>_xlfn.XLOOKUP(Metas_Diarias[[#This Row],[data]],Feriados[Data],Feriados[Feriado],1)</f>
        <v>1</v>
      </c>
      <c r="J424" s="33" cm="1">
        <f t="array" aca="1" ref="J424" ca="1">SUMPRODUCT(IF((NOT(ISERROR(MATCH(ROW(INDIRECT(DATE(YEAR(B424),MONTH(B424),1)&amp;":"&amp;DATE(YEAR(B424),MONTH(B424)+1,0))),Feriados[Data],0))))=FALSE,
IF(WEEKDAY(ROW(INDIRECT(DATE(YEAR(B424),MONTH(B424),1)&amp;":"&amp;DATE(YEAR(B424),MONTH(B424)+1,0))),2)&lt;=5,1,IF(WEEKDAY(ROW(INDIRECT(DATE(YEAR(B424),MONTH(B424),1)&amp;":"&amp;DATE(YEAR(B424),MONTH(B424)+1,0))),2)=6,0.5,0)),0))</f>
        <v>22</v>
      </c>
      <c r="K424" s="22" cm="1">
        <f t="array" ref="K424">_xlfn.XLOOKUP(1,((Metas_Diarias[[#This Row],[tipo_equipe_id]]=Metas[equipe])*(Metas_Diarias[[#This Row],[data]]&gt;Metas[data_inicio])*(Metas_Diarias[[#This Row],[data]]&lt;Metas[data_fim])),Metas[meta_mensal],0)</f>
        <v>160000</v>
      </c>
      <c r="L424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25" spans="2:12" x14ac:dyDescent="0.3">
      <c r="B425" s="34">
        <v>45714</v>
      </c>
      <c r="C425" s="34" t="str">
        <f>TEXT(Metas_Diarias[[#This Row],[data]],"dddd")</f>
        <v>quarta-feira</v>
      </c>
      <c r="D425" s="33">
        <v>1</v>
      </c>
      <c r="E425" s="33">
        <v>1</v>
      </c>
      <c r="F425" s="18"/>
      <c r="G425" s="35">
        <f>WEEKDAY(Metas_Diarias[[#This Row],[data]])</f>
        <v>4</v>
      </c>
      <c r="H425" s="35">
        <f>IF(Metas_Diarias[[#This Row],[dias_da_demana]]=1,"domingo",IF(Metas_Diarias[[#This Row],[dias_da_demana]]=7,0.5,1))</f>
        <v>1</v>
      </c>
      <c r="I425" s="35">
        <f>_xlfn.XLOOKUP(Metas_Diarias[[#This Row],[data]],Feriados[Data],Feriados[Feriado],1)</f>
        <v>1</v>
      </c>
      <c r="J425" s="33" cm="1">
        <f t="array" aca="1" ref="J425" ca="1">SUMPRODUCT(IF((NOT(ISERROR(MATCH(ROW(INDIRECT(DATE(YEAR(B425),MONTH(B425),1)&amp;":"&amp;DATE(YEAR(B425),MONTH(B425)+1,0))),Feriados[Data],0))))=FALSE,
IF(WEEKDAY(ROW(INDIRECT(DATE(YEAR(B425),MONTH(B425),1)&amp;":"&amp;DATE(YEAR(B425),MONTH(B425)+1,0))),2)&lt;=5,1,IF(WEEKDAY(ROW(INDIRECT(DATE(YEAR(B425),MONTH(B425),1)&amp;":"&amp;DATE(YEAR(B425),MONTH(B425)+1,0))),2)=6,0.5,0)),0))</f>
        <v>22</v>
      </c>
      <c r="K425" s="22" cm="1">
        <f t="array" ref="K425">_xlfn.XLOOKUP(1,((Metas_Diarias[[#This Row],[tipo_equipe_id]]=Metas[equipe])*(Metas_Diarias[[#This Row],[data]]&gt;Metas[data_inicio])*(Metas_Diarias[[#This Row],[data]]&lt;Metas[data_fim])),Metas[meta_mensal],0)</f>
        <v>160000</v>
      </c>
      <c r="L42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26" spans="2:12" x14ac:dyDescent="0.3">
      <c r="B426" s="34">
        <v>45715</v>
      </c>
      <c r="C426" s="34" t="str">
        <f>TEXT(Metas_Diarias[[#This Row],[data]],"dddd")</f>
        <v>quinta-feira</v>
      </c>
      <c r="D426" s="33">
        <v>1</v>
      </c>
      <c r="E426" s="33">
        <v>1</v>
      </c>
      <c r="F426" s="18"/>
      <c r="G426" s="35">
        <f>WEEKDAY(Metas_Diarias[[#This Row],[data]])</f>
        <v>5</v>
      </c>
      <c r="H426" s="35">
        <f>IF(Metas_Diarias[[#This Row],[dias_da_demana]]=1,"domingo",IF(Metas_Diarias[[#This Row],[dias_da_demana]]=7,0.5,1))</f>
        <v>1</v>
      </c>
      <c r="I426" s="35">
        <f>_xlfn.XLOOKUP(Metas_Diarias[[#This Row],[data]],Feriados[Data],Feriados[Feriado],1)</f>
        <v>1</v>
      </c>
      <c r="J426" s="33" cm="1">
        <f t="array" aca="1" ref="J426" ca="1">SUMPRODUCT(IF((NOT(ISERROR(MATCH(ROW(INDIRECT(DATE(YEAR(B426),MONTH(B426),1)&amp;":"&amp;DATE(YEAR(B426),MONTH(B426)+1,0))),Feriados[Data],0))))=FALSE,
IF(WEEKDAY(ROW(INDIRECT(DATE(YEAR(B426),MONTH(B426),1)&amp;":"&amp;DATE(YEAR(B426),MONTH(B426)+1,0))),2)&lt;=5,1,IF(WEEKDAY(ROW(INDIRECT(DATE(YEAR(B426),MONTH(B426),1)&amp;":"&amp;DATE(YEAR(B426),MONTH(B426)+1,0))),2)=6,0.5,0)),0))</f>
        <v>22</v>
      </c>
      <c r="K426" s="22" cm="1">
        <f t="array" ref="K426">_xlfn.XLOOKUP(1,((Metas_Diarias[[#This Row],[tipo_equipe_id]]=Metas[equipe])*(Metas_Diarias[[#This Row],[data]]&gt;Metas[data_inicio])*(Metas_Diarias[[#This Row],[data]]&lt;Metas[data_fim])),Metas[meta_mensal],0)</f>
        <v>160000</v>
      </c>
      <c r="L42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27" spans="2:12" x14ac:dyDescent="0.3">
      <c r="B427" s="34">
        <v>45716</v>
      </c>
      <c r="C427" s="34" t="str">
        <f>TEXT(Metas_Diarias[[#This Row],[data]],"dddd")</f>
        <v>sexta-feira</v>
      </c>
      <c r="D427" s="33">
        <v>1</v>
      </c>
      <c r="E427" s="33">
        <v>1</v>
      </c>
      <c r="F427" s="18"/>
      <c r="G427" s="35">
        <f>WEEKDAY(Metas_Diarias[[#This Row],[data]])</f>
        <v>6</v>
      </c>
      <c r="H427" s="35">
        <f>IF(Metas_Diarias[[#This Row],[dias_da_demana]]=1,"domingo",IF(Metas_Diarias[[#This Row],[dias_da_demana]]=7,0.5,1))</f>
        <v>1</v>
      </c>
      <c r="I427" s="35">
        <f>_xlfn.XLOOKUP(Metas_Diarias[[#This Row],[data]],Feriados[Data],Feriados[Feriado],1)</f>
        <v>1</v>
      </c>
      <c r="J427" s="33" cm="1">
        <f t="array" aca="1" ref="J427" ca="1">SUMPRODUCT(IF((NOT(ISERROR(MATCH(ROW(INDIRECT(DATE(YEAR(B427),MONTH(B427),1)&amp;":"&amp;DATE(YEAR(B427),MONTH(B427)+1,0))),Feriados[Data],0))))=FALSE,
IF(WEEKDAY(ROW(INDIRECT(DATE(YEAR(B427),MONTH(B427),1)&amp;":"&amp;DATE(YEAR(B427),MONTH(B427)+1,0))),2)&lt;=5,1,IF(WEEKDAY(ROW(INDIRECT(DATE(YEAR(B427),MONTH(B427),1)&amp;":"&amp;DATE(YEAR(B427),MONTH(B427)+1,0))),2)=6,0.5,0)),0))</f>
        <v>22</v>
      </c>
      <c r="K427" s="22" cm="1">
        <f t="array" ref="K427">_xlfn.XLOOKUP(1,((Metas_Diarias[[#This Row],[tipo_equipe_id]]=Metas[equipe])*(Metas_Diarias[[#This Row],[data]]&gt;Metas[data_inicio])*(Metas_Diarias[[#This Row],[data]]&lt;Metas[data_fim])),Metas[meta_mensal],0)</f>
        <v>160000</v>
      </c>
      <c r="L427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28" spans="2:12" x14ac:dyDescent="0.3">
      <c r="B428" s="34">
        <v>45717</v>
      </c>
      <c r="C428" s="34" t="str">
        <f>TEXT(Metas_Diarias[[#This Row],[data]],"dddd")</f>
        <v>sábado</v>
      </c>
      <c r="D428" s="33">
        <v>1</v>
      </c>
      <c r="E428" s="33">
        <v>1</v>
      </c>
      <c r="F428" s="18"/>
      <c r="G428" s="35">
        <f>WEEKDAY(Metas_Diarias[[#This Row],[data]])</f>
        <v>7</v>
      </c>
      <c r="H428" s="35">
        <f>IF(Metas_Diarias[[#This Row],[dias_da_demana]]=1,"domingo",IF(Metas_Diarias[[#This Row],[dias_da_demana]]=7,0.5,1))</f>
        <v>0.5</v>
      </c>
      <c r="I428" s="35">
        <f>_xlfn.XLOOKUP(Metas_Diarias[[#This Row],[data]],Feriados[Data],Feriados[Feriado],1)</f>
        <v>1</v>
      </c>
      <c r="J428" s="33" cm="1">
        <f t="array" aca="1" ref="J428" ca="1">SUMPRODUCT(IF((NOT(ISERROR(MATCH(ROW(INDIRECT(DATE(YEAR(B428),MONTH(B428),1)&amp;":"&amp;DATE(YEAR(B428),MONTH(B428)+1,0))),Feriados[Data],0))))=FALSE,
IF(WEEKDAY(ROW(INDIRECT(DATE(YEAR(B428),MONTH(B428),1)&amp;":"&amp;DATE(YEAR(B428),MONTH(B428)+1,0))),2)&lt;=5,1,IF(WEEKDAY(ROW(INDIRECT(DATE(YEAR(B428),MONTH(B428),1)&amp;":"&amp;DATE(YEAR(B428),MONTH(B428)+1,0))),2)=6,0.5,0)),0))</f>
        <v>21.5</v>
      </c>
      <c r="K428" s="22" cm="1">
        <f t="array" ref="K428">_xlfn.XLOOKUP(1,((Metas_Diarias[[#This Row],[tipo_equipe_id]]=Metas[equipe])*(Metas_Diarias[[#This Row],[data]]&gt;Metas[data_inicio])*(Metas_Diarias[[#This Row],[data]]&lt;Metas[data_fim])),Metas[meta_mensal],0)</f>
        <v>160000</v>
      </c>
      <c r="L428" s="24">
        <f ca="1">Metas_Diarias[[#This Row],[meta_mensal]]*IF(Metas_Diarias[[#This Row],[semana]]="domingo",0,Metas_Diarias[[#This Row],[semana]])*IF(Metas_Diarias[[#This Row],[feriado]]&lt;&gt;1,0,1)/Metas_Diarias[[#This Row],[dias_úteis_Mês]]</f>
        <v>3720.9302325581393</v>
      </c>
    </row>
    <row r="429" spans="2:12" x14ac:dyDescent="0.3">
      <c r="B429" s="34">
        <v>45718</v>
      </c>
      <c r="C429" s="34" t="str">
        <f>TEXT(Metas_Diarias[[#This Row],[data]],"dddd")</f>
        <v>domingo</v>
      </c>
      <c r="D429" s="33">
        <v>1</v>
      </c>
      <c r="E429" s="33">
        <v>1</v>
      </c>
      <c r="F429" s="18"/>
      <c r="G429" s="35">
        <f>WEEKDAY(Metas_Diarias[[#This Row],[data]])</f>
        <v>1</v>
      </c>
      <c r="H429" s="35" t="str">
        <f>IF(Metas_Diarias[[#This Row],[dias_da_demana]]=1,"domingo",IF(Metas_Diarias[[#This Row],[dias_da_demana]]=7,0.5,1))</f>
        <v>domingo</v>
      </c>
      <c r="I429" s="35">
        <f>_xlfn.XLOOKUP(Metas_Diarias[[#This Row],[data]],Feriados[Data],Feriados[Feriado],1)</f>
        <v>1</v>
      </c>
      <c r="J429" s="33" cm="1">
        <f t="array" aca="1" ref="J429" ca="1">SUMPRODUCT(IF((NOT(ISERROR(MATCH(ROW(INDIRECT(DATE(YEAR(B429),MONTH(B429),1)&amp;":"&amp;DATE(YEAR(B429),MONTH(B429)+1,0))),Feriados[Data],0))))=FALSE,
IF(WEEKDAY(ROW(INDIRECT(DATE(YEAR(B429),MONTH(B429),1)&amp;":"&amp;DATE(YEAR(B429),MONTH(B429)+1,0))),2)&lt;=5,1,IF(WEEKDAY(ROW(INDIRECT(DATE(YEAR(B429),MONTH(B429),1)&amp;":"&amp;DATE(YEAR(B429),MONTH(B429)+1,0))),2)=6,0.5,0)),0))</f>
        <v>21.5</v>
      </c>
      <c r="K429" s="22" cm="1">
        <f t="array" ref="K429">_xlfn.XLOOKUP(1,((Metas_Diarias[[#This Row],[tipo_equipe_id]]=Metas[equipe])*(Metas_Diarias[[#This Row],[data]]&gt;Metas[data_inicio])*(Metas_Diarias[[#This Row],[data]]&lt;Metas[data_fim])),Metas[meta_mensal],0)</f>
        <v>160000</v>
      </c>
      <c r="L42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30" spans="2:12" x14ac:dyDescent="0.3">
      <c r="B430" s="34">
        <v>45719</v>
      </c>
      <c r="C430" s="34" t="str">
        <f>TEXT(Metas_Diarias[[#This Row],[data]],"dddd")</f>
        <v>segunda-feira</v>
      </c>
      <c r="D430" s="33">
        <v>1</v>
      </c>
      <c r="E430" s="33">
        <v>1</v>
      </c>
      <c r="F430" s="18"/>
      <c r="G430" s="35">
        <f>WEEKDAY(Metas_Diarias[[#This Row],[data]])</f>
        <v>2</v>
      </c>
      <c r="H430" s="35">
        <f>IF(Metas_Diarias[[#This Row],[dias_da_demana]]=1,"domingo",IF(Metas_Diarias[[#This Row],[dias_da_demana]]=7,0.5,1))</f>
        <v>1</v>
      </c>
      <c r="I430" s="35" t="str">
        <f>_xlfn.XLOOKUP(Metas_Diarias[[#This Row],[data]],Feriados[Data],Feriados[Feriado],1)</f>
        <v>Carnaval</v>
      </c>
      <c r="J430" s="33" cm="1">
        <f t="array" aca="1" ref="J430" ca="1">SUMPRODUCT(IF((NOT(ISERROR(MATCH(ROW(INDIRECT(DATE(YEAR(B430),MONTH(B430),1)&amp;":"&amp;DATE(YEAR(B430),MONTH(B430)+1,0))),Feriados[Data],0))))=FALSE,
IF(WEEKDAY(ROW(INDIRECT(DATE(YEAR(B430),MONTH(B430),1)&amp;":"&amp;DATE(YEAR(B430),MONTH(B430)+1,0))),2)&lt;=5,1,IF(WEEKDAY(ROW(INDIRECT(DATE(YEAR(B430),MONTH(B430),1)&amp;":"&amp;DATE(YEAR(B430),MONTH(B430)+1,0))),2)=6,0.5,0)),0))</f>
        <v>21.5</v>
      </c>
      <c r="K430" s="22" cm="1">
        <f t="array" ref="K430">_xlfn.XLOOKUP(1,((Metas_Diarias[[#This Row],[tipo_equipe_id]]=Metas[equipe])*(Metas_Diarias[[#This Row],[data]]&gt;Metas[data_inicio])*(Metas_Diarias[[#This Row],[data]]&lt;Metas[data_fim])),Metas[meta_mensal],0)</f>
        <v>160000</v>
      </c>
      <c r="L43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31" spans="2:12" x14ac:dyDescent="0.3">
      <c r="B431" s="34">
        <v>45720</v>
      </c>
      <c r="C431" s="34" t="str">
        <f>TEXT(Metas_Diarias[[#This Row],[data]],"dddd")</f>
        <v>terça-feira</v>
      </c>
      <c r="D431" s="33">
        <v>1</v>
      </c>
      <c r="E431" s="33">
        <v>1</v>
      </c>
      <c r="F431" s="18"/>
      <c r="G431" s="35">
        <f>WEEKDAY(Metas_Diarias[[#This Row],[data]])</f>
        <v>3</v>
      </c>
      <c r="H431" s="35">
        <f>IF(Metas_Diarias[[#This Row],[dias_da_demana]]=1,"domingo",IF(Metas_Diarias[[#This Row],[dias_da_demana]]=7,0.5,1))</f>
        <v>1</v>
      </c>
      <c r="I431" s="35" t="str">
        <f>_xlfn.XLOOKUP(Metas_Diarias[[#This Row],[data]],Feriados[Data],Feriados[Feriado],1)</f>
        <v>Carnaval</v>
      </c>
      <c r="J431" s="33" cm="1">
        <f t="array" aca="1" ref="J431" ca="1">SUMPRODUCT(IF((NOT(ISERROR(MATCH(ROW(INDIRECT(DATE(YEAR(B431),MONTH(B431),1)&amp;":"&amp;DATE(YEAR(B431),MONTH(B431)+1,0))),Feriados[Data],0))))=FALSE,
IF(WEEKDAY(ROW(INDIRECT(DATE(YEAR(B431),MONTH(B431),1)&amp;":"&amp;DATE(YEAR(B431),MONTH(B431)+1,0))),2)&lt;=5,1,IF(WEEKDAY(ROW(INDIRECT(DATE(YEAR(B431),MONTH(B431),1)&amp;":"&amp;DATE(YEAR(B431),MONTH(B431)+1,0))),2)=6,0.5,0)),0))</f>
        <v>21.5</v>
      </c>
      <c r="K431" s="22" cm="1">
        <f t="array" ref="K431">_xlfn.XLOOKUP(1,((Metas_Diarias[[#This Row],[tipo_equipe_id]]=Metas[equipe])*(Metas_Diarias[[#This Row],[data]]&gt;Metas[data_inicio])*(Metas_Diarias[[#This Row],[data]]&lt;Metas[data_fim])),Metas[meta_mensal],0)</f>
        <v>160000</v>
      </c>
      <c r="L4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32" spans="2:12" x14ac:dyDescent="0.3">
      <c r="B432" s="34">
        <v>45721</v>
      </c>
      <c r="C432" s="34" t="str">
        <f>TEXT(Metas_Diarias[[#This Row],[data]],"dddd")</f>
        <v>quarta-feira</v>
      </c>
      <c r="D432" s="33">
        <v>1</v>
      </c>
      <c r="E432" s="33">
        <v>1</v>
      </c>
      <c r="F432" s="18"/>
      <c r="G432" s="35">
        <f>WEEKDAY(Metas_Diarias[[#This Row],[data]])</f>
        <v>4</v>
      </c>
      <c r="H432" s="35">
        <f>IF(Metas_Diarias[[#This Row],[dias_da_demana]]=1,"domingo",IF(Metas_Diarias[[#This Row],[dias_da_demana]]=7,0.5,1))</f>
        <v>1</v>
      </c>
      <c r="I432" s="35">
        <f>_xlfn.XLOOKUP(Metas_Diarias[[#This Row],[data]],Feriados[Data],Feriados[Feriado],1)</f>
        <v>1</v>
      </c>
      <c r="J432" s="33" cm="1">
        <f t="array" aca="1" ref="J432" ca="1">SUMPRODUCT(IF((NOT(ISERROR(MATCH(ROW(INDIRECT(DATE(YEAR(B432),MONTH(B432),1)&amp;":"&amp;DATE(YEAR(B432),MONTH(B432)+1,0))),Feriados[Data],0))))=FALSE,
IF(WEEKDAY(ROW(INDIRECT(DATE(YEAR(B432),MONTH(B432),1)&amp;":"&amp;DATE(YEAR(B432),MONTH(B432)+1,0))),2)&lt;=5,1,IF(WEEKDAY(ROW(INDIRECT(DATE(YEAR(B432),MONTH(B432),1)&amp;":"&amp;DATE(YEAR(B432),MONTH(B432)+1,0))),2)=6,0.5,0)),0))</f>
        <v>21.5</v>
      </c>
      <c r="K432" s="22" cm="1">
        <f t="array" ref="K432">_xlfn.XLOOKUP(1,((Metas_Diarias[[#This Row],[tipo_equipe_id]]=Metas[equipe])*(Metas_Diarias[[#This Row],[data]]&gt;Metas[data_inicio])*(Metas_Diarias[[#This Row],[data]]&lt;Metas[data_fim])),Metas[meta_mensal],0)</f>
        <v>160000</v>
      </c>
      <c r="L432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33" spans="2:12" x14ac:dyDescent="0.3">
      <c r="B433" s="34">
        <v>45722</v>
      </c>
      <c r="C433" s="34" t="str">
        <f>TEXT(Metas_Diarias[[#This Row],[data]],"dddd")</f>
        <v>quinta-feira</v>
      </c>
      <c r="D433" s="33">
        <v>1</v>
      </c>
      <c r="E433" s="33">
        <v>1</v>
      </c>
      <c r="F433" s="18"/>
      <c r="G433" s="35">
        <f>WEEKDAY(Metas_Diarias[[#This Row],[data]])</f>
        <v>5</v>
      </c>
      <c r="H433" s="35">
        <f>IF(Metas_Diarias[[#This Row],[dias_da_demana]]=1,"domingo",IF(Metas_Diarias[[#This Row],[dias_da_demana]]=7,0.5,1))</f>
        <v>1</v>
      </c>
      <c r="I433" s="35">
        <f>_xlfn.XLOOKUP(Metas_Diarias[[#This Row],[data]],Feriados[Data],Feriados[Feriado],1)</f>
        <v>1</v>
      </c>
      <c r="J433" s="33" cm="1">
        <f t="array" aca="1" ref="J433" ca="1">SUMPRODUCT(IF((NOT(ISERROR(MATCH(ROW(INDIRECT(DATE(YEAR(B433),MONTH(B433),1)&amp;":"&amp;DATE(YEAR(B433),MONTH(B433)+1,0))),Feriados[Data],0))))=FALSE,
IF(WEEKDAY(ROW(INDIRECT(DATE(YEAR(B433),MONTH(B433),1)&amp;":"&amp;DATE(YEAR(B433),MONTH(B433)+1,0))),2)&lt;=5,1,IF(WEEKDAY(ROW(INDIRECT(DATE(YEAR(B433),MONTH(B433),1)&amp;":"&amp;DATE(YEAR(B433),MONTH(B433)+1,0))),2)=6,0.5,0)),0))</f>
        <v>21.5</v>
      </c>
      <c r="K433" s="22" cm="1">
        <f t="array" ref="K433">_xlfn.XLOOKUP(1,((Metas_Diarias[[#This Row],[tipo_equipe_id]]=Metas[equipe])*(Metas_Diarias[[#This Row],[data]]&gt;Metas[data_inicio])*(Metas_Diarias[[#This Row],[data]]&lt;Metas[data_fim])),Metas[meta_mensal],0)</f>
        <v>160000</v>
      </c>
      <c r="L433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34" spans="2:12" x14ac:dyDescent="0.3">
      <c r="B434" s="34">
        <v>45723</v>
      </c>
      <c r="C434" s="34" t="str">
        <f>TEXT(Metas_Diarias[[#This Row],[data]],"dddd")</f>
        <v>sexta-feira</v>
      </c>
      <c r="D434" s="33">
        <v>1</v>
      </c>
      <c r="E434" s="33">
        <v>1</v>
      </c>
      <c r="F434" s="18"/>
      <c r="G434" s="35">
        <f>WEEKDAY(Metas_Diarias[[#This Row],[data]])</f>
        <v>6</v>
      </c>
      <c r="H434" s="35">
        <f>IF(Metas_Diarias[[#This Row],[dias_da_demana]]=1,"domingo",IF(Metas_Diarias[[#This Row],[dias_da_demana]]=7,0.5,1))</f>
        <v>1</v>
      </c>
      <c r="I434" s="35">
        <f>_xlfn.XLOOKUP(Metas_Diarias[[#This Row],[data]],Feriados[Data],Feriados[Feriado],1)</f>
        <v>1</v>
      </c>
      <c r="J434" s="33" cm="1">
        <f t="array" aca="1" ref="J434" ca="1">SUMPRODUCT(IF((NOT(ISERROR(MATCH(ROW(INDIRECT(DATE(YEAR(B434),MONTH(B434),1)&amp;":"&amp;DATE(YEAR(B434),MONTH(B434)+1,0))),Feriados[Data],0))))=FALSE,
IF(WEEKDAY(ROW(INDIRECT(DATE(YEAR(B434),MONTH(B434),1)&amp;":"&amp;DATE(YEAR(B434),MONTH(B434)+1,0))),2)&lt;=5,1,IF(WEEKDAY(ROW(INDIRECT(DATE(YEAR(B434),MONTH(B434),1)&amp;":"&amp;DATE(YEAR(B434),MONTH(B434)+1,0))),2)=6,0.5,0)),0))</f>
        <v>21.5</v>
      </c>
      <c r="K434" s="22" cm="1">
        <f t="array" ref="K434">_xlfn.XLOOKUP(1,((Metas_Diarias[[#This Row],[tipo_equipe_id]]=Metas[equipe])*(Metas_Diarias[[#This Row],[data]]&gt;Metas[data_inicio])*(Metas_Diarias[[#This Row],[data]]&lt;Metas[data_fim])),Metas[meta_mensal],0)</f>
        <v>160000</v>
      </c>
      <c r="L434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35" spans="2:12" x14ac:dyDescent="0.3">
      <c r="B435" s="34">
        <v>45724</v>
      </c>
      <c r="C435" s="34" t="str">
        <f>TEXT(Metas_Diarias[[#This Row],[data]],"dddd")</f>
        <v>sábado</v>
      </c>
      <c r="D435" s="33">
        <v>1</v>
      </c>
      <c r="E435" s="33">
        <v>1</v>
      </c>
      <c r="F435" s="18"/>
      <c r="G435" s="35">
        <f>WEEKDAY(Metas_Diarias[[#This Row],[data]])</f>
        <v>7</v>
      </c>
      <c r="H435" s="35">
        <f>IF(Metas_Diarias[[#This Row],[dias_da_demana]]=1,"domingo",IF(Metas_Diarias[[#This Row],[dias_da_demana]]=7,0.5,1))</f>
        <v>0.5</v>
      </c>
      <c r="I435" s="35">
        <f>_xlfn.XLOOKUP(Metas_Diarias[[#This Row],[data]],Feriados[Data],Feriados[Feriado],1)</f>
        <v>1</v>
      </c>
      <c r="J435" s="33" cm="1">
        <f t="array" aca="1" ref="J435" ca="1">SUMPRODUCT(IF((NOT(ISERROR(MATCH(ROW(INDIRECT(DATE(YEAR(B435),MONTH(B435),1)&amp;":"&amp;DATE(YEAR(B435),MONTH(B435)+1,0))),Feriados[Data],0))))=FALSE,
IF(WEEKDAY(ROW(INDIRECT(DATE(YEAR(B435),MONTH(B435),1)&amp;":"&amp;DATE(YEAR(B435),MONTH(B435)+1,0))),2)&lt;=5,1,IF(WEEKDAY(ROW(INDIRECT(DATE(YEAR(B435),MONTH(B435),1)&amp;":"&amp;DATE(YEAR(B435),MONTH(B435)+1,0))),2)=6,0.5,0)),0))</f>
        <v>21.5</v>
      </c>
      <c r="K435" s="22" cm="1">
        <f t="array" ref="K435">_xlfn.XLOOKUP(1,((Metas_Diarias[[#This Row],[tipo_equipe_id]]=Metas[equipe])*(Metas_Diarias[[#This Row],[data]]&gt;Metas[data_inicio])*(Metas_Diarias[[#This Row],[data]]&lt;Metas[data_fim])),Metas[meta_mensal],0)</f>
        <v>160000</v>
      </c>
      <c r="L435" s="24">
        <f ca="1">Metas_Diarias[[#This Row],[meta_mensal]]*IF(Metas_Diarias[[#This Row],[semana]]="domingo",0,Metas_Diarias[[#This Row],[semana]])*IF(Metas_Diarias[[#This Row],[feriado]]&lt;&gt;1,0,1)/Metas_Diarias[[#This Row],[dias_úteis_Mês]]</f>
        <v>3720.9302325581393</v>
      </c>
    </row>
    <row r="436" spans="2:12" x14ac:dyDescent="0.3">
      <c r="B436" s="34">
        <v>45725</v>
      </c>
      <c r="C436" s="34" t="str">
        <f>TEXT(Metas_Diarias[[#This Row],[data]],"dddd")</f>
        <v>domingo</v>
      </c>
      <c r="D436" s="33">
        <v>1</v>
      </c>
      <c r="E436" s="33">
        <v>1</v>
      </c>
      <c r="F436" s="18"/>
      <c r="G436" s="35">
        <f>WEEKDAY(Metas_Diarias[[#This Row],[data]])</f>
        <v>1</v>
      </c>
      <c r="H436" s="35" t="str">
        <f>IF(Metas_Diarias[[#This Row],[dias_da_demana]]=1,"domingo",IF(Metas_Diarias[[#This Row],[dias_da_demana]]=7,0.5,1))</f>
        <v>domingo</v>
      </c>
      <c r="I436" s="35">
        <f>_xlfn.XLOOKUP(Metas_Diarias[[#This Row],[data]],Feriados[Data],Feriados[Feriado],1)</f>
        <v>1</v>
      </c>
      <c r="J436" s="33" cm="1">
        <f t="array" aca="1" ref="J436" ca="1">SUMPRODUCT(IF((NOT(ISERROR(MATCH(ROW(INDIRECT(DATE(YEAR(B436),MONTH(B436),1)&amp;":"&amp;DATE(YEAR(B436),MONTH(B436)+1,0))),Feriados[Data],0))))=FALSE,
IF(WEEKDAY(ROW(INDIRECT(DATE(YEAR(B436),MONTH(B436),1)&amp;":"&amp;DATE(YEAR(B436),MONTH(B436)+1,0))),2)&lt;=5,1,IF(WEEKDAY(ROW(INDIRECT(DATE(YEAR(B436),MONTH(B436),1)&amp;":"&amp;DATE(YEAR(B436),MONTH(B436)+1,0))),2)=6,0.5,0)),0))</f>
        <v>21.5</v>
      </c>
      <c r="K436" s="22" cm="1">
        <f t="array" ref="K436">_xlfn.XLOOKUP(1,((Metas_Diarias[[#This Row],[tipo_equipe_id]]=Metas[equipe])*(Metas_Diarias[[#This Row],[data]]&gt;Metas[data_inicio])*(Metas_Diarias[[#This Row],[data]]&lt;Metas[data_fim])),Metas[meta_mensal],0)</f>
        <v>160000</v>
      </c>
      <c r="L43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37" spans="2:12" x14ac:dyDescent="0.3">
      <c r="B437" s="34">
        <v>45726</v>
      </c>
      <c r="C437" s="34" t="str">
        <f>TEXT(Metas_Diarias[[#This Row],[data]],"dddd")</f>
        <v>segunda-feira</v>
      </c>
      <c r="D437" s="33">
        <v>1</v>
      </c>
      <c r="E437" s="33">
        <v>1</v>
      </c>
      <c r="F437" s="18"/>
      <c r="G437" s="35">
        <f>WEEKDAY(Metas_Diarias[[#This Row],[data]])</f>
        <v>2</v>
      </c>
      <c r="H437" s="35">
        <f>IF(Metas_Diarias[[#This Row],[dias_da_demana]]=1,"domingo",IF(Metas_Diarias[[#This Row],[dias_da_demana]]=7,0.5,1))</f>
        <v>1</v>
      </c>
      <c r="I437" s="35">
        <f>_xlfn.XLOOKUP(Metas_Diarias[[#This Row],[data]],Feriados[Data],Feriados[Feriado],1)</f>
        <v>1</v>
      </c>
      <c r="J437" s="33" cm="1">
        <f t="array" aca="1" ref="J437" ca="1">SUMPRODUCT(IF((NOT(ISERROR(MATCH(ROW(INDIRECT(DATE(YEAR(B437),MONTH(B437),1)&amp;":"&amp;DATE(YEAR(B437),MONTH(B437)+1,0))),Feriados[Data],0))))=FALSE,
IF(WEEKDAY(ROW(INDIRECT(DATE(YEAR(B437),MONTH(B437),1)&amp;":"&amp;DATE(YEAR(B437),MONTH(B437)+1,0))),2)&lt;=5,1,IF(WEEKDAY(ROW(INDIRECT(DATE(YEAR(B437),MONTH(B437),1)&amp;":"&amp;DATE(YEAR(B437),MONTH(B437)+1,0))),2)=6,0.5,0)),0))</f>
        <v>21.5</v>
      </c>
      <c r="K437" s="22" cm="1">
        <f t="array" ref="K437">_xlfn.XLOOKUP(1,((Metas_Diarias[[#This Row],[tipo_equipe_id]]=Metas[equipe])*(Metas_Diarias[[#This Row],[data]]&gt;Metas[data_inicio])*(Metas_Diarias[[#This Row],[data]]&lt;Metas[data_fim])),Metas[meta_mensal],0)</f>
        <v>160000</v>
      </c>
      <c r="L437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38" spans="2:12" x14ac:dyDescent="0.3">
      <c r="B438" s="34">
        <v>45727</v>
      </c>
      <c r="C438" s="34" t="str">
        <f>TEXT(Metas_Diarias[[#This Row],[data]],"dddd")</f>
        <v>terça-feira</v>
      </c>
      <c r="D438" s="33">
        <v>1</v>
      </c>
      <c r="E438" s="33">
        <v>1</v>
      </c>
      <c r="F438" s="18"/>
      <c r="G438" s="35">
        <f>WEEKDAY(Metas_Diarias[[#This Row],[data]])</f>
        <v>3</v>
      </c>
      <c r="H438" s="35">
        <f>IF(Metas_Diarias[[#This Row],[dias_da_demana]]=1,"domingo",IF(Metas_Diarias[[#This Row],[dias_da_demana]]=7,0.5,1))</f>
        <v>1</v>
      </c>
      <c r="I438" s="35">
        <f>_xlfn.XLOOKUP(Metas_Diarias[[#This Row],[data]],Feriados[Data],Feriados[Feriado],1)</f>
        <v>1</v>
      </c>
      <c r="J438" s="33" cm="1">
        <f t="array" aca="1" ref="J438" ca="1">SUMPRODUCT(IF((NOT(ISERROR(MATCH(ROW(INDIRECT(DATE(YEAR(B438),MONTH(B438),1)&amp;":"&amp;DATE(YEAR(B438),MONTH(B438)+1,0))),Feriados[Data],0))))=FALSE,
IF(WEEKDAY(ROW(INDIRECT(DATE(YEAR(B438),MONTH(B438),1)&amp;":"&amp;DATE(YEAR(B438),MONTH(B438)+1,0))),2)&lt;=5,1,IF(WEEKDAY(ROW(INDIRECT(DATE(YEAR(B438),MONTH(B438),1)&amp;":"&amp;DATE(YEAR(B438),MONTH(B438)+1,0))),2)=6,0.5,0)),0))</f>
        <v>21.5</v>
      </c>
      <c r="K438" s="22" cm="1">
        <f t="array" ref="K438">_xlfn.XLOOKUP(1,((Metas_Diarias[[#This Row],[tipo_equipe_id]]=Metas[equipe])*(Metas_Diarias[[#This Row],[data]]&gt;Metas[data_inicio])*(Metas_Diarias[[#This Row],[data]]&lt;Metas[data_fim])),Metas[meta_mensal],0)</f>
        <v>160000</v>
      </c>
      <c r="L438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39" spans="2:12" x14ac:dyDescent="0.3">
      <c r="B439" s="34">
        <v>45728</v>
      </c>
      <c r="C439" s="34" t="str">
        <f>TEXT(Metas_Diarias[[#This Row],[data]],"dddd")</f>
        <v>quarta-feira</v>
      </c>
      <c r="D439" s="33">
        <v>1</v>
      </c>
      <c r="E439" s="33">
        <v>1</v>
      </c>
      <c r="F439" s="18"/>
      <c r="G439" s="35">
        <f>WEEKDAY(Metas_Diarias[[#This Row],[data]])</f>
        <v>4</v>
      </c>
      <c r="H439" s="35">
        <f>IF(Metas_Diarias[[#This Row],[dias_da_demana]]=1,"domingo",IF(Metas_Diarias[[#This Row],[dias_da_demana]]=7,0.5,1))</f>
        <v>1</v>
      </c>
      <c r="I439" s="35">
        <f>_xlfn.XLOOKUP(Metas_Diarias[[#This Row],[data]],Feriados[Data],Feriados[Feriado],1)</f>
        <v>1</v>
      </c>
      <c r="J439" s="33" cm="1">
        <f t="array" aca="1" ref="J439" ca="1">SUMPRODUCT(IF((NOT(ISERROR(MATCH(ROW(INDIRECT(DATE(YEAR(B439),MONTH(B439),1)&amp;":"&amp;DATE(YEAR(B439),MONTH(B439)+1,0))),Feriados[Data],0))))=FALSE,
IF(WEEKDAY(ROW(INDIRECT(DATE(YEAR(B439),MONTH(B439),1)&amp;":"&amp;DATE(YEAR(B439),MONTH(B439)+1,0))),2)&lt;=5,1,IF(WEEKDAY(ROW(INDIRECT(DATE(YEAR(B439),MONTH(B439),1)&amp;":"&amp;DATE(YEAR(B439),MONTH(B439)+1,0))),2)=6,0.5,0)),0))</f>
        <v>21.5</v>
      </c>
      <c r="K439" s="22" cm="1">
        <f t="array" ref="K439">_xlfn.XLOOKUP(1,((Metas_Diarias[[#This Row],[tipo_equipe_id]]=Metas[equipe])*(Metas_Diarias[[#This Row],[data]]&gt;Metas[data_inicio])*(Metas_Diarias[[#This Row],[data]]&lt;Metas[data_fim])),Metas[meta_mensal],0)</f>
        <v>160000</v>
      </c>
      <c r="L439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40" spans="2:12" x14ac:dyDescent="0.3">
      <c r="B440" s="34">
        <v>45729</v>
      </c>
      <c r="C440" s="34" t="str">
        <f>TEXT(Metas_Diarias[[#This Row],[data]],"dddd")</f>
        <v>quinta-feira</v>
      </c>
      <c r="D440" s="33">
        <v>1</v>
      </c>
      <c r="E440" s="33">
        <v>1</v>
      </c>
      <c r="F440" s="18"/>
      <c r="G440" s="35">
        <f>WEEKDAY(Metas_Diarias[[#This Row],[data]])</f>
        <v>5</v>
      </c>
      <c r="H440" s="35">
        <f>IF(Metas_Diarias[[#This Row],[dias_da_demana]]=1,"domingo",IF(Metas_Diarias[[#This Row],[dias_da_demana]]=7,0.5,1))</f>
        <v>1</v>
      </c>
      <c r="I440" s="35">
        <f>_xlfn.XLOOKUP(Metas_Diarias[[#This Row],[data]],Feriados[Data],Feriados[Feriado],1)</f>
        <v>1</v>
      </c>
      <c r="J440" s="33" cm="1">
        <f t="array" aca="1" ref="J440" ca="1">SUMPRODUCT(IF((NOT(ISERROR(MATCH(ROW(INDIRECT(DATE(YEAR(B440),MONTH(B440),1)&amp;":"&amp;DATE(YEAR(B440),MONTH(B440)+1,0))),Feriados[Data],0))))=FALSE,
IF(WEEKDAY(ROW(INDIRECT(DATE(YEAR(B440),MONTH(B440),1)&amp;":"&amp;DATE(YEAR(B440),MONTH(B440)+1,0))),2)&lt;=5,1,IF(WEEKDAY(ROW(INDIRECT(DATE(YEAR(B440),MONTH(B440),1)&amp;":"&amp;DATE(YEAR(B440),MONTH(B440)+1,0))),2)=6,0.5,0)),0))</f>
        <v>21.5</v>
      </c>
      <c r="K440" s="22" cm="1">
        <f t="array" ref="K440">_xlfn.XLOOKUP(1,((Metas_Diarias[[#This Row],[tipo_equipe_id]]=Metas[equipe])*(Metas_Diarias[[#This Row],[data]]&gt;Metas[data_inicio])*(Metas_Diarias[[#This Row],[data]]&lt;Metas[data_fim])),Metas[meta_mensal],0)</f>
        <v>160000</v>
      </c>
      <c r="L440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41" spans="2:12" x14ac:dyDescent="0.3">
      <c r="B441" s="34">
        <v>45730</v>
      </c>
      <c r="C441" s="34" t="str">
        <f>TEXT(Metas_Diarias[[#This Row],[data]],"dddd")</f>
        <v>sexta-feira</v>
      </c>
      <c r="D441" s="33">
        <v>1</v>
      </c>
      <c r="E441" s="33">
        <v>1</v>
      </c>
      <c r="F441" s="18"/>
      <c r="G441" s="35">
        <f>WEEKDAY(Metas_Diarias[[#This Row],[data]])</f>
        <v>6</v>
      </c>
      <c r="H441" s="35">
        <f>IF(Metas_Diarias[[#This Row],[dias_da_demana]]=1,"domingo",IF(Metas_Diarias[[#This Row],[dias_da_demana]]=7,0.5,1))</f>
        <v>1</v>
      </c>
      <c r="I441" s="35">
        <f>_xlfn.XLOOKUP(Metas_Diarias[[#This Row],[data]],Feriados[Data],Feriados[Feriado],1)</f>
        <v>1</v>
      </c>
      <c r="J441" s="33" cm="1">
        <f t="array" aca="1" ref="J441" ca="1">SUMPRODUCT(IF((NOT(ISERROR(MATCH(ROW(INDIRECT(DATE(YEAR(B441),MONTH(B441),1)&amp;":"&amp;DATE(YEAR(B441),MONTH(B441)+1,0))),Feriados[Data],0))))=FALSE,
IF(WEEKDAY(ROW(INDIRECT(DATE(YEAR(B441),MONTH(B441),1)&amp;":"&amp;DATE(YEAR(B441),MONTH(B441)+1,0))),2)&lt;=5,1,IF(WEEKDAY(ROW(INDIRECT(DATE(YEAR(B441),MONTH(B441),1)&amp;":"&amp;DATE(YEAR(B441),MONTH(B441)+1,0))),2)=6,0.5,0)),0))</f>
        <v>21.5</v>
      </c>
      <c r="K441" s="22" cm="1">
        <f t="array" ref="K441">_xlfn.XLOOKUP(1,((Metas_Diarias[[#This Row],[tipo_equipe_id]]=Metas[equipe])*(Metas_Diarias[[#This Row],[data]]&gt;Metas[data_inicio])*(Metas_Diarias[[#This Row],[data]]&lt;Metas[data_fim])),Metas[meta_mensal],0)</f>
        <v>160000</v>
      </c>
      <c r="L441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42" spans="2:12" x14ac:dyDescent="0.3">
      <c r="B442" s="34">
        <v>45731</v>
      </c>
      <c r="C442" s="34" t="str">
        <f>TEXT(Metas_Diarias[[#This Row],[data]],"dddd")</f>
        <v>sábado</v>
      </c>
      <c r="D442" s="33">
        <v>1</v>
      </c>
      <c r="E442" s="33">
        <v>1</v>
      </c>
      <c r="F442" s="18"/>
      <c r="G442" s="35">
        <f>WEEKDAY(Metas_Diarias[[#This Row],[data]])</f>
        <v>7</v>
      </c>
      <c r="H442" s="35">
        <f>IF(Metas_Diarias[[#This Row],[dias_da_demana]]=1,"domingo",IF(Metas_Diarias[[#This Row],[dias_da_demana]]=7,0.5,1))</f>
        <v>0.5</v>
      </c>
      <c r="I442" s="35">
        <f>_xlfn.XLOOKUP(Metas_Diarias[[#This Row],[data]],Feriados[Data],Feriados[Feriado],1)</f>
        <v>1</v>
      </c>
      <c r="J442" s="33" cm="1">
        <f t="array" aca="1" ref="J442" ca="1">SUMPRODUCT(IF((NOT(ISERROR(MATCH(ROW(INDIRECT(DATE(YEAR(B442),MONTH(B442),1)&amp;":"&amp;DATE(YEAR(B442),MONTH(B442)+1,0))),Feriados[Data],0))))=FALSE,
IF(WEEKDAY(ROW(INDIRECT(DATE(YEAR(B442),MONTH(B442),1)&amp;":"&amp;DATE(YEAR(B442),MONTH(B442)+1,0))),2)&lt;=5,1,IF(WEEKDAY(ROW(INDIRECT(DATE(YEAR(B442),MONTH(B442),1)&amp;":"&amp;DATE(YEAR(B442),MONTH(B442)+1,0))),2)=6,0.5,0)),0))</f>
        <v>21.5</v>
      </c>
      <c r="K442" s="22" cm="1">
        <f t="array" ref="K442">_xlfn.XLOOKUP(1,((Metas_Diarias[[#This Row],[tipo_equipe_id]]=Metas[equipe])*(Metas_Diarias[[#This Row],[data]]&gt;Metas[data_inicio])*(Metas_Diarias[[#This Row],[data]]&lt;Metas[data_fim])),Metas[meta_mensal],0)</f>
        <v>160000</v>
      </c>
      <c r="L442" s="24">
        <f ca="1">Metas_Diarias[[#This Row],[meta_mensal]]*IF(Metas_Diarias[[#This Row],[semana]]="domingo",0,Metas_Diarias[[#This Row],[semana]])*IF(Metas_Diarias[[#This Row],[feriado]]&lt;&gt;1,0,1)/Metas_Diarias[[#This Row],[dias_úteis_Mês]]</f>
        <v>3720.9302325581393</v>
      </c>
    </row>
    <row r="443" spans="2:12" x14ac:dyDescent="0.3">
      <c r="B443" s="34">
        <v>45732</v>
      </c>
      <c r="C443" s="34" t="str">
        <f>TEXT(Metas_Diarias[[#This Row],[data]],"dddd")</f>
        <v>domingo</v>
      </c>
      <c r="D443" s="33">
        <v>1</v>
      </c>
      <c r="E443" s="33">
        <v>1</v>
      </c>
      <c r="F443" s="18"/>
      <c r="G443" s="35">
        <f>WEEKDAY(Metas_Diarias[[#This Row],[data]])</f>
        <v>1</v>
      </c>
      <c r="H443" s="35" t="str">
        <f>IF(Metas_Diarias[[#This Row],[dias_da_demana]]=1,"domingo",IF(Metas_Diarias[[#This Row],[dias_da_demana]]=7,0.5,1))</f>
        <v>domingo</v>
      </c>
      <c r="I443" s="35">
        <f>_xlfn.XLOOKUP(Metas_Diarias[[#This Row],[data]],Feriados[Data],Feriados[Feriado],1)</f>
        <v>1</v>
      </c>
      <c r="J443" s="33" cm="1">
        <f t="array" aca="1" ref="J443" ca="1">SUMPRODUCT(IF((NOT(ISERROR(MATCH(ROW(INDIRECT(DATE(YEAR(B443),MONTH(B443),1)&amp;":"&amp;DATE(YEAR(B443),MONTH(B443)+1,0))),Feriados[Data],0))))=FALSE,
IF(WEEKDAY(ROW(INDIRECT(DATE(YEAR(B443),MONTH(B443),1)&amp;":"&amp;DATE(YEAR(B443),MONTH(B443)+1,0))),2)&lt;=5,1,IF(WEEKDAY(ROW(INDIRECT(DATE(YEAR(B443),MONTH(B443),1)&amp;":"&amp;DATE(YEAR(B443),MONTH(B443)+1,0))),2)=6,0.5,0)),0))</f>
        <v>21.5</v>
      </c>
      <c r="K443" s="22" cm="1">
        <f t="array" ref="K443">_xlfn.XLOOKUP(1,((Metas_Diarias[[#This Row],[tipo_equipe_id]]=Metas[equipe])*(Metas_Diarias[[#This Row],[data]]&gt;Metas[data_inicio])*(Metas_Diarias[[#This Row],[data]]&lt;Metas[data_fim])),Metas[meta_mensal],0)</f>
        <v>160000</v>
      </c>
      <c r="L4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44" spans="2:12" x14ac:dyDescent="0.3">
      <c r="B444" s="34">
        <v>45733</v>
      </c>
      <c r="C444" s="34" t="str">
        <f>TEXT(Metas_Diarias[[#This Row],[data]],"dddd")</f>
        <v>segunda-feira</v>
      </c>
      <c r="D444" s="33">
        <v>1</v>
      </c>
      <c r="E444" s="33">
        <v>1</v>
      </c>
      <c r="F444" s="18"/>
      <c r="G444" s="35">
        <f>WEEKDAY(Metas_Diarias[[#This Row],[data]])</f>
        <v>2</v>
      </c>
      <c r="H444" s="35">
        <f>IF(Metas_Diarias[[#This Row],[dias_da_demana]]=1,"domingo",IF(Metas_Diarias[[#This Row],[dias_da_demana]]=7,0.5,1))</f>
        <v>1</v>
      </c>
      <c r="I444" s="35">
        <f>_xlfn.XLOOKUP(Metas_Diarias[[#This Row],[data]],Feriados[Data],Feriados[Feriado],1)</f>
        <v>1</v>
      </c>
      <c r="J444" s="33" cm="1">
        <f t="array" aca="1" ref="J444" ca="1">SUMPRODUCT(IF((NOT(ISERROR(MATCH(ROW(INDIRECT(DATE(YEAR(B444),MONTH(B444),1)&amp;":"&amp;DATE(YEAR(B444),MONTH(B444)+1,0))),Feriados[Data],0))))=FALSE,
IF(WEEKDAY(ROW(INDIRECT(DATE(YEAR(B444),MONTH(B444),1)&amp;":"&amp;DATE(YEAR(B444),MONTH(B444)+1,0))),2)&lt;=5,1,IF(WEEKDAY(ROW(INDIRECT(DATE(YEAR(B444),MONTH(B444),1)&amp;":"&amp;DATE(YEAR(B444),MONTH(B444)+1,0))),2)=6,0.5,0)),0))</f>
        <v>21.5</v>
      </c>
      <c r="K444" s="22" cm="1">
        <f t="array" ref="K444">_xlfn.XLOOKUP(1,((Metas_Diarias[[#This Row],[tipo_equipe_id]]=Metas[equipe])*(Metas_Diarias[[#This Row],[data]]&gt;Metas[data_inicio])*(Metas_Diarias[[#This Row],[data]]&lt;Metas[data_fim])),Metas[meta_mensal],0)</f>
        <v>160000</v>
      </c>
      <c r="L444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45" spans="2:12" x14ac:dyDescent="0.3">
      <c r="B445" s="34">
        <v>45734</v>
      </c>
      <c r="C445" s="34" t="str">
        <f>TEXT(Metas_Diarias[[#This Row],[data]],"dddd")</f>
        <v>terça-feira</v>
      </c>
      <c r="D445" s="33">
        <v>1</v>
      </c>
      <c r="E445" s="33">
        <v>1</v>
      </c>
      <c r="F445" s="18"/>
      <c r="G445" s="35">
        <f>WEEKDAY(Metas_Diarias[[#This Row],[data]])</f>
        <v>3</v>
      </c>
      <c r="H445" s="35">
        <f>IF(Metas_Diarias[[#This Row],[dias_da_demana]]=1,"domingo",IF(Metas_Diarias[[#This Row],[dias_da_demana]]=7,0.5,1))</f>
        <v>1</v>
      </c>
      <c r="I445" s="35">
        <f>_xlfn.XLOOKUP(Metas_Diarias[[#This Row],[data]],Feriados[Data],Feriados[Feriado],1)</f>
        <v>1</v>
      </c>
      <c r="J445" s="33" cm="1">
        <f t="array" aca="1" ref="J445" ca="1">SUMPRODUCT(IF((NOT(ISERROR(MATCH(ROW(INDIRECT(DATE(YEAR(B445),MONTH(B445),1)&amp;":"&amp;DATE(YEAR(B445),MONTH(B445)+1,0))),Feriados[Data],0))))=FALSE,
IF(WEEKDAY(ROW(INDIRECT(DATE(YEAR(B445),MONTH(B445),1)&amp;":"&amp;DATE(YEAR(B445),MONTH(B445)+1,0))),2)&lt;=5,1,IF(WEEKDAY(ROW(INDIRECT(DATE(YEAR(B445),MONTH(B445),1)&amp;":"&amp;DATE(YEAR(B445),MONTH(B445)+1,0))),2)=6,0.5,0)),0))</f>
        <v>21.5</v>
      </c>
      <c r="K445" s="22" cm="1">
        <f t="array" ref="K445">_xlfn.XLOOKUP(1,((Metas_Diarias[[#This Row],[tipo_equipe_id]]=Metas[equipe])*(Metas_Diarias[[#This Row],[data]]&gt;Metas[data_inicio])*(Metas_Diarias[[#This Row],[data]]&lt;Metas[data_fim])),Metas[meta_mensal],0)</f>
        <v>160000</v>
      </c>
      <c r="L445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46" spans="2:12" x14ac:dyDescent="0.3">
      <c r="B446" s="34">
        <v>45735</v>
      </c>
      <c r="C446" s="34" t="str">
        <f>TEXT(Metas_Diarias[[#This Row],[data]],"dddd")</f>
        <v>quarta-feira</v>
      </c>
      <c r="D446" s="33">
        <v>1</v>
      </c>
      <c r="E446" s="33">
        <v>1</v>
      </c>
      <c r="F446" s="18"/>
      <c r="G446" s="35">
        <f>WEEKDAY(Metas_Diarias[[#This Row],[data]])</f>
        <v>4</v>
      </c>
      <c r="H446" s="35">
        <f>IF(Metas_Diarias[[#This Row],[dias_da_demana]]=1,"domingo",IF(Metas_Diarias[[#This Row],[dias_da_demana]]=7,0.5,1))</f>
        <v>1</v>
      </c>
      <c r="I446" s="35">
        <f>_xlfn.XLOOKUP(Metas_Diarias[[#This Row],[data]],Feriados[Data],Feriados[Feriado],1)</f>
        <v>1</v>
      </c>
      <c r="J446" s="33" cm="1">
        <f t="array" aca="1" ref="J446" ca="1">SUMPRODUCT(IF((NOT(ISERROR(MATCH(ROW(INDIRECT(DATE(YEAR(B446),MONTH(B446),1)&amp;":"&amp;DATE(YEAR(B446),MONTH(B446)+1,0))),Feriados[Data],0))))=FALSE,
IF(WEEKDAY(ROW(INDIRECT(DATE(YEAR(B446),MONTH(B446),1)&amp;":"&amp;DATE(YEAR(B446),MONTH(B446)+1,0))),2)&lt;=5,1,IF(WEEKDAY(ROW(INDIRECT(DATE(YEAR(B446),MONTH(B446),1)&amp;":"&amp;DATE(YEAR(B446),MONTH(B446)+1,0))),2)=6,0.5,0)),0))</f>
        <v>21.5</v>
      </c>
      <c r="K446" s="22" cm="1">
        <f t="array" ref="K446">_xlfn.XLOOKUP(1,((Metas_Diarias[[#This Row],[tipo_equipe_id]]=Metas[equipe])*(Metas_Diarias[[#This Row],[data]]&gt;Metas[data_inicio])*(Metas_Diarias[[#This Row],[data]]&lt;Metas[data_fim])),Metas[meta_mensal],0)</f>
        <v>160000</v>
      </c>
      <c r="L446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47" spans="2:12" x14ac:dyDescent="0.3">
      <c r="B447" s="34">
        <v>45736</v>
      </c>
      <c r="C447" s="34" t="str">
        <f>TEXT(Metas_Diarias[[#This Row],[data]],"dddd")</f>
        <v>quinta-feira</v>
      </c>
      <c r="D447" s="33">
        <v>1</v>
      </c>
      <c r="E447" s="33">
        <v>1</v>
      </c>
      <c r="F447" s="18"/>
      <c r="G447" s="35">
        <f>WEEKDAY(Metas_Diarias[[#This Row],[data]])</f>
        <v>5</v>
      </c>
      <c r="H447" s="35">
        <f>IF(Metas_Diarias[[#This Row],[dias_da_demana]]=1,"domingo",IF(Metas_Diarias[[#This Row],[dias_da_demana]]=7,0.5,1))</f>
        <v>1</v>
      </c>
      <c r="I447" s="35">
        <f>_xlfn.XLOOKUP(Metas_Diarias[[#This Row],[data]],Feriados[Data],Feriados[Feriado],1)</f>
        <v>1</v>
      </c>
      <c r="J447" s="33" cm="1">
        <f t="array" aca="1" ref="J447" ca="1">SUMPRODUCT(IF((NOT(ISERROR(MATCH(ROW(INDIRECT(DATE(YEAR(B447),MONTH(B447),1)&amp;":"&amp;DATE(YEAR(B447),MONTH(B447)+1,0))),Feriados[Data],0))))=FALSE,
IF(WEEKDAY(ROW(INDIRECT(DATE(YEAR(B447),MONTH(B447),1)&amp;":"&amp;DATE(YEAR(B447),MONTH(B447)+1,0))),2)&lt;=5,1,IF(WEEKDAY(ROW(INDIRECT(DATE(YEAR(B447),MONTH(B447),1)&amp;":"&amp;DATE(YEAR(B447),MONTH(B447)+1,0))),2)=6,0.5,0)),0))</f>
        <v>21.5</v>
      </c>
      <c r="K447" s="22" cm="1">
        <f t="array" ref="K447">_xlfn.XLOOKUP(1,((Metas_Diarias[[#This Row],[tipo_equipe_id]]=Metas[equipe])*(Metas_Diarias[[#This Row],[data]]&gt;Metas[data_inicio])*(Metas_Diarias[[#This Row],[data]]&lt;Metas[data_fim])),Metas[meta_mensal],0)</f>
        <v>160000</v>
      </c>
      <c r="L447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48" spans="2:12" x14ac:dyDescent="0.3">
      <c r="B448" s="34">
        <v>45737</v>
      </c>
      <c r="C448" s="34" t="str">
        <f>TEXT(Metas_Diarias[[#This Row],[data]],"dddd")</f>
        <v>sexta-feira</v>
      </c>
      <c r="D448" s="33">
        <v>1</v>
      </c>
      <c r="E448" s="33">
        <v>1</v>
      </c>
      <c r="F448" s="18"/>
      <c r="G448" s="35">
        <f>WEEKDAY(Metas_Diarias[[#This Row],[data]])</f>
        <v>6</v>
      </c>
      <c r="H448" s="35">
        <f>IF(Metas_Diarias[[#This Row],[dias_da_demana]]=1,"domingo",IF(Metas_Diarias[[#This Row],[dias_da_demana]]=7,0.5,1))</f>
        <v>1</v>
      </c>
      <c r="I448" s="35">
        <f>_xlfn.XLOOKUP(Metas_Diarias[[#This Row],[data]],Feriados[Data],Feriados[Feriado],1)</f>
        <v>1</v>
      </c>
      <c r="J448" s="33" cm="1">
        <f t="array" aca="1" ref="J448" ca="1">SUMPRODUCT(IF((NOT(ISERROR(MATCH(ROW(INDIRECT(DATE(YEAR(B448),MONTH(B448),1)&amp;":"&amp;DATE(YEAR(B448),MONTH(B448)+1,0))),Feriados[Data],0))))=FALSE,
IF(WEEKDAY(ROW(INDIRECT(DATE(YEAR(B448),MONTH(B448),1)&amp;":"&amp;DATE(YEAR(B448),MONTH(B448)+1,0))),2)&lt;=5,1,IF(WEEKDAY(ROW(INDIRECT(DATE(YEAR(B448),MONTH(B448),1)&amp;":"&amp;DATE(YEAR(B448),MONTH(B448)+1,0))),2)=6,0.5,0)),0))</f>
        <v>21.5</v>
      </c>
      <c r="K448" s="22" cm="1">
        <f t="array" ref="K448">_xlfn.XLOOKUP(1,((Metas_Diarias[[#This Row],[tipo_equipe_id]]=Metas[equipe])*(Metas_Diarias[[#This Row],[data]]&gt;Metas[data_inicio])*(Metas_Diarias[[#This Row],[data]]&lt;Metas[data_fim])),Metas[meta_mensal],0)</f>
        <v>160000</v>
      </c>
      <c r="L448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49" spans="2:12" x14ac:dyDescent="0.3">
      <c r="B449" s="34">
        <v>45738</v>
      </c>
      <c r="C449" s="34" t="str">
        <f>TEXT(Metas_Diarias[[#This Row],[data]],"dddd")</f>
        <v>sábado</v>
      </c>
      <c r="D449" s="33">
        <v>1</v>
      </c>
      <c r="E449" s="33">
        <v>1</v>
      </c>
      <c r="F449" s="18"/>
      <c r="G449" s="35">
        <f>WEEKDAY(Metas_Diarias[[#This Row],[data]])</f>
        <v>7</v>
      </c>
      <c r="H449" s="35">
        <f>IF(Metas_Diarias[[#This Row],[dias_da_demana]]=1,"domingo",IF(Metas_Diarias[[#This Row],[dias_da_demana]]=7,0.5,1))</f>
        <v>0.5</v>
      </c>
      <c r="I449" s="35">
        <f>_xlfn.XLOOKUP(Metas_Diarias[[#This Row],[data]],Feriados[Data],Feriados[Feriado],1)</f>
        <v>1</v>
      </c>
      <c r="J449" s="33" cm="1">
        <f t="array" aca="1" ref="J449" ca="1">SUMPRODUCT(IF((NOT(ISERROR(MATCH(ROW(INDIRECT(DATE(YEAR(B449),MONTH(B449),1)&amp;":"&amp;DATE(YEAR(B449),MONTH(B449)+1,0))),Feriados[Data],0))))=FALSE,
IF(WEEKDAY(ROW(INDIRECT(DATE(YEAR(B449),MONTH(B449),1)&amp;":"&amp;DATE(YEAR(B449),MONTH(B449)+1,0))),2)&lt;=5,1,IF(WEEKDAY(ROW(INDIRECT(DATE(YEAR(B449),MONTH(B449),1)&amp;":"&amp;DATE(YEAR(B449),MONTH(B449)+1,0))),2)=6,0.5,0)),0))</f>
        <v>21.5</v>
      </c>
      <c r="K449" s="22" cm="1">
        <f t="array" ref="K449">_xlfn.XLOOKUP(1,((Metas_Diarias[[#This Row],[tipo_equipe_id]]=Metas[equipe])*(Metas_Diarias[[#This Row],[data]]&gt;Metas[data_inicio])*(Metas_Diarias[[#This Row],[data]]&lt;Metas[data_fim])),Metas[meta_mensal],0)</f>
        <v>160000</v>
      </c>
      <c r="L449" s="24">
        <f ca="1">Metas_Diarias[[#This Row],[meta_mensal]]*IF(Metas_Diarias[[#This Row],[semana]]="domingo",0,Metas_Diarias[[#This Row],[semana]])*IF(Metas_Diarias[[#This Row],[feriado]]&lt;&gt;1,0,1)/Metas_Diarias[[#This Row],[dias_úteis_Mês]]</f>
        <v>3720.9302325581393</v>
      </c>
    </row>
    <row r="450" spans="2:12" x14ac:dyDescent="0.3">
      <c r="B450" s="34">
        <v>45739</v>
      </c>
      <c r="C450" s="34" t="str">
        <f>TEXT(Metas_Diarias[[#This Row],[data]],"dddd")</f>
        <v>domingo</v>
      </c>
      <c r="D450" s="33">
        <v>1</v>
      </c>
      <c r="E450" s="33">
        <v>1</v>
      </c>
      <c r="F450" s="18"/>
      <c r="G450" s="35">
        <f>WEEKDAY(Metas_Diarias[[#This Row],[data]])</f>
        <v>1</v>
      </c>
      <c r="H450" s="35" t="str">
        <f>IF(Metas_Diarias[[#This Row],[dias_da_demana]]=1,"domingo",IF(Metas_Diarias[[#This Row],[dias_da_demana]]=7,0.5,1))</f>
        <v>domingo</v>
      </c>
      <c r="I450" s="35">
        <f>_xlfn.XLOOKUP(Metas_Diarias[[#This Row],[data]],Feriados[Data],Feriados[Feriado],1)</f>
        <v>1</v>
      </c>
      <c r="J450" s="33" cm="1">
        <f t="array" aca="1" ref="J450" ca="1">SUMPRODUCT(IF((NOT(ISERROR(MATCH(ROW(INDIRECT(DATE(YEAR(B450),MONTH(B450),1)&amp;":"&amp;DATE(YEAR(B450),MONTH(B450)+1,0))),Feriados[Data],0))))=FALSE,
IF(WEEKDAY(ROW(INDIRECT(DATE(YEAR(B450),MONTH(B450),1)&amp;":"&amp;DATE(YEAR(B450),MONTH(B450)+1,0))),2)&lt;=5,1,IF(WEEKDAY(ROW(INDIRECT(DATE(YEAR(B450),MONTH(B450),1)&amp;":"&amp;DATE(YEAR(B450),MONTH(B450)+1,0))),2)=6,0.5,0)),0))</f>
        <v>21.5</v>
      </c>
      <c r="K450" s="22" cm="1">
        <f t="array" ref="K450">_xlfn.XLOOKUP(1,((Metas_Diarias[[#This Row],[tipo_equipe_id]]=Metas[equipe])*(Metas_Diarias[[#This Row],[data]]&gt;Metas[data_inicio])*(Metas_Diarias[[#This Row],[data]]&lt;Metas[data_fim])),Metas[meta_mensal],0)</f>
        <v>160000</v>
      </c>
      <c r="L45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51" spans="2:12" x14ac:dyDescent="0.3">
      <c r="B451" s="34">
        <v>45740</v>
      </c>
      <c r="C451" s="34" t="str">
        <f>TEXT(Metas_Diarias[[#This Row],[data]],"dddd")</f>
        <v>segunda-feira</v>
      </c>
      <c r="D451" s="33">
        <v>1</v>
      </c>
      <c r="E451" s="33">
        <v>1</v>
      </c>
      <c r="F451" s="18"/>
      <c r="G451" s="35">
        <f>WEEKDAY(Metas_Diarias[[#This Row],[data]])</f>
        <v>2</v>
      </c>
      <c r="H451" s="35">
        <f>IF(Metas_Diarias[[#This Row],[dias_da_demana]]=1,"domingo",IF(Metas_Diarias[[#This Row],[dias_da_demana]]=7,0.5,1))</f>
        <v>1</v>
      </c>
      <c r="I451" s="35">
        <f>_xlfn.XLOOKUP(Metas_Diarias[[#This Row],[data]],Feriados[Data],Feriados[Feriado],1)</f>
        <v>1</v>
      </c>
      <c r="J451" s="33" cm="1">
        <f t="array" aca="1" ref="J451" ca="1">SUMPRODUCT(IF((NOT(ISERROR(MATCH(ROW(INDIRECT(DATE(YEAR(B451),MONTH(B451),1)&amp;":"&amp;DATE(YEAR(B451),MONTH(B451)+1,0))),Feriados[Data],0))))=FALSE,
IF(WEEKDAY(ROW(INDIRECT(DATE(YEAR(B451),MONTH(B451),1)&amp;":"&amp;DATE(YEAR(B451),MONTH(B451)+1,0))),2)&lt;=5,1,IF(WEEKDAY(ROW(INDIRECT(DATE(YEAR(B451),MONTH(B451),1)&amp;":"&amp;DATE(YEAR(B451),MONTH(B451)+1,0))),2)=6,0.5,0)),0))</f>
        <v>21.5</v>
      </c>
      <c r="K451" s="22" cm="1">
        <f t="array" ref="K451">_xlfn.XLOOKUP(1,((Metas_Diarias[[#This Row],[tipo_equipe_id]]=Metas[equipe])*(Metas_Diarias[[#This Row],[data]]&gt;Metas[data_inicio])*(Metas_Diarias[[#This Row],[data]]&lt;Metas[data_fim])),Metas[meta_mensal],0)</f>
        <v>160000</v>
      </c>
      <c r="L451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52" spans="2:12" x14ac:dyDescent="0.3">
      <c r="B452" s="34">
        <v>45741</v>
      </c>
      <c r="C452" s="34" t="str">
        <f>TEXT(Metas_Diarias[[#This Row],[data]],"dddd")</f>
        <v>terça-feira</v>
      </c>
      <c r="D452" s="33">
        <v>1</v>
      </c>
      <c r="E452" s="33">
        <v>1</v>
      </c>
      <c r="F452" s="18"/>
      <c r="G452" s="35">
        <f>WEEKDAY(Metas_Diarias[[#This Row],[data]])</f>
        <v>3</v>
      </c>
      <c r="H452" s="35">
        <f>IF(Metas_Diarias[[#This Row],[dias_da_demana]]=1,"domingo",IF(Metas_Diarias[[#This Row],[dias_da_demana]]=7,0.5,1))</f>
        <v>1</v>
      </c>
      <c r="I452" s="35">
        <f>_xlfn.XLOOKUP(Metas_Diarias[[#This Row],[data]],Feriados[Data],Feriados[Feriado],1)</f>
        <v>1</v>
      </c>
      <c r="J452" s="33" cm="1">
        <f t="array" aca="1" ref="J452" ca="1">SUMPRODUCT(IF((NOT(ISERROR(MATCH(ROW(INDIRECT(DATE(YEAR(B452),MONTH(B452),1)&amp;":"&amp;DATE(YEAR(B452),MONTH(B452)+1,0))),Feriados[Data],0))))=FALSE,
IF(WEEKDAY(ROW(INDIRECT(DATE(YEAR(B452),MONTH(B452),1)&amp;":"&amp;DATE(YEAR(B452),MONTH(B452)+1,0))),2)&lt;=5,1,IF(WEEKDAY(ROW(INDIRECT(DATE(YEAR(B452),MONTH(B452),1)&amp;":"&amp;DATE(YEAR(B452),MONTH(B452)+1,0))),2)=6,0.5,0)),0))</f>
        <v>21.5</v>
      </c>
      <c r="K452" s="22" cm="1">
        <f t="array" ref="K452">_xlfn.XLOOKUP(1,((Metas_Diarias[[#This Row],[tipo_equipe_id]]=Metas[equipe])*(Metas_Diarias[[#This Row],[data]]&gt;Metas[data_inicio])*(Metas_Diarias[[#This Row],[data]]&lt;Metas[data_fim])),Metas[meta_mensal],0)</f>
        <v>160000</v>
      </c>
      <c r="L452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53" spans="2:12" x14ac:dyDescent="0.3">
      <c r="B453" s="34">
        <v>45742</v>
      </c>
      <c r="C453" s="34" t="str">
        <f>TEXT(Metas_Diarias[[#This Row],[data]],"dddd")</f>
        <v>quarta-feira</v>
      </c>
      <c r="D453" s="33">
        <v>1</v>
      </c>
      <c r="E453" s="33">
        <v>1</v>
      </c>
      <c r="F453" s="18"/>
      <c r="G453" s="35">
        <f>WEEKDAY(Metas_Diarias[[#This Row],[data]])</f>
        <v>4</v>
      </c>
      <c r="H453" s="35">
        <f>IF(Metas_Diarias[[#This Row],[dias_da_demana]]=1,"domingo",IF(Metas_Diarias[[#This Row],[dias_da_demana]]=7,0.5,1))</f>
        <v>1</v>
      </c>
      <c r="I453" s="35">
        <f>_xlfn.XLOOKUP(Metas_Diarias[[#This Row],[data]],Feriados[Data],Feriados[Feriado],1)</f>
        <v>1</v>
      </c>
      <c r="J453" s="33" cm="1">
        <f t="array" aca="1" ref="J453" ca="1">SUMPRODUCT(IF((NOT(ISERROR(MATCH(ROW(INDIRECT(DATE(YEAR(B453),MONTH(B453),1)&amp;":"&amp;DATE(YEAR(B453),MONTH(B453)+1,0))),Feriados[Data],0))))=FALSE,
IF(WEEKDAY(ROW(INDIRECT(DATE(YEAR(B453),MONTH(B453),1)&amp;":"&amp;DATE(YEAR(B453),MONTH(B453)+1,0))),2)&lt;=5,1,IF(WEEKDAY(ROW(INDIRECT(DATE(YEAR(B453),MONTH(B453),1)&amp;":"&amp;DATE(YEAR(B453),MONTH(B453)+1,0))),2)=6,0.5,0)),0))</f>
        <v>21.5</v>
      </c>
      <c r="K453" s="22" cm="1">
        <f t="array" ref="K453">_xlfn.XLOOKUP(1,((Metas_Diarias[[#This Row],[tipo_equipe_id]]=Metas[equipe])*(Metas_Diarias[[#This Row],[data]]&gt;Metas[data_inicio])*(Metas_Diarias[[#This Row],[data]]&lt;Metas[data_fim])),Metas[meta_mensal],0)</f>
        <v>160000</v>
      </c>
      <c r="L453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54" spans="2:12" x14ac:dyDescent="0.3">
      <c r="B454" s="34">
        <v>45743</v>
      </c>
      <c r="C454" s="34" t="str">
        <f>TEXT(Metas_Diarias[[#This Row],[data]],"dddd")</f>
        <v>quinta-feira</v>
      </c>
      <c r="D454" s="33">
        <v>1</v>
      </c>
      <c r="E454" s="33">
        <v>1</v>
      </c>
      <c r="F454" s="18"/>
      <c r="G454" s="35">
        <f>WEEKDAY(Metas_Diarias[[#This Row],[data]])</f>
        <v>5</v>
      </c>
      <c r="H454" s="35">
        <f>IF(Metas_Diarias[[#This Row],[dias_da_demana]]=1,"domingo",IF(Metas_Diarias[[#This Row],[dias_da_demana]]=7,0.5,1))</f>
        <v>1</v>
      </c>
      <c r="I454" s="35">
        <f>_xlfn.XLOOKUP(Metas_Diarias[[#This Row],[data]],Feriados[Data],Feriados[Feriado],1)</f>
        <v>1</v>
      </c>
      <c r="J454" s="33" cm="1">
        <f t="array" aca="1" ref="J454" ca="1">SUMPRODUCT(IF((NOT(ISERROR(MATCH(ROW(INDIRECT(DATE(YEAR(B454),MONTH(B454),1)&amp;":"&amp;DATE(YEAR(B454),MONTH(B454)+1,0))),Feriados[Data],0))))=FALSE,
IF(WEEKDAY(ROW(INDIRECT(DATE(YEAR(B454),MONTH(B454),1)&amp;":"&amp;DATE(YEAR(B454),MONTH(B454)+1,0))),2)&lt;=5,1,IF(WEEKDAY(ROW(INDIRECT(DATE(YEAR(B454),MONTH(B454),1)&amp;":"&amp;DATE(YEAR(B454),MONTH(B454)+1,0))),2)=6,0.5,0)),0))</f>
        <v>21.5</v>
      </c>
      <c r="K454" s="22" cm="1">
        <f t="array" ref="K454">_xlfn.XLOOKUP(1,((Metas_Diarias[[#This Row],[tipo_equipe_id]]=Metas[equipe])*(Metas_Diarias[[#This Row],[data]]&gt;Metas[data_inicio])*(Metas_Diarias[[#This Row],[data]]&lt;Metas[data_fim])),Metas[meta_mensal],0)</f>
        <v>160000</v>
      </c>
      <c r="L454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55" spans="2:12" x14ac:dyDescent="0.3">
      <c r="B455" s="34">
        <v>45744</v>
      </c>
      <c r="C455" s="34" t="str">
        <f>TEXT(Metas_Diarias[[#This Row],[data]],"dddd")</f>
        <v>sexta-feira</v>
      </c>
      <c r="D455" s="33">
        <v>1</v>
      </c>
      <c r="E455" s="33">
        <v>1</v>
      </c>
      <c r="F455" s="18"/>
      <c r="G455" s="35">
        <f>WEEKDAY(Metas_Diarias[[#This Row],[data]])</f>
        <v>6</v>
      </c>
      <c r="H455" s="35">
        <f>IF(Metas_Diarias[[#This Row],[dias_da_demana]]=1,"domingo",IF(Metas_Diarias[[#This Row],[dias_da_demana]]=7,0.5,1))</f>
        <v>1</v>
      </c>
      <c r="I455" s="35">
        <f>_xlfn.XLOOKUP(Metas_Diarias[[#This Row],[data]],Feriados[Data],Feriados[Feriado],1)</f>
        <v>1</v>
      </c>
      <c r="J455" s="33" cm="1">
        <f t="array" aca="1" ref="J455" ca="1">SUMPRODUCT(IF((NOT(ISERROR(MATCH(ROW(INDIRECT(DATE(YEAR(B455),MONTH(B455),1)&amp;":"&amp;DATE(YEAR(B455),MONTH(B455)+1,0))),Feriados[Data],0))))=FALSE,
IF(WEEKDAY(ROW(INDIRECT(DATE(YEAR(B455),MONTH(B455),1)&amp;":"&amp;DATE(YEAR(B455),MONTH(B455)+1,0))),2)&lt;=5,1,IF(WEEKDAY(ROW(INDIRECT(DATE(YEAR(B455),MONTH(B455),1)&amp;":"&amp;DATE(YEAR(B455),MONTH(B455)+1,0))),2)=6,0.5,0)),0))</f>
        <v>21.5</v>
      </c>
      <c r="K455" s="22" cm="1">
        <f t="array" ref="K455">_xlfn.XLOOKUP(1,((Metas_Diarias[[#This Row],[tipo_equipe_id]]=Metas[equipe])*(Metas_Diarias[[#This Row],[data]]&gt;Metas[data_inicio])*(Metas_Diarias[[#This Row],[data]]&lt;Metas[data_fim])),Metas[meta_mensal],0)</f>
        <v>160000</v>
      </c>
      <c r="L455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56" spans="2:12" x14ac:dyDescent="0.3">
      <c r="B456" s="34">
        <v>45745</v>
      </c>
      <c r="C456" s="34" t="str">
        <f>TEXT(Metas_Diarias[[#This Row],[data]],"dddd")</f>
        <v>sábado</v>
      </c>
      <c r="D456" s="33">
        <v>1</v>
      </c>
      <c r="E456" s="33">
        <v>1</v>
      </c>
      <c r="F456" s="18"/>
      <c r="G456" s="35">
        <f>WEEKDAY(Metas_Diarias[[#This Row],[data]])</f>
        <v>7</v>
      </c>
      <c r="H456" s="35">
        <f>IF(Metas_Diarias[[#This Row],[dias_da_demana]]=1,"domingo",IF(Metas_Diarias[[#This Row],[dias_da_demana]]=7,0.5,1))</f>
        <v>0.5</v>
      </c>
      <c r="I456" s="35">
        <f>_xlfn.XLOOKUP(Metas_Diarias[[#This Row],[data]],Feriados[Data],Feriados[Feriado],1)</f>
        <v>1</v>
      </c>
      <c r="J456" s="33" cm="1">
        <f t="array" aca="1" ref="J456" ca="1">SUMPRODUCT(IF((NOT(ISERROR(MATCH(ROW(INDIRECT(DATE(YEAR(B456),MONTH(B456),1)&amp;":"&amp;DATE(YEAR(B456),MONTH(B456)+1,0))),Feriados[Data],0))))=FALSE,
IF(WEEKDAY(ROW(INDIRECT(DATE(YEAR(B456),MONTH(B456),1)&amp;":"&amp;DATE(YEAR(B456),MONTH(B456)+1,0))),2)&lt;=5,1,IF(WEEKDAY(ROW(INDIRECT(DATE(YEAR(B456),MONTH(B456),1)&amp;":"&amp;DATE(YEAR(B456),MONTH(B456)+1,0))),2)=6,0.5,0)),0))</f>
        <v>21.5</v>
      </c>
      <c r="K456" s="22" cm="1">
        <f t="array" ref="K456">_xlfn.XLOOKUP(1,((Metas_Diarias[[#This Row],[tipo_equipe_id]]=Metas[equipe])*(Metas_Diarias[[#This Row],[data]]&gt;Metas[data_inicio])*(Metas_Diarias[[#This Row],[data]]&lt;Metas[data_fim])),Metas[meta_mensal],0)</f>
        <v>160000</v>
      </c>
      <c r="L456" s="24">
        <f ca="1">Metas_Diarias[[#This Row],[meta_mensal]]*IF(Metas_Diarias[[#This Row],[semana]]="domingo",0,Metas_Diarias[[#This Row],[semana]])*IF(Metas_Diarias[[#This Row],[feriado]]&lt;&gt;1,0,1)/Metas_Diarias[[#This Row],[dias_úteis_Mês]]</f>
        <v>3720.9302325581393</v>
      </c>
    </row>
    <row r="457" spans="2:12" x14ac:dyDescent="0.3">
      <c r="B457" s="34">
        <v>45746</v>
      </c>
      <c r="C457" s="34" t="str">
        <f>TEXT(Metas_Diarias[[#This Row],[data]],"dddd")</f>
        <v>domingo</v>
      </c>
      <c r="D457" s="33">
        <v>1</v>
      </c>
      <c r="E457" s="33">
        <v>1</v>
      </c>
      <c r="F457" s="18"/>
      <c r="G457" s="35">
        <f>WEEKDAY(Metas_Diarias[[#This Row],[data]])</f>
        <v>1</v>
      </c>
      <c r="H457" s="35" t="str">
        <f>IF(Metas_Diarias[[#This Row],[dias_da_demana]]=1,"domingo",IF(Metas_Diarias[[#This Row],[dias_da_demana]]=7,0.5,1))</f>
        <v>domingo</v>
      </c>
      <c r="I457" s="35">
        <f>_xlfn.XLOOKUP(Metas_Diarias[[#This Row],[data]],Feriados[Data],Feriados[Feriado],1)</f>
        <v>1</v>
      </c>
      <c r="J457" s="33" cm="1">
        <f t="array" aca="1" ref="J457" ca="1">SUMPRODUCT(IF((NOT(ISERROR(MATCH(ROW(INDIRECT(DATE(YEAR(B457),MONTH(B457),1)&amp;":"&amp;DATE(YEAR(B457),MONTH(B457)+1,0))),Feriados[Data],0))))=FALSE,
IF(WEEKDAY(ROW(INDIRECT(DATE(YEAR(B457),MONTH(B457),1)&amp;":"&amp;DATE(YEAR(B457),MONTH(B457)+1,0))),2)&lt;=5,1,IF(WEEKDAY(ROW(INDIRECT(DATE(YEAR(B457),MONTH(B457),1)&amp;":"&amp;DATE(YEAR(B457),MONTH(B457)+1,0))),2)=6,0.5,0)),0))</f>
        <v>21.5</v>
      </c>
      <c r="K457" s="22" cm="1">
        <f t="array" ref="K457">_xlfn.XLOOKUP(1,((Metas_Diarias[[#This Row],[tipo_equipe_id]]=Metas[equipe])*(Metas_Diarias[[#This Row],[data]]&gt;Metas[data_inicio])*(Metas_Diarias[[#This Row],[data]]&lt;Metas[data_fim])),Metas[meta_mensal],0)</f>
        <v>160000</v>
      </c>
      <c r="L45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58" spans="2:12" x14ac:dyDescent="0.3">
      <c r="B458" s="34">
        <v>45747</v>
      </c>
      <c r="C458" s="34" t="str">
        <f>TEXT(Metas_Diarias[[#This Row],[data]],"dddd")</f>
        <v>segunda-feira</v>
      </c>
      <c r="D458" s="33">
        <v>1</v>
      </c>
      <c r="E458" s="33">
        <v>1</v>
      </c>
      <c r="F458" s="18"/>
      <c r="G458" s="35">
        <f>WEEKDAY(Metas_Diarias[[#This Row],[data]])</f>
        <v>2</v>
      </c>
      <c r="H458" s="35">
        <f>IF(Metas_Diarias[[#This Row],[dias_da_demana]]=1,"domingo",IF(Metas_Diarias[[#This Row],[dias_da_demana]]=7,0.5,1))</f>
        <v>1</v>
      </c>
      <c r="I458" s="35">
        <f>_xlfn.XLOOKUP(Metas_Diarias[[#This Row],[data]],Feriados[Data],Feriados[Feriado],1)</f>
        <v>1</v>
      </c>
      <c r="J458" s="33" cm="1">
        <f t="array" aca="1" ref="J458" ca="1">SUMPRODUCT(IF((NOT(ISERROR(MATCH(ROW(INDIRECT(DATE(YEAR(B458),MONTH(B458),1)&amp;":"&amp;DATE(YEAR(B458),MONTH(B458)+1,0))),Feriados[Data],0))))=FALSE,
IF(WEEKDAY(ROW(INDIRECT(DATE(YEAR(B458),MONTH(B458),1)&amp;":"&amp;DATE(YEAR(B458),MONTH(B458)+1,0))),2)&lt;=5,1,IF(WEEKDAY(ROW(INDIRECT(DATE(YEAR(B458),MONTH(B458),1)&amp;":"&amp;DATE(YEAR(B458),MONTH(B458)+1,0))),2)=6,0.5,0)),0))</f>
        <v>21.5</v>
      </c>
      <c r="K458" s="22" cm="1">
        <f t="array" ref="K458">_xlfn.XLOOKUP(1,((Metas_Diarias[[#This Row],[tipo_equipe_id]]=Metas[equipe])*(Metas_Diarias[[#This Row],[data]]&gt;Metas[data_inicio])*(Metas_Diarias[[#This Row],[data]]&lt;Metas[data_fim])),Metas[meta_mensal],0)</f>
        <v>160000</v>
      </c>
      <c r="L458" s="24">
        <f ca="1">Metas_Diarias[[#This Row],[meta_mensal]]*IF(Metas_Diarias[[#This Row],[semana]]="domingo",0,Metas_Diarias[[#This Row],[semana]])*IF(Metas_Diarias[[#This Row],[feriado]]&lt;&gt;1,0,1)/Metas_Diarias[[#This Row],[dias_úteis_Mês]]</f>
        <v>7441.8604651162786</v>
      </c>
    </row>
    <row r="459" spans="2:12" x14ac:dyDescent="0.3">
      <c r="B459" s="34">
        <v>45748</v>
      </c>
      <c r="C459" s="34" t="str">
        <f>TEXT(Metas_Diarias[[#This Row],[data]],"dddd")</f>
        <v>terça-feira</v>
      </c>
      <c r="D459" s="33">
        <v>1</v>
      </c>
      <c r="E459" s="33">
        <v>1</v>
      </c>
      <c r="F459" s="18"/>
      <c r="G459" s="35">
        <f>WEEKDAY(Metas_Diarias[[#This Row],[data]])</f>
        <v>3</v>
      </c>
      <c r="H459" s="35">
        <f>IF(Metas_Diarias[[#This Row],[dias_da_demana]]=1,"domingo",IF(Metas_Diarias[[#This Row],[dias_da_demana]]=7,0.5,1))</f>
        <v>1</v>
      </c>
      <c r="I459" s="35">
        <f>_xlfn.XLOOKUP(Metas_Diarias[[#This Row],[data]],Feriados[Data],Feriados[Feriado],1)</f>
        <v>1</v>
      </c>
      <c r="J459" s="33" cm="1">
        <f t="array" aca="1" ref="J459" ca="1">SUMPRODUCT(IF((NOT(ISERROR(MATCH(ROW(INDIRECT(DATE(YEAR(B459),MONTH(B459),1)&amp;":"&amp;DATE(YEAR(B459),MONTH(B459)+1,0))),Feriados[Data],0))))=FALSE,
IF(WEEKDAY(ROW(INDIRECT(DATE(YEAR(B459),MONTH(B459),1)&amp;":"&amp;DATE(YEAR(B459),MONTH(B459)+1,0))),2)&lt;=5,1,IF(WEEKDAY(ROW(INDIRECT(DATE(YEAR(B459),MONTH(B459),1)&amp;":"&amp;DATE(YEAR(B459),MONTH(B459)+1,0))),2)=6,0.5,0)),0))</f>
        <v>22</v>
      </c>
      <c r="K459" s="22" cm="1">
        <f t="array" ref="K459">_xlfn.XLOOKUP(1,((Metas_Diarias[[#This Row],[tipo_equipe_id]]=Metas[equipe])*(Metas_Diarias[[#This Row],[data]]&gt;Metas[data_inicio])*(Metas_Diarias[[#This Row],[data]]&lt;Metas[data_fim])),Metas[meta_mensal],0)</f>
        <v>160000</v>
      </c>
      <c r="L45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60" spans="2:12" x14ac:dyDescent="0.3">
      <c r="B460" s="34">
        <v>45749</v>
      </c>
      <c r="C460" s="34" t="str">
        <f>TEXT(Metas_Diarias[[#This Row],[data]],"dddd")</f>
        <v>quarta-feira</v>
      </c>
      <c r="D460" s="33">
        <v>1</v>
      </c>
      <c r="E460" s="33">
        <v>1</v>
      </c>
      <c r="F460" s="18"/>
      <c r="G460" s="35">
        <f>WEEKDAY(Metas_Diarias[[#This Row],[data]])</f>
        <v>4</v>
      </c>
      <c r="H460" s="35">
        <f>IF(Metas_Diarias[[#This Row],[dias_da_demana]]=1,"domingo",IF(Metas_Diarias[[#This Row],[dias_da_demana]]=7,0.5,1))</f>
        <v>1</v>
      </c>
      <c r="I460" s="35">
        <f>_xlfn.XLOOKUP(Metas_Diarias[[#This Row],[data]],Feriados[Data],Feriados[Feriado],1)</f>
        <v>1</v>
      </c>
      <c r="J460" s="33" cm="1">
        <f t="array" aca="1" ref="J460" ca="1">SUMPRODUCT(IF((NOT(ISERROR(MATCH(ROW(INDIRECT(DATE(YEAR(B460),MONTH(B460),1)&amp;":"&amp;DATE(YEAR(B460),MONTH(B460)+1,0))),Feriados[Data],0))))=FALSE,
IF(WEEKDAY(ROW(INDIRECT(DATE(YEAR(B460),MONTH(B460),1)&amp;":"&amp;DATE(YEAR(B460),MONTH(B460)+1,0))),2)&lt;=5,1,IF(WEEKDAY(ROW(INDIRECT(DATE(YEAR(B460),MONTH(B460),1)&amp;":"&amp;DATE(YEAR(B460),MONTH(B460)+1,0))),2)=6,0.5,0)),0))</f>
        <v>22</v>
      </c>
      <c r="K460" s="22" cm="1">
        <f t="array" ref="K460">_xlfn.XLOOKUP(1,((Metas_Diarias[[#This Row],[tipo_equipe_id]]=Metas[equipe])*(Metas_Diarias[[#This Row],[data]]&gt;Metas[data_inicio])*(Metas_Diarias[[#This Row],[data]]&lt;Metas[data_fim])),Metas[meta_mensal],0)</f>
        <v>160000</v>
      </c>
      <c r="L460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61" spans="2:12" x14ac:dyDescent="0.3">
      <c r="B461" s="34">
        <v>45750</v>
      </c>
      <c r="C461" s="34" t="str">
        <f>TEXT(Metas_Diarias[[#This Row],[data]],"dddd")</f>
        <v>quinta-feira</v>
      </c>
      <c r="D461" s="33">
        <v>1</v>
      </c>
      <c r="E461" s="33">
        <v>1</v>
      </c>
      <c r="F461" s="18"/>
      <c r="G461" s="35">
        <f>WEEKDAY(Metas_Diarias[[#This Row],[data]])</f>
        <v>5</v>
      </c>
      <c r="H461" s="35">
        <f>IF(Metas_Diarias[[#This Row],[dias_da_demana]]=1,"domingo",IF(Metas_Diarias[[#This Row],[dias_da_demana]]=7,0.5,1))</f>
        <v>1</v>
      </c>
      <c r="I461" s="35">
        <f>_xlfn.XLOOKUP(Metas_Diarias[[#This Row],[data]],Feriados[Data],Feriados[Feriado],1)</f>
        <v>1</v>
      </c>
      <c r="J461" s="33" cm="1">
        <f t="array" aca="1" ref="J461" ca="1">SUMPRODUCT(IF((NOT(ISERROR(MATCH(ROW(INDIRECT(DATE(YEAR(B461),MONTH(B461),1)&amp;":"&amp;DATE(YEAR(B461),MONTH(B461)+1,0))),Feriados[Data],0))))=FALSE,
IF(WEEKDAY(ROW(INDIRECT(DATE(YEAR(B461),MONTH(B461),1)&amp;":"&amp;DATE(YEAR(B461),MONTH(B461)+1,0))),2)&lt;=5,1,IF(WEEKDAY(ROW(INDIRECT(DATE(YEAR(B461),MONTH(B461),1)&amp;":"&amp;DATE(YEAR(B461),MONTH(B461)+1,0))),2)=6,0.5,0)),0))</f>
        <v>22</v>
      </c>
      <c r="K461" s="22" cm="1">
        <f t="array" ref="K461">_xlfn.XLOOKUP(1,((Metas_Diarias[[#This Row],[tipo_equipe_id]]=Metas[equipe])*(Metas_Diarias[[#This Row],[data]]&gt;Metas[data_inicio])*(Metas_Diarias[[#This Row],[data]]&lt;Metas[data_fim])),Metas[meta_mensal],0)</f>
        <v>160000</v>
      </c>
      <c r="L461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62" spans="2:12" x14ac:dyDescent="0.3">
      <c r="B462" s="34">
        <v>45751</v>
      </c>
      <c r="C462" s="34" t="str">
        <f>TEXT(Metas_Diarias[[#This Row],[data]],"dddd")</f>
        <v>sexta-feira</v>
      </c>
      <c r="D462" s="33">
        <v>1</v>
      </c>
      <c r="E462" s="33">
        <v>1</v>
      </c>
      <c r="F462" s="18"/>
      <c r="G462" s="35">
        <f>WEEKDAY(Metas_Diarias[[#This Row],[data]])</f>
        <v>6</v>
      </c>
      <c r="H462" s="35">
        <f>IF(Metas_Diarias[[#This Row],[dias_da_demana]]=1,"domingo",IF(Metas_Diarias[[#This Row],[dias_da_demana]]=7,0.5,1))</f>
        <v>1</v>
      </c>
      <c r="I462" s="35">
        <f>_xlfn.XLOOKUP(Metas_Diarias[[#This Row],[data]],Feriados[Data],Feriados[Feriado],1)</f>
        <v>1</v>
      </c>
      <c r="J462" s="33" cm="1">
        <f t="array" aca="1" ref="J462" ca="1">SUMPRODUCT(IF((NOT(ISERROR(MATCH(ROW(INDIRECT(DATE(YEAR(B462),MONTH(B462),1)&amp;":"&amp;DATE(YEAR(B462),MONTH(B462)+1,0))),Feriados[Data],0))))=FALSE,
IF(WEEKDAY(ROW(INDIRECT(DATE(YEAR(B462),MONTH(B462),1)&amp;":"&amp;DATE(YEAR(B462),MONTH(B462)+1,0))),2)&lt;=5,1,IF(WEEKDAY(ROW(INDIRECT(DATE(YEAR(B462),MONTH(B462),1)&amp;":"&amp;DATE(YEAR(B462),MONTH(B462)+1,0))),2)=6,0.5,0)),0))</f>
        <v>22</v>
      </c>
      <c r="K462" s="22" cm="1">
        <f t="array" ref="K462">_xlfn.XLOOKUP(1,((Metas_Diarias[[#This Row],[tipo_equipe_id]]=Metas[equipe])*(Metas_Diarias[[#This Row],[data]]&gt;Metas[data_inicio])*(Metas_Diarias[[#This Row],[data]]&lt;Metas[data_fim])),Metas[meta_mensal],0)</f>
        <v>160000</v>
      </c>
      <c r="L46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63" spans="2:12" x14ac:dyDescent="0.3">
      <c r="B463" s="34">
        <v>45752</v>
      </c>
      <c r="C463" s="34" t="str">
        <f>TEXT(Metas_Diarias[[#This Row],[data]],"dddd")</f>
        <v>sábado</v>
      </c>
      <c r="D463" s="33">
        <v>1</v>
      </c>
      <c r="E463" s="33">
        <v>1</v>
      </c>
      <c r="F463" s="18"/>
      <c r="G463" s="35">
        <f>WEEKDAY(Metas_Diarias[[#This Row],[data]])</f>
        <v>7</v>
      </c>
      <c r="H463" s="35">
        <f>IF(Metas_Diarias[[#This Row],[dias_da_demana]]=1,"domingo",IF(Metas_Diarias[[#This Row],[dias_da_demana]]=7,0.5,1))</f>
        <v>0.5</v>
      </c>
      <c r="I463" s="35">
        <f>_xlfn.XLOOKUP(Metas_Diarias[[#This Row],[data]],Feriados[Data],Feriados[Feriado],1)</f>
        <v>1</v>
      </c>
      <c r="J463" s="33" cm="1">
        <f t="array" aca="1" ref="J463" ca="1">SUMPRODUCT(IF((NOT(ISERROR(MATCH(ROW(INDIRECT(DATE(YEAR(B463),MONTH(B463),1)&amp;":"&amp;DATE(YEAR(B463),MONTH(B463)+1,0))),Feriados[Data],0))))=FALSE,
IF(WEEKDAY(ROW(INDIRECT(DATE(YEAR(B463),MONTH(B463),1)&amp;":"&amp;DATE(YEAR(B463),MONTH(B463)+1,0))),2)&lt;=5,1,IF(WEEKDAY(ROW(INDIRECT(DATE(YEAR(B463),MONTH(B463),1)&amp;":"&amp;DATE(YEAR(B463),MONTH(B463)+1,0))),2)=6,0.5,0)),0))</f>
        <v>22</v>
      </c>
      <c r="K463" s="22" cm="1">
        <f t="array" ref="K463">_xlfn.XLOOKUP(1,((Metas_Diarias[[#This Row],[tipo_equipe_id]]=Metas[equipe])*(Metas_Diarias[[#This Row],[data]]&gt;Metas[data_inicio])*(Metas_Diarias[[#This Row],[data]]&lt;Metas[data_fim])),Metas[meta_mensal],0)</f>
        <v>160000</v>
      </c>
      <c r="L463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464" spans="2:12" x14ac:dyDescent="0.3">
      <c r="B464" s="34">
        <v>45753</v>
      </c>
      <c r="C464" s="34" t="str">
        <f>TEXT(Metas_Diarias[[#This Row],[data]],"dddd")</f>
        <v>domingo</v>
      </c>
      <c r="D464" s="33">
        <v>1</v>
      </c>
      <c r="E464" s="33">
        <v>1</v>
      </c>
      <c r="F464" s="18"/>
      <c r="G464" s="35">
        <f>WEEKDAY(Metas_Diarias[[#This Row],[data]])</f>
        <v>1</v>
      </c>
      <c r="H464" s="35" t="str">
        <f>IF(Metas_Diarias[[#This Row],[dias_da_demana]]=1,"domingo",IF(Metas_Diarias[[#This Row],[dias_da_demana]]=7,0.5,1))</f>
        <v>domingo</v>
      </c>
      <c r="I464" s="35">
        <f>_xlfn.XLOOKUP(Metas_Diarias[[#This Row],[data]],Feriados[Data],Feriados[Feriado],1)</f>
        <v>1</v>
      </c>
      <c r="J464" s="33" cm="1">
        <f t="array" aca="1" ref="J464" ca="1">SUMPRODUCT(IF((NOT(ISERROR(MATCH(ROW(INDIRECT(DATE(YEAR(B464),MONTH(B464),1)&amp;":"&amp;DATE(YEAR(B464),MONTH(B464)+1,0))),Feriados[Data],0))))=FALSE,
IF(WEEKDAY(ROW(INDIRECT(DATE(YEAR(B464),MONTH(B464),1)&amp;":"&amp;DATE(YEAR(B464),MONTH(B464)+1,0))),2)&lt;=5,1,IF(WEEKDAY(ROW(INDIRECT(DATE(YEAR(B464),MONTH(B464),1)&amp;":"&amp;DATE(YEAR(B464),MONTH(B464)+1,0))),2)=6,0.5,0)),0))</f>
        <v>22</v>
      </c>
      <c r="K464" s="22" cm="1">
        <f t="array" ref="K464">_xlfn.XLOOKUP(1,((Metas_Diarias[[#This Row],[tipo_equipe_id]]=Metas[equipe])*(Metas_Diarias[[#This Row],[data]]&gt;Metas[data_inicio])*(Metas_Diarias[[#This Row],[data]]&lt;Metas[data_fim])),Metas[meta_mensal],0)</f>
        <v>160000</v>
      </c>
      <c r="L46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65" spans="2:12" x14ac:dyDescent="0.3">
      <c r="B465" s="34">
        <v>45754</v>
      </c>
      <c r="C465" s="34" t="str">
        <f>TEXT(Metas_Diarias[[#This Row],[data]],"dddd")</f>
        <v>segunda-feira</v>
      </c>
      <c r="D465" s="33">
        <v>1</v>
      </c>
      <c r="E465" s="33">
        <v>1</v>
      </c>
      <c r="F465" s="18"/>
      <c r="G465" s="35">
        <f>WEEKDAY(Metas_Diarias[[#This Row],[data]])</f>
        <v>2</v>
      </c>
      <c r="H465" s="35">
        <f>IF(Metas_Diarias[[#This Row],[dias_da_demana]]=1,"domingo",IF(Metas_Diarias[[#This Row],[dias_da_demana]]=7,0.5,1))</f>
        <v>1</v>
      </c>
      <c r="I465" s="35">
        <f>_xlfn.XLOOKUP(Metas_Diarias[[#This Row],[data]],Feriados[Data],Feriados[Feriado],1)</f>
        <v>1</v>
      </c>
      <c r="J465" s="33" cm="1">
        <f t="array" aca="1" ref="J465" ca="1">SUMPRODUCT(IF((NOT(ISERROR(MATCH(ROW(INDIRECT(DATE(YEAR(B465),MONTH(B465),1)&amp;":"&amp;DATE(YEAR(B465),MONTH(B465)+1,0))),Feriados[Data],0))))=FALSE,
IF(WEEKDAY(ROW(INDIRECT(DATE(YEAR(B465),MONTH(B465),1)&amp;":"&amp;DATE(YEAR(B465),MONTH(B465)+1,0))),2)&lt;=5,1,IF(WEEKDAY(ROW(INDIRECT(DATE(YEAR(B465),MONTH(B465),1)&amp;":"&amp;DATE(YEAR(B465),MONTH(B465)+1,0))),2)=6,0.5,0)),0))</f>
        <v>22</v>
      </c>
      <c r="K465" s="22" cm="1">
        <f t="array" ref="K465">_xlfn.XLOOKUP(1,((Metas_Diarias[[#This Row],[tipo_equipe_id]]=Metas[equipe])*(Metas_Diarias[[#This Row],[data]]&gt;Metas[data_inicio])*(Metas_Diarias[[#This Row],[data]]&lt;Metas[data_fim])),Metas[meta_mensal],0)</f>
        <v>160000</v>
      </c>
      <c r="L46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66" spans="2:12" x14ac:dyDescent="0.3">
      <c r="B466" s="34">
        <v>45755</v>
      </c>
      <c r="C466" s="34" t="str">
        <f>TEXT(Metas_Diarias[[#This Row],[data]],"dddd")</f>
        <v>terça-feira</v>
      </c>
      <c r="D466" s="33">
        <v>1</v>
      </c>
      <c r="E466" s="33">
        <v>1</v>
      </c>
      <c r="F466" s="18"/>
      <c r="G466" s="35">
        <f>WEEKDAY(Metas_Diarias[[#This Row],[data]])</f>
        <v>3</v>
      </c>
      <c r="H466" s="35">
        <f>IF(Metas_Diarias[[#This Row],[dias_da_demana]]=1,"domingo",IF(Metas_Diarias[[#This Row],[dias_da_demana]]=7,0.5,1))</f>
        <v>1</v>
      </c>
      <c r="I466" s="35">
        <f>_xlfn.XLOOKUP(Metas_Diarias[[#This Row],[data]],Feriados[Data],Feriados[Feriado],1)</f>
        <v>1</v>
      </c>
      <c r="J466" s="33" cm="1">
        <f t="array" aca="1" ref="J466" ca="1">SUMPRODUCT(IF((NOT(ISERROR(MATCH(ROW(INDIRECT(DATE(YEAR(B466),MONTH(B466),1)&amp;":"&amp;DATE(YEAR(B466),MONTH(B466)+1,0))),Feriados[Data],0))))=FALSE,
IF(WEEKDAY(ROW(INDIRECT(DATE(YEAR(B466),MONTH(B466),1)&amp;":"&amp;DATE(YEAR(B466),MONTH(B466)+1,0))),2)&lt;=5,1,IF(WEEKDAY(ROW(INDIRECT(DATE(YEAR(B466),MONTH(B466),1)&amp;":"&amp;DATE(YEAR(B466),MONTH(B466)+1,0))),2)=6,0.5,0)),0))</f>
        <v>22</v>
      </c>
      <c r="K466" s="22" cm="1">
        <f t="array" ref="K466">_xlfn.XLOOKUP(1,((Metas_Diarias[[#This Row],[tipo_equipe_id]]=Metas[equipe])*(Metas_Diarias[[#This Row],[data]]&gt;Metas[data_inicio])*(Metas_Diarias[[#This Row],[data]]&lt;Metas[data_fim])),Metas[meta_mensal],0)</f>
        <v>160000</v>
      </c>
      <c r="L46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67" spans="2:12" x14ac:dyDescent="0.3">
      <c r="B467" s="34">
        <v>45756</v>
      </c>
      <c r="C467" s="34" t="str">
        <f>TEXT(Metas_Diarias[[#This Row],[data]],"dddd")</f>
        <v>quarta-feira</v>
      </c>
      <c r="D467" s="33">
        <v>1</v>
      </c>
      <c r="E467" s="33">
        <v>1</v>
      </c>
      <c r="F467" s="18"/>
      <c r="G467" s="35">
        <f>WEEKDAY(Metas_Diarias[[#This Row],[data]])</f>
        <v>4</v>
      </c>
      <c r="H467" s="35">
        <f>IF(Metas_Diarias[[#This Row],[dias_da_demana]]=1,"domingo",IF(Metas_Diarias[[#This Row],[dias_da_demana]]=7,0.5,1))</f>
        <v>1</v>
      </c>
      <c r="I467" s="35">
        <f>_xlfn.XLOOKUP(Metas_Diarias[[#This Row],[data]],Feriados[Data],Feriados[Feriado],1)</f>
        <v>1</v>
      </c>
      <c r="J467" s="33" cm="1">
        <f t="array" aca="1" ref="J467" ca="1">SUMPRODUCT(IF((NOT(ISERROR(MATCH(ROW(INDIRECT(DATE(YEAR(B467),MONTH(B467),1)&amp;":"&amp;DATE(YEAR(B467),MONTH(B467)+1,0))),Feriados[Data],0))))=FALSE,
IF(WEEKDAY(ROW(INDIRECT(DATE(YEAR(B467),MONTH(B467),1)&amp;":"&amp;DATE(YEAR(B467),MONTH(B467)+1,0))),2)&lt;=5,1,IF(WEEKDAY(ROW(INDIRECT(DATE(YEAR(B467),MONTH(B467),1)&amp;":"&amp;DATE(YEAR(B467),MONTH(B467)+1,0))),2)=6,0.5,0)),0))</f>
        <v>22</v>
      </c>
      <c r="K467" s="22" cm="1">
        <f t="array" ref="K467">_xlfn.XLOOKUP(1,((Metas_Diarias[[#This Row],[tipo_equipe_id]]=Metas[equipe])*(Metas_Diarias[[#This Row],[data]]&gt;Metas[data_inicio])*(Metas_Diarias[[#This Row],[data]]&lt;Metas[data_fim])),Metas[meta_mensal],0)</f>
        <v>160000</v>
      </c>
      <c r="L467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68" spans="2:12" x14ac:dyDescent="0.3">
      <c r="B468" s="34">
        <v>45757</v>
      </c>
      <c r="C468" s="34" t="str">
        <f>TEXT(Metas_Diarias[[#This Row],[data]],"dddd")</f>
        <v>quinta-feira</v>
      </c>
      <c r="D468" s="33">
        <v>1</v>
      </c>
      <c r="E468" s="33">
        <v>1</v>
      </c>
      <c r="F468" s="18"/>
      <c r="G468" s="35">
        <f>WEEKDAY(Metas_Diarias[[#This Row],[data]])</f>
        <v>5</v>
      </c>
      <c r="H468" s="35">
        <f>IF(Metas_Diarias[[#This Row],[dias_da_demana]]=1,"domingo",IF(Metas_Diarias[[#This Row],[dias_da_demana]]=7,0.5,1))</f>
        <v>1</v>
      </c>
      <c r="I468" s="35">
        <f>_xlfn.XLOOKUP(Metas_Diarias[[#This Row],[data]],Feriados[Data],Feriados[Feriado],1)</f>
        <v>1</v>
      </c>
      <c r="J468" s="33" cm="1">
        <f t="array" aca="1" ref="J468" ca="1">SUMPRODUCT(IF((NOT(ISERROR(MATCH(ROW(INDIRECT(DATE(YEAR(B468),MONTH(B468),1)&amp;":"&amp;DATE(YEAR(B468),MONTH(B468)+1,0))),Feriados[Data],0))))=FALSE,
IF(WEEKDAY(ROW(INDIRECT(DATE(YEAR(B468),MONTH(B468),1)&amp;":"&amp;DATE(YEAR(B468),MONTH(B468)+1,0))),2)&lt;=5,1,IF(WEEKDAY(ROW(INDIRECT(DATE(YEAR(B468),MONTH(B468),1)&amp;":"&amp;DATE(YEAR(B468),MONTH(B468)+1,0))),2)=6,0.5,0)),0))</f>
        <v>22</v>
      </c>
      <c r="K468" s="22" cm="1">
        <f t="array" ref="K468">_xlfn.XLOOKUP(1,((Metas_Diarias[[#This Row],[tipo_equipe_id]]=Metas[equipe])*(Metas_Diarias[[#This Row],[data]]&gt;Metas[data_inicio])*(Metas_Diarias[[#This Row],[data]]&lt;Metas[data_fim])),Metas[meta_mensal],0)</f>
        <v>160000</v>
      </c>
      <c r="L46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69" spans="2:12" x14ac:dyDescent="0.3">
      <c r="B469" s="34">
        <v>45758</v>
      </c>
      <c r="C469" s="34" t="str">
        <f>TEXT(Metas_Diarias[[#This Row],[data]],"dddd")</f>
        <v>sexta-feira</v>
      </c>
      <c r="D469" s="33">
        <v>1</v>
      </c>
      <c r="E469" s="33">
        <v>1</v>
      </c>
      <c r="F469" s="18"/>
      <c r="G469" s="35">
        <f>WEEKDAY(Metas_Diarias[[#This Row],[data]])</f>
        <v>6</v>
      </c>
      <c r="H469" s="35">
        <f>IF(Metas_Diarias[[#This Row],[dias_da_demana]]=1,"domingo",IF(Metas_Diarias[[#This Row],[dias_da_demana]]=7,0.5,1))</f>
        <v>1</v>
      </c>
      <c r="I469" s="35">
        <f>_xlfn.XLOOKUP(Metas_Diarias[[#This Row],[data]],Feriados[Data],Feriados[Feriado],1)</f>
        <v>1</v>
      </c>
      <c r="J469" s="33" cm="1">
        <f t="array" aca="1" ref="J469" ca="1">SUMPRODUCT(IF((NOT(ISERROR(MATCH(ROW(INDIRECT(DATE(YEAR(B469),MONTH(B469),1)&amp;":"&amp;DATE(YEAR(B469),MONTH(B469)+1,0))),Feriados[Data],0))))=FALSE,
IF(WEEKDAY(ROW(INDIRECT(DATE(YEAR(B469),MONTH(B469),1)&amp;":"&amp;DATE(YEAR(B469),MONTH(B469)+1,0))),2)&lt;=5,1,IF(WEEKDAY(ROW(INDIRECT(DATE(YEAR(B469),MONTH(B469),1)&amp;":"&amp;DATE(YEAR(B469),MONTH(B469)+1,0))),2)=6,0.5,0)),0))</f>
        <v>22</v>
      </c>
      <c r="K469" s="22" cm="1">
        <f t="array" ref="K469">_xlfn.XLOOKUP(1,((Metas_Diarias[[#This Row],[tipo_equipe_id]]=Metas[equipe])*(Metas_Diarias[[#This Row],[data]]&gt;Metas[data_inicio])*(Metas_Diarias[[#This Row],[data]]&lt;Metas[data_fim])),Metas[meta_mensal],0)</f>
        <v>160000</v>
      </c>
      <c r="L46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70" spans="2:12" x14ac:dyDescent="0.3">
      <c r="B470" s="34">
        <v>45759</v>
      </c>
      <c r="C470" s="34" t="str">
        <f>TEXT(Metas_Diarias[[#This Row],[data]],"dddd")</f>
        <v>sábado</v>
      </c>
      <c r="D470" s="33">
        <v>1</v>
      </c>
      <c r="E470" s="33">
        <v>1</v>
      </c>
      <c r="F470" s="18"/>
      <c r="G470" s="35">
        <f>WEEKDAY(Metas_Diarias[[#This Row],[data]])</f>
        <v>7</v>
      </c>
      <c r="H470" s="35">
        <f>IF(Metas_Diarias[[#This Row],[dias_da_demana]]=1,"domingo",IF(Metas_Diarias[[#This Row],[dias_da_demana]]=7,0.5,1))</f>
        <v>0.5</v>
      </c>
      <c r="I470" s="35">
        <f>_xlfn.XLOOKUP(Metas_Diarias[[#This Row],[data]],Feriados[Data],Feriados[Feriado],1)</f>
        <v>1</v>
      </c>
      <c r="J470" s="33" cm="1">
        <f t="array" aca="1" ref="J470" ca="1">SUMPRODUCT(IF((NOT(ISERROR(MATCH(ROW(INDIRECT(DATE(YEAR(B470),MONTH(B470),1)&amp;":"&amp;DATE(YEAR(B470),MONTH(B470)+1,0))),Feriados[Data],0))))=FALSE,
IF(WEEKDAY(ROW(INDIRECT(DATE(YEAR(B470),MONTH(B470),1)&amp;":"&amp;DATE(YEAR(B470),MONTH(B470)+1,0))),2)&lt;=5,1,IF(WEEKDAY(ROW(INDIRECT(DATE(YEAR(B470),MONTH(B470),1)&amp;":"&amp;DATE(YEAR(B470),MONTH(B470)+1,0))),2)=6,0.5,0)),0))</f>
        <v>22</v>
      </c>
      <c r="K470" s="22" cm="1">
        <f t="array" ref="K470">_xlfn.XLOOKUP(1,((Metas_Diarias[[#This Row],[tipo_equipe_id]]=Metas[equipe])*(Metas_Diarias[[#This Row],[data]]&gt;Metas[data_inicio])*(Metas_Diarias[[#This Row],[data]]&lt;Metas[data_fim])),Metas[meta_mensal],0)</f>
        <v>160000</v>
      </c>
      <c r="L470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471" spans="2:12" x14ac:dyDescent="0.3">
      <c r="B471" s="34">
        <v>45760</v>
      </c>
      <c r="C471" s="34" t="str">
        <f>TEXT(Metas_Diarias[[#This Row],[data]],"dddd")</f>
        <v>domingo</v>
      </c>
      <c r="D471" s="33">
        <v>1</v>
      </c>
      <c r="E471" s="33">
        <v>1</v>
      </c>
      <c r="F471" s="18"/>
      <c r="G471" s="35">
        <f>WEEKDAY(Metas_Diarias[[#This Row],[data]])</f>
        <v>1</v>
      </c>
      <c r="H471" s="35" t="str">
        <f>IF(Metas_Diarias[[#This Row],[dias_da_demana]]=1,"domingo",IF(Metas_Diarias[[#This Row],[dias_da_demana]]=7,0.5,1))</f>
        <v>domingo</v>
      </c>
      <c r="I471" s="35">
        <f>_xlfn.XLOOKUP(Metas_Diarias[[#This Row],[data]],Feriados[Data],Feriados[Feriado],1)</f>
        <v>1</v>
      </c>
      <c r="J471" s="33" cm="1">
        <f t="array" aca="1" ref="J471" ca="1">SUMPRODUCT(IF((NOT(ISERROR(MATCH(ROW(INDIRECT(DATE(YEAR(B471),MONTH(B471),1)&amp;":"&amp;DATE(YEAR(B471),MONTH(B471)+1,0))),Feriados[Data],0))))=FALSE,
IF(WEEKDAY(ROW(INDIRECT(DATE(YEAR(B471),MONTH(B471),1)&amp;":"&amp;DATE(YEAR(B471),MONTH(B471)+1,0))),2)&lt;=5,1,IF(WEEKDAY(ROW(INDIRECT(DATE(YEAR(B471),MONTH(B471),1)&amp;":"&amp;DATE(YEAR(B471),MONTH(B471)+1,0))),2)=6,0.5,0)),0))</f>
        <v>22</v>
      </c>
      <c r="K471" s="22" cm="1">
        <f t="array" ref="K471">_xlfn.XLOOKUP(1,((Metas_Diarias[[#This Row],[tipo_equipe_id]]=Metas[equipe])*(Metas_Diarias[[#This Row],[data]]&gt;Metas[data_inicio])*(Metas_Diarias[[#This Row],[data]]&lt;Metas[data_fim])),Metas[meta_mensal],0)</f>
        <v>160000</v>
      </c>
      <c r="L4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72" spans="2:12" x14ac:dyDescent="0.3">
      <c r="B472" s="34">
        <v>45761</v>
      </c>
      <c r="C472" s="34" t="str">
        <f>TEXT(Metas_Diarias[[#This Row],[data]],"dddd")</f>
        <v>segunda-feira</v>
      </c>
      <c r="D472" s="33">
        <v>1</v>
      </c>
      <c r="E472" s="33">
        <v>1</v>
      </c>
      <c r="F472" s="18"/>
      <c r="G472" s="35">
        <f>WEEKDAY(Metas_Diarias[[#This Row],[data]])</f>
        <v>2</v>
      </c>
      <c r="H472" s="35">
        <f>IF(Metas_Diarias[[#This Row],[dias_da_demana]]=1,"domingo",IF(Metas_Diarias[[#This Row],[dias_da_demana]]=7,0.5,1))</f>
        <v>1</v>
      </c>
      <c r="I472" s="35">
        <f>_xlfn.XLOOKUP(Metas_Diarias[[#This Row],[data]],Feriados[Data],Feriados[Feriado],1)</f>
        <v>1</v>
      </c>
      <c r="J472" s="33" cm="1">
        <f t="array" aca="1" ref="J472" ca="1">SUMPRODUCT(IF((NOT(ISERROR(MATCH(ROW(INDIRECT(DATE(YEAR(B472),MONTH(B472),1)&amp;":"&amp;DATE(YEAR(B472),MONTH(B472)+1,0))),Feriados[Data],0))))=FALSE,
IF(WEEKDAY(ROW(INDIRECT(DATE(YEAR(B472),MONTH(B472),1)&amp;":"&amp;DATE(YEAR(B472),MONTH(B472)+1,0))),2)&lt;=5,1,IF(WEEKDAY(ROW(INDIRECT(DATE(YEAR(B472),MONTH(B472),1)&amp;":"&amp;DATE(YEAR(B472),MONTH(B472)+1,0))),2)=6,0.5,0)),0))</f>
        <v>22</v>
      </c>
      <c r="K472" s="22" cm="1">
        <f t="array" ref="K472">_xlfn.XLOOKUP(1,((Metas_Diarias[[#This Row],[tipo_equipe_id]]=Metas[equipe])*(Metas_Diarias[[#This Row],[data]]&gt;Metas[data_inicio])*(Metas_Diarias[[#This Row],[data]]&lt;Metas[data_fim])),Metas[meta_mensal],0)</f>
        <v>160000</v>
      </c>
      <c r="L47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73" spans="2:12" x14ac:dyDescent="0.3">
      <c r="B473" s="34">
        <v>45762</v>
      </c>
      <c r="C473" s="34" t="str">
        <f>TEXT(Metas_Diarias[[#This Row],[data]],"dddd")</f>
        <v>terça-feira</v>
      </c>
      <c r="D473" s="33">
        <v>1</v>
      </c>
      <c r="E473" s="33">
        <v>1</v>
      </c>
      <c r="F473" s="18"/>
      <c r="G473" s="35">
        <f>WEEKDAY(Metas_Diarias[[#This Row],[data]])</f>
        <v>3</v>
      </c>
      <c r="H473" s="35">
        <f>IF(Metas_Diarias[[#This Row],[dias_da_demana]]=1,"domingo",IF(Metas_Diarias[[#This Row],[dias_da_demana]]=7,0.5,1))</f>
        <v>1</v>
      </c>
      <c r="I473" s="35">
        <f>_xlfn.XLOOKUP(Metas_Diarias[[#This Row],[data]],Feriados[Data],Feriados[Feriado],1)</f>
        <v>1</v>
      </c>
      <c r="J473" s="33" cm="1">
        <f t="array" aca="1" ref="J473" ca="1">SUMPRODUCT(IF((NOT(ISERROR(MATCH(ROW(INDIRECT(DATE(YEAR(B473),MONTH(B473),1)&amp;":"&amp;DATE(YEAR(B473),MONTH(B473)+1,0))),Feriados[Data],0))))=FALSE,
IF(WEEKDAY(ROW(INDIRECT(DATE(YEAR(B473),MONTH(B473),1)&amp;":"&amp;DATE(YEAR(B473),MONTH(B473)+1,0))),2)&lt;=5,1,IF(WEEKDAY(ROW(INDIRECT(DATE(YEAR(B473),MONTH(B473),1)&amp;":"&amp;DATE(YEAR(B473),MONTH(B473)+1,0))),2)=6,0.5,0)),0))</f>
        <v>22</v>
      </c>
      <c r="K473" s="22" cm="1">
        <f t="array" ref="K473">_xlfn.XLOOKUP(1,((Metas_Diarias[[#This Row],[tipo_equipe_id]]=Metas[equipe])*(Metas_Diarias[[#This Row],[data]]&gt;Metas[data_inicio])*(Metas_Diarias[[#This Row],[data]]&lt;Metas[data_fim])),Metas[meta_mensal],0)</f>
        <v>160000</v>
      </c>
      <c r="L47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74" spans="2:12" x14ac:dyDescent="0.3">
      <c r="B474" s="34">
        <v>45763</v>
      </c>
      <c r="C474" s="34" t="str">
        <f>TEXT(Metas_Diarias[[#This Row],[data]],"dddd")</f>
        <v>quarta-feira</v>
      </c>
      <c r="D474" s="33">
        <v>1</v>
      </c>
      <c r="E474" s="33">
        <v>1</v>
      </c>
      <c r="F474" s="18"/>
      <c r="G474" s="35">
        <f>WEEKDAY(Metas_Diarias[[#This Row],[data]])</f>
        <v>4</v>
      </c>
      <c r="H474" s="35">
        <f>IF(Metas_Diarias[[#This Row],[dias_da_demana]]=1,"domingo",IF(Metas_Diarias[[#This Row],[dias_da_demana]]=7,0.5,1))</f>
        <v>1</v>
      </c>
      <c r="I474" s="35">
        <f>_xlfn.XLOOKUP(Metas_Diarias[[#This Row],[data]],Feriados[Data],Feriados[Feriado],1)</f>
        <v>1</v>
      </c>
      <c r="J474" s="33" cm="1">
        <f t="array" aca="1" ref="J474" ca="1">SUMPRODUCT(IF((NOT(ISERROR(MATCH(ROW(INDIRECT(DATE(YEAR(B474),MONTH(B474),1)&amp;":"&amp;DATE(YEAR(B474),MONTH(B474)+1,0))),Feriados[Data],0))))=FALSE,
IF(WEEKDAY(ROW(INDIRECT(DATE(YEAR(B474),MONTH(B474),1)&amp;":"&amp;DATE(YEAR(B474),MONTH(B474)+1,0))),2)&lt;=5,1,IF(WEEKDAY(ROW(INDIRECT(DATE(YEAR(B474),MONTH(B474),1)&amp;":"&amp;DATE(YEAR(B474),MONTH(B474)+1,0))),2)=6,0.5,0)),0))</f>
        <v>22</v>
      </c>
      <c r="K474" s="22" cm="1">
        <f t="array" ref="K474">_xlfn.XLOOKUP(1,((Metas_Diarias[[#This Row],[tipo_equipe_id]]=Metas[equipe])*(Metas_Diarias[[#This Row],[data]]&gt;Metas[data_inicio])*(Metas_Diarias[[#This Row],[data]]&lt;Metas[data_fim])),Metas[meta_mensal],0)</f>
        <v>160000</v>
      </c>
      <c r="L474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75" spans="2:12" x14ac:dyDescent="0.3">
      <c r="B475" s="34">
        <v>45764</v>
      </c>
      <c r="C475" s="34" t="str">
        <f>TEXT(Metas_Diarias[[#This Row],[data]],"dddd")</f>
        <v>quinta-feira</v>
      </c>
      <c r="D475" s="33">
        <v>1</v>
      </c>
      <c r="E475" s="33">
        <v>1</v>
      </c>
      <c r="F475" s="18"/>
      <c r="G475" s="35">
        <f>WEEKDAY(Metas_Diarias[[#This Row],[data]])</f>
        <v>5</v>
      </c>
      <c r="H475" s="35">
        <f>IF(Metas_Diarias[[#This Row],[dias_da_demana]]=1,"domingo",IF(Metas_Diarias[[#This Row],[dias_da_demana]]=7,0.5,1))</f>
        <v>1</v>
      </c>
      <c r="I475" s="35">
        <f>_xlfn.XLOOKUP(Metas_Diarias[[#This Row],[data]],Feriados[Data],Feriados[Feriado],1)</f>
        <v>1</v>
      </c>
      <c r="J475" s="33" cm="1">
        <f t="array" aca="1" ref="J475" ca="1">SUMPRODUCT(IF((NOT(ISERROR(MATCH(ROW(INDIRECT(DATE(YEAR(B475),MONTH(B475),1)&amp;":"&amp;DATE(YEAR(B475),MONTH(B475)+1,0))),Feriados[Data],0))))=FALSE,
IF(WEEKDAY(ROW(INDIRECT(DATE(YEAR(B475),MONTH(B475),1)&amp;":"&amp;DATE(YEAR(B475),MONTH(B475)+1,0))),2)&lt;=5,1,IF(WEEKDAY(ROW(INDIRECT(DATE(YEAR(B475),MONTH(B475),1)&amp;":"&amp;DATE(YEAR(B475),MONTH(B475)+1,0))),2)=6,0.5,0)),0))</f>
        <v>22</v>
      </c>
      <c r="K475" s="22" cm="1">
        <f t="array" ref="K475">_xlfn.XLOOKUP(1,((Metas_Diarias[[#This Row],[tipo_equipe_id]]=Metas[equipe])*(Metas_Diarias[[#This Row],[data]]&gt;Metas[data_inicio])*(Metas_Diarias[[#This Row],[data]]&lt;Metas[data_fim])),Metas[meta_mensal],0)</f>
        <v>160000</v>
      </c>
      <c r="L47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76" spans="2:12" x14ac:dyDescent="0.3">
      <c r="B476" s="34">
        <v>45765</v>
      </c>
      <c r="C476" s="34" t="str">
        <f>TEXT(Metas_Diarias[[#This Row],[data]],"dddd")</f>
        <v>sexta-feira</v>
      </c>
      <c r="D476" s="33">
        <v>1</v>
      </c>
      <c r="E476" s="33">
        <v>1</v>
      </c>
      <c r="F476" s="18"/>
      <c r="G476" s="35">
        <f>WEEKDAY(Metas_Diarias[[#This Row],[data]])</f>
        <v>6</v>
      </c>
      <c r="H476" s="35">
        <f>IF(Metas_Diarias[[#This Row],[dias_da_demana]]=1,"domingo",IF(Metas_Diarias[[#This Row],[dias_da_demana]]=7,0.5,1))</f>
        <v>1</v>
      </c>
      <c r="I476" s="35" t="str">
        <f>_xlfn.XLOOKUP(Metas_Diarias[[#This Row],[data]],Feriados[Data],Feriados[Feriado],1)</f>
        <v>Paixão de Cristo</v>
      </c>
      <c r="J476" s="33" cm="1">
        <f t="array" aca="1" ref="J476" ca="1">SUMPRODUCT(IF((NOT(ISERROR(MATCH(ROW(INDIRECT(DATE(YEAR(B476),MONTH(B476),1)&amp;":"&amp;DATE(YEAR(B476),MONTH(B476)+1,0))),Feriados[Data],0))))=FALSE,
IF(WEEKDAY(ROW(INDIRECT(DATE(YEAR(B476),MONTH(B476),1)&amp;":"&amp;DATE(YEAR(B476),MONTH(B476)+1,0))),2)&lt;=5,1,IF(WEEKDAY(ROW(INDIRECT(DATE(YEAR(B476),MONTH(B476),1)&amp;":"&amp;DATE(YEAR(B476),MONTH(B476)+1,0))),2)=6,0.5,0)),0))</f>
        <v>22</v>
      </c>
      <c r="K476" s="22" cm="1">
        <f t="array" ref="K476">_xlfn.XLOOKUP(1,((Metas_Diarias[[#This Row],[tipo_equipe_id]]=Metas[equipe])*(Metas_Diarias[[#This Row],[data]]&gt;Metas[data_inicio])*(Metas_Diarias[[#This Row],[data]]&lt;Metas[data_fim])),Metas[meta_mensal],0)</f>
        <v>160000</v>
      </c>
      <c r="L47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77" spans="2:12" x14ac:dyDescent="0.3">
      <c r="B477" s="34">
        <v>45766</v>
      </c>
      <c r="C477" s="34" t="str">
        <f>TEXT(Metas_Diarias[[#This Row],[data]],"dddd")</f>
        <v>sábado</v>
      </c>
      <c r="D477" s="33">
        <v>1</v>
      </c>
      <c r="E477" s="33">
        <v>1</v>
      </c>
      <c r="F477" s="18"/>
      <c r="G477" s="35">
        <f>WEEKDAY(Metas_Diarias[[#This Row],[data]])</f>
        <v>7</v>
      </c>
      <c r="H477" s="35">
        <f>IF(Metas_Diarias[[#This Row],[dias_da_demana]]=1,"domingo",IF(Metas_Diarias[[#This Row],[dias_da_demana]]=7,0.5,1))</f>
        <v>0.5</v>
      </c>
      <c r="I477" s="35">
        <f>_xlfn.XLOOKUP(Metas_Diarias[[#This Row],[data]],Feriados[Data],Feriados[Feriado],1)</f>
        <v>1</v>
      </c>
      <c r="J477" s="33" cm="1">
        <f t="array" aca="1" ref="J477" ca="1">SUMPRODUCT(IF((NOT(ISERROR(MATCH(ROW(INDIRECT(DATE(YEAR(B477),MONTH(B477),1)&amp;":"&amp;DATE(YEAR(B477),MONTH(B477)+1,0))),Feriados[Data],0))))=FALSE,
IF(WEEKDAY(ROW(INDIRECT(DATE(YEAR(B477),MONTH(B477),1)&amp;":"&amp;DATE(YEAR(B477),MONTH(B477)+1,0))),2)&lt;=5,1,IF(WEEKDAY(ROW(INDIRECT(DATE(YEAR(B477),MONTH(B477),1)&amp;":"&amp;DATE(YEAR(B477),MONTH(B477)+1,0))),2)=6,0.5,0)),0))</f>
        <v>22</v>
      </c>
      <c r="K477" s="22" cm="1">
        <f t="array" ref="K477">_xlfn.XLOOKUP(1,((Metas_Diarias[[#This Row],[tipo_equipe_id]]=Metas[equipe])*(Metas_Diarias[[#This Row],[data]]&gt;Metas[data_inicio])*(Metas_Diarias[[#This Row],[data]]&lt;Metas[data_fim])),Metas[meta_mensal],0)</f>
        <v>160000</v>
      </c>
      <c r="L477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478" spans="2:12" x14ac:dyDescent="0.3">
      <c r="B478" s="34">
        <v>45767</v>
      </c>
      <c r="C478" s="34" t="str">
        <f>TEXT(Metas_Diarias[[#This Row],[data]],"dddd")</f>
        <v>domingo</v>
      </c>
      <c r="D478" s="33">
        <v>1</v>
      </c>
      <c r="E478" s="33">
        <v>1</v>
      </c>
      <c r="F478" s="18"/>
      <c r="G478" s="35">
        <f>WEEKDAY(Metas_Diarias[[#This Row],[data]])</f>
        <v>1</v>
      </c>
      <c r="H478" s="35" t="str">
        <f>IF(Metas_Diarias[[#This Row],[dias_da_demana]]=1,"domingo",IF(Metas_Diarias[[#This Row],[dias_da_demana]]=7,0.5,1))</f>
        <v>domingo</v>
      </c>
      <c r="I478" s="35">
        <f>_xlfn.XLOOKUP(Metas_Diarias[[#This Row],[data]],Feriados[Data],Feriados[Feriado],1)</f>
        <v>1</v>
      </c>
      <c r="J478" s="33" cm="1">
        <f t="array" aca="1" ref="J478" ca="1">SUMPRODUCT(IF((NOT(ISERROR(MATCH(ROW(INDIRECT(DATE(YEAR(B478),MONTH(B478),1)&amp;":"&amp;DATE(YEAR(B478),MONTH(B478)+1,0))),Feriados[Data],0))))=FALSE,
IF(WEEKDAY(ROW(INDIRECT(DATE(YEAR(B478),MONTH(B478),1)&amp;":"&amp;DATE(YEAR(B478),MONTH(B478)+1,0))),2)&lt;=5,1,IF(WEEKDAY(ROW(INDIRECT(DATE(YEAR(B478),MONTH(B478),1)&amp;":"&amp;DATE(YEAR(B478),MONTH(B478)+1,0))),2)=6,0.5,0)),0))</f>
        <v>22</v>
      </c>
      <c r="K478" s="22" cm="1">
        <f t="array" ref="K478">_xlfn.XLOOKUP(1,((Metas_Diarias[[#This Row],[tipo_equipe_id]]=Metas[equipe])*(Metas_Diarias[[#This Row],[data]]&gt;Metas[data_inicio])*(Metas_Diarias[[#This Row],[data]]&lt;Metas[data_fim])),Metas[meta_mensal],0)</f>
        <v>160000</v>
      </c>
      <c r="L4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79" spans="2:12" x14ac:dyDescent="0.3">
      <c r="B479" s="34">
        <v>45768</v>
      </c>
      <c r="C479" s="34" t="str">
        <f>TEXT(Metas_Diarias[[#This Row],[data]],"dddd")</f>
        <v>segunda-feira</v>
      </c>
      <c r="D479" s="33">
        <v>1</v>
      </c>
      <c r="E479" s="33">
        <v>1</v>
      </c>
      <c r="F479" s="18"/>
      <c r="G479" s="35">
        <f>WEEKDAY(Metas_Diarias[[#This Row],[data]])</f>
        <v>2</v>
      </c>
      <c r="H479" s="35">
        <f>IF(Metas_Diarias[[#This Row],[dias_da_demana]]=1,"domingo",IF(Metas_Diarias[[#This Row],[dias_da_demana]]=7,0.5,1))</f>
        <v>1</v>
      </c>
      <c r="I479" s="35" t="str">
        <f>_xlfn.XLOOKUP(Metas_Diarias[[#This Row],[data]],Feriados[Data],Feriados[Feriado],1)</f>
        <v>Tiradentes</v>
      </c>
      <c r="J479" s="33" cm="1">
        <f t="array" aca="1" ref="J479" ca="1">SUMPRODUCT(IF((NOT(ISERROR(MATCH(ROW(INDIRECT(DATE(YEAR(B479),MONTH(B479),1)&amp;":"&amp;DATE(YEAR(B479),MONTH(B479)+1,0))),Feriados[Data],0))))=FALSE,
IF(WEEKDAY(ROW(INDIRECT(DATE(YEAR(B479),MONTH(B479),1)&amp;":"&amp;DATE(YEAR(B479),MONTH(B479)+1,0))),2)&lt;=5,1,IF(WEEKDAY(ROW(INDIRECT(DATE(YEAR(B479),MONTH(B479),1)&amp;":"&amp;DATE(YEAR(B479),MONTH(B479)+1,0))),2)=6,0.5,0)),0))</f>
        <v>22</v>
      </c>
      <c r="K479" s="22" cm="1">
        <f t="array" ref="K479">_xlfn.XLOOKUP(1,((Metas_Diarias[[#This Row],[tipo_equipe_id]]=Metas[equipe])*(Metas_Diarias[[#This Row],[data]]&gt;Metas[data_inicio])*(Metas_Diarias[[#This Row],[data]]&lt;Metas[data_fim])),Metas[meta_mensal],0)</f>
        <v>160000</v>
      </c>
      <c r="L4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80" spans="2:12" x14ac:dyDescent="0.3">
      <c r="B480" s="34">
        <v>45769</v>
      </c>
      <c r="C480" s="34" t="str">
        <f>TEXT(Metas_Diarias[[#This Row],[data]],"dddd")</f>
        <v>terça-feira</v>
      </c>
      <c r="D480" s="33">
        <v>1</v>
      </c>
      <c r="E480" s="33">
        <v>1</v>
      </c>
      <c r="F480" s="18"/>
      <c r="G480" s="35">
        <f>WEEKDAY(Metas_Diarias[[#This Row],[data]])</f>
        <v>3</v>
      </c>
      <c r="H480" s="35">
        <f>IF(Metas_Diarias[[#This Row],[dias_da_demana]]=1,"domingo",IF(Metas_Diarias[[#This Row],[dias_da_demana]]=7,0.5,1))</f>
        <v>1</v>
      </c>
      <c r="I480" s="35">
        <f>_xlfn.XLOOKUP(Metas_Diarias[[#This Row],[data]],Feriados[Data],Feriados[Feriado],1)</f>
        <v>1</v>
      </c>
      <c r="J480" s="33" cm="1">
        <f t="array" aca="1" ref="J480" ca="1">SUMPRODUCT(IF((NOT(ISERROR(MATCH(ROW(INDIRECT(DATE(YEAR(B480),MONTH(B480),1)&amp;":"&amp;DATE(YEAR(B480),MONTH(B480)+1,0))),Feriados[Data],0))))=FALSE,
IF(WEEKDAY(ROW(INDIRECT(DATE(YEAR(B480),MONTH(B480),1)&amp;":"&amp;DATE(YEAR(B480),MONTH(B480)+1,0))),2)&lt;=5,1,IF(WEEKDAY(ROW(INDIRECT(DATE(YEAR(B480),MONTH(B480),1)&amp;":"&amp;DATE(YEAR(B480),MONTH(B480)+1,0))),2)=6,0.5,0)),0))</f>
        <v>22</v>
      </c>
      <c r="K480" s="22" cm="1">
        <f t="array" ref="K480">_xlfn.XLOOKUP(1,((Metas_Diarias[[#This Row],[tipo_equipe_id]]=Metas[equipe])*(Metas_Diarias[[#This Row],[data]]&gt;Metas[data_inicio])*(Metas_Diarias[[#This Row],[data]]&lt;Metas[data_fim])),Metas[meta_mensal],0)</f>
        <v>160000</v>
      </c>
      <c r="L480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81" spans="2:12" x14ac:dyDescent="0.3">
      <c r="B481" s="34">
        <v>45770</v>
      </c>
      <c r="C481" s="34" t="str">
        <f>TEXT(Metas_Diarias[[#This Row],[data]],"dddd")</f>
        <v>quarta-feira</v>
      </c>
      <c r="D481" s="33">
        <v>1</v>
      </c>
      <c r="E481" s="33">
        <v>1</v>
      </c>
      <c r="F481" s="18"/>
      <c r="G481" s="35">
        <f>WEEKDAY(Metas_Diarias[[#This Row],[data]])</f>
        <v>4</v>
      </c>
      <c r="H481" s="35">
        <f>IF(Metas_Diarias[[#This Row],[dias_da_demana]]=1,"domingo",IF(Metas_Diarias[[#This Row],[dias_da_demana]]=7,0.5,1))</f>
        <v>1</v>
      </c>
      <c r="I481" s="35">
        <f>_xlfn.XLOOKUP(Metas_Diarias[[#This Row],[data]],Feriados[Data],Feriados[Feriado],1)</f>
        <v>1</v>
      </c>
      <c r="J481" s="33" cm="1">
        <f t="array" aca="1" ref="J481" ca="1">SUMPRODUCT(IF((NOT(ISERROR(MATCH(ROW(INDIRECT(DATE(YEAR(B481),MONTH(B481),1)&amp;":"&amp;DATE(YEAR(B481),MONTH(B481)+1,0))),Feriados[Data],0))))=FALSE,
IF(WEEKDAY(ROW(INDIRECT(DATE(YEAR(B481),MONTH(B481),1)&amp;":"&amp;DATE(YEAR(B481),MONTH(B481)+1,0))),2)&lt;=5,1,IF(WEEKDAY(ROW(INDIRECT(DATE(YEAR(B481),MONTH(B481),1)&amp;":"&amp;DATE(YEAR(B481),MONTH(B481)+1,0))),2)=6,0.5,0)),0))</f>
        <v>22</v>
      </c>
      <c r="K481" s="22" cm="1">
        <f t="array" ref="K481">_xlfn.XLOOKUP(1,((Metas_Diarias[[#This Row],[tipo_equipe_id]]=Metas[equipe])*(Metas_Diarias[[#This Row],[data]]&gt;Metas[data_inicio])*(Metas_Diarias[[#This Row],[data]]&lt;Metas[data_fim])),Metas[meta_mensal],0)</f>
        <v>160000</v>
      </c>
      <c r="L481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82" spans="2:12" x14ac:dyDescent="0.3">
      <c r="B482" s="34">
        <v>45771</v>
      </c>
      <c r="C482" s="34" t="str">
        <f>TEXT(Metas_Diarias[[#This Row],[data]],"dddd")</f>
        <v>quinta-feira</v>
      </c>
      <c r="D482" s="33">
        <v>1</v>
      </c>
      <c r="E482" s="33">
        <v>1</v>
      </c>
      <c r="F482" s="18"/>
      <c r="G482" s="35">
        <f>WEEKDAY(Metas_Diarias[[#This Row],[data]])</f>
        <v>5</v>
      </c>
      <c r="H482" s="35">
        <f>IF(Metas_Diarias[[#This Row],[dias_da_demana]]=1,"domingo",IF(Metas_Diarias[[#This Row],[dias_da_demana]]=7,0.5,1))</f>
        <v>1</v>
      </c>
      <c r="I482" s="35">
        <f>_xlfn.XLOOKUP(Metas_Diarias[[#This Row],[data]],Feriados[Data],Feriados[Feriado],1)</f>
        <v>1</v>
      </c>
      <c r="J482" s="33" cm="1">
        <f t="array" aca="1" ref="J482" ca="1">SUMPRODUCT(IF((NOT(ISERROR(MATCH(ROW(INDIRECT(DATE(YEAR(B482),MONTH(B482),1)&amp;":"&amp;DATE(YEAR(B482),MONTH(B482)+1,0))),Feriados[Data],0))))=FALSE,
IF(WEEKDAY(ROW(INDIRECT(DATE(YEAR(B482),MONTH(B482),1)&amp;":"&amp;DATE(YEAR(B482),MONTH(B482)+1,0))),2)&lt;=5,1,IF(WEEKDAY(ROW(INDIRECT(DATE(YEAR(B482),MONTH(B482),1)&amp;":"&amp;DATE(YEAR(B482),MONTH(B482)+1,0))),2)=6,0.5,0)),0))</f>
        <v>22</v>
      </c>
      <c r="K482" s="22" cm="1">
        <f t="array" ref="K482">_xlfn.XLOOKUP(1,((Metas_Diarias[[#This Row],[tipo_equipe_id]]=Metas[equipe])*(Metas_Diarias[[#This Row],[data]]&gt;Metas[data_inicio])*(Metas_Diarias[[#This Row],[data]]&lt;Metas[data_fim])),Metas[meta_mensal],0)</f>
        <v>160000</v>
      </c>
      <c r="L48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83" spans="2:12" x14ac:dyDescent="0.3">
      <c r="B483" s="34">
        <v>45772</v>
      </c>
      <c r="C483" s="34" t="str">
        <f>TEXT(Metas_Diarias[[#This Row],[data]],"dddd")</f>
        <v>sexta-feira</v>
      </c>
      <c r="D483" s="33">
        <v>1</v>
      </c>
      <c r="E483" s="33">
        <v>1</v>
      </c>
      <c r="F483" s="18"/>
      <c r="G483" s="35">
        <f>WEEKDAY(Metas_Diarias[[#This Row],[data]])</f>
        <v>6</v>
      </c>
      <c r="H483" s="35">
        <f>IF(Metas_Diarias[[#This Row],[dias_da_demana]]=1,"domingo",IF(Metas_Diarias[[#This Row],[dias_da_demana]]=7,0.5,1))</f>
        <v>1</v>
      </c>
      <c r="I483" s="35">
        <f>_xlfn.XLOOKUP(Metas_Diarias[[#This Row],[data]],Feriados[Data],Feriados[Feriado],1)</f>
        <v>1</v>
      </c>
      <c r="J483" s="33" cm="1">
        <f t="array" aca="1" ref="J483" ca="1">SUMPRODUCT(IF((NOT(ISERROR(MATCH(ROW(INDIRECT(DATE(YEAR(B483),MONTH(B483),1)&amp;":"&amp;DATE(YEAR(B483),MONTH(B483)+1,0))),Feriados[Data],0))))=FALSE,
IF(WEEKDAY(ROW(INDIRECT(DATE(YEAR(B483),MONTH(B483),1)&amp;":"&amp;DATE(YEAR(B483),MONTH(B483)+1,0))),2)&lt;=5,1,IF(WEEKDAY(ROW(INDIRECT(DATE(YEAR(B483),MONTH(B483),1)&amp;":"&amp;DATE(YEAR(B483),MONTH(B483)+1,0))),2)=6,0.5,0)),0))</f>
        <v>22</v>
      </c>
      <c r="K483" s="22" cm="1">
        <f t="array" ref="K483">_xlfn.XLOOKUP(1,((Metas_Diarias[[#This Row],[tipo_equipe_id]]=Metas[equipe])*(Metas_Diarias[[#This Row],[data]]&gt;Metas[data_inicio])*(Metas_Diarias[[#This Row],[data]]&lt;Metas[data_fim])),Metas[meta_mensal],0)</f>
        <v>160000</v>
      </c>
      <c r="L48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84" spans="2:12" x14ac:dyDescent="0.3">
      <c r="B484" s="34">
        <v>45773</v>
      </c>
      <c r="C484" s="34" t="str">
        <f>TEXT(Metas_Diarias[[#This Row],[data]],"dddd")</f>
        <v>sábado</v>
      </c>
      <c r="D484" s="33">
        <v>1</v>
      </c>
      <c r="E484" s="33">
        <v>1</v>
      </c>
      <c r="F484" s="18"/>
      <c r="G484" s="35">
        <f>WEEKDAY(Metas_Diarias[[#This Row],[data]])</f>
        <v>7</v>
      </c>
      <c r="H484" s="35">
        <f>IF(Metas_Diarias[[#This Row],[dias_da_demana]]=1,"domingo",IF(Metas_Diarias[[#This Row],[dias_da_demana]]=7,0.5,1))</f>
        <v>0.5</v>
      </c>
      <c r="I484" s="35">
        <f>_xlfn.XLOOKUP(Metas_Diarias[[#This Row],[data]],Feriados[Data],Feriados[Feriado],1)</f>
        <v>1</v>
      </c>
      <c r="J484" s="33" cm="1">
        <f t="array" aca="1" ref="J484" ca="1">SUMPRODUCT(IF((NOT(ISERROR(MATCH(ROW(INDIRECT(DATE(YEAR(B484),MONTH(B484),1)&amp;":"&amp;DATE(YEAR(B484),MONTH(B484)+1,0))),Feriados[Data],0))))=FALSE,
IF(WEEKDAY(ROW(INDIRECT(DATE(YEAR(B484),MONTH(B484),1)&amp;":"&amp;DATE(YEAR(B484),MONTH(B484)+1,0))),2)&lt;=5,1,IF(WEEKDAY(ROW(INDIRECT(DATE(YEAR(B484),MONTH(B484),1)&amp;":"&amp;DATE(YEAR(B484),MONTH(B484)+1,0))),2)=6,0.5,0)),0))</f>
        <v>22</v>
      </c>
      <c r="K484" s="22" cm="1">
        <f t="array" ref="K484">_xlfn.XLOOKUP(1,((Metas_Diarias[[#This Row],[tipo_equipe_id]]=Metas[equipe])*(Metas_Diarias[[#This Row],[data]]&gt;Metas[data_inicio])*(Metas_Diarias[[#This Row],[data]]&lt;Metas[data_fim])),Metas[meta_mensal],0)</f>
        <v>160000</v>
      </c>
      <c r="L484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485" spans="2:12" x14ac:dyDescent="0.3">
      <c r="B485" s="34">
        <v>45774</v>
      </c>
      <c r="C485" s="34" t="str">
        <f>TEXT(Metas_Diarias[[#This Row],[data]],"dddd")</f>
        <v>domingo</v>
      </c>
      <c r="D485" s="33">
        <v>1</v>
      </c>
      <c r="E485" s="33">
        <v>1</v>
      </c>
      <c r="F485" s="18"/>
      <c r="G485" s="35">
        <f>WEEKDAY(Metas_Diarias[[#This Row],[data]])</f>
        <v>1</v>
      </c>
      <c r="H485" s="35" t="str">
        <f>IF(Metas_Diarias[[#This Row],[dias_da_demana]]=1,"domingo",IF(Metas_Diarias[[#This Row],[dias_da_demana]]=7,0.5,1))</f>
        <v>domingo</v>
      </c>
      <c r="I485" s="35">
        <f>_xlfn.XLOOKUP(Metas_Diarias[[#This Row],[data]],Feriados[Data],Feriados[Feriado],1)</f>
        <v>1</v>
      </c>
      <c r="J485" s="33" cm="1">
        <f t="array" aca="1" ref="J485" ca="1">SUMPRODUCT(IF((NOT(ISERROR(MATCH(ROW(INDIRECT(DATE(YEAR(B485),MONTH(B485),1)&amp;":"&amp;DATE(YEAR(B485),MONTH(B485)+1,0))),Feriados[Data],0))))=FALSE,
IF(WEEKDAY(ROW(INDIRECT(DATE(YEAR(B485),MONTH(B485),1)&amp;":"&amp;DATE(YEAR(B485),MONTH(B485)+1,0))),2)&lt;=5,1,IF(WEEKDAY(ROW(INDIRECT(DATE(YEAR(B485),MONTH(B485),1)&amp;":"&amp;DATE(YEAR(B485),MONTH(B485)+1,0))),2)=6,0.5,0)),0))</f>
        <v>22</v>
      </c>
      <c r="K485" s="22" cm="1">
        <f t="array" ref="K485">_xlfn.XLOOKUP(1,((Metas_Diarias[[#This Row],[tipo_equipe_id]]=Metas[equipe])*(Metas_Diarias[[#This Row],[data]]&gt;Metas[data_inicio])*(Metas_Diarias[[#This Row],[data]]&lt;Metas[data_fim])),Metas[meta_mensal],0)</f>
        <v>160000</v>
      </c>
      <c r="L48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86" spans="2:12" x14ac:dyDescent="0.3">
      <c r="B486" s="34">
        <v>45775</v>
      </c>
      <c r="C486" s="34" t="str">
        <f>TEXT(Metas_Diarias[[#This Row],[data]],"dddd")</f>
        <v>segunda-feira</v>
      </c>
      <c r="D486" s="33">
        <v>1</v>
      </c>
      <c r="E486" s="33">
        <v>1</v>
      </c>
      <c r="F486" s="18"/>
      <c r="G486" s="35">
        <f>WEEKDAY(Metas_Diarias[[#This Row],[data]])</f>
        <v>2</v>
      </c>
      <c r="H486" s="35">
        <f>IF(Metas_Diarias[[#This Row],[dias_da_demana]]=1,"domingo",IF(Metas_Diarias[[#This Row],[dias_da_demana]]=7,0.5,1))</f>
        <v>1</v>
      </c>
      <c r="I486" s="35">
        <f>_xlfn.XLOOKUP(Metas_Diarias[[#This Row],[data]],Feriados[Data],Feriados[Feriado],1)</f>
        <v>1</v>
      </c>
      <c r="J486" s="33" cm="1">
        <f t="array" aca="1" ref="J486" ca="1">SUMPRODUCT(IF((NOT(ISERROR(MATCH(ROW(INDIRECT(DATE(YEAR(B486),MONTH(B486),1)&amp;":"&amp;DATE(YEAR(B486),MONTH(B486)+1,0))),Feriados[Data],0))))=FALSE,
IF(WEEKDAY(ROW(INDIRECT(DATE(YEAR(B486),MONTH(B486),1)&amp;":"&amp;DATE(YEAR(B486),MONTH(B486)+1,0))),2)&lt;=5,1,IF(WEEKDAY(ROW(INDIRECT(DATE(YEAR(B486),MONTH(B486),1)&amp;":"&amp;DATE(YEAR(B486),MONTH(B486)+1,0))),2)=6,0.5,0)),0))</f>
        <v>22</v>
      </c>
      <c r="K486" s="22" cm="1">
        <f t="array" ref="K486">_xlfn.XLOOKUP(1,((Metas_Diarias[[#This Row],[tipo_equipe_id]]=Metas[equipe])*(Metas_Diarias[[#This Row],[data]]&gt;Metas[data_inicio])*(Metas_Diarias[[#This Row],[data]]&lt;Metas[data_fim])),Metas[meta_mensal],0)</f>
        <v>160000</v>
      </c>
      <c r="L48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87" spans="2:12" x14ac:dyDescent="0.3">
      <c r="B487" s="34">
        <v>45776</v>
      </c>
      <c r="C487" s="34" t="str">
        <f>TEXT(Metas_Diarias[[#This Row],[data]],"dddd")</f>
        <v>terça-feira</v>
      </c>
      <c r="D487" s="33">
        <v>1</v>
      </c>
      <c r="E487" s="33">
        <v>1</v>
      </c>
      <c r="F487" s="18"/>
      <c r="G487" s="35">
        <f>WEEKDAY(Metas_Diarias[[#This Row],[data]])</f>
        <v>3</v>
      </c>
      <c r="H487" s="35">
        <f>IF(Metas_Diarias[[#This Row],[dias_da_demana]]=1,"domingo",IF(Metas_Diarias[[#This Row],[dias_da_demana]]=7,0.5,1))</f>
        <v>1</v>
      </c>
      <c r="I487" s="35">
        <f>_xlfn.XLOOKUP(Metas_Diarias[[#This Row],[data]],Feriados[Data],Feriados[Feriado],1)</f>
        <v>1</v>
      </c>
      <c r="J487" s="33" cm="1">
        <f t="array" aca="1" ref="J487" ca="1">SUMPRODUCT(IF((NOT(ISERROR(MATCH(ROW(INDIRECT(DATE(YEAR(B487),MONTH(B487),1)&amp;":"&amp;DATE(YEAR(B487),MONTH(B487)+1,0))),Feriados[Data],0))))=FALSE,
IF(WEEKDAY(ROW(INDIRECT(DATE(YEAR(B487),MONTH(B487),1)&amp;":"&amp;DATE(YEAR(B487),MONTH(B487)+1,0))),2)&lt;=5,1,IF(WEEKDAY(ROW(INDIRECT(DATE(YEAR(B487),MONTH(B487),1)&amp;":"&amp;DATE(YEAR(B487),MONTH(B487)+1,0))),2)=6,0.5,0)),0))</f>
        <v>22</v>
      </c>
      <c r="K487" s="22" cm="1">
        <f t="array" ref="K487">_xlfn.XLOOKUP(1,((Metas_Diarias[[#This Row],[tipo_equipe_id]]=Metas[equipe])*(Metas_Diarias[[#This Row],[data]]&gt;Metas[data_inicio])*(Metas_Diarias[[#This Row],[data]]&lt;Metas[data_fim])),Metas[meta_mensal],0)</f>
        <v>160000</v>
      </c>
      <c r="L487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88" spans="2:12" x14ac:dyDescent="0.3">
      <c r="B488" s="34">
        <v>45777</v>
      </c>
      <c r="C488" s="34" t="str">
        <f>TEXT(Metas_Diarias[[#This Row],[data]],"dddd")</f>
        <v>quarta-feira</v>
      </c>
      <c r="D488" s="33">
        <v>1</v>
      </c>
      <c r="E488" s="33">
        <v>1</v>
      </c>
      <c r="F488" s="18"/>
      <c r="G488" s="35">
        <f>WEEKDAY(Metas_Diarias[[#This Row],[data]])</f>
        <v>4</v>
      </c>
      <c r="H488" s="35">
        <f>IF(Metas_Diarias[[#This Row],[dias_da_demana]]=1,"domingo",IF(Metas_Diarias[[#This Row],[dias_da_demana]]=7,0.5,1))</f>
        <v>1</v>
      </c>
      <c r="I488" s="35">
        <f>_xlfn.XLOOKUP(Metas_Diarias[[#This Row],[data]],Feriados[Data],Feriados[Feriado],1)</f>
        <v>1</v>
      </c>
      <c r="J488" s="33" cm="1">
        <f t="array" aca="1" ref="J488" ca="1">SUMPRODUCT(IF((NOT(ISERROR(MATCH(ROW(INDIRECT(DATE(YEAR(B488),MONTH(B488),1)&amp;":"&amp;DATE(YEAR(B488),MONTH(B488)+1,0))),Feriados[Data],0))))=FALSE,
IF(WEEKDAY(ROW(INDIRECT(DATE(YEAR(B488),MONTH(B488),1)&amp;":"&amp;DATE(YEAR(B488),MONTH(B488)+1,0))),2)&lt;=5,1,IF(WEEKDAY(ROW(INDIRECT(DATE(YEAR(B488),MONTH(B488),1)&amp;":"&amp;DATE(YEAR(B488),MONTH(B488)+1,0))),2)=6,0.5,0)),0))</f>
        <v>22</v>
      </c>
      <c r="K488" s="22" cm="1">
        <f t="array" ref="K488">_xlfn.XLOOKUP(1,((Metas_Diarias[[#This Row],[tipo_equipe_id]]=Metas[equipe])*(Metas_Diarias[[#This Row],[data]]&gt;Metas[data_inicio])*(Metas_Diarias[[#This Row],[data]]&lt;Metas[data_fim])),Metas[meta_mensal],0)</f>
        <v>160000</v>
      </c>
      <c r="L48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489" spans="2:12" x14ac:dyDescent="0.3">
      <c r="B489" s="34">
        <v>45778</v>
      </c>
      <c r="C489" s="34" t="str">
        <f>TEXT(Metas_Diarias[[#This Row],[data]],"dddd")</f>
        <v>quinta-feira</v>
      </c>
      <c r="D489" s="33">
        <v>1</v>
      </c>
      <c r="E489" s="33">
        <v>1</v>
      </c>
      <c r="F489" s="18"/>
      <c r="G489" s="35">
        <f>WEEKDAY(Metas_Diarias[[#This Row],[data]])</f>
        <v>5</v>
      </c>
      <c r="H489" s="35">
        <f>IF(Metas_Diarias[[#This Row],[dias_da_demana]]=1,"domingo",IF(Metas_Diarias[[#This Row],[dias_da_demana]]=7,0.5,1))</f>
        <v>1</v>
      </c>
      <c r="I489" s="35" t="str">
        <f>_xlfn.XLOOKUP(Metas_Diarias[[#This Row],[data]],Feriados[Data],Feriados[Feriado],1)</f>
        <v>Dia do Trabalho</v>
      </c>
      <c r="J489" s="33" cm="1">
        <f t="array" aca="1" ref="J489" ca="1">SUMPRODUCT(IF((NOT(ISERROR(MATCH(ROW(INDIRECT(DATE(YEAR(B489),MONTH(B489),1)&amp;":"&amp;DATE(YEAR(B489),MONTH(B489)+1,0))),Feriados[Data],0))))=FALSE,
IF(WEEKDAY(ROW(INDIRECT(DATE(YEAR(B489),MONTH(B489),1)&amp;":"&amp;DATE(YEAR(B489),MONTH(B489)+1,0))),2)&lt;=5,1,IF(WEEKDAY(ROW(INDIRECT(DATE(YEAR(B489),MONTH(B489),1)&amp;":"&amp;DATE(YEAR(B489),MONTH(B489)+1,0))),2)=6,0.5,0)),0))</f>
        <v>23.5</v>
      </c>
      <c r="K489" s="22" cm="1">
        <f t="array" ref="K489">_xlfn.XLOOKUP(1,((Metas_Diarias[[#This Row],[tipo_equipe_id]]=Metas[equipe])*(Metas_Diarias[[#This Row],[data]]&gt;Metas[data_inicio])*(Metas_Diarias[[#This Row],[data]]&lt;Metas[data_fim])),Metas[meta_mensal],0)</f>
        <v>160000</v>
      </c>
      <c r="L4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90" spans="2:12" x14ac:dyDescent="0.3">
      <c r="B490" s="34">
        <v>45779</v>
      </c>
      <c r="C490" s="34" t="str">
        <f>TEXT(Metas_Diarias[[#This Row],[data]],"dddd")</f>
        <v>sexta-feira</v>
      </c>
      <c r="D490" s="33">
        <v>1</v>
      </c>
      <c r="E490" s="33">
        <v>1</v>
      </c>
      <c r="F490" s="18"/>
      <c r="G490" s="35">
        <f>WEEKDAY(Metas_Diarias[[#This Row],[data]])</f>
        <v>6</v>
      </c>
      <c r="H490" s="35">
        <f>IF(Metas_Diarias[[#This Row],[dias_da_demana]]=1,"domingo",IF(Metas_Diarias[[#This Row],[dias_da_demana]]=7,0.5,1))</f>
        <v>1</v>
      </c>
      <c r="I490" s="35">
        <f>_xlfn.XLOOKUP(Metas_Diarias[[#This Row],[data]],Feriados[Data],Feriados[Feriado],1)</f>
        <v>1</v>
      </c>
      <c r="J490" s="33" cm="1">
        <f t="array" aca="1" ref="J490" ca="1">SUMPRODUCT(IF((NOT(ISERROR(MATCH(ROW(INDIRECT(DATE(YEAR(B490),MONTH(B490),1)&amp;":"&amp;DATE(YEAR(B490),MONTH(B490)+1,0))),Feriados[Data],0))))=FALSE,
IF(WEEKDAY(ROW(INDIRECT(DATE(YEAR(B490),MONTH(B490),1)&amp;":"&amp;DATE(YEAR(B490),MONTH(B490)+1,0))),2)&lt;=5,1,IF(WEEKDAY(ROW(INDIRECT(DATE(YEAR(B490),MONTH(B490),1)&amp;":"&amp;DATE(YEAR(B490),MONTH(B490)+1,0))),2)=6,0.5,0)),0))</f>
        <v>23.5</v>
      </c>
      <c r="K490" s="22" cm="1">
        <f t="array" ref="K490">_xlfn.XLOOKUP(1,((Metas_Diarias[[#This Row],[tipo_equipe_id]]=Metas[equipe])*(Metas_Diarias[[#This Row],[data]]&gt;Metas[data_inicio])*(Metas_Diarias[[#This Row],[data]]&lt;Metas[data_fim])),Metas[meta_mensal],0)</f>
        <v>160000</v>
      </c>
      <c r="L490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491" spans="2:12" x14ac:dyDescent="0.3">
      <c r="B491" s="34">
        <v>45780</v>
      </c>
      <c r="C491" s="34" t="str">
        <f>TEXT(Metas_Diarias[[#This Row],[data]],"dddd")</f>
        <v>sábado</v>
      </c>
      <c r="D491" s="33">
        <v>1</v>
      </c>
      <c r="E491" s="33">
        <v>1</v>
      </c>
      <c r="F491" s="18"/>
      <c r="G491" s="35">
        <f>WEEKDAY(Metas_Diarias[[#This Row],[data]])</f>
        <v>7</v>
      </c>
      <c r="H491" s="35">
        <f>IF(Metas_Diarias[[#This Row],[dias_da_demana]]=1,"domingo",IF(Metas_Diarias[[#This Row],[dias_da_demana]]=7,0.5,1))</f>
        <v>0.5</v>
      </c>
      <c r="I491" s="35">
        <f>_xlfn.XLOOKUP(Metas_Diarias[[#This Row],[data]],Feriados[Data],Feriados[Feriado],1)</f>
        <v>1</v>
      </c>
      <c r="J491" s="33" cm="1">
        <f t="array" aca="1" ref="J491" ca="1">SUMPRODUCT(IF((NOT(ISERROR(MATCH(ROW(INDIRECT(DATE(YEAR(B491),MONTH(B491),1)&amp;":"&amp;DATE(YEAR(B491),MONTH(B491)+1,0))),Feriados[Data],0))))=FALSE,
IF(WEEKDAY(ROW(INDIRECT(DATE(YEAR(B491),MONTH(B491),1)&amp;":"&amp;DATE(YEAR(B491),MONTH(B491)+1,0))),2)&lt;=5,1,IF(WEEKDAY(ROW(INDIRECT(DATE(YEAR(B491),MONTH(B491),1)&amp;":"&amp;DATE(YEAR(B491),MONTH(B491)+1,0))),2)=6,0.5,0)),0))</f>
        <v>23.5</v>
      </c>
      <c r="K491" s="22" cm="1">
        <f t="array" ref="K491">_xlfn.XLOOKUP(1,((Metas_Diarias[[#This Row],[tipo_equipe_id]]=Metas[equipe])*(Metas_Diarias[[#This Row],[data]]&gt;Metas[data_inicio])*(Metas_Diarias[[#This Row],[data]]&lt;Metas[data_fim])),Metas[meta_mensal],0)</f>
        <v>160000</v>
      </c>
      <c r="L491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492" spans="2:12" x14ac:dyDescent="0.3">
      <c r="B492" s="34">
        <v>45781</v>
      </c>
      <c r="C492" s="34" t="str">
        <f>TEXT(Metas_Diarias[[#This Row],[data]],"dddd")</f>
        <v>domingo</v>
      </c>
      <c r="D492" s="33">
        <v>1</v>
      </c>
      <c r="E492" s="33">
        <v>1</v>
      </c>
      <c r="F492" s="18"/>
      <c r="G492" s="35">
        <f>WEEKDAY(Metas_Diarias[[#This Row],[data]])</f>
        <v>1</v>
      </c>
      <c r="H492" s="35" t="str">
        <f>IF(Metas_Diarias[[#This Row],[dias_da_demana]]=1,"domingo",IF(Metas_Diarias[[#This Row],[dias_da_demana]]=7,0.5,1))</f>
        <v>domingo</v>
      </c>
      <c r="I492" s="35">
        <f>_xlfn.XLOOKUP(Metas_Diarias[[#This Row],[data]],Feriados[Data],Feriados[Feriado],1)</f>
        <v>1</v>
      </c>
      <c r="J492" s="33" cm="1">
        <f t="array" aca="1" ref="J492" ca="1">SUMPRODUCT(IF((NOT(ISERROR(MATCH(ROW(INDIRECT(DATE(YEAR(B492),MONTH(B492),1)&amp;":"&amp;DATE(YEAR(B492),MONTH(B492)+1,0))),Feriados[Data],0))))=FALSE,
IF(WEEKDAY(ROW(INDIRECT(DATE(YEAR(B492),MONTH(B492),1)&amp;":"&amp;DATE(YEAR(B492),MONTH(B492)+1,0))),2)&lt;=5,1,IF(WEEKDAY(ROW(INDIRECT(DATE(YEAR(B492),MONTH(B492),1)&amp;":"&amp;DATE(YEAR(B492),MONTH(B492)+1,0))),2)=6,0.5,0)),0))</f>
        <v>23.5</v>
      </c>
      <c r="K492" s="22" cm="1">
        <f t="array" ref="K492">_xlfn.XLOOKUP(1,((Metas_Diarias[[#This Row],[tipo_equipe_id]]=Metas[equipe])*(Metas_Diarias[[#This Row],[data]]&gt;Metas[data_inicio])*(Metas_Diarias[[#This Row],[data]]&lt;Metas[data_fim])),Metas[meta_mensal],0)</f>
        <v>160000</v>
      </c>
      <c r="L49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493" spans="2:12" x14ac:dyDescent="0.3">
      <c r="B493" s="34">
        <v>45782</v>
      </c>
      <c r="C493" s="34" t="str">
        <f>TEXT(Metas_Diarias[[#This Row],[data]],"dddd")</f>
        <v>segunda-feira</v>
      </c>
      <c r="D493" s="33">
        <v>1</v>
      </c>
      <c r="E493" s="33">
        <v>1</v>
      </c>
      <c r="F493" s="18"/>
      <c r="G493" s="35">
        <f>WEEKDAY(Metas_Diarias[[#This Row],[data]])</f>
        <v>2</v>
      </c>
      <c r="H493" s="35">
        <f>IF(Metas_Diarias[[#This Row],[dias_da_demana]]=1,"domingo",IF(Metas_Diarias[[#This Row],[dias_da_demana]]=7,0.5,1))</f>
        <v>1</v>
      </c>
      <c r="I493" s="35">
        <f>_xlfn.XLOOKUP(Metas_Diarias[[#This Row],[data]],Feriados[Data],Feriados[Feriado],1)</f>
        <v>1</v>
      </c>
      <c r="J493" s="33" cm="1">
        <f t="array" aca="1" ref="J493" ca="1">SUMPRODUCT(IF((NOT(ISERROR(MATCH(ROW(INDIRECT(DATE(YEAR(B493),MONTH(B493),1)&amp;":"&amp;DATE(YEAR(B493),MONTH(B493)+1,0))),Feriados[Data],0))))=FALSE,
IF(WEEKDAY(ROW(INDIRECT(DATE(YEAR(B493),MONTH(B493),1)&amp;":"&amp;DATE(YEAR(B493),MONTH(B493)+1,0))),2)&lt;=5,1,IF(WEEKDAY(ROW(INDIRECT(DATE(YEAR(B493),MONTH(B493),1)&amp;":"&amp;DATE(YEAR(B493),MONTH(B493)+1,0))),2)=6,0.5,0)),0))</f>
        <v>23.5</v>
      </c>
      <c r="K493" s="22" cm="1">
        <f t="array" ref="K493">_xlfn.XLOOKUP(1,((Metas_Diarias[[#This Row],[tipo_equipe_id]]=Metas[equipe])*(Metas_Diarias[[#This Row],[data]]&gt;Metas[data_inicio])*(Metas_Diarias[[#This Row],[data]]&lt;Metas[data_fim])),Metas[meta_mensal],0)</f>
        <v>160000</v>
      </c>
      <c r="L493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494" spans="2:12" x14ac:dyDescent="0.3">
      <c r="B494" s="34">
        <v>45783</v>
      </c>
      <c r="C494" s="34" t="str">
        <f>TEXT(Metas_Diarias[[#This Row],[data]],"dddd")</f>
        <v>terça-feira</v>
      </c>
      <c r="D494" s="33">
        <v>1</v>
      </c>
      <c r="E494" s="33">
        <v>1</v>
      </c>
      <c r="F494" s="18"/>
      <c r="G494" s="35">
        <f>WEEKDAY(Metas_Diarias[[#This Row],[data]])</f>
        <v>3</v>
      </c>
      <c r="H494" s="35">
        <f>IF(Metas_Diarias[[#This Row],[dias_da_demana]]=1,"domingo",IF(Metas_Diarias[[#This Row],[dias_da_demana]]=7,0.5,1))</f>
        <v>1</v>
      </c>
      <c r="I494" s="35">
        <f>_xlfn.XLOOKUP(Metas_Diarias[[#This Row],[data]],Feriados[Data],Feriados[Feriado],1)</f>
        <v>1</v>
      </c>
      <c r="J494" s="33" cm="1">
        <f t="array" aca="1" ref="J494" ca="1">SUMPRODUCT(IF((NOT(ISERROR(MATCH(ROW(INDIRECT(DATE(YEAR(B494),MONTH(B494),1)&amp;":"&amp;DATE(YEAR(B494),MONTH(B494)+1,0))),Feriados[Data],0))))=FALSE,
IF(WEEKDAY(ROW(INDIRECT(DATE(YEAR(B494),MONTH(B494),1)&amp;":"&amp;DATE(YEAR(B494),MONTH(B494)+1,0))),2)&lt;=5,1,IF(WEEKDAY(ROW(INDIRECT(DATE(YEAR(B494),MONTH(B494),1)&amp;":"&amp;DATE(YEAR(B494),MONTH(B494)+1,0))),2)=6,0.5,0)),0))</f>
        <v>23.5</v>
      </c>
      <c r="K494" s="22" cm="1">
        <f t="array" ref="K494">_xlfn.XLOOKUP(1,((Metas_Diarias[[#This Row],[tipo_equipe_id]]=Metas[equipe])*(Metas_Diarias[[#This Row],[data]]&gt;Metas[data_inicio])*(Metas_Diarias[[#This Row],[data]]&lt;Metas[data_fim])),Metas[meta_mensal],0)</f>
        <v>160000</v>
      </c>
      <c r="L494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495" spans="2:12" x14ac:dyDescent="0.3">
      <c r="B495" s="34">
        <v>45784</v>
      </c>
      <c r="C495" s="34" t="str">
        <f>TEXT(Metas_Diarias[[#This Row],[data]],"dddd")</f>
        <v>quarta-feira</v>
      </c>
      <c r="D495" s="33">
        <v>1</v>
      </c>
      <c r="E495" s="33">
        <v>1</v>
      </c>
      <c r="F495" s="18"/>
      <c r="G495" s="35">
        <f>WEEKDAY(Metas_Diarias[[#This Row],[data]])</f>
        <v>4</v>
      </c>
      <c r="H495" s="35">
        <f>IF(Metas_Diarias[[#This Row],[dias_da_demana]]=1,"domingo",IF(Metas_Diarias[[#This Row],[dias_da_demana]]=7,0.5,1))</f>
        <v>1</v>
      </c>
      <c r="I495" s="35">
        <f>_xlfn.XLOOKUP(Metas_Diarias[[#This Row],[data]],Feriados[Data],Feriados[Feriado],1)</f>
        <v>1</v>
      </c>
      <c r="J495" s="33" cm="1">
        <f t="array" aca="1" ref="J495" ca="1">SUMPRODUCT(IF((NOT(ISERROR(MATCH(ROW(INDIRECT(DATE(YEAR(B495),MONTH(B495),1)&amp;":"&amp;DATE(YEAR(B495),MONTH(B495)+1,0))),Feriados[Data],0))))=FALSE,
IF(WEEKDAY(ROW(INDIRECT(DATE(YEAR(B495),MONTH(B495),1)&amp;":"&amp;DATE(YEAR(B495),MONTH(B495)+1,0))),2)&lt;=5,1,IF(WEEKDAY(ROW(INDIRECT(DATE(YEAR(B495),MONTH(B495),1)&amp;":"&amp;DATE(YEAR(B495),MONTH(B495)+1,0))),2)=6,0.5,0)),0))</f>
        <v>23.5</v>
      </c>
      <c r="K495" s="22" cm="1">
        <f t="array" ref="K495">_xlfn.XLOOKUP(1,((Metas_Diarias[[#This Row],[tipo_equipe_id]]=Metas[equipe])*(Metas_Diarias[[#This Row],[data]]&gt;Metas[data_inicio])*(Metas_Diarias[[#This Row],[data]]&lt;Metas[data_fim])),Metas[meta_mensal],0)</f>
        <v>160000</v>
      </c>
      <c r="L495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496" spans="2:12" x14ac:dyDescent="0.3">
      <c r="B496" s="34">
        <v>45785</v>
      </c>
      <c r="C496" s="34" t="str">
        <f>TEXT(Metas_Diarias[[#This Row],[data]],"dddd")</f>
        <v>quinta-feira</v>
      </c>
      <c r="D496" s="33">
        <v>1</v>
      </c>
      <c r="E496" s="33">
        <v>1</v>
      </c>
      <c r="F496" s="18"/>
      <c r="G496" s="35">
        <f>WEEKDAY(Metas_Diarias[[#This Row],[data]])</f>
        <v>5</v>
      </c>
      <c r="H496" s="35">
        <f>IF(Metas_Diarias[[#This Row],[dias_da_demana]]=1,"domingo",IF(Metas_Diarias[[#This Row],[dias_da_demana]]=7,0.5,1))</f>
        <v>1</v>
      </c>
      <c r="I496" s="35">
        <f>_xlfn.XLOOKUP(Metas_Diarias[[#This Row],[data]],Feriados[Data],Feriados[Feriado],1)</f>
        <v>1</v>
      </c>
      <c r="J496" s="33" cm="1">
        <f t="array" aca="1" ref="J496" ca="1">SUMPRODUCT(IF((NOT(ISERROR(MATCH(ROW(INDIRECT(DATE(YEAR(B496),MONTH(B496),1)&amp;":"&amp;DATE(YEAR(B496),MONTH(B496)+1,0))),Feriados[Data],0))))=FALSE,
IF(WEEKDAY(ROW(INDIRECT(DATE(YEAR(B496),MONTH(B496),1)&amp;":"&amp;DATE(YEAR(B496),MONTH(B496)+1,0))),2)&lt;=5,1,IF(WEEKDAY(ROW(INDIRECT(DATE(YEAR(B496),MONTH(B496),1)&amp;":"&amp;DATE(YEAR(B496),MONTH(B496)+1,0))),2)=6,0.5,0)),0))</f>
        <v>23.5</v>
      </c>
      <c r="K496" s="22" cm="1">
        <f t="array" ref="K496">_xlfn.XLOOKUP(1,((Metas_Diarias[[#This Row],[tipo_equipe_id]]=Metas[equipe])*(Metas_Diarias[[#This Row],[data]]&gt;Metas[data_inicio])*(Metas_Diarias[[#This Row],[data]]&lt;Metas[data_fim])),Metas[meta_mensal],0)</f>
        <v>160000</v>
      </c>
      <c r="L496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497" spans="2:12" x14ac:dyDescent="0.3">
      <c r="B497" s="34">
        <v>45786</v>
      </c>
      <c r="C497" s="34" t="str">
        <f>TEXT(Metas_Diarias[[#This Row],[data]],"dddd")</f>
        <v>sexta-feira</v>
      </c>
      <c r="D497" s="33">
        <v>1</v>
      </c>
      <c r="E497" s="33">
        <v>1</v>
      </c>
      <c r="F497" s="18"/>
      <c r="G497" s="35">
        <f>WEEKDAY(Metas_Diarias[[#This Row],[data]])</f>
        <v>6</v>
      </c>
      <c r="H497" s="35">
        <f>IF(Metas_Diarias[[#This Row],[dias_da_demana]]=1,"domingo",IF(Metas_Diarias[[#This Row],[dias_da_demana]]=7,0.5,1))</f>
        <v>1</v>
      </c>
      <c r="I497" s="35">
        <f>_xlfn.XLOOKUP(Metas_Diarias[[#This Row],[data]],Feriados[Data],Feriados[Feriado],1)</f>
        <v>1</v>
      </c>
      <c r="J497" s="33" cm="1">
        <f t="array" aca="1" ref="J497" ca="1">SUMPRODUCT(IF((NOT(ISERROR(MATCH(ROW(INDIRECT(DATE(YEAR(B497),MONTH(B497),1)&amp;":"&amp;DATE(YEAR(B497),MONTH(B497)+1,0))),Feriados[Data],0))))=FALSE,
IF(WEEKDAY(ROW(INDIRECT(DATE(YEAR(B497),MONTH(B497),1)&amp;":"&amp;DATE(YEAR(B497),MONTH(B497)+1,0))),2)&lt;=5,1,IF(WEEKDAY(ROW(INDIRECT(DATE(YEAR(B497),MONTH(B497),1)&amp;":"&amp;DATE(YEAR(B497),MONTH(B497)+1,0))),2)=6,0.5,0)),0))</f>
        <v>23.5</v>
      </c>
      <c r="K497" s="22" cm="1">
        <f t="array" ref="K497">_xlfn.XLOOKUP(1,((Metas_Diarias[[#This Row],[tipo_equipe_id]]=Metas[equipe])*(Metas_Diarias[[#This Row],[data]]&gt;Metas[data_inicio])*(Metas_Diarias[[#This Row],[data]]&lt;Metas[data_fim])),Metas[meta_mensal],0)</f>
        <v>160000</v>
      </c>
      <c r="L497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498" spans="2:12" x14ac:dyDescent="0.3">
      <c r="B498" s="34">
        <v>45787</v>
      </c>
      <c r="C498" s="34" t="str">
        <f>TEXT(Metas_Diarias[[#This Row],[data]],"dddd")</f>
        <v>sábado</v>
      </c>
      <c r="D498" s="33">
        <v>1</v>
      </c>
      <c r="E498" s="33">
        <v>1</v>
      </c>
      <c r="F498" s="18"/>
      <c r="G498" s="35">
        <f>WEEKDAY(Metas_Diarias[[#This Row],[data]])</f>
        <v>7</v>
      </c>
      <c r="H498" s="35">
        <f>IF(Metas_Diarias[[#This Row],[dias_da_demana]]=1,"domingo",IF(Metas_Diarias[[#This Row],[dias_da_demana]]=7,0.5,1))</f>
        <v>0.5</v>
      </c>
      <c r="I498" s="35">
        <f>_xlfn.XLOOKUP(Metas_Diarias[[#This Row],[data]],Feriados[Data],Feriados[Feriado],1)</f>
        <v>1</v>
      </c>
      <c r="J498" s="33" cm="1">
        <f t="array" aca="1" ref="J498" ca="1">SUMPRODUCT(IF((NOT(ISERROR(MATCH(ROW(INDIRECT(DATE(YEAR(B498),MONTH(B498),1)&amp;":"&amp;DATE(YEAR(B498),MONTH(B498)+1,0))),Feriados[Data],0))))=FALSE,
IF(WEEKDAY(ROW(INDIRECT(DATE(YEAR(B498),MONTH(B498),1)&amp;":"&amp;DATE(YEAR(B498),MONTH(B498)+1,0))),2)&lt;=5,1,IF(WEEKDAY(ROW(INDIRECT(DATE(YEAR(B498),MONTH(B498),1)&amp;":"&amp;DATE(YEAR(B498),MONTH(B498)+1,0))),2)=6,0.5,0)),0))</f>
        <v>23.5</v>
      </c>
      <c r="K498" s="22" cm="1">
        <f t="array" ref="K498">_xlfn.XLOOKUP(1,((Metas_Diarias[[#This Row],[tipo_equipe_id]]=Metas[equipe])*(Metas_Diarias[[#This Row],[data]]&gt;Metas[data_inicio])*(Metas_Diarias[[#This Row],[data]]&lt;Metas[data_fim])),Metas[meta_mensal],0)</f>
        <v>160000</v>
      </c>
      <c r="L498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499" spans="2:12" x14ac:dyDescent="0.3">
      <c r="B499" s="34">
        <v>45788</v>
      </c>
      <c r="C499" s="34" t="str">
        <f>TEXT(Metas_Diarias[[#This Row],[data]],"dddd")</f>
        <v>domingo</v>
      </c>
      <c r="D499" s="33">
        <v>1</v>
      </c>
      <c r="E499" s="33">
        <v>1</v>
      </c>
      <c r="F499" s="18"/>
      <c r="G499" s="35">
        <f>WEEKDAY(Metas_Diarias[[#This Row],[data]])</f>
        <v>1</v>
      </c>
      <c r="H499" s="35" t="str">
        <f>IF(Metas_Diarias[[#This Row],[dias_da_demana]]=1,"domingo",IF(Metas_Diarias[[#This Row],[dias_da_demana]]=7,0.5,1))</f>
        <v>domingo</v>
      </c>
      <c r="I499" s="35">
        <f>_xlfn.XLOOKUP(Metas_Diarias[[#This Row],[data]],Feriados[Data],Feriados[Feriado],1)</f>
        <v>1</v>
      </c>
      <c r="J499" s="33" cm="1">
        <f t="array" aca="1" ref="J499" ca="1">SUMPRODUCT(IF((NOT(ISERROR(MATCH(ROW(INDIRECT(DATE(YEAR(B499),MONTH(B499),1)&amp;":"&amp;DATE(YEAR(B499),MONTH(B499)+1,0))),Feriados[Data],0))))=FALSE,
IF(WEEKDAY(ROW(INDIRECT(DATE(YEAR(B499),MONTH(B499),1)&amp;":"&amp;DATE(YEAR(B499),MONTH(B499)+1,0))),2)&lt;=5,1,IF(WEEKDAY(ROW(INDIRECT(DATE(YEAR(B499),MONTH(B499),1)&amp;":"&amp;DATE(YEAR(B499),MONTH(B499)+1,0))),2)=6,0.5,0)),0))</f>
        <v>23.5</v>
      </c>
      <c r="K499" s="22" cm="1">
        <f t="array" ref="K499">_xlfn.XLOOKUP(1,((Metas_Diarias[[#This Row],[tipo_equipe_id]]=Metas[equipe])*(Metas_Diarias[[#This Row],[data]]&gt;Metas[data_inicio])*(Metas_Diarias[[#This Row],[data]]&lt;Metas[data_fim])),Metas[meta_mensal],0)</f>
        <v>160000</v>
      </c>
      <c r="L49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00" spans="2:12" x14ac:dyDescent="0.3">
      <c r="B500" s="34">
        <v>45789</v>
      </c>
      <c r="C500" s="34" t="str">
        <f>TEXT(Metas_Diarias[[#This Row],[data]],"dddd")</f>
        <v>segunda-feira</v>
      </c>
      <c r="D500" s="33">
        <v>1</v>
      </c>
      <c r="E500" s="33">
        <v>1</v>
      </c>
      <c r="F500" s="18"/>
      <c r="G500" s="35">
        <f>WEEKDAY(Metas_Diarias[[#This Row],[data]])</f>
        <v>2</v>
      </c>
      <c r="H500" s="35">
        <f>IF(Metas_Diarias[[#This Row],[dias_da_demana]]=1,"domingo",IF(Metas_Diarias[[#This Row],[dias_da_demana]]=7,0.5,1))</f>
        <v>1</v>
      </c>
      <c r="I500" s="35">
        <f>_xlfn.XLOOKUP(Metas_Diarias[[#This Row],[data]],Feriados[Data],Feriados[Feriado],1)</f>
        <v>1</v>
      </c>
      <c r="J500" s="33" cm="1">
        <f t="array" aca="1" ref="J500" ca="1">SUMPRODUCT(IF((NOT(ISERROR(MATCH(ROW(INDIRECT(DATE(YEAR(B500),MONTH(B500),1)&amp;":"&amp;DATE(YEAR(B500),MONTH(B500)+1,0))),Feriados[Data],0))))=FALSE,
IF(WEEKDAY(ROW(INDIRECT(DATE(YEAR(B500),MONTH(B500),1)&amp;":"&amp;DATE(YEAR(B500),MONTH(B500)+1,0))),2)&lt;=5,1,IF(WEEKDAY(ROW(INDIRECT(DATE(YEAR(B500),MONTH(B500),1)&amp;":"&amp;DATE(YEAR(B500),MONTH(B500)+1,0))),2)=6,0.5,0)),0))</f>
        <v>23.5</v>
      </c>
      <c r="K500" s="22" cm="1">
        <f t="array" ref="K500">_xlfn.XLOOKUP(1,((Metas_Diarias[[#This Row],[tipo_equipe_id]]=Metas[equipe])*(Metas_Diarias[[#This Row],[data]]&gt;Metas[data_inicio])*(Metas_Diarias[[#This Row],[data]]&lt;Metas[data_fim])),Metas[meta_mensal],0)</f>
        <v>160000</v>
      </c>
      <c r="L500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01" spans="2:12" x14ac:dyDescent="0.3">
      <c r="B501" s="34">
        <v>45790</v>
      </c>
      <c r="C501" s="34" t="str">
        <f>TEXT(Metas_Diarias[[#This Row],[data]],"dddd")</f>
        <v>terça-feira</v>
      </c>
      <c r="D501" s="33">
        <v>1</v>
      </c>
      <c r="E501" s="33">
        <v>1</v>
      </c>
      <c r="F501" s="18"/>
      <c r="G501" s="35">
        <f>WEEKDAY(Metas_Diarias[[#This Row],[data]])</f>
        <v>3</v>
      </c>
      <c r="H501" s="35">
        <f>IF(Metas_Diarias[[#This Row],[dias_da_demana]]=1,"domingo",IF(Metas_Diarias[[#This Row],[dias_da_demana]]=7,0.5,1))</f>
        <v>1</v>
      </c>
      <c r="I501" s="35">
        <f>_xlfn.XLOOKUP(Metas_Diarias[[#This Row],[data]],Feriados[Data],Feriados[Feriado],1)</f>
        <v>1</v>
      </c>
      <c r="J501" s="33" cm="1">
        <f t="array" aca="1" ref="J501" ca="1">SUMPRODUCT(IF((NOT(ISERROR(MATCH(ROW(INDIRECT(DATE(YEAR(B501),MONTH(B501),1)&amp;":"&amp;DATE(YEAR(B501),MONTH(B501)+1,0))),Feriados[Data],0))))=FALSE,
IF(WEEKDAY(ROW(INDIRECT(DATE(YEAR(B501),MONTH(B501),1)&amp;":"&amp;DATE(YEAR(B501),MONTH(B501)+1,0))),2)&lt;=5,1,IF(WEEKDAY(ROW(INDIRECT(DATE(YEAR(B501),MONTH(B501),1)&amp;":"&amp;DATE(YEAR(B501),MONTH(B501)+1,0))),2)=6,0.5,0)),0))</f>
        <v>23.5</v>
      </c>
      <c r="K501" s="22" cm="1">
        <f t="array" ref="K501">_xlfn.XLOOKUP(1,((Metas_Diarias[[#This Row],[tipo_equipe_id]]=Metas[equipe])*(Metas_Diarias[[#This Row],[data]]&gt;Metas[data_inicio])*(Metas_Diarias[[#This Row],[data]]&lt;Metas[data_fim])),Metas[meta_mensal],0)</f>
        <v>160000</v>
      </c>
      <c r="L501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02" spans="2:12" x14ac:dyDescent="0.3">
      <c r="B502" s="34">
        <v>45791</v>
      </c>
      <c r="C502" s="34" t="str">
        <f>TEXT(Metas_Diarias[[#This Row],[data]],"dddd")</f>
        <v>quarta-feira</v>
      </c>
      <c r="D502" s="33">
        <v>1</v>
      </c>
      <c r="E502" s="33">
        <v>1</v>
      </c>
      <c r="F502" s="18"/>
      <c r="G502" s="35">
        <f>WEEKDAY(Metas_Diarias[[#This Row],[data]])</f>
        <v>4</v>
      </c>
      <c r="H502" s="35">
        <f>IF(Metas_Diarias[[#This Row],[dias_da_demana]]=1,"domingo",IF(Metas_Diarias[[#This Row],[dias_da_demana]]=7,0.5,1))</f>
        <v>1</v>
      </c>
      <c r="I502" s="35">
        <f>_xlfn.XLOOKUP(Metas_Diarias[[#This Row],[data]],Feriados[Data],Feriados[Feriado],1)</f>
        <v>1</v>
      </c>
      <c r="J502" s="33" cm="1">
        <f t="array" aca="1" ref="J502" ca="1">SUMPRODUCT(IF((NOT(ISERROR(MATCH(ROW(INDIRECT(DATE(YEAR(B502),MONTH(B502),1)&amp;":"&amp;DATE(YEAR(B502),MONTH(B502)+1,0))),Feriados[Data],0))))=FALSE,
IF(WEEKDAY(ROW(INDIRECT(DATE(YEAR(B502),MONTH(B502),1)&amp;":"&amp;DATE(YEAR(B502),MONTH(B502)+1,0))),2)&lt;=5,1,IF(WEEKDAY(ROW(INDIRECT(DATE(YEAR(B502),MONTH(B502),1)&amp;":"&amp;DATE(YEAR(B502),MONTH(B502)+1,0))),2)=6,0.5,0)),0))</f>
        <v>23.5</v>
      </c>
      <c r="K502" s="22" cm="1">
        <f t="array" ref="K502">_xlfn.XLOOKUP(1,((Metas_Diarias[[#This Row],[tipo_equipe_id]]=Metas[equipe])*(Metas_Diarias[[#This Row],[data]]&gt;Metas[data_inicio])*(Metas_Diarias[[#This Row],[data]]&lt;Metas[data_fim])),Metas[meta_mensal],0)</f>
        <v>160000</v>
      </c>
      <c r="L502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03" spans="2:12" x14ac:dyDescent="0.3">
      <c r="B503" s="34">
        <v>45792</v>
      </c>
      <c r="C503" s="34" t="str">
        <f>TEXT(Metas_Diarias[[#This Row],[data]],"dddd")</f>
        <v>quinta-feira</v>
      </c>
      <c r="D503" s="33">
        <v>1</v>
      </c>
      <c r="E503" s="33">
        <v>1</v>
      </c>
      <c r="F503" s="18"/>
      <c r="G503" s="35">
        <f>WEEKDAY(Metas_Diarias[[#This Row],[data]])</f>
        <v>5</v>
      </c>
      <c r="H503" s="35">
        <f>IF(Metas_Diarias[[#This Row],[dias_da_demana]]=1,"domingo",IF(Metas_Diarias[[#This Row],[dias_da_demana]]=7,0.5,1))</f>
        <v>1</v>
      </c>
      <c r="I503" s="35">
        <f>_xlfn.XLOOKUP(Metas_Diarias[[#This Row],[data]],Feriados[Data],Feriados[Feriado],1)</f>
        <v>1</v>
      </c>
      <c r="J503" s="33" cm="1">
        <f t="array" aca="1" ref="J503" ca="1">SUMPRODUCT(IF((NOT(ISERROR(MATCH(ROW(INDIRECT(DATE(YEAR(B503),MONTH(B503),1)&amp;":"&amp;DATE(YEAR(B503),MONTH(B503)+1,0))),Feriados[Data],0))))=FALSE,
IF(WEEKDAY(ROW(INDIRECT(DATE(YEAR(B503),MONTH(B503),1)&amp;":"&amp;DATE(YEAR(B503),MONTH(B503)+1,0))),2)&lt;=5,1,IF(WEEKDAY(ROW(INDIRECT(DATE(YEAR(B503),MONTH(B503),1)&amp;":"&amp;DATE(YEAR(B503),MONTH(B503)+1,0))),2)=6,0.5,0)),0))</f>
        <v>23.5</v>
      </c>
      <c r="K503" s="22" cm="1">
        <f t="array" ref="K503">_xlfn.XLOOKUP(1,((Metas_Diarias[[#This Row],[tipo_equipe_id]]=Metas[equipe])*(Metas_Diarias[[#This Row],[data]]&gt;Metas[data_inicio])*(Metas_Diarias[[#This Row],[data]]&lt;Metas[data_fim])),Metas[meta_mensal],0)</f>
        <v>160000</v>
      </c>
      <c r="L503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04" spans="2:12" x14ac:dyDescent="0.3">
      <c r="B504" s="34">
        <v>45793</v>
      </c>
      <c r="C504" s="34" t="str">
        <f>TEXT(Metas_Diarias[[#This Row],[data]],"dddd")</f>
        <v>sexta-feira</v>
      </c>
      <c r="D504" s="33">
        <v>1</v>
      </c>
      <c r="E504" s="33">
        <v>1</v>
      </c>
      <c r="F504" s="18"/>
      <c r="G504" s="35">
        <f>WEEKDAY(Metas_Diarias[[#This Row],[data]])</f>
        <v>6</v>
      </c>
      <c r="H504" s="35">
        <f>IF(Metas_Diarias[[#This Row],[dias_da_demana]]=1,"domingo",IF(Metas_Diarias[[#This Row],[dias_da_demana]]=7,0.5,1))</f>
        <v>1</v>
      </c>
      <c r="I504" s="35">
        <f>_xlfn.XLOOKUP(Metas_Diarias[[#This Row],[data]],Feriados[Data],Feriados[Feriado],1)</f>
        <v>1</v>
      </c>
      <c r="J504" s="33" cm="1">
        <f t="array" aca="1" ref="J504" ca="1">SUMPRODUCT(IF((NOT(ISERROR(MATCH(ROW(INDIRECT(DATE(YEAR(B504),MONTH(B504),1)&amp;":"&amp;DATE(YEAR(B504),MONTH(B504)+1,0))),Feriados[Data],0))))=FALSE,
IF(WEEKDAY(ROW(INDIRECT(DATE(YEAR(B504),MONTH(B504),1)&amp;":"&amp;DATE(YEAR(B504),MONTH(B504)+1,0))),2)&lt;=5,1,IF(WEEKDAY(ROW(INDIRECT(DATE(YEAR(B504),MONTH(B504),1)&amp;":"&amp;DATE(YEAR(B504),MONTH(B504)+1,0))),2)=6,0.5,0)),0))</f>
        <v>23.5</v>
      </c>
      <c r="K504" s="22" cm="1">
        <f t="array" ref="K504">_xlfn.XLOOKUP(1,((Metas_Diarias[[#This Row],[tipo_equipe_id]]=Metas[equipe])*(Metas_Diarias[[#This Row],[data]]&gt;Metas[data_inicio])*(Metas_Diarias[[#This Row],[data]]&lt;Metas[data_fim])),Metas[meta_mensal],0)</f>
        <v>160000</v>
      </c>
      <c r="L504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05" spans="2:12" x14ac:dyDescent="0.3">
      <c r="B505" s="34">
        <v>45794</v>
      </c>
      <c r="C505" s="34" t="str">
        <f>TEXT(Metas_Diarias[[#This Row],[data]],"dddd")</f>
        <v>sábado</v>
      </c>
      <c r="D505" s="33">
        <v>1</v>
      </c>
      <c r="E505" s="33">
        <v>1</v>
      </c>
      <c r="F505" s="18"/>
      <c r="G505" s="35">
        <f>WEEKDAY(Metas_Diarias[[#This Row],[data]])</f>
        <v>7</v>
      </c>
      <c r="H505" s="35">
        <f>IF(Metas_Diarias[[#This Row],[dias_da_demana]]=1,"domingo",IF(Metas_Diarias[[#This Row],[dias_da_demana]]=7,0.5,1))</f>
        <v>0.5</v>
      </c>
      <c r="I505" s="35">
        <f>_xlfn.XLOOKUP(Metas_Diarias[[#This Row],[data]],Feriados[Data],Feriados[Feriado],1)</f>
        <v>1</v>
      </c>
      <c r="J505" s="33" cm="1">
        <f t="array" aca="1" ref="J505" ca="1">SUMPRODUCT(IF((NOT(ISERROR(MATCH(ROW(INDIRECT(DATE(YEAR(B505),MONTH(B505),1)&amp;":"&amp;DATE(YEAR(B505),MONTH(B505)+1,0))),Feriados[Data],0))))=FALSE,
IF(WEEKDAY(ROW(INDIRECT(DATE(YEAR(B505),MONTH(B505),1)&amp;":"&amp;DATE(YEAR(B505),MONTH(B505)+1,0))),2)&lt;=5,1,IF(WEEKDAY(ROW(INDIRECT(DATE(YEAR(B505),MONTH(B505),1)&amp;":"&amp;DATE(YEAR(B505),MONTH(B505)+1,0))),2)=6,0.5,0)),0))</f>
        <v>23.5</v>
      </c>
      <c r="K505" s="22" cm="1">
        <f t="array" ref="K505">_xlfn.XLOOKUP(1,((Metas_Diarias[[#This Row],[tipo_equipe_id]]=Metas[equipe])*(Metas_Diarias[[#This Row],[data]]&gt;Metas[data_inicio])*(Metas_Diarias[[#This Row],[data]]&lt;Metas[data_fim])),Metas[meta_mensal],0)</f>
        <v>160000</v>
      </c>
      <c r="L505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506" spans="2:12" x14ac:dyDescent="0.3">
      <c r="B506" s="34">
        <v>45795</v>
      </c>
      <c r="C506" s="34" t="str">
        <f>TEXT(Metas_Diarias[[#This Row],[data]],"dddd")</f>
        <v>domingo</v>
      </c>
      <c r="D506" s="33">
        <v>1</v>
      </c>
      <c r="E506" s="33">
        <v>1</v>
      </c>
      <c r="F506" s="18"/>
      <c r="G506" s="35">
        <f>WEEKDAY(Metas_Diarias[[#This Row],[data]])</f>
        <v>1</v>
      </c>
      <c r="H506" s="35" t="str">
        <f>IF(Metas_Diarias[[#This Row],[dias_da_demana]]=1,"domingo",IF(Metas_Diarias[[#This Row],[dias_da_demana]]=7,0.5,1))</f>
        <v>domingo</v>
      </c>
      <c r="I506" s="35">
        <f>_xlfn.XLOOKUP(Metas_Diarias[[#This Row],[data]],Feriados[Data],Feriados[Feriado],1)</f>
        <v>1</v>
      </c>
      <c r="J506" s="33" cm="1">
        <f t="array" aca="1" ref="J506" ca="1">SUMPRODUCT(IF((NOT(ISERROR(MATCH(ROW(INDIRECT(DATE(YEAR(B506),MONTH(B506),1)&amp;":"&amp;DATE(YEAR(B506),MONTH(B506)+1,0))),Feriados[Data],0))))=FALSE,
IF(WEEKDAY(ROW(INDIRECT(DATE(YEAR(B506),MONTH(B506),1)&amp;":"&amp;DATE(YEAR(B506),MONTH(B506)+1,0))),2)&lt;=5,1,IF(WEEKDAY(ROW(INDIRECT(DATE(YEAR(B506),MONTH(B506),1)&amp;":"&amp;DATE(YEAR(B506),MONTH(B506)+1,0))),2)=6,0.5,0)),0))</f>
        <v>23.5</v>
      </c>
      <c r="K506" s="22" cm="1">
        <f t="array" ref="K506">_xlfn.XLOOKUP(1,((Metas_Diarias[[#This Row],[tipo_equipe_id]]=Metas[equipe])*(Metas_Diarias[[#This Row],[data]]&gt;Metas[data_inicio])*(Metas_Diarias[[#This Row],[data]]&lt;Metas[data_fim])),Metas[meta_mensal],0)</f>
        <v>160000</v>
      </c>
      <c r="L50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07" spans="2:12" x14ac:dyDescent="0.3">
      <c r="B507" s="34">
        <v>45796</v>
      </c>
      <c r="C507" s="34" t="str">
        <f>TEXT(Metas_Diarias[[#This Row],[data]],"dddd")</f>
        <v>segunda-feira</v>
      </c>
      <c r="D507" s="33">
        <v>1</v>
      </c>
      <c r="E507" s="33">
        <v>1</v>
      </c>
      <c r="F507" s="18"/>
      <c r="G507" s="35">
        <f>WEEKDAY(Metas_Diarias[[#This Row],[data]])</f>
        <v>2</v>
      </c>
      <c r="H507" s="35">
        <f>IF(Metas_Diarias[[#This Row],[dias_da_demana]]=1,"domingo",IF(Metas_Diarias[[#This Row],[dias_da_demana]]=7,0.5,1))</f>
        <v>1</v>
      </c>
      <c r="I507" s="35">
        <f>_xlfn.XLOOKUP(Metas_Diarias[[#This Row],[data]],Feriados[Data],Feriados[Feriado],1)</f>
        <v>1</v>
      </c>
      <c r="J507" s="33" cm="1">
        <f t="array" aca="1" ref="J507" ca="1">SUMPRODUCT(IF((NOT(ISERROR(MATCH(ROW(INDIRECT(DATE(YEAR(B507),MONTH(B507),1)&amp;":"&amp;DATE(YEAR(B507),MONTH(B507)+1,0))),Feriados[Data],0))))=FALSE,
IF(WEEKDAY(ROW(INDIRECT(DATE(YEAR(B507),MONTH(B507),1)&amp;":"&amp;DATE(YEAR(B507),MONTH(B507)+1,0))),2)&lt;=5,1,IF(WEEKDAY(ROW(INDIRECT(DATE(YEAR(B507),MONTH(B507),1)&amp;":"&amp;DATE(YEAR(B507),MONTH(B507)+1,0))),2)=6,0.5,0)),0))</f>
        <v>23.5</v>
      </c>
      <c r="K507" s="22" cm="1">
        <f t="array" ref="K507">_xlfn.XLOOKUP(1,((Metas_Diarias[[#This Row],[tipo_equipe_id]]=Metas[equipe])*(Metas_Diarias[[#This Row],[data]]&gt;Metas[data_inicio])*(Metas_Diarias[[#This Row],[data]]&lt;Metas[data_fim])),Metas[meta_mensal],0)</f>
        <v>160000</v>
      </c>
      <c r="L507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08" spans="2:12" x14ac:dyDescent="0.3">
      <c r="B508" s="34">
        <v>45797</v>
      </c>
      <c r="C508" s="34" t="str">
        <f>TEXT(Metas_Diarias[[#This Row],[data]],"dddd")</f>
        <v>terça-feira</v>
      </c>
      <c r="D508" s="33">
        <v>1</v>
      </c>
      <c r="E508" s="33">
        <v>1</v>
      </c>
      <c r="F508" s="18"/>
      <c r="G508" s="35">
        <f>WEEKDAY(Metas_Diarias[[#This Row],[data]])</f>
        <v>3</v>
      </c>
      <c r="H508" s="35">
        <f>IF(Metas_Diarias[[#This Row],[dias_da_demana]]=1,"domingo",IF(Metas_Diarias[[#This Row],[dias_da_demana]]=7,0.5,1))</f>
        <v>1</v>
      </c>
      <c r="I508" s="35">
        <f>_xlfn.XLOOKUP(Metas_Diarias[[#This Row],[data]],Feriados[Data],Feriados[Feriado],1)</f>
        <v>1</v>
      </c>
      <c r="J508" s="33" cm="1">
        <f t="array" aca="1" ref="J508" ca="1">SUMPRODUCT(IF((NOT(ISERROR(MATCH(ROW(INDIRECT(DATE(YEAR(B508),MONTH(B508),1)&amp;":"&amp;DATE(YEAR(B508),MONTH(B508)+1,0))),Feriados[Data],0))))=FALSE,
IF(WEEKDAY(ROW(INDIRECT(DATE(YEAR(B508),MONTH(B508),1)&amp;":"&amp;DATE(YEAR(B508),MONTH(B508)+1,0))),2)&lt;=5,1,IF(WEEKDAY(ROW(INDIRECT(DATE(YEAR(B508),MONTH(B508),1)&amp;":"&amp;DATE(YEAR(B508),MONTH(B508)+1,0))),2)=6,0.5,0)),0))</f>
        <v>23.5</v>
      </c>
      <c r="K508" s="22" cm="1">
        <f t="array" ref="K508">_xlfn.XLOOKUP(1,((Metas_Diarias[[#This Row],[tipo_equipe_id]]=Metas[equipe])*(Metas_Diarias[[#This Row],[data]]&gt;Metas[data_inicio])*(Metas_Diarias[[#This Row],[data]]&lt;Metas[data_fim])),Metas[meta_mensal],0)</f>
        <v>160000</v>
      </c>
      <c r="L508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09" spans="2:12" x14ac:dyDescent="0.3">
      <c r="B509" s="34">
        <v>45798</v>
      </c>
      <c r="C509" s="34" t="str">
        <f>TEXT(Metas_Diarias[[#This Row],[data]],"dddd")</f>
        <v>quarta-feira</v>
      </c>
      <c r="D509" s="33">
        <v>1</v>
      </c>
      <c r="E509" s="33">
        <v>1</v>
      </c>
      <c r="F509" s="18"/>
      <c r="G509" s="35">
        <f>WEEKDAY(Metas_Diarias[[#This Row],[data]])</f>
        <v>4</v>
      </c>
      <c r="H509" s="35">
        <f>IF(Metas_Diarias[[#This Row],[dias_da_demana]]=1,"domingo",IF(Metas_Diarias[[#This Row],[dias_da_demana]]=7,0.5,1))</f>
        <v>1</v>
      </c>
      <c r="I509" s="35">
        <f>_xlfn.XLOOKUP(Metas_Diarias[[#This Row],[data]],Feriados[Data],Feriados[Feriado],1)</f>
        <v>1</v>
      </c>
      <c r="J509" s="33" cm="1">
        <f t="array" aca="1" ref="J509" ca="1">SUMPRODUCT(IF((NOT(ISERROR(MATCH(ROW(INDIRECT(DATE(YEAR(B509),MONTH(B509),1)&amp;":"&amp;DATE(YEAR(B509),MONTH(B509)+1,0))),Feriados[Data],0))))=FALSE,
IF(WEEKDAY(ROW(INDIRECT(DATE(YEAR(B509),MONTH(B509),1)&amp;":"&amp;DATE(YEAR(B509),MONTH(B509)+1,0))),2)&lt;=5,1,IF(WEEKDAY(ROW(INDIRECT(DATE(YEAR(B509),MONTH(B509),1)&amp;":"&amp;DATE(YEAR(B509),MONTH(B509)+1,0))),2)=6,0.5,0)),0))</f>
        <v>23.5</v>
      </c>
      <c r="K509" s="22" cm="1">
        <f t="array" ref="K509">_xlfn.XLOOKUP(1,((Metas_Diarias[[#This Row],[tipo_equipe_id]]=Metas[equipe])*(Metas_Diarias[[#This Row],[data]]&gt;Metas[data_inicio])*(Metas_Diarias[[#This Row],[data]]&lt;Metas[data_fim])),Metas[meta_mensal],0)</f>
        <v>160000</v>
      </c>
      <c r="L509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10" spans="2:12" x14ac:dyDescent="0.3">
      <c r="B510" s="34">
        <v>45799</v>
      </c>
      <c r="C510" s="34" t="str">
        <f>TEXT(Metas_Diarias[[#This Row],[data]],"dddd")</f>
        <v>quinta-feira</v>
      </c>
      <c r="D510" s="33">
        <v>1</v>
      </c>
      <c r="E510" s="33">
        <v>1</v>
      </c>
      <c r="F510" s="18"/>
      <c r="G510" s="35">
        <f>WEEKDAY(Metas_Diarias[[#This Row],[data]])</f>
        <v>5</v>
      </c>
      <c r="H510" s="35">
        <f>IF(Metas_Diarias[[#This Row],[dias_da_demana]]=1,"domingo",IF(Metas_Diarias[[#This Row],[dias_da_demana]]=7,0.5,1))</f>
        <v>1</v>
      </c>
      <c r="I510" s="35">
        <f>_xlfn.XLOOKUP(Metas_Diarias[[#This Row],[data]],Feriados[Data],Feriados[Feriado],1)</f>
        <v>1</v>
      </c>
      <c r="J510" s="33" cm="1">
        <f t="array" aca="1" ref="J510" ca="1">SUMPRODUCT(IF((NOT(ISERROR(MATCH(ROW(INDIRECT(DATE(YEAR(B510),MONTH(B510),1)&amp;":"&amp;DATE(YEAR(B510),MONTH(B510)+1,0))),Feriados[Data],0))))=FALSE,
IF(WEEKDAY(ROW(INDIRECT(DATE(YEAR(B510),MONTH(B510),1)&amp;":"&amp;DATE(YEAR(B510),MONTH(B510)+1,0))),2)&lt;=5,1,IF(WEEKDAY(ROW(INDIRECT(DATE(YEAR(B510),MONTH(B510),1)&amp;":"&amp;DATE(YEAR(B510),MONTH(B510)+1,0))),2)=6,0.5,0)),0))</f>
        <v>23.5</v>
      </c>
      <c r="K510" s="22" cm="1">
        <f t="array" ref="K510">_xlfn.XLOOKUP(1,((Metas_Diarias[[#This Row],[tipo_equipe_id]]=Metas[equipe])*(Metas_Diarias[[#This Row],[data]]&gt;Metas[data_inicio])*(Metas_Diarias[[#This Row],[data]]&lt;Metas[data_fim])),Metas[meta_mensal],0)</f>
        <v>160000</v>
      </c>
      <c r="L510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11" spans="2:12" x14ac:dyDescent="0.3">
      <c r="B511" s="34">
        <v>45800</v>
      </c>
      <c r="C511" s="34" t="str">
        <f>TEXT(Metas_Diarias[[#This Row],[data]],"dddd")</f>
        <v>sexta-feira</v>
      </c>
      <c r="D511" s="33">
        <v>1</v>
      </c>
      <c r="E511" s="33">
        <v>1</v>
      </c>
      <c r="F511" s="18"/>
      <c r="G511" s="35">
        <f>WEEKDAY(Metas_Diarias[[#This Row],[data]])</f>
        <v>6</v>
      </c>
      <c r="H511" s="35">
        <f>IF(Metas_Diarias[[#This Row],[dias_da_demana]]=1,"domingo",IF(Metas_Diarias[[#This Row],[dias_da_demana]]=7,0.5,1))</f>
        <v>1</v>
      </c>
      <c r="I511" s="35">
        <f>_xlfn.XLOOKUP(Metas_Diarias[[#This Row],[data]],Feriados[Data],Feriados[Feriado],1)</f>
        <v>1</v>
      </c>
      <c r="J511" s="33" cm="1">
        <f t="array" aca="1" ref="J511" ca="1">SUMPRODUCT(IF((NOT(ISERROR(MATCH(ROW(INDIRECT(DATE(YEAR(B511),MONTH(B511),1)&amp;":"&amp;DATE(YEAR(B511),MONTH(B511)+1,0))),Feriados[Data],0))))=FALSE,
IF(WEEKDAY(ROW(INDIRECT(DATE(YEAR(B511),MONTH(B511),1)&amp;":"&amp;DATE(YEAR(B511),MONTH(B511)+1,0))),2)&lt;=5,1,IF(WEEKDAY(ROW(INDIRECT(DATE(YEAR(B511),MONTH(B511),1)&amp;":"&amp;DATE(YEAR(B511),MONTH(B511)+1,0))),2)=6,0.5,0)),0))</f>
        <v>23.5</v>
      </c>
      <c r="K511" s="22" cm="1">
        <f t="array" ref="K511">_xlfn.XLOOKUP(1,((Metas_Diarias[[#This Row],[tipo_equipe_id]]=Metas[equipe])*(Metas_Diarias[[#This Row],[data]]&gt;Metas[data_inicio])*(Metas_Diarias[[#This Row],[data]]&lt;Metas[data_fim])),Metas[meta_mensal],0)</f>
        <v>160000</v>
      </c>
      <c r="L511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12" spans="2:12" x14ac:dyDescent="0.3">
      <c r="B512" s="34">
        <v>45801</v>
      </c>
      <c r="C512" s="34" t="str">
        <f>TEXT(Metas_Diarias[[#This Row],[data]],"dddd")</f>
        <v>sábado</v>
      </c>
      <c r="D512" s="33">
        <v>1</v>
      </c>
      <c r="E512" s="33">
        <v>1</v>
      </c>
      <c r="F512" s="18"/>
      <c r="G512" s="35">
        <f>WEEKDAY(Metas_Diarias[[#This Row],[data]])</f>
        <v>7</v>
      </c>
      <c r="H512" s="35">
        <f>IF(Metas_Diarias[[#This Row],[dias_da_demana]]=1,"domingo",IF(Metas_Diarias[[#This Row],[dias_da_demana]]=7,0.5,1))</f>
        <v>0.5</v>
      </c>
      <c r="I512" s="35">
        <f>_xlfn.XLOOKUP(Metas_Diarias[[#This Row],[data]],Feriados[Data],Feriados[Feriado],1)</f>
        <v>1</v>
      </c>
      <c r="J512" s="33" cm="1">
        <f t="array" aca="1" ref="J512" ca="1">SUMPRODUCT(IF((NOT(ISERROR(MATCH(ROW(INDIRECT(DATE(YEAR(B512),MONTH(B512),1)&amp;":"&amp;DATE(YEAR(B512),MONTH(B512)+1,0))),Feriados[Data],0))))=FALSE,
IF(WEEKDAY(ROW(INDIRECT(DATE(YEAR(B512),MONTH(B512),1)&amp;":"&amp;DATE(YEAR(B512),MONTH(B512)+1,0))),2)&lt;=5,1,IF(WEEKDAY(ROW(INDIRECT(DATE(YEAR(B512),MONTH(B512),1)&amp;":"&amp;DATE(YEAR(B512),MONTH(B512)+1,0))),2)=6,0.5,0)),0))</f>
        <v>23.5</v>
      </c>
      <c r="K512" s="22" cm="1">
        <f t="array" ref="K512">_xlfn.XLOOKUP(1,((Metas_Diarias[[#This Row],[tipo_equipe_id]]=Metas[equipe])*(Metas_Diarias[[#This Row],[data]]&gt;Metas[data_inicio])*(Metas_Diarias[[#This Row],[data]]&lt;Metas[data_fim])),Metas[meta_mensal],0)</f>
        <v>160000</v>
      </c>
      <c r="L512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513" spans="2:12" x14ac:dyDescent="0.3">
      <c r="B513" s="34">
        <v>45802</v>
      </c>
      <c r="C513" s="34" t="str">
        <f>TEXT(Metas_Diarias[[#This Row],[data]],"dddd")</f>
        <v>domingo</v>
      </c>
      <c r="D513" s="33">
        <v>1</v>
      </c>
      <c r="E513" s="33">
        <v>1</v>
      </c>
      <c r="F513" s="18"/>
      <c r="G513" s="35">
        <f>WEEKDAY(Metas_Diarias[[#This Row],[data]])</f>
        <v>1</v>
      </c>
      <c r="H513" s="35" t="str">
        <f>IF(Metas_Diarias[[#This Row],[dias_da_demana]]=1,"domingo",IF(Metas_Diarias[[#This Row],[dias_da_demana]]=7,0.5,1))</f>
        <v>domingo</v>
      </c>
      <c r="I513" s="35">
        <f>_xlfn.XLOOKUP(Metas_Diarias[[#This Row],[data]],Feriados[Data],Feriados[Feriado],1)</f>
        <v>1</v>
      </c>
      <c r="J513" s="33" cm="1">
        <f t="array" aca="1" ref="J513" ca="1">SUMPRODUCT(IF((NOT(ISERROR(MATCH(ROW(INDIRECT(DATE(YEAR(B513),MONTH(B513),1)&amp;":"&amp;DATE(YEAR(B513),MONTH(B513)+1,0))),Feriados[Data],0))))=FALSE,
IF(WEEKDAY(ROW(INDIRECT(DATE(YEAR(B513),MONTH(B513),1)&amp;":"&amp;DATE(YEAR(B513),MONTH(B513)+1,0))),2)&lt;=5,1,IF(WEEKDAY(ROW(INDIRECT(DATE(YEAR(B513),MONTH(B513),1)&amp;":"&amp;DATE(YEAR(B513),MONTH(B513)+1,0))),2)=6,0.5,0)),0))</f>
        <v>23.5</v>
      </c>
      <c r="K513" s="22" cm="1">
        <f t="array" ref="K513">_xlfn.XLOOKUP(1,((Metas_Diarias[[#This Row],[tipo_equipe_id]]=Metas[equipe])*(Metas_Diarias[[#This Row],[data]]&gt;Metas[data_inicio])*(Metas_Diarias[[#This Row],[data]]&lt;Metas[data_fim])),Metas[meta_mensal],0)</f>
        <v>160000</v>
      </c>
      <c r="L51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14" spans="2:12" x14ac:dyDescent="0.3">
      <c r="B514" s="34">
        <v>45803</v>
      </c>
      <c r="C514" s="34" t="str">
        <f>TEXT(Metas_Diarias[[#This Row],[data]],"dddd")</f>
        <v>segunda-feira</v>
      </c>
      <c r="D514" s="33">
        <v>1</v>
      </c>
      <c r="E514" s="33">
        <v>1</v>
      </c>
      <c r="F514" s="18"/>
      <c r="G514" s="35">
        <f>WEEKDAY(Metas_Diarias[[#This Row],[data]])</f>
        <v>2</v>
      </c>
      <c r="H514" s="35">
        <f>IF(Metas_Diarias[[#This Row],[dias_da_demana]]=1,"domingo",IF(Metas_Diarias[[#This Row],[dias_da_demana]]=7,0.5,1))</f>
        <v>1</v>
      </c>
      <c r="I514" s="35">
        <f>_xlfn.XLOOKUP(Metas_Diarias[[#This Row],[data]],Feriados[Data],Feriados[Feriado],1)</f>
        <v>1</v>
      </c>
      <c r="J514" s="33" cm="1">
        <f t="array" aca="1" ref="J514" ca="1">SUMPRODUCT(IF((NOT(ISERROR(MATCH(ROW(INDIRECT(DATE(YEAR(B514),MONTH(B514),1)&amp;":"&amp;DATE(YEAR(B514),MONTH(B514)+1,0))),Feriados[Data],0))))=FALSE,
IF(WEEKDAY(ROW(INDIRECT(DATE(YEAR(B514),MONTH(B514),1)&amp;":"&amp;DATE(YEAR(B514),MONTH(B514)+1,0))),2)&lt;=5,1,IF(WEEKDAY(ROW(INDIRECT(DATE(YEAR(B514),MONTH(B514),1)&amp;":"&amp;DATE(YEAR(B514),MONTH(B514)+1,0))),2)=6,0.5,0)),0))</f>
        <v>23.5</v>
      </c>
      <c r="K514" s="22" cm="1">
        <f t="array" ref="K514">_xlfn.XLOOKUP(1,((Metas_Diarias[[#This Row],[tipo_equipe_id]]=Metas[equipe])*(Metas_Diarias[[#This Row],[data]]&gt;Metas[data_inicio])*(Metas_Diarias[[#This Row],[data]]&lt;Metas[data_fim])),Metas[meta_mensal],0)</f>
        <v>160000</v>
      </c>
      <c r="L514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15" spans="2:12" x14ac:dyDescent="0.3">
      <c r="B515" s="34">
        <v>45804</v>
      </c>
      <c r="C515" s="34" t="str">
        <f>TEXT(Metas_Diarias[[#This Row],[data]],"dddd")</f>
        <v>terça-feira</v>
      </c>
      <c r="D515" s="33">
        <v>1</v>
      </c>
      <c r="E515" s="33">
        <v>1</v>
      </c>
      <c r="F515" s="18"/>
      <c r="G515" s="35">
        <f>WEEKDAY(Metas_Diarias[[#This Row],[data]])</f>
        <v>3</v>
      </c>
      <c r="H515" s="35">
        <f>IF(Metas_Diarias[[#This Row],[dias_da_demana]]=1,"domingo",IF(Metas_Diarias[[#This Row],[dias_da_demana]]=7,0.5,1))</f>
        <v>1</v>
      </c>
      <c r="I515" s="35">
        <f>_xlfn.XLOOKUP(Metas_Diarias[[#This Row],[data]],Feriados[Data],Feriados[Feriado],1)</f>
        <v>1</v>
      </c>
      <c r="J515" s="33" cm="1">
        <f t="array" aca="1" ref="J515" ca="1">SUMPRODUCT(IF((NOT(ISERROR(MATCH(ROW(INDIRECT(DATE(YEAR(B515),MONTH(B515),1)&amp;":"&amp;DATE(YEAR(B515),MONTH(B515)+1,0))),Feriados[Data],0))))=FALSE,
IF(WEEKDAY(ROW(INDIRECT(DATE(YEAR(B515),MONTH(B515),1)&amp;":"&amp;DATE(YEAR(B515),MONTH(B515)+1,0))),2)&lt;=5,1,IF(WEEKDAY(ROW(INDIRECT(DATE(YEAR(B515),MONTH(B515),1)&amp;":"&amp;DATE(YEAR(B515),MONTH(B515)+1,0))),2)=6,0.5,0)),0))</f>
        <v>23.5</v>
      </c>
      <c r="K515" s="22" cm="1">
        <f t="array" ref="K515">_xlfn.XLOOKUP(1,((Metas_Diarias[[#This Row],[tipo_equipe_id]]=Metas[equipe])*(Metas_Diarias[[#This Row],[data]]&gt;Metas[data_inicio])*(Metas_Diarias[[#This Row],[data]]&lt;Metas[data_fim])),Metas[meta_mensal],0)</f>
        <v>160000</v>
      </c>
      <c r="L515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16" spans="2:12" x14ac:dyDescent="0.3">
      <c r="B516" s="34">
        <v>45805</v>
      </c>
      <c r="C516" s="34" t="str">
        <f>TEXT(Metas_Diarias[[#This Row],[data]],"dddd")</f>
        <v>quarta-feira</v>
      </c>
      <c r="D516" s="33">
        <v>1</v>
      </c>
      <c r="E516" s="33">
        <v>1</v>
      </c>
      <c r="F516" s="18"/>
      <c r="G516" s="35">
        <f>WEEKDAY(Metas_Diarias[[#This Row],[data]])</f>
        <v>4</v>
      </c>
      <c r="H516" s="35">
        <f>IF(Metas_Diarias[[#This Row],[dias_da_demana]]=1,"domingo",IF(Metas_Diarias[[#This Row],[dias_da_demana]]=7,0.5,1))</f>
        <v>1</v>
      </c>
      <c r="I516" s="35">
        <f>_xlfn.XLOOKUP(Metas_Diarias[[#This Row],[data]],Feriados[Data],Feriados[Feriado],1)</f>
        <v>1</v>
      </c>
      <c r="J516" s="33" cm="1">
        <f t="array" aca="1" ref="J516" ca="1">SUMPRODUCT(IF((NOT(ISERROR(MATCH(ROW(INDIRECT(DATE(YEAR(B516),MONTH(B516),1)&amp;":"&amp;DATE(YEAR(B516),MONTH(B516)+1,0))),Feriados[Data],0))))=FALSE,
IF(WEEKDAY(ROW(INDIRECT(DATE(YEAR(B516),MONTH(B516),1)&amp;":"&amp;DATE(YEAR(B516),MONTH(B516)+1,0))),2)&lt;=5,1,IF(WEEKDAY(ROW(INDIRECT(DATE(YEAR(B516),MONTH(B516),1)&amp;":"&amp;DATE(YEAR(B516),MONTH(B516)+1,0))),2)=6,0.5,0)),0))</f>
        <v>23.5</v>
      </c>
      <c r="K516" s="22" cm="1">
        <f t="array" ref="K516">_xlfn.XLOOKUP(1,((Metas_Diarias[[#This Row],[tipo_equipe_id]]=Metas[equipe])*(Metas_Diarias[[#This Row],[data]]&gt;Metas[data_inicio])*(Metas_Diarias[[#This Row],[data]]&lt;Metas[data_fim])),Metas[meta_mensal],0)</f>
        <v>160000</v>
      </c>
      <c r="L516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17" spans="2:12" x14ac:dyDescent="0.3">
      <c r="B517" s="34">
        <v>45806</v>
      </c>
      <c r="C517" s="34" t="str">
        <f>TEXT(Metas_Diarias[[#This Row],[data]],"dddd")</f>
        <v>quinta-feira</v>
      </c>
      <c r="D517" s="33">
        <v>1</v>
      </c>
      <c r="E517" s="33">
        <v>1</v>
      </c>
      <c r="F517" s="18"/>
      <c r="G517" s="35">
        <f>WEEKDAY(Metas_Diarias[[#This Row],[data]])</f>
        <v>5</v>
      </c>
      <c r="H517" s="35">
        <f>IF(Metas_Diarias[[#This Row],[dias_da_demana]]=1,"domingo",IF(Metas_Diarias[[#This Row],[dias_da_demana]]=7,0.5,1))</f>
        <v>1</v>
      </c>
      <c r="I517" s="35">
        <f>_xlfn.XLOOKUP(Metas_Diarias[[#This Row],[data]],Feriados[Data],Feriados[Feriado],1)</f>
        <v>1</v>
      </c>
      <c r="J517" s="33" cm="1">
        <f t="array" aca="1" ref="J517" ca="1">SUMPRODUCT(IF((NOT(ISERROR(MATCH(ROW(INDIRECT(DATE(YEAR(B517),MONTH(B517),1)&amp;":"&amp;DATE(YEAR(B517),MONTH(B517)+1,0))),Feriados[Data],0))))=FALSE,
IF(WEEKDAY(ROW(INDIRECT(DATE(YEAR(B517),MONTH(B517),1)&amp;":"&amp;DATE(YEAR(B517),MONTH(B517)+1,0))),2)&lt;=5,1,IF(WEEKDAY(ROW(INDIRECT(DATE(YEAR(B517),MONTH(B517),1)&amp;":"&amp;DATE(YEAR(B517),MONTH(B517)+1,0))),2)=6,0.5,0)),0))</f>
        <v>23.5</v>
      </c>
      <c r="K517" s="22" cm="1">
        <f t="array" ref="K517">_xlfn.XLOOKUP(1,((Metas_Diarias[[#This Row],[tipo_equipe_id]]=Metas[equipe])*(Metas_Diarias[[#This Row],[data]]&gt;Metas[data_inicio])*(Metas_Diarias[[#This Row],[data]]&lt;Metas[data_fim])),Metas[meta_mensal],0)</f>
        <v>160000</v>
      </c>
      <c r="L517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18" spans="2:12" x14ac:dyDescent="0.3">
      <c r="B518" s="34">
        <v>45807</v>
      </c>
      <c r="C518" s="34" t="str">
        <f>TEXT(Metas_Diarias[[#This Row],[data]],"dddd")</f>
        <v>sexta-feira</v>
      </c>
      <c r="D518" s="33">
        <v>1</v>
      </c>
      <c r="E518" s="33">
        <v>1</v>
      </c>
      <c r="F518" s="18"/>
      <c r="G518" s="35">
        <f>WEEKDAY(Metas_Diarias[[#This Row],[data]])</f>
        <v>6</v>
      </c>
      <c r="H518" s="35">
        <f>IF(Metas_Diarias[[#This Row],[dias_da_demana]]=1,"domingo",IF(Metas_Diarias[[#This Row],[dias_da_demana]]=7,0.5,1))</f>
        <v>1</v>
      </c>
      <c r="I518" s="35">
        <f>_xlfn.XLOOKUP(Metas_Diarias[[#This Row],[data]],Feriados[Data],Feriados[Feriado],1)</f>
        <v>1</v>
      </c>
      <c r="J518" s="33" cm="1">
        <f t="array" aca="1" ref="J518" ca="1">SUMPRODUCT(IF((NOT(ISERROR(MATCH(ROW(INDIRECT(DATE(YEAR(B518),MONTH(B518),1)&amp;":"&amp;DATE(YEAR(B518),MONTH(B518)+1,0))),Feriados[Data],0))))=FALSE,
IF(WEEKDAY(ROW(INDIRECT(DATE(YEAR(B518),MONTH(B518),1)&amp;":"&amp;DATE(YEAR(B518),MONTH(B518)+1,0))),2)&lt;=5,1,IF(WEEKDAY(ROW(INDIRECT(DATE(YEAR(B518),MONTH(B518),1)&amp;":"&amp;DATE(YEAR(B518),MONTH(B518)+1,0))),2)=6,0.5,0)),0))</f>
        <v>23.5</v>
      </c>
      <c r="K518" s="22" cm="1">
        <f t="array" ref="K518">_xlfn.XLOOKUP(1,((Metas_Diarias[[#This Row],[tipo_equipe_id]]=Metas[equipe])*(Metas_Diarias[[#This Row],[data]]&gt;Metas[data_inicio])*(Metas_Diarias[[#This Row],[data]]&lt;Metas[data_fim])),Metas[meta_mensal],0)</f>
        <v>160000</v>
      </c>
      <c r="L518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19" spans="2:12" x14ac:dyDescent="0.3">
      <c r="B519" s="34">
        <v>45808</v>
      </c>
      <c r="C519" s="34" t="str">
        <f>TEXT(Metas_Diarias[[#This Row],[data]],"dddd")</f>
        <v>sábado</v>
      </c>
      <c r="D519" s="33">
        <v>1</v>
      </c>
      <c r="E519" s="33">
        <v>1</v>
      </c>
      <c r="F519" s="18"/>
      <c r="G519" s="35">
        <f>WEEKDAY(Metas_Diarias[[#This Row],[data]])</f>
        <v>7</v>
      </c>
      <c r="H519" s="35">
        <f>IF(Metas_Diarias[[#This Row],[dias_da_demana]]=1,"domingo",IF(Metas_Diarias[[#This Row],[dias_da_demana]]=7,0.5,1))</f>
        <v>0.5</v>
      </c>
      <c r="I519" s="35">
        <f>_xlfn.XLOOKUP(Metas_Diarias[[#This Row],[data]],Feriados[Data],Feriados[Feriado],1)</f>
        <v>1</v>
      </c>
      <c r="J519" s="33" cm="1">
        <f t="array" aca="1" ref="J519" ca="1">SUMPRODUCT(IF((NOT(ISERROR(MATCH(ROW(INDIRECT(DATE(YEAR(B519),MONTH(B519),1)&amp;":"&amp;DATE(YEAR(B519),MONTH(B519)+1,0))),Feriados[Data],0))))=FALSE,
IF(WEEKDAY(ROW(INDIRECT(DATE(YEAR(B519),MONTH(B519),1)&amp;":"&amp;DATE(YEAR(B519),MONTH(B519)+1,0))),2)&lt;=5,1,IF(WEEKDAY(ROW(INDIRECT(DATE(YEAR(B519),MONTH(B519),1)&amp;":"&amp;DATE(YEAR(B519),MONTH(B519)+1,0))),2)=6,0.5,0)),0))</f>
        <v>23.5</v>
      </c>
      <c r="K519" s="22" cm="1">
        <f t="array" ref="K519">_xlfn.XLOOKUP(1,((Metas_Diarias[[#This Row],[tipo_equipe_id]]=Metas[equipe])*(Metas_Diarias[[#This Row],[data]]&gt;Metas[data_inicio])*(Metas_Diarias[[#This Row],[data]]&lt;Metas[data_fim])),Metas[meta_mensal],0)</f>
        <v>160000</v>
      </c>
      <c r="L519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520" spans="2:12" x14ac:dyDescent="0.3">
      <c r="B520" s="34">
        <v>45809</v>
      </c>
      <c r="C520" s="34" t="str">
        <f>TEXT(Metas_Diarias[[#This Row],[data]],"dddd")</f>
        <v>domingo</v>
      </c>
      <c r="D520" s="33">
        <v>1</v>
      </c>
      <c r="E520" s="33">
        <v>1</v>
      </c>
      <c r="F520" s="18"/>
      <c r="G520" s="35">
        <f>WEEKDAY(Metas_Diarias[[#This Row],[data]])</f>
        <v>1</v>
      </c>
      <c r="H520" s="35" t="str">
        <f>IF(Metas_Diarias[[#This Row],[dias_da_demana]]=1,"domingo",IF(Metas_Diarias[[#This Row],[dias_da_demana]]=7,0.5,1))</f>
        <v>domingo</v>
      </c>
      <c r="I520" s="35">
        <f>_xlfn.XLOOKUP(Metas_Diarias[[#This Row],[data]],Feriados[Data],Feriados[Feriado],1)</f>
        <v>1</v>
      </c>
      <c r="J520" s="33" cm="1">
        <f t="array" aca="1" ref="J520" ca="1">SUMPRODUCT(IF((NOT(ISERROR(MATCH(ROW(INDIRECT(DATE(YEAR(B520),MONTH(B520),1)&amp;":"&amp;DATE(YEAR(B520),MONTH(B520)+1,0))),Feriados[Data],0))))=FALSE,
IF(WEEKDAY(ROW(INDIRECT(DATE(YEAR(B520),MONTH(B520),1)&amp;":"&amp;DATE(YEAR(B520),MONTH(B520)+1,0))),2)&lt;=5,1,IF(WEEKDAY(ROW(INDIRECT(DATE(YEAR(B520),MONTH(B520),1)&amp;":"&amp;DATE(YEAR(B520),MONTH(B520)+1,0))),2)=6,0.5,0)),0))</f>
        <v>22</v>
      </c>
      <c r="K520" s="22" cm="1">
        <f t="array" ref="K520">_xlfn.XLOOKUP(1,((Metas_Diarias[[#This Row],[tipo_equipe_id]]=Metas[equipe])*(Metas_Diarias[[#This Row],[data]]&gt;Metas[data_inicio])*(Metas_Diarias[[#This Row],[data]]&lt;Metas[data_fim])),Metas[meta_mensal],0)</f>
        <v>160000</v>
      </c>
      <c r="L52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21" spans="2:12" x14ac:dyDescent="0.3">
      <c r="B521" s="34">
        <v>45810</v>
      </c>
      <c r="C521" s="34" t="str">
        <f>TEXT(Metas_Diarias[[#This Row],[data]],"dddd")</f>
        <v>segunda-feira</v>
      </c>
      <c r="D521" s="33">
        <v>1</v>
      </c>
      <c r="E521" s="33">
        <v>1</v>
      </c>
      <c r="F521" s="18"/>
      <c r="G521" s="35">
        <f>WEEKDAY(Metas_Diarias[[#This Row],[data]])</f>
        <v>2</v>
      </c>
      <c r="H521" s="35">
        <f>IF(Metas_Diarias[[#This Row],[dias_da_demana]]=1,"domingo",IF(Metas_Diarias[[#This Row],[dias_da_demana]]=7,0.5,1))</f>
        <v>1</v>
      </c>
      <c r="I521" s="35">
        <f>_xlfn.XLOOKUP(Metas_Diarias[[#This Row],[data]],Feriados[Data],Feriados[Feriado],1)</f>
        <v>1</v>
      </c>
      <c r="J521" s="33" cm="1">
        <f t="array" aca="1" ref="J521" ca="1">SUMPRODUCT(IF((NOT(ISERROR(MATCH(ROW(INDIRECT(DATE(YEAR(B521),MONTH(B521),1)&amp;":"&amp;DATE(YEAR(B521),MONTH(B521)+1,0))),Feriados[Data],0))))=FALSE,
IF(WEEKDAY(ROW(INDIRECT(DATE(YEAR(B521),MONTH(B521),1)&amp;":"&amp;DATE(YEAR(B521),MONTH(B521)+1,0))),2)&lt;=5,1,IF(WEEKDAY(ROW(INDIRECT(DATE(YEAR(B521),MONTH(B521),1)&amp;":"&amp;DATE(YEAR(B521),MONTH(B521)+1,0))),2)=6,0.5,0)),0))</f>
        <v>22</v>
      </c>
      <c r="K521" s="22" cm="1">
        <f t="array" ref="K521">_xlfn.XLOOKUP(1,((Metas_Diarias[[#This Row],[tipo_equipe_id]]=Metas[equipe])*(Metas_Diarias[[#This Row],[data]]&gt;Metas[data_inicio])*(Metas_Diarias[[#This Row],[data]]&lt;Metas[data_fim])),Metas[meta_mensal],0)</f>
        <v>160000</v>
      </c>
      <c r="L521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22" spans="2:12" x14ac:dyDescent="0.3">
      <c r="B522" s="34">
        <v>45811</v>
      </c>
      <c r="C522" s="34" t="str">
        <f>TEXT(Metas_Diarias[[#This Row],[data]],"dddd")</f>
        <v>terça-feira</v>
      </c>
      <c r="D522" s="33">
        <v>1</v>
      </c>
      <c r="E522" s="33">
        <v>1</v>
      </c>
      <c r="F522" s="18"/>
      <c r="G522" s="35">
        <f>WEEKDAY(Metas_Diarias[[#This Row],[data]])</f>
        <v>3</v>
      </c>
      <c r="H522" s="35">
        <f>IF(Metas_Diarias[[#This Row],[dias_da_demana]]=1,"domingo",IF(Metas_Diarias[[#This Row],[dias_da_demana]]=7,0.5,1))</f>
        <v>1</v>
      </c>
      <c r="I522" s="35">
        <f>_xlfn.XLOOKUP(Metas_Diarias[[#This Row],[data]],Feriados[Data],Feriados[Feriado],1)</f>
        <v>1</v>
      </c>
      <c r="J522" s="33" cm="1">
        <f t="array" aca="1" ref="J522" ca="1">SUMPRODUCT(IF((NOT(ISERROR(MATCH(ROW(INDIRECT(DATE(YEAR(B522),MONTH(B522),1)&amp;":"&amp;DATE(YEAR(B522),MONTH(B522)+1,0))),Feriados[Data],0))))=FALSE,
IF(WEEKDAY(ROW(INDIRECT(DATE(YEAR(B522),MONTH(B522),1)&amp;":"&amp;DATE(YEAR(B522),MONTH(B522)+1,0))),2)&lt;=5,1,IF(WEEKDAY(ROW(INDIRECT(DATE(YEAR(B522),MONTH(B522),1)&amp;":"&amp;DATE(YEAR(B522),MONTH(B522)+1,0))),2)=6,0.5,0)),0))</f>
        <v>22</v>
      </c>
      <c r="K522" s="22" cm="1">
        <f t="array" ref="K522">_xlfn.XLOOKUP(1,((Metas_Diarias[[#This Row],[tipo_equipe_id]]=Metas[equipe])*(Metas_Diarias[[#This Row],[data]]&gt;Metas[data_inicio])*(Metas_Diarias[[#This Row],[data]]&lt;Metas[data_fim])),Metas[meta_mensal],0)</f>
        <v>160000</v>
      </c>
      <c r="L52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23" spans="2:12" x14ac:dyDescent="0.3">
      <c r="B523" s="34">
        <v>45812</v>
      </c>
      <c r="C523" s="34" t="str">
        <f>TEXT(Metas_Diarias[[#This Row],[data]],"dddd")</f>
        <v>quarta-feira</v>
      </c>
      <c r="D523" s="33">
        <v>1</v>
      </c>
      <c r="E523" s="33">
        <v>1</v>
      </c>
      <c r="F523" s="18"/>
      <c r="G523" s="35">
        <f>WEEKDAY(Metas_Diarias[[#This Row],[data]])</f>
        <v>4</v>
      </c>
      <c r="H523" s="35">
        <f>IF(Metas_Diarias[[#This Row],[dias_da_demana]]=1,"domingo",IF(Metas_Diarias[[#This Row],[dias_da_demana]]=7,0.5,1))</f>
        <v>1</v>
      </c>
      <c r="I523" s="35">
        <f>_xlfn.XLOOKUP(Metas_Diarias[[#This Row],[data]],Feriados[Data],Feriados[Feriado],1)</f>
        <v>1</v>
      </c>
      <c r="J523" s="33" cm="1">
        <f t="array" aca="1" ref="J523" ca="1">SUMPRODUCT(IF((NOT(ISERROR(MATCH(ROW(INDIRECT(DATE(YEAR(B523),MONTH(B523),1)&amp;":"&amp;DATE(YEAR(B523),MONTH(B523)+1,0))),Feriados[Data],0))))=FALSE,
IF(WEEKDAY(ROW(INDIRECT(DATE(YEAR(B523),MONTH(B523),1)&amp;":"&amp;DATE(YEAR(B523),MONTH(B523)+1,0))),2)&lt;=5,1,IF(WEEKDAY(ROW(INDIRECT(DATE(YEAR(B523),MONTH(B523),1)&amp;":"&amp;DATE(YEAR(B523),MONTH(B523)+1,0))),2)=6,0.5,0)),0))</f>
        <v>22</v>
      </c>
      <c r="K523" s="22" cm="1">
        <f t="array" ref="K523">_xlfn.XLOOKUP(1,((Metas_Diarias[[#This Row],[tipo_equipe_id]]=Metas[equipe])*(Metas_Diarias[[#This Row],[data]]&gt;Metas[data_inicio])*(Metas_Diarias[[#This Row],[data]]&lt;Metas[data_fim])),Metas[meta_mensal],0)</f>
        <v>160000</v>
      </c>
      <c r="L52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24" spans="2:12" x14ac:dyDescent="0.3">
      <c r="B524" s="34">
        <v>45813</v>
      </c>
      <c r="C524" s="34" t="str">
        <f>TEXT(Metas_Diarias[[#This Row],[data]],"dddd")</f>
        <v>quinta-feira</v>
      </c>
      <c r="D524" s="33">
        <v>1</v>
      </c>
      <c r="E524" s="33">
        <v>1</v>
      </c>
      <c r="F524" s="18"/>
      <c r="G524" s="35">
        <f>WEEKDAY(Metas_Diarias[[#This Row],[data]])</f>
        <v>5</v>
      </c>
      <c r="H524" s="35">
        <f>IF(Metas_Diarias[[#This Row],[dias_da_demana]]=1,"domingo",IF(Metas_Diarias[[#This Row],[dias_da_demana]]=7,0.5,1))</f>
        <v>1</v>
      </c>
      <c r="I524" s="35">
        <f>_xlfn.XLOOKUP(Metas_Diarias[[#This Row],[data]],Feriados[Data],Feriados[Feriado],1)</f>
        <v>1</v>
      </c>
      <c r="J524" s="33" cm="1">
        <f t="array" aca="1" ref="J524" ca="1">SUMPRODUCT(IF((NOT(ISERROR(MATCH(ROW(INDIRECT(DATE(YEAR(B524),MONTH(B524),1)&amp;":"&amp;DATE(YEAR(B524),MONTH(B524)+1,0))),Feriados[Data],0))))=FALSE,
IF(WEEKDAY(ROW(INDIRECT(DATE(YEAR(B524),MONTH(B524),1)&amp;":"&amp;DATE(YEAR(B524),MONTH(B524)+1,0))),2)&lt;=5,1,IF(WEEKDAY(ROW(INDIRECT(DATE(YEAR(B524),MONTH(B524),1)&amp;":"&amp;DATE(YEAR(B524),MONTH(B524)+1,0))),2)=6,0.5,0)),0))</f>
        <v>22</v>
      </c>
      <c r="K524" s="22" cm="1">
        <f t="array" ref="K524">_xlfn.XLOOKUP(1,((Metas_Diarias[[#This Row],[tipo_equipe_id]]=Metas[equipe])*(Metas_Diarias[[#This Row],[data]]&gt;Metas[data_inicio])*(Metas_Diarias[[#This Row],[data]]&lt;Metas[data_fim])),Metas[meta_mensal],0)</f>
        <v>160000</v>
      </c>
      <c r="L524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25" spans="2:12" x14ac:dyDescent="0.3">
      <c r="B525" s="34">
        <v>45814</v>
      </c>
      <c r="C525" s="34" t="str">
        <f>TEXT(Metas_Diarias[[#This Row],[data]],"dddd")</f>
        <v>sexta-feira</v>
      </c>
      <c r="D525" s="33">
        <v>1</v>
      </c>
      <c r="E525" s="33">
        <v>1</v>
      </c>
      <c r="F525" s="18"/>
      <c r="G525" s="35">
        <f>WEEKDAY(Metas_Diarias[[#This Row],[data]])</f>
        <v>6</v>
      </c>
      <c r="H525" s="35">
        <f>IF(Metas_Diarias[[#This Row],[dias_da_demana]]=1,"domingo",IF(Metas_Diarias[[#This Row],[dias_da_demana]]=7,0.5,1))</f>
        <v>1</v>
      </c>
      <c r="I525" s="35">
        <f>_xlfn.XLOOKUP(Metas_Diarias[[#This Row],[data]],Feriados[Data],Feriados[Feriado],1)</f>
        <v>1</v>
      </c>
      <c r="J525" s="33" cm="1">
        <f t="array" aca="1" ref="J525" ca="1">SUMPRODUCT(IF((NOT(ISERROR(MATCH(ROW(INDIRECT(DATE(YEAR(B525),MONTH(B525),1)&amp;":"&amp;DATE(YEAR(B525),MONTH(B525)+1,0))),Feriados[Data],0))))=FALSE,
IF(WEEKDAY(ROW(INDIRECT(DATE(YEAR(B525),MONTH(B525),1)&amp;":"&amp;DATE(YEAR(B525),MONTH(B525)+1,0))),2)&lt;=5,1,IF(WEEKDAY(ROW(INDIRECT(DATE(YEAR(B525),MONTH(B525),1)&amp;":"&amp;DATE(YEAR(B525),MONTH(B525)+1,0))),2)=6,0.5,0)),0))</f>
        <v>22</v>
      </c>
      <c r="K525" s="22" cm="1">
        <f t="array" ref="K525">_xlfn.XLOOKUP(1,((Metas_Diarias[[#This Row],[tipo_equipe_id]]=Metas[equipe])*(Metas_Diarias[[#This Row],[data]]&gt;Metas[data_inicio])*(Metas_Diarias[[#This Row],[data]]&lt;Metas[data_fim])),Metas[meta_mensal],0)</f>
        <v>160000</v>
      </c>
      <c r="L52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26" spans="2:12" x14ac:dyDescent="0.3">
      <c r="B526" s="34">
        <v>45815</v>
      </c>
      <c r="C526" s="34" t="str">
        <f>TEXT(Metas_Diarias[[#This Row],[data]],"dddd")</f>
        <v>sábado</v>
      </c>
      <c r="D526" s="33">
        <v>1</v>
      </c>
      <c r="E526" s="33">
        <v>1</v>
      </c>
      <c r="F526" s="18"/>
      <c r="G526" s="35">
        <f>WEEKDAY(Metas_Diarias[[#This Row],[data]])</f>
        <v>7</v>
      </c>
      <c r="H526" s="35">
        <f>IF(Metas_Diarias[[#This Row],[dias_da_demana]]=1,"domingo",IF(Metas_Diarias[[#This Row],[dias_da_demana]]=7,0.5,1))</f>
        <v>0.5</v>
      </c>
      <c r="I526" s="35">
        <f>_xlfn.XLOOKUP(Metas_Diarias[[#This Row],[data]],Feriados[Data],Feriados[Feriado],1)</f>
        <v>1</v>
      </c>
      <c r="J526" s="33" cm="1">
        <f t="array" aca="1" ref="J526" ca="1">SUMPRODUCT(IF((NOT(ISERROR(MATCH(ROW(INDIRECT(DATE(YEAR(B526),MONTH(B526),1)&amp;":"&amp;DATE(YEAR(B526),MONTH(B526)+1,0))),Feriados[Data],0))))=FALSE,
IF(WEEKDAY(ROW(INDIRECT(DATE(YEAR(B526),MONTH(B526),1)&amp;":"&amp;DATE(YEAR(B526),MONTH(B526)+1,0))),2)&lt;=5,1,IF(WEEKDAY(ROW(INDIRECT(DATE(YEAR(B526),MONTH(B526),1)&amp;":"&amp;DATE(YEAR(B526),MONTH(B526)+1,0))),2)=6,0.5,0)),0))</f>
        <v>22</v>
      </c>
      <c r="K526" s="22" cm="1">
        <f t="array" ref="K526">_xlfn.XLOOKUP(1,((Metas_Diarias[[#This Row],[tipo_equipe_id]]=Metas[equipe])*(Metas_Diarias[[#This Row],[data]]&gt;Metas[data_inicio])*(Metas_Diarias[[#This Row],[data]]&lt;Metas[data_fim])),Metas[meta_mensal],0)</f>
        <v>160000</v>
      </c>
      <c r="L526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527" spans="2:12" x14ac:dyDescent="0.3">
      <c r="B527" s="34">
        <v>45816</v>
      </c>
      <c r="C527" s="34" t="str">
        <f>TEXT(Metas_Diarias[[#This Row],[data]],"dddd")</f>
        <v>domingo</v>
      </c>
      <c r="D527" s="33">
        <v>1</v>
      </c>
      <c r="E527" s="33">
        <v>1</v>
      </c>
      <c r="F527" s="18"/>
      <c r="G527" s="35">
        <f>WEEKDAY(Metas_Diarias[[#This Row],[data]])</f>
        <v>1</v>
      </c>
      <c r="H527" s="35" t="str">
        <f>IF(Metas_Diarias[[#This Row],[dias_da_demana]]=1,"domingo",IF(Metas_Diarias[[#This Row],[dias_da_demana]]=7,0.5,1))</f>
        <v>domingo</v>
      </c>
      <c r="I527" s="35">
        <f>_xlfn.XLOOKUP(Metas_Diarias[[#This Row],[data]],Feriados[Data],Feriados[Feriado],1)</f>
        <v>1</v>
      </c>
      <c r="J527" s="33" cm="1">
        <f t="array" aca="1" ref="J527" ca="1">SUMPRODUCT(IF((NOT(ISERROR(MATCH(ROW(INDIRECT(DATE(YEAR(B527),MONTH(B527),1)&amp;":"&amp;DATE(YEAR(B527),MONTH(B527)+1,0))),Feriados[Data],0))))=FALSE,
IF(WEEKDAY(ROW(INDIRECT(DATE(YEAR(B527),MONTH(B527),1)&amp;":"&amp;DATE(YEAR(B527),MONTH(B527)+1,0))),2)&lt;=5,1,IF(WEEKDAY(ROW(INDIRECT(DATE(YEAR(B527),MONTH(B527),1)&amp;":"&amp;DATE(YEAR(B527),MONTH(B527)+1,0))),2)=6,0.5,0)),0))</f>
        <v>22</v>
      </c>
      <c r="K527" s="22" cm="1">
        <f t="array" ref="K527">_xlfn.XLOOKUP(1,((Metas_Diarias[[#This Row],[tipo_equipe_id]]=Metas[equipe])*(Metas_Diarias[[#This Row],[data]]&gt;Metas[data_inicio])*(Metas_Diarias[[#This Row],[data]]&lt;Metas[data_fim])),Metas[meta_mensal],0)</f>
        <v>160000</v>
      </c>
      <c r="L52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28" spans="2:12" x14ac:dyDescent="0.3">
      <c r="B528" s="34">
        <v>45817</v>
      </c>
      <c r="C528" s="34" t="str">
        <f>TEXT(Metas_Diarias[[#This Row],[data]],"dddd")</f>
        <v>segunda-feira</v>
      </c>
      <c r="D528" s="33">
        <v>1</v>
      </c>
      <c r="E528" s="33">
        <v>1</v>
      </c>
      <c r="F528" s="18"/>
      <c r="G528" s="35">
        <f>WEEKDAY(Metas_Diarias[[#This Row],[data]])</f>
        <v>2</v>
      </c>
      <c r="H528" s="35">
        <f>IF(Metas_Diarias[[#This Row],[dias_da_demana]]=1,"domingo",IF(Metas_Diarias[[#This Row],[dias_da_demana]]=7,0.5,1))</f>
        <v>1</v>
      </c>
      <c r="I528" s="35">
        <f>_xlfn.XLOOKUP(Metas_Diarias[[#This Row],[data]],Feriados[Data],Feriados[Feriado],1)</f>
        <v>1</v>
      </c>
      <c r="J528" s="33" cm="1">
        <f t="array" aca="1" ref="J528" ca="1">SUMPRODUCT(IF((NOT(ISERROR(MATCH(ROW(INDIRECT(DATE(YEAR(B528),MONTH(B528),1)&amp;":"&amp;DATE(YEAR(B528),MONTH(B528)+1,0))),Feriados[Data],0))))=FALSE,
IF(WEEKDAY(ROW(INDIRECT(DATE(YEAR(B528),MONTH(B528),1)&amp;":"&amp;DATE(YEAR(B528),MONTH(B528)+1,0))),2)&lt;=5,1,IF(WEEKDAY(ROW(INDIRECT(DATE(YEAR(B528),MONTH(B528),1)&amp;":"&amp;DATE(YEAR(B528),MONTH(B528)+1,0))),2)=6,0.5,0)),0))</f>
        <v>22</v>
      </c>
      <c r="K528" s="22" cm="1">
        <f t="array" ref="K528">_xlfn.XLOOKUP(1,((Metas_Diarias[[#This Row],[tipo_equipe_id]]=Metas[equipe])*(Metas_Diarias[[#This Row],[data]]&gt;Metas[data_inicio])*(Metas_Diarias[[#This Row],[data]]&lt;Metas[data_fim])),Metas[meta_mensal],0)</f>
        <v>160000</v>
      </c>
      <c r="L52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29" spans="2:12" x14ac:dyDescent="0.3">
      <c r="B529" s="34">
        <v>45818</v>
      </c>
      <c r="C529" s="34" t="str">
        <f>TEXT(Metas_Diarias[[#This Row],[data]],"dddd")</f>
        <v>terça-feira</v>
      </c>
      <c r="D529" s="33">
        <v>1</v>
      </c>
      <c r="E529" s="33">
        <v>1</v>
      </c>
      <c r="F529" s="18"/>
      <c r="G529" s="35">
        <f>WEEKDAY(Metas_Diarias[[#This Row],[data]])</f>
        <v>3</v>
      </c>
      <c r="H529" s="35">
        <f>IF(Metas_Diarias[[#This Row],[dias_da_demana]]=1,"domingo",IF(Metas_Diarias[[#This Row],[dias_da_demana]]=7,0.5,1))</f>
        <v>1</v>
      </c>
      <c r="I529" s="35">
        <f>_xlfn.XLOOKUP(Metas_Diarias[[#This Row],[data]],Feriados[Data],Feriados[Feriado],1)</f>
        <v>1</v>
      </c>
      <c r="J529" s="33" cm="1">
        <f t="array" aca="1" ref="J529" ca="1">SUMPRODUCT(IF((NOT(ISERROR(MATCH(ROW(INDIRECT(DATE(YEAR(B529),MONTH(B529),1)&amp;":"&amp;DATE(YEAR(B529),MONTH(B529)+1,0))),Feriados[Data],0))))=FALSE,
IF(WEEKDAY(ROW(INDIRECT(DATE(YEAR(B529),MONTH(B529),1)&amp;":"&amp;DATE(YEAR(B529),MONTH(B529)+1,0))),2)&lt;=5,1,IF(WEEKDAY(ROW(INDIRECT(DATE(YEAR(B529),MONTH(B529),1)&amp;":"&amp;DATE(YEAR(B529),MONTH(B529)+1,0))),2)=6,0.5,0)),0))</f>
        <v>22</v>
      </c>
      <c r="K529" s="22" cm="1">
        <f t="array" ref="K529">_xlfn.XLOOKUP(1,((Metas_Diarias[[#This Row],[tipo_equipe_id]]=Metas[equipe])*(Metas_Diarias[[#This Row],[data]]&gt;Metas[data_inicio])*(Metas_Diarias[[#This Row],[data]]&lt;Metas[data_fim])),Metas[meta_mensal],0)</f>
        <v>160000</v>
      </c>
      <c r="L52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30" spans="2:12" x14ac:dyDescent="0.3">
      <c r="B530" s="34">
        <v>45819</v>
      </c>
      <c r="C530" s="34" t="str">
        <f>TEXT(Metas_Diarias[[#This Row],[data]],"dddd")</f>
        <v>quarta-feira</v>
      </c>
      <c r="D530" s="33">
        <v>1</v>
      </c>
      <c r="E530" s="33">
        <v>1</v>
      </c>
      <c r="F530" s="18"/>
      <c r="G530" s="35">
        <f>WEEKDAY(Metas_Diarias[[#This Row],[data]])</f>
        <v>4</v>
      </c>
      <c r="H530" s="35">
        <f>IF(Metas_Diarias[[#This Row],[dias_da_demana]]=1,"domingo",IF(Metas_Diarias[[#This Row],[dias_da_demana]]=7,0.5,1))</f>
        <v>1</v>
      </c>
      <c r="I530" s="35">
        <f>_xlfn.XLOOKUP(Metas_Diarias[[#This Row],[data]],Feriados[Data],Feriados[Feriado],1)</f>
        <v>1</v>
      </c>
      <c r="J530" s="33" cm="1">
        <f t="array" aca="1" ref="J530" ca="1">SUMPRODUCT(IF((NOT(ISERROR(MATCH(ROW(INDIRECT(DATE(YEAR(B530),MONTH(B530),1)&amp;":"&amp;DATE(YEAR(B530),MONTH(B530)+1,0))),Feriados[Data],0))))=FALSE,
IF(WEEKDAY(ROW(INDIRECT(DATE(YEAR(B530),MONTH(B530),1)&amp;":"&amp;DATE(YEAR(B530),MONTH(B530)+1,0))),2)&lt;=5,1,IF(WEEKDAY(ROW(INDIRECT(DATE(YEAR(B530),MONTH(B530),1)&amp;":"&amp;DATE(YEAR(B530),MONTH(B530)+1,0))),2)=6,0.5,0)),0))</f>
        <v>22</v>
      </c>
      <c r="K530" s="22" cm="1">
        <f t="array" ref="K530">_xlfn.XLOOKUP(1,((Metas_Diarias[[#This Row],[tipo_equipe_id]]=Metas[equipe])*(Metas_Diarias[[#This Row],[data]]&gt;Metas[data_inicio])*(Metas_Diarias[[#This Row],[data]]&lt;Metas[data_fim])),Metas[meta_mensal],0)</f>
        <v>160000</v>
      </c>
      <c r="L530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31" spans="2:12" x14ac:dyDescent="0.3">
      <c r="B531" s="34">
        <v>45820</v>
      </c>
      <c r="C531" s="34" t="str">
        <f>TEXT(Metas_Diarias[[#This Row],[data]],"dddd")</f>
        <v>quinta-feira</v>
      </c>
      <c r="D531" s="33">
        <v>1</v>
      </c>
      <c r="E531" s="33">
        <v>1</v>
      </c>
      <c r="F531" s="18"/>
      <c r="G531" s="35">
        <f>WEEKDAY(Metas_Diarias[[#This Row],[data]])</f>
        <v>5</v>
      </c>
      <c r="H531" s="35">
        <f>IF(Metas_Diarias[[#This Row],[dias_da_demana]]=1,"domingo",IF(Metas_Diarias[[#This Row],[dias_da_demana]]=7,0.5,1))</f>
        <v>1</v>
      </c>
      <c r="I531" s="35">
        <f>_xlfn.XLOOKUP(Metas_Diarias[[#This Row],[data]],Feriados[Data],Feriados[Feriado],1)</f>
        <v>1</v>
      </c>
      <c r="J531" s="33" cm="1">
        <f t="array" aca="1" ref="J531" ca="1">SUMPRODUCT(IF((NOT(ISERROR(MATCH(ROW(INDIRECT(DATE(YEAR(B531),MONTH(B531),1)&amp;":"&amp;DATE(YEAR(B531),MONTH(B531)+1,0))),Feriados[Data],0))))=FALSE,
IF(WEEKDAY(ROW(INDIRECT(DATE(YEAR(B531),MONTH(B531),1)&amp;":"&amp;DATE(YEAR(B531),MONTH(B531)+1,0))),2)&lt;=5,1,IF(WEEKDAY(ROW(INDIRECT(DATE(YEAR(B531),MONTH(B531),1)&amp;":"&amp;DATE(YEAR(B531),MONTH(B531)+1,0))),2)=6,0.5,0)),0))</f>
        <v>22</v>
      </c>
      <c r="K531" s="22" cm="1">
        <f t="array" ref="K531">_xlfn.XLOOKUP(1,((Metas_Diarias[[#This Row],[tipo_equipe_id]]=Metas[equipe])*(Metas_Diarias[[#This Row],[data]]&gt;Metas[data_inicio])*(Metas_Diarias[[#This Row],[data]]&lt;Metas[data_fim])),Metas[meta_mensal],0)</f>
        <v>160000</v>
      </c>
      <c r="L531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32" spans="2:12" x14ac:dyDescent="0.3">
      <c r="B532" s="34">
        <v>45821</v>
      </c>
      <c r="C532" s="34" t="str">
        <f>TEXT(Metas_Diarias[[#This Row],[data]],"dddd")</f>
        <v>sexta-feira</v>
      </c>
      <c r="D532" s="33">
        <v>1</v>
      </c>
      <c r="E532" s="33">
        <v>1</v>
      </c>
      <c r="F532" s="18"/>
      <c r="G532" s="35">
        <f>WEEKDAY(Metas_Diarias[[#This Row],[data]])</f>
        <v>6</v>
      </c>
      <c r="H532" s="35">
        <f>IF(Metas_Diarias[[#This Row],[dias_da_demana]]=1,"domingo",IF(Metas_Diarias[[#This Row],[dias_da_demana]]=7,0.5,1))</f>
        <v>1</v>
      </c>
      <c r="I532" s="35">
        <f>_xlfn.XLOOKUP(Metas_Diarias[[#This Row],[data]],Feriados[Data],Feriados[Feriado],1)</f>
        <v>1</v>
      </c>
      <c r="J532" s="33" cm="1">
        <f t="array" aca="1" ref="J532" ca="1">SUMPRODUCT(IF((NOT(ISERROR(MATCH(ROW(INDIRECT(DATE(YEAR(B532),MONTH(B532),1)&amp;":"&amp;DATE(YEAR(B532),MONTH(B532)+1,0))),Feriados[Data],0))))=FALSE,
IF(WEEKDAY(ROW(INDIRECT(DATE(YEAR(B532),MONTH(B532),1)&amp;":"&amp;DATE(YEAR(B532),MONTH(B532)+1,0))),2)&lt;=5,1,IF(WEEKDAY(ROW(INDIRECT(DATE(YEAR(B532),MONTH(B532),1)&amp;":"&amp;DATE(YEAR(B532),MONTH(B532)+1,0))),2)=6,0.5,0)),0))</f>
        <v>22</v>
      </c>
      <c r="K532" s="22" cm="1">
        <f t="array" ref="K532">_xlfn.XLOOKUP(1,((Metas_Diarias[[#This Row],[tipo_equipe_id]]=Metas[equipe])*(Metas_Diarias[[#This Row],[data]]&gt;Metas[data_inicio])*(Metas_Diarias[[#This Row],[data]]&lt;Metas[data_fim])),Metas[meta_mensal],0)</f>
        <v>160000</v>
      </c>
      <c r="L53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33" spans="2:12" x14ac:dyDescent="0.3">
      <c r="B533" s="34">
        <v>45822</v>
      </c>
      <c r="C533" s="34" t="str">
        <f>TEXT(Metas_Diarias[[#This Row],[data]],"dddd")</f>
        <v>sábado</v>
      </c>
      <c r="D533" s="33">
        <v>1</v>
      </c>
      <c r="E533" s="33">
        <v>1</v>
      </c>
      <c r="F533" s="18"/>
      <c r="G533" s="35">
        <f>WEEKDAY(Metas_Diarias[[#This Row],[data]])</f>
        <v>7</v>
      </c>
      <c r="H533" s="35">
        <f>IF(Metas_Diarias[[#This Row],[dias_da_demana]]=1,"domingo",IF(Metas_Diarias[[#This Row],[dias_da_demana]]=7,0.5,1))</f>
        <v>0.5</v>
      </c>
      <c r="I533" s="35">
        <f>_xlfn.XLOOKUP(Metas_Diarias[[#This Row],[data]],Feriados[Data],Feriados[Feriado],1)</f>
        <v>1</v>
      </c>
      <c r="J533" s="33" cm="1">
        <f t="array" aca="1" ref="J533" ca="1">SUMPRODUCT(IF((NOT(ISERROR(MATCH(ROW(INDIRECT(DATE(YEAR(B533),MONTH(B533),1)&amp;":"&amp;DATE(YEAR(B533),MONTH(B533)+1,0))),Feriados[Data],0))))=FALSE,
IF(WEEKDAY(ROW(INDIRECT(DATE(YEAR(B533),MONTH(B533),1)&amp;":"&amp;DATE(YEAR(B533),MONTH(B533)+1,0))),2)&lt;=5,1,IF(WEEKDAY(ROW(INDIRECT(DATE(YEAR(B533),MONTH(B533),1)&amp;":"&amp;DATE(YEAR(B533),MONTH(B533)+1,0))),2)=6,0.5,0)),0))</f>
        <v>22</v>
      </c>
      <c r="K533" s="22" cm="1">
        <f t="array" ref="K533">_xlfn.XLOOKUP(1,((Metas_Diarias[[#This Row],[tipo_equipe_id]]=Metas[equipe])*(Metas_Diarias[[#This Row],[data]]&gt;Metas[data_inicio])*(Metas_Diarias[[#This Row],[data]]&lt;Metas[data_fim])),Metas[meta_mensal],0)</f>
        <v>160000</v>
      </c>
      <c r="L533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534" spans="2:12" x14ac:dyDescent="0.3">
      <c r="B534" s="34">
        <v>45823</v>
      </c>
      <c r="C534" s="34" t="str">
        <f>TEXT(Metas_Diarias[[#This Row],[data]],"dddd")</f>
        <v>domingo</v>
      </c>
      <c r="D534" s="33">
        <v>1</v>
      </c>
      <c r="E534" s="33">
        <v>1</v>
      </c>
      <c r="F534" s="18"/>
      <c r="G534" s="35">
        <f>WEEKDAY(Metas_Diarias[[#This Row],[data]])</f>
        <v>1</v>
      </c>
      <c r="H534" s="35" t="str">
        <f>IF(Metas_Diarias[[#This Row],[dias_da_demana]]=1,"domingo",IF(Metas_Diarias[[#This Row],[dias_da_demana]]=7,0.5,1))</f>
        <v>domingo</v>
      </c>
      <c r="I534" s="35">
        <f>_xlfn.XLOOKUP(Metas_Diarias[[#This Row],[data]],Feriados[Data],Feriados[Feriado],1)</f>
        <v>1</v>
      </c>
      <c r="J534" s="33" cm="1">
        <f t="array" aca="1" ref="J534" ca="1">SUMPRODUCT(IF((NOT(ISERROR(MATCH(ROW(INDIRECT(DATE(YEAR(B534),MONTH(B534),1)&amp;":"&amp;DATE(YEAR(B534),MONTH(B534)+1,0))),Feriados[Data],0))))=FALSE,
IF(WEEKDAY(ROW(INDIRECT(DATE(YEAR(B534),MONTH(B534),1)&amp;":"&amp;DATE(YEAR(B534),MONTH(B534)+1,0))),2)&lt;=5,1,IF(WEEKDAY(ROW(INDIRECT(DATE(YEAR(B534),MONTH(B534),1)&amp;":"&amp;DATE(YEAR(B534),MONTH(B534)+1,0))),2)=6,0.5,0)),0))</f>
        <v>22</v>
      </c>
      <c r="K534" s="22" cm="1">
        <f t="array" ref="K534">_xlfn.XLOOKUP(1,((Metas_Diarias[[#This Row],[tipo_equipe_id]]=Metas[equipe])*(Metas_Diarias[[#This Row],[data]]&gt;Metas[data_inicio])*(Metas_Diarias[[#This Row],[data]]&lt;Metas[data_fim])),Metas[meta_mensal],0)</f>
        <v>160000</v>
      </c>
      <c r="L53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35" spans="2:12" x14ac:dyDescent="0.3">
      <c r="B535" s="34">
        <v>45824</v>
      </c>
      <c r="C535" s="34" t="str">
        <f>TEXT(Metas_Diarias[[#This Row],[data]],"dddd")</f>
        <v>segunda-feira</v>
      </c>
      <c r="D535" s="33">
        <v>1</v>
      </c>
      <c r="E535" s="33">
        <v>1</v>
      </c>
      <c r="F535" s="18"/>
      <c r="G535" s="35">
        <f>WEEKDAY(Metas_Diarias[[#This Row],[data]])</f>
        <v>2</v>
      </c>
      <c r="H535" s="35">
        <f>IF(Metas_Diarias[[#This Row],[dias_da_demana]]=1,"domingo",IF(Metas_Diarias[[#This Row],[dias_da_demana]]=7,0.5,1))</f>
        <v>1</v>
      </c>
      <c r="I535" s="35">
        <f>_xlfn.XLOOKUP(Metas_Diarias[[#This Row],[data]],Feriados[Data],Feriados[Feriado],1)</f>
        <v>1</v>
      </c>
      <c r="J535" s="33" cm="1">
        <f t="array" aca="1" ref="J535" ca="1">SUMPRODUCT(IF((NOT(ISERROR(MATCH(ROW(INDIRECT(DATE(YEAR(B535),MONTH(B535),1)&amp;":"&amp;DATE(YEAR(B535),MONTH(B535)+1,0))),Feriados[Data],0))))=FALSE,
IF(WEEKDAY(ROW(INDIRECT(DATE(YEAR(B535),MONTH(B535),1)&amp;":"&amp;DATE(YEAR(B535),MONTH(B535)+1,0))),2)&lt;=5,1,IF(WEEKDAY(ROW(INDIRECT(DATE(YEAR(B535),MONTH(B535),1)&amp;":"&amp;DATE(YEAR(B535),MONTH(B535)+1,0))),2)=6,0.5,0)),0))</f>
        <v>22</v>
      </c>
      <c r="K535" s="22" cm="1">
        <f t="array" ref="K535">_xlfn.XLOOKUP(1,((Metas_Diarias[[#This Row],[tipo_equipe_id]]=Metas[equipe])*(Metas_Diarias[[#This Row],[data]]&gt;Metas[data_inicio])*(Metas_Diarias[[#This Row],[data]]&lt;Metas[data_fim])),Metas[meta_mensal],0)</f>
        <v>160000</v>
      </c>
      <c r="L53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36" spans="2:12" x14ac:dyDescent="0.3">
      <c r="B536" s="34">
        <v>45825</v>
      </c>
      <c r="C536" s="34" t="str">
        <f>TEXT(Metas_Diarias[[#This Row],[data]],"dddd")</f>
        <v>terça-feira</v>
      </c>
      <c r="D536" s="33">
        <v>1</v>
      </c>
      <c r="E536" s="33">
        <v>1</v>
      </c>
      <c r="F536" s="18"/>
      <c r="G536" s="35">
        <f>WEEKDAY(Metas_Diarias[[#This Row],[data]])</f>
        <v>3</v>
      </c>
      <c r="H536" s="35">
        <f>IF(Metas_Diarias[[#This Row],[dias_da_demana]]=1,"domingo",IF(Metas_Diarias[[#This Row],[dias_da_demana]]=7,0.5,1))</f>
        <v>1</v>
      </c>
      <c r="I536" s="35">
        <f>_xlfn.XLOOKUP(Metas_Diarias[[#This Row],[data]],Feriados[Data],Feriados[Feriado],1)</f>
        <v>1</v>
      </c>
      <c r="J536" s="33" cm="1">
        <f t="array" aca="1" ref="J536" ca="1">SUMPRODUCT(IF((NOT(ISERROR(MATCH(ROW(INDIRECT(DATE(YEAR(B536),MONTH(B536),1)&amp;":"&amp;DATE(YEAR(B536),MONTH(B536)+1,0))),Feriados[Data],0))))=FALSE,
IF(WEEKDAY(ROW(INDIRECT(DATE(YEAR(B536),MONTH(B536),1)&amp;":"&amp;DATE(YEAR(B536),MONTH(B536)+1,0))),2)&lt;=5,1,IF(WEEKDAY(ROW(INDIRECT(DATE(YEAR(B536),MONTH(B536),1)&amp;":"&amp;DATE(YEAR(B536),MONTH(B536)+1,0))),2)=6,0.5,0)),0))</f>
        <v>22</v>
      </c>
      <c r="K536" s="22" cm="1">
        <f t="array" ref="K536">_xlfn.XLOOKUP(1,((Metas_Diarias[[#This Row],[tipo_equipe_id]]=Metas[equipe])*(Metas_Diarias[[#This Row],[data]]&gt;Metas[data_inicio])*(Metas_Diarias[[#This Row],[data]]&lt;Metas[data_fim])),Metas[meta_mensal],0)</f>
        <v>160000</v>
      </c>
      <c r="L53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37" spans="2:12" x14ac:dyDescent="0.3">
      <c r="B537" s="34">
        <v>45826</v>
      </c>
      <c r="C537" s="34" t="str">
        <f>TEXT(Metas_Diarias[[#This Row],[data]],"dddd")</f>
        <v>quarta-feira</v>
      </c>
      <c r="D537" s="33">
        <v>1</v>
      </c>
      <c r="E537" s="33">
        <v>1</v>
      </c>
      <c r="F537" s="18"/>
      <c r="G537" s="35">
        <f>WEEKDAY(Metas_Diarias[[#This Row],[data]])</f>
        <v>4</v>
      </c>
      <c r="H537" s="35">
        <f>IF(Metas_Diarias[[#This Row],[dias_da_demana]]=1,"domingo",IF(Metas_Diarias[[#This Row],[dias_da_demana]]=7,0.5,1))</f>
        <v>1</v>
      </c>
      <c r="I537" s="35">
        <f>_xlfn.XLOOKUP(Metas_Diarias[[#This Row],[data]],Feriados[Data],Feriados[Feriado],1)</f>
        <v>1</v>
      </c>
      <c r="J537" s="33" cm="1">
        <f t="array" aca="1" ref="J537" ca="1">SUMPRODUCT(IF((NOT(ISERROR(MATCH(ROW(INDIRECT(DATE(YEAR(B537),MONTH(B537),1)&amp;":"&amp;DATE(YEAR(B537),MONTH(B537)+1,0))),Feriados[Data],0))))=FALSE,
IF(WEEKDAY(ROW(INDIRECT(DATE(YEAR(B537),MONTH(B537),1)&amp;":"&amp;DATE(YEAR(B537),MONTH(B537)+1,0))),2)&lt;=5,1,IF(WEEKDAY(ROW(INDIRECT(DATE(YEAR(B537),MONTH(B537),1)&amp;":"&amp;DATE(YEAR(B537),MONTH(B537)+1,0))),2)=6,0.5,0)),0))</f>
        <v>22</v>
      </c>
      <c r="K537" s="22" cm="1">
        <f t="array" ref="K537">_xlfn.XLOOKUP(1,((Metas_Diarias[[#This Row],[tipo_equipe_id]]=Metas[equipe])*(Metas_Diarias[[#This Row],[data]]&gt;Metas[data_inicio])*(Metas_Diarias[[#This Row],[data]]&lt;Metas[data_fim])),Metas[meta_mensal],0)</f>
        <v>160000</v>
      </c>
      <c r="L537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38" spans="2:12" x14ac:dyDescent="0.3">
      <c r="B538" s="34">
        <v>45827</v>
      </c>
      <c r="C538" s="34" t="str">
        <f>TEXT(Metas_Diarias[[#This Row],[data]],"dddd")</f>
        <v>quinta-feira</v>
      </c>
      <c r="D538" s="33">
        <v>1</v>
      </c>
      <c r="E538" s="33">
        <v>1</v>
      </c>
      <c r="F538" s="18"/>
      <c r="G538" s="35">
        <f>WEEKDAY(Metas_Diarias[[#This Row],[data]])</f>
        <v>5</v>
      </c>
      <c r="H538" s="35">
        <f>IF(Metas_Diarias[[#This Row],[dias_da_demana]]=1,"domingo",IF(Metas_Diarias[[#This Row],[dias_da_demana]]=7,0.5,1))</f>
        <v>1</v>
      </c>
      <c r="I538" s="35" t="str">
        <f>_xlfn.XLOOKUP(Metas_Diarias[[#This Row],[data]],Feriados[Data],Feriados[Feriado],1)</f>
        <v>Corpus Christi</v>
      </c>
      <c r="J538" s="33" cm="1">
        <f t="array" aca="1" ref="J538" ca="1">SUMPRODUCT(IF((NOT(ISERROR(MATCH(ROW(INDIRECT(DATE(YEAR(B538),MONTH(B538),1)&amp;":"&amp;DATE(YEAR(B538),MONTH(B538)+1,0))),Feriados[Data],0))))=FALSE,
IF(WEEKDAY(ROW(INDIRECT(DATE(YEAR(B538),MONTH(B538),1)&amp;":"&amp;DATE(YEAR(B538),MONTH(B538)+1,0))),2)&lt;=5,1,IF(WEEKDAY(ROW(INDIRECT(DATE(YEAR(B538),MONTH(B538),1)&amp;":"&amp;DATE(YEAR(B538),MONTH(B538)+1,0))),2)=6,0.5,0)),0))</f>
        <v>22</v>
      </c>
      <c r="K538" s="22" cm="1">
        <f t="array" ref="K538">_xlfn.XLOOKUP(1,((Metas_Diarias[[#This Row],[tipo_equipe_id]]=Metas[equipe])*(Metas_Diarias[[#This Row],[data]]&gt;Metas[data_inicio])*(Metas_Diarias[[#This Row],[data]]&lt;Metas[data_fim])),Metas[meta_mensal],0)</f>
        <v>160000</v>
      </c>
      <c r="L5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39" spans="2:12" x14ac:dyDescent="0.3">
      <c r="B539" s="34">
        <v>45828</v>
      </c>
      <c r="C539" s="34" t="str">
        <f>TEXT(Metas_Diarias[[#This Row],[data]],"dddd")</f>
        <v>sexta-feira</v>
      </c>
      <c r="D539" s="33">
        <v>1</v>
      </c>
      <c r="E539" s="33">
        <v>1</v>
      </c>
      <c r="F539" s="18"/>
      <c r="G539" s="35">
        <f>WEEKDAY(Metas_Diarias[[#This Row],[data]])</f>
        <v>6</v>
      </c>
      <c r="H539" s="35">
        <f>IF(Metas_Diarias[[#This Row],[dias_da_demana]]=1,"domingo",IF(Metas_Diarias[[#This Row],[dias_da_demana]]=7,0.5,1))</f>
        <v>1</v>
      </c>
      <c r="I539" s="35">
        <f>_xlfn.XLOOKUP(Metas_Diarias[[#This Row],[data]],Feriados[Data],Feriados[Feriado],1)</f>
        <v>1</v>
      </c>
      <c r="J539" s="33" cm="1">
        <f t="array" aca="1" ref="J539" ca="1">SUMPRODUCT(IF((NOT(ISERROR(MATCH(ROW(INDIRECT(DATE(YEAR(B539),MONTH(B539),1)&amp;":"&amp;DATE(YEAR(B539),MONTH(B539)+1,0))),Feriados[Data],0))))=FALSE,
IF(WEEKDAY(ROW(INDIRECT(DATE(YEAR(B539),MONTH(B539),1)&amp;":"&amp;DATE(YEAR(B539),MONTH(B539)+1,0))),2)&lt;=5,1,IF(WEEKDAY(ROW(INDIRECT(DATE(YEAR(B539),MONTH(B539),1)&amp;":"&amp;DATE(YEAR(B539),MONTH(B539)+1,0))),2)=6,0.5,0)),0))</f>
        <v>22</v>
      </c>
      <c r="K539" s="22" cm="1">
        <f t="array" ref="K539">_xlfn.XLOOKUP(1,((Metas_Diarias[[#This Row],[tipo_equipe_id]]=Metas[equipe])*(Metas_Diarias[[#This Row],[data]]&gt;Metas[data_inicio])*(Metas_Diarias[[#This Row],[data]]&lt;Metas[data_fim])),Metas[meta_mensal],0)</f>
        <v>160000</v>
      </c>
      <c r="L53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40" spans="2:12" x14ac:dyDescent="0.3">
      <c r="B540" s="34">
        <v>45829</v>
      </c>
      <c r="C540" s="34" t="str">
        <f>TEXT(Metas_Diarias[[#This Row],[data]],"dddd")</f>
        <v>sábado</v>
      </c>
      <c r="D540" s="33">
        <v>1</v>
      </c>
      <c r="E540" s="33">
        <v>1</v>
      </c>
      <c r="F540" s="18"/>
      <c r="G540" s="35">
        <f>WEEKDAY(Metas_Diarias[[#This Row],[data]])</f>
        <v>7</v>
      </c>
      <c r="H540" s="35">
        <f>IF(Metas_Diarias[[#This Row],[dias_da_demana]]=1,"domingo",IF(Metas_Diarias[[#This Row],[dias_da_demana]]=7,0.5,1))</f>
        <v>0.5</v>
      </c>
      <c r="I540" s="35">
        <f>_xlfn.XLOOKUP(Metas_Diarias[[#This Row],[data]],Feriados[Data],Feriados[Feriado],1)</f>
        <v>1</v>
      </c>
      <c r="J540" s="33" cm="1">
        <f t="array" aca="1" ref="J540" ca="1">SUMPRODUCT(IF((NOT(ISERROR(MATCH(ROW(INDIRECT(DATE(YEAR(B540),MONTH(B540),1)&amp;":"&amp;DATE(YEAR(B540),MONTH(B540)+1,0))),Feriados[Data],0))))=FALSE,
IF(WEEKDAY(ROW(INDIRECT(DATE(YEAR(B540),MONTH(B540),1)&amp;":"&amp;DATE(YEAR(B540),MONTH(B540)+1,0))),2)&lt;=5,1,IF(WEEKDAY(ROW(INDIRECT(DATE(YEAR(B540),MONTH(B540),1)&amp;":"&amp;DATE(YEAR(B540),MONTH(B540)+1,0))),2)=6,0.5,0)),0))</f>
        <v>22</v>
      </c>
      <c r="K540" s="22" cm="1">
        <f t="array" ref="K540">_xlfn.XLOOKUP(1,((Metas_Diarias[[#This Row],[tipo_equipe_id]]=Metas[equipe])*(Metas_Diarias[[#This Row],[data]]&gt;Metas[data_inicio])*(Metas_Diarias[[#This Row],[data]]&lt;Metas[data_fim])),Metas[meta_mensal],0)</f>
        <v>160000</v>
      </c>
      <c r="L540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541" spans="2:12" x14ac:dyDescent="0.3">
      <c r="B541" s="34">
        <v>45830</v>
      </c>
      <c r="C541" s="34" t="str">
        <f>TEXT(Metas_Diarias[[#This Row],[data]],"dddd")</f>
        <v>domingo</v>
      </c>
      <c r="D541" s="33">
        <v>1</v>
      </c>
      <c r="E541" s="33">
        <v>1</v>
      </c>
      <c r="F541" s="18"/>
      <c r="G541" s="35">
        <f>WEEKDAY(Metas_Diarias[[#This Row],[data]])</f>
        <v>1</v>
      </c>
      <c r="H541" s="35" t="str">
        <f>IF(Metas_Diarias[[#This Row],[dias_da_demana]]=1,"domingo",IF(Metas_Diarias[[#This Row],[dias_da_demana]]=7,0.5,1))</f>
        <v>domingo</v>
      </c>
      <c r="I541" s="35">
        <f>_xlfn.XLOOKUP(Metas_Diarias[[#This Row],[data]],Feriados[Data],Feriados[Feriado],1)</f>
        <v>1</v>
      </c>
      <c r="J541" s="33" cm="1">
        <f t="array" aca="1" ref="J541" ca="1">SUMPRODUCT(IF((NOT(ISERROR(MATCH(ROW(INDIRECT(DATE(YEAR(B541),MONTH(B541),1)&amp;":"&amp;DATE(YEAR(B541),MONTH(B541)+1,0))),Feriados[Data],0))))=FALSE,
IF(WEEKDAY(ROW(INDIRECT(DATE(YEAR(B541),MONTH(B541),1)&amp;":"&amp;DATE(YEAR(B541),MONTH(B541)+1,0))),2)&lt;=5,1,IF(WEEKDAY(ROW(INDIRECT(DATE(YEAR(B541),MONTH(B541),1)&amp;":"&amp;DATE(YEAR(B541),MONTH(B541)+1,0))),2)=6,0.5,0)),0))</f>
        <v>22</v>
      </c>
      <c r="K541" s="22" cm="1">
        <f t="array" ref="K541">_xlfn.XLOOKUP(1,((Metas_Diarias[[#This Row],[tipo_equipe_id]]=Metas[equipe])*(Metas_Diarias[[#This Row],[data]]&gt;Metas[data_inicio])*(Metas_Diarias[[#This Row],[data]]&lt;Metas[data_fim])),Metas[meta_mensal],0)</f>
        <v>160000</v>
      </c>
      <c r="L54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42" spans="2:12" x14ac:dyDescent="0.3">
      <c r="B542" s="34">
        <v>45831</v>
      </c>
      <c r="C542" s="34" t="str">
        <f>TEXT(Metas_Diarias[[#This Row],[data]],"dddd")</f>
        <v>segunda-feira</v>
      </c>
      <c r="D542" s="33">
        <v>1</v>
      </c>
      <c r="E542" s="33">
        <v>1</v>
      </c>
      <c r="F542" s="18"/>
      <c r="G542" s="35">
        <f>WEEKDAY(Metas_Diarias[[#This Row],[data]])</f>
        <v>2</v>
      </c>
      <c r="H542" s="35">
        <f>IF(Metas_Diarias[[#This Row],[dias_da_demana]]=1,"domingo",IF(Metas_Diarias[[#This Row],[dias_da_demana]]=7,0.5,1))</f>
        <v>1</v>
      </c>
      <c r="I542" s="35">
        <f>_xlfn.XLOOKUP(Metas_Diarias[[#This Row],[data]],Feriados[Data],Feriados[Feriado],1)</f>
        <v>1</v>
      </c>
      <c r="J542" s="33" cm="1">
        <f t="array" aca="1" ref="J542" ca="1">SUMPRODUCT(IF((NOT(ISERROR(MATCH(ROW(INDIRECT(DATE(YEAR(B542),MONTH(B542),1)&amp;":"&amp;DATE(YEAR(B542),MONTH(B542)+1,0))),Feriados[Data],0))))=FALSE,
IF(WEEKDAY(ROW(INDIRECT(DATE(YEAR(B542),MONTH(B542),1)&amp;":"&amp;DATE(YEAR(B542),MONTH(B542)+1,0))),2)&lt;=5,1,IF(WEEKDAY(ROW(INDIRECT(DATE(YEAR(B542),MONTH(B542),1)&amp;":"&amp;DATE(YEAR(B542),MONTH(B542)+1,0))),2)=6,0.5,0)),0))</f>
        <v>22</v>
      </c>
      <c r="K542" s="22" cm="1">
        <f t="array" ref="K542">_xlfn.XLOOKUP(1,((Metas_Diarias[[#This Row],[tipo_equipe_id]]=Metas[equipe])*(Metas_Diarias[[#This Row],[data]]&gt;Metas[data_inicio])*(Metas_Diarias[[#This Row],[data]]&lt;Metas[data_fim])),Metas[meta_mensal],0)</f>
        <v>160000</v>
      </c>
      <c r="L54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43" spans="2:12" x14ac:dyDescent="0.3">
      <c r="B543" s="34">
        <v>45832</v>
      </c>
      <c r="C543" s="34" t="str">
        <f>TEXT(Metas_Diarias[[#This Row],[data]],"dddd")</f>
        <v>terça-feira</v>
      </c>
      <c r="D543" s="33">
        <v>1</v>
      </c>
      <c r="E543" s="33">
        <v>1</v>
      </c>
      <c r="F543" s="18"/>
      <c r="G543" s="35">
        <f>WEEKDAY(Metas_Diarias[[#This Row],[data]])</f>
        <v>3</v>
      </c>
      <c r="H543" s="35">
        <f>IF(Metas_Diarias[[#This Row],[dias_da_demana]]=1,"domingo",IF(Metas_Diarias[[#This Row],[dias_da_demana]]=7,0.5,1))</f>
        <v>1</v>
      </c>
      <c r="I543" s="35">
        <f>_xlfn.XLOOKUP(Metas_Diarias[[#This Row],[data]],Feriados[Data],Feriados[Feriado],1)</f>
        <v>1</v>
      </c>
      <c r="J543" s="33" cm="1">
        <f t="array" aca="1" ref="J543" ca="1">SUMPRODUCT(IF((NOT(ISERROR(MATCH(ROW(INDIRECT(DATE(YEAR(B543),MONTH(B543),1)&amp;":"&amp;DATE(YEAR(B543),MONTH(B543)+1,0))),Feriados[Data],0))))=FALSE,
IF(WEEKDAY(ROW(INDIRECT(DATE(YEAR(B543),MONTH(B543),1)&amp;":"&amp;DATE(YEAR(B543),MONTH(B543)+1,0))),2)&lt;=5,1,IF(WEEKDAY(ROW(INDIRECT(DATE(YEAR(B543),MONTH(B543),1)&amp;":"&amp;DATE(YEAR(B543),MONTH(B543)+1,0))),2)=6,0.5,0)),0))</f>
        <v>22</v>
      </c>
      <c r="K543" s="22" cm="1">
        <f t="array" ref="K543">_xlfn.XLOOKUP(1,((Metas_Diarias[[#This Row],[tipo_equipe_id]]=Metas[equipe])*(Metas_Diarias[[#This Row],[data]]&gt;Metas[data_inicio])*(Metas_Diarias[[#This Row],[data]]&lt;Metas[data_fim])),Metas[meta_mensal],0)</f>
        <v>160000</v>
      </c>
      <c r="L54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44" spans="2:12" x14ac:dyDescent="0.3">
      <c r="B544" s="34">
        <v>45833</v>
      </c>
      <c r="C544" s="34" t="str">
        <f>TEXT(Metas_Diarias[[#This Row],[data]],"dddd")</f>
        <v>quarta-feira</v>
      </c>
      <c r="D544" s="33">
        <v>1</v>
      </c>
      <c r="E544" s="33">
        <v>1</v>
      </c>
      <c r="F544" s="18"/>
      <c r="G544" s="35">
        <f>WEEKDAY(Metas_Diarias[[#This Row],[data]])</f>
        <v>4</v>
      </c>
      <c r="H544" s="35">
        <f>IF(Metas_Diarias[[#This Row],[dias_da_demana]]=1,"domingo",IF(Metas_Diarias[[#This Row],[dias_da_demana]]=7,0.5,1))</f>
        <v>1</v>
      </c>
      <c r="I544" s="35">
        <f>_xlfn.XLOOKUP(Metas_Diarias[[#This Row],[data]],Feriados[Data],Feriados[Feriado],1)</f>
        <v>1</v>
      </c>
      <c r="J544" s="33" cm="1">
        <f t="array" aca="1" ref="J544" ca="1">SUMPRODUCT(IF((NOT(ISERROR(MATCH(ROW(INDIRECT(DATE(YEAR(B544),MONTH(B544),1)&amp;":"&amp;DATE(YEAR(B544),MONTH(B544)+1,0))),Feriados[Data],0))))=FALSE,
IF(WEEKDAY(ROW(INDIRECT(DATE(YEAR(B544),MONTH(B544),1)&amp;":"&amp;DATE(YEAR(B544),MONTH(B544)+1,0))),2)&lt;=5,1,IF(WEEKDAY(ROW(INDIRECT(DATE(YEAR(B544),MONTH(B544),1)&amp;":"&amp;DATE(YEAR(B544),MONTH(B544)+1,0))),2)=6,0.5,0)),0))</f>
        <v>22</v>
      </c>
      <c r="K544" s="22" cm="1">
        <f t="array" ref="K544">_xlfn.XLOOKUP(1,((Metas_Diarias[[#This Row],[tipo_equipe_id]]=Metas[equipe])*(Metas_Diarias[[#This Row],[data]]&gt;Metas[data_inicio])*(Metas_Diarias[[#This Row],[data]]&lt;Metas[data_fim])),Metas[meta_mensal],0)</f>
        <v>160000</v>
      </c>
      <c r="L544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45" spans="2:12" x14ac:dyDescent="0.3">
      <c r="B545" s="34">
        <v>45834</v>
      </c>
      <c r="C545" s="34" t="str">
        <f>TEXT(Metas_Diarias[[#This Row],[data]],"dddd")</f>
        <v>quinta-feira</v>
      </c>
      <c r="D545" s="33">
        <v>1</v>
      </c>
      <c r="E545" s="33">
        <v>1</v>
      </c>
      <c r="F545" s="18"/>
      <c r="G545" s="35">
        <f>WEEKDAY(Metas_Diarias[[#This Row],[data]])</f>
        <v>5</v>
      </c>
      <c r="H545" s="35">
        <f>IF(Metas_Diarias[[#This Row],[dias_da_demana]]=1,"domingo",IF(Metas_Diarias[[#This Row],[dias_da_demana]]=7,0.5,1))</f>
        <v>1</v>
      </c>
      <c r="I545" s="35">
        <f>_xlfn.XLOOKUP(Metas_Diarias[[#This Row],[data]],Feriados[Data],Feriados[Feriado],1)</f>
        <v>1</v>
      </c>
      <c r="J545" s="33" cm="1">
        <f t="array" aca="1" ref="J545" ca="1">SUMPRODUCT(IF((NOT(ISERROR(MATCH(ROW(INDIRECT(DATE(YEAR(B545),MONTH(B545),1)&amp;":"&amp;DATE(YEAR(B545),MONTH(B545)+1,0))),Feriados[Data],0))))=FALSE,
IF(WEEKDAY(ROW(INDIRECT(DATE(YEAR(B545),MONTH(B545),1)&amp;":"&amp;DATE(YEAR(B545),MONTH(B545)+1,0))),2)&lt;=5,1,IF(WEEKDAY(ROW(INDIRECT(DATE(YEAR(B545),MONTH(B545),1)&amp;":"&amp;DATE(YEAR(B545),MONTH(B545)+1,0))),2)=6,0.5,0)),0))</f>
        <v>22</v>
      </c>
      <c r="K545" s="22" cm="1">
        <f t="array" ref="K545">_xlfn.XLOOKUP(1,((Metas_Diarias[[#This Row],[tipo_equipe_id]]=Metas[equipe])*(Metas_Diarias[[#This Row],[data]]&gt;Metas[data_inicio])*(Metas_Diarias[[#This Row],[data]]&lt;Metas[data_fim])),Metas[meta_mensal],0)</f>
        <v>160000</v>
      </c>
      <c r="L54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46" spans="2:12" x14ac:dyDescent="0.3">
      <c r="B546" s="34">
        <v>45835</v>
      </c>
      <c r="C546" s="34" t="str">
        <f>TEXT(Metas_Diarias[[#This Row],[data]],"dddd")</f>
        <v>sexta-feira</v>
      </c>
      <c r="D546" s="33">
        <v>1</v>
      </c>
      <c r="E546" s="33">
        <v>1</v>
      </c>
      <c r="F546" s="18"/>
      <c r="G546" s="35">
        <f>WEEKDAY(Metas_Diarias[[#This Row],[data]])</f>
        <v>6</v>
      </c>
      <c r="H546" s="35">
        <f>IF(Metas_Diarias[[#This Row],[dias_da_demana]]=1,"domingo",IF(Metas_Diarias[[#This Row],[dias_da_demana]]=7,0.5,1))</f>
        <v>1</v>
      </c>
      <c r="I546" s="35">
        <f>_xlfn.XLOOKUP(Metas_Diarias[[#This Row],[data]],Feriados[Data],Feriados[Feriado],1)</f>
        <v>1</v>
      </c>
      <c r="J546" s="33" cm="1">
        <f t="array" aca="1" ref="J546" ca="1">SUMPRODUCT(IF((NOT(ISERROR(MATCH(ROW(INDIRECT(DATE(YEAR(B546),MONTH(B546),1)&amp;":"&amp;DATE(YEAR(B546),MONTH(B546)+1,0))),Feriados[Data],0))))=FALSE,
IF(WEEKDAY(ROW(INDIRECT(DATE(YEAR(B546),MONTH(B546),1)&amp;":"&amp;DATE(YEAR(B546),MONTH(B546)+1,0))),2)&lt;=5,1,IF(WEEKDAY(ROW(INDIRECT(DATE(YEAR(B546),MONTH(B546),1)&amp;":"&amp;DATE(YEAR(B546),MONTH(B546)+1,0))),2)=6,0.5,0)),0))</f>
        <v>22</v>
      </c>
      <c r="K546" s="22" cm="1">
        <f t="array" ref="K546">_xlfn.XLOOKUP(1,((Metas_Diarias[[#This Row],[tipo_equipe_id]]=Metas[equipe])*(Metas_Diarias[[#This Row],[data]]&gt;Metas[data_inicio])*(Metas_Diarias[[#This Row],[data]]&lt;Metas[data_fim])),Metas[meta_mensal],0)</f>
        <v>160000</v>
      </c>
      <c r="L54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47" spans="2:12" x14ac:dyDescent="0.3">
      <c r="B547" s="34">
        <v>45836</v>
      </c>
      <c r="C547" s="34" t="str">
        <f>TEXT(Metas_Diarias[[#This Row],[data]],"dddd")</f>
        <v>sábado</v>
      </c>
      <c r="D547" s="33">
        <v>1</v>
      </c>
      <c r="E547" s="33">
        <v>1</v>
      </c>
      <c r="F547" s="18"/>
      <c r="G547" s="35">
        <f>WEEKDAY(Metas_Diarias[[#This Row],[data]])</f>
        <v>7</v>
      </c>
      <c r="H547" s="35">
        <f>IF(Metas_Diarias[[#This Row],[dias_da_demana]]=1,"domingo",IF(Metas_Diarias[[#This Row],[dias_da_demana]]=7,0.5,1))</f>
        <v>0.5</v>
      </c>
      <c r="I547" s="35">
        <f>_xlfn.XLOOKUP(Metas_Diarias[[#This Row],[data]],Feriados[Data],Feriados[Feriado],1)</f>
        <v>1</v>
      </c>
      <c r="J547" s="33" cm="1">
        <f t="array" aca="1" ref="J547" ca="1">SUMPRODUCT(IF((NOT(ISERROR(MATCH(ROW(INDIRECT(DATE(YEAR(B547),MONTH(B547),1)&amp;":"&amp;DATE(YEAR(B547),MONTH(B547)+1,0))),Feriados[Data],0))))=FALSE,
IF(WEEKDAY(ROW(INDIRECT(DATE(YEAR(B547),MONTH(B547),1)&amp;":"&amp;DATE(YEAR(B547),MONTH(B547)+1,0))),2)&lt;=5,1,IF(WEEKDAY(ROW(INDIRECT(DATE(YEAR(B547),MONTH(B547),1)&amp;":"&amp;DATE(YEAR(B547),MONTH(B547)+1,0))),2)=6,0.5,0)),0))</f>
        <v>22</v>
      </c>
      <c r="K547" s="22" cm="1">
        <f t="array" ref="K547">_xlfn.XLOOKUP(1,((Metas_Diarias[[#This Row],[tipo_equipe_id]]=Metas[equipe])*(Metas_Diarias[[#This Row],[data]]&gt;Metas[data_inicio])*(Metas_Diarias[[#This Row],[data]]&lt;Metas[data_fim])),Metas[meta_mensal],0)</f>
        <v>160000</v>
      </c>
      <c r="L547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548" spans="2:12" x14ac:dyDescent="0.3">
      <c r="B548" s="34">
        <v>45837</v>
      </c>
      <c r="C548" s="34" t="str">
        <f>TEXT(Metas_Diarias[[#This Row],[data]],"dddd")</f>
        <v>domingo</v>
      </c>
      <c r="D548" s="33">
        <v>1</v>
      </c>
      <c r="E548" s="33">
        <v>1</v>
      </c>
      <c r="F548" s="18"/>
      <c r="G548" s="35">
        <f>WEEKDAY(Metas_Diarias[[#This Row],[data]])</f>
        <v>1</v>
      </c>
      <c r="H548" s="35" t="str">
        <f>IF(Metas_Diarias[[#This Row],[dias_da_demana]]=1,"domingo",IF(Metas_Diarias[[#This Row],[dias_da_demana]]=7,0.5,1))</f>
        <v>domingo</v>
      </c>
      <c r="I548" s="35">
        <f>_xlfn.XLOOKUP(Metas_Diarias[[#This Row],[data]],Feriados[Data],Feriados[Feriado],1)</f>
        <v>1</v>
      </c>
      <c r="J548" s="33" cm="1">
        <f t="array" aca="1" ref="J548" ca="1">SUMPRODUCT(IF((NOT(ISERROR(MATCH(ROW(INDIRECT(DATE(YEAR(B548),MONTH(B548),1)&amp;":"&amp;DATE(YEAR(B548),MONTH(B548)+1,0))),Feriados[Data],0))))=FALSE,
IF(WEEKDAY(ROW(INDIRECT(DATE(YEAR(B548),MONTH(B548),1)&amp;":"&amp;DATE(YEAR(B548),MONTH(B548)+1,0))),2)&lt;=5,1,IF(WEEKDAY(ROW(INDIRECT(DATE(YEAR(B548),MONTH(B548),1)&amp;":"&amp;DATE(YEAR(B548),MONTH(B548)+1,0))),2)=6,0.5,0)),0))</f>
        <v>22</v>
      </c>
      <c r="K548" s="22" cm="1">
        <f t="array" ref="K548">_xlfn.XLOOKUP(1,((Metas_Diarias[[#This Row],[tipo_equipe_id]]=Metas[equipe])*(Metas_Diarias[[#This Row],[data]]&gt;Metas[data_inicio])*(Metas_Diarias[[#This Row],[data]]&lt;Metas[data_fim])),Metas[meta_mensal],0)</f>
        <v>160000</v>
      </c>
      <c r="L54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49" spans="2:12" x14ac:dyDescent="0.3">
      <c r="B549" s="34">
        <v>45838</v>
      </c>
      <c r="C549" s="34" t="str">
        <f>TEXT(Metas_Diarias[[#This Row],[data]],"dddd")</f>
        <v>segunda-feira</v>
      </c>
      <c r="D549" s="33">
        <v>1</v>
      </c>
      <c r="E549" s="33">
        <v>1</v>
      </c>
      <c r="F549" s="18"/>
      <c r="G549" s="35">
        <f>WEEKDAY(Metas_Diarias[[#This Row],[data]])</f>
        <v>2</v>
      </c>
      <c r="H549" s="35">
        <f>IF(Metas_Diarias[[#This Row],[dias_da_demana]]=1,"domingo",IF(Metas_Diarias[[#This Row],[dias_da_demana]]=7,0.5,1))</f>
        <v>1</v>
      </c>
      <c r="I549" s="35">
        <f>_xlfn.XLOOKUP(Metas_Diarias[[#This Row],[data]],Feriados[Data],Feriados[Feriado],1)</f>
        <v>1</v>
      </c>
      <c r="J549" s="33" cm="1">
        <f t="array" aca="1" ref="J549" ca="1">SUMPRODUCT(IF((NOT(ISERROR(MATCH(ROW(INDIRECT(DATE(YEAR(B549),MONTH(B549),1)&amp;":"&amp;DATE(YEAR(B549),MONTH(B549)+1,0))),Feriados[Data],0))))=FALSE,
IF(WEEKDAY(ROW(INDIRECT(DATE(YEAR(B549),MONTH(B549),1)&amp;":"&amp;DATE(YEAR(B549),MONTH(B549)+1,0))),2)&lt;=5,1,IF(WEEKDAY(ROW(INDIRECT(DATE(YEAR(B549),MONTH(B549),1)&amp;":"&amp;DATE(YEAR(B549),MONTH(B549)+1,0))),2)=6,0.5,0)),0))</f>
        <v>22</v>
      </c>
      <c r="K549" s="22" cm="1">
        <f t="array" ref="K549">_xlfn.XLOOKUP(1,((Metas_Diarias[[#This Row],[tipo_equipe_id]]=Metas[equipe])*(Metas_Diarias[[#This Row],[data]]&gt;Metas[data_inicio])*(Metas_Diarias[[#This Row],[data]]&lt;Metas[data_fim])),Metas[meta_mensal],0)</f>
        <v>160000</v>
      </c>
      <c r="L54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550" spans="2:12" x14ac:dyDescent="0.3">
      <c r="B550" s="34">
        <v>45839</v>
      </c>
      <c r="C550" s="34" t="str">
        <f>TEXT(Metas_Diarias[[#This Row],[data]],"dddd")</f>
        <v>terça-feira</v>
      </c>
      <c r="D550" s="33">
        <v>1</v>
      </c>
      <c r="E550" s="33">
        <v>1</v>
      </c>
      <c r="F550" s="18"/>
      <c r="G550" s="35">
        <f>WEEKDAY(Metas_Diarias[[#This Row],[data]])</f>
        <v>3</v>
      </c>
      <c r="H550" s="35">
        <f>IF(Metas_Diarias[[#This Row],[dias_da_demana]]=1,"domingo",IF(Metas_Diarias[[#This Row],[dias_da_demana]]=7,0.5,1))</f>
        <v>1</v>
      </c>
      <c r="I550" s="35">
        <f>_xlfn.XLOOKUP(Metas_Diarias[[#This Row],[data]],Feriados[Data],Feriados[Feriado],1)</f>
        <v>1</v>
      </c>
      <c r="J550" s="33" cm="1">
        <f t="array" aca="1" ref="J550" ca="1">SUMPRODUCT(IF((NOT(ISERROR(MATCH(ROW(INDIRECT(DATE(YEAR(B550),MONTH(B550),1)&amp;":"&amp;DATE(YEAR(B550),MONTH(B550)+1,0))),Feriados[Data],0))))=FALSE,
IF(WEEKDAY(ROW(INDIRECT(DATE(YEAR(B550),MONTH(B550),1)&amp;":"&amp;DATE(YEAR(B550),MONTH(B550)+1,0))),2)&lt;=5,1,IF(WEEKDAY(ROW(INDIRECT(DATE(YEAR(B550),MONTH(B550),1)&amp;":"&amp;DATE(YEAR(B550),MONTH(B550)+1,0))),2)=6,0.5,0)),0))</f>
        <v>25</v>
      </c>
      <c r="K550" s="22" cm="1">
        <f t="array" ref="K550">_xlfn.XLOOKUP(1,((Metas_Diarias[[#This Row],[tipo_equipe_id]]=Metas[equipe])*(Metas_Diarias[[#This Row],[data]]&gt;Metas[data_inicio])*(Metas_Diarias[[#This Row],[data]]&lt;Metas[data_fim])),Metas[meta_mensal],0)</f>
        <v>160000</v>
      </c>
      <c r="L550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51" spans="2:12" x14ac:dyDescent="0.3">
      <c r="B551" s="34">
        <v>45840</v>
      </c>
      <c r="C551" s="34" t="str">
        <f>TEXT(Metas_Diarias[[#This Row],[data]],"dddd")</f>
        <v>quarta-feira</v>
      </c>
      <c r="D551" s="33">
        <v>1</v>
      </c>
      <c r="E551" s="33">
        <v>1</v>
      </c>
      <c r="F551" s="18"/>
      <c r="G551" s="35">
        <f>WEEKDAY(Metas_Diarias[[#This Row],[data]])</f>
        <v>4</v>
      </c>
      <c r="H551" s="35">
        <f>IF(Metas_Diarias[[#This Row],[dias_da_demana]]=1,"domingo",IF(Metas_Diarias[[#This Row],[dias_da_demana]]=7,0.5,1))</f>
        <v>1</v>
      </c>
      <c r="I551" s="35">
        <f>_xlfn.XLOOKUP(Metas_Diarias[[#This Row],[data]],Feriados[Data],Feriados[Feriado],1)</f>
        <v>1</v>
      </c>
      <c r="J551" s="33" cm="1">
        <f t="array" aca="1" ref="J551" ca="1">SUMPRODUCT(IF((NOT(ISERROR(MATCH(ROW(INDIRECT(DATE(YEAR(B551),MONTH(B551),1)&amp;":"&amp;DATE(YEAR(B551),MONTH(B551)+1,0))),Feriados[Data],0))))=FALSE,
IF(WEEKDAY(ROW(INDIRECT(DATE(YEAR(B551),MONTH(B551),1)&amp;":"&amp;DATE(YEAR(B551),MONTH(B551)+1,0))),2)&lt;=5,1,IF(WEEKDAY(ROW(INDIRECT(DATE(YEAR(B551),MONTH(B551),1)&amp;":"&amp;DATE(YEAR(B551),MONTH(B551)+1,0))),2)=6,0.5,0)),0))</f>
        <v>25</v>
      </c>
      <c r="K551" s="22" cm="1">
        <f t="array" ref="K551">_xlfn.XLOOKUP(1,((Metas_Diarias[[#This Row],[tipo_equipe_id]]=Metas[equipe])*(Metas_Diarias[[#This Row],[data]]&gt;Metas[data_inicio])*(Metas_Diarias[[#This Row],[data]]&lt;Metas[data_fim])),Metas[meta_mensal],0)</f>
        <v>160000</v>
      </c>
      <c r="L551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52" spans="2:12" x14ac:dyDescent="0.3">
      <c r="B552" s="34">
        <v>45841</v>
      </c>
      <c r="C552" s="34" t="str">
        <f>TEXT(Metas_Diarias[[#This Row],[data]],"dddd")</f>
        <v>quinta-feira</v>
      </c>
      <c r="D552" s="33">
        <v>1</v>
      </c>
      <c r="E552" s="33">
        <v>1</v>
      </c>
      <c r="F552" s="18"/>
      <c r="G552" s="35">
        <f>WEEKDAY(Metas_Diarias[[#This Row],[data]])</f>
        <v>5</v>
      </c>
      <c r="H552" s="35">
        <f>IF(Metas_Diarias[[#This Row],[dias_da_demana]]=1,"domingo",IF(Metas_Diarias[[#This Row],[dias_da_demana]]=7,0.5,1))</f>
        <v>1</v>
      </c>
      <c r="I552" s="35">
        <f>_xlfn.XLOOKUP(Metas_Diarias[[#This Row],[data]],Feriados[Data],Feriados[Feriado],1)</f>
        <v>1</v>
      </c>
      <c r="J552" s="33" cm="1">
        <f t="array" aca="1" ref="J552" ca="1">SUMPRODUCT(IF((NOT(ISERROR(MATCH(ROW(INDIRECT(DATE(YEAR(B552),MONTH(B552),1)&amp;":"&amp;DATE(YEAR(B552),MONTH(B552)+1,0))),Feriados[Data],0))))=FALSE,
IF(WEEKDAY(ROW(INDIRECT(DATE(YEAR(B552),MONTH(B552),1)&amp;":"&amp;DATE(YEAR(B552),MONTH(B552)+1,0))),2)&lt;=5,1,IF(WEEKDAY(ROW(INDIRECT(DATE(YEAR(B552),MONTH(B552),1)&amp;":"&amp;DATE(YEAR(B552),MONTH(B552)+1,0))),2)=6,0.5,0)),0))</f>
        <v>25</v>
      </c>
      <c r="K552" s="22" cm="1">
        <f t="array" ref="K552">_xlfn.XLOOKUP(1,((Metas_Diarias[[#This Row],[tipo_equipe_id]]=Metas[equipe])*(Metas_Diarias[[#This Row],[data]]&gt;Metas[data_inicio])*(Metas_Diarias[[#This Row],[data]]&lt;Metas[data_fim])),Metas[meta_mensal],0)</f>
        <v>160000</v>
      </c>
      <c r="L552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53" spans="2:12" x14ac:dyDescent="0.3">
      <c r="B553" s="34">
        <v>45842</v>
      </c>
      <c r="C553" s="34" t="str">
        <f>TEXT(Metas_Diarias[[#This Row],[data]],"dddd")</f>
        <v>sexta-feira</v>
      </c>
      <c r="D553" s="33">
        <v>1</v>
      </c>
      <c r="E553" s="33">
        <v>1</v>
      </c>
      <c r="F553" s="18"/>
      <c r="G553" s="35">
        <f>WEEKDAY(Metas_Diarias[[#This Row],[data]])</f>
        <v>6</v>
      </c>
      <c r="H553" s="35">
        <f>IF(Metas_Diarias[[#This Row],[dias_da_demana]]=1,"domingo",IF(Metas_Diarias[[#This Row],[dias_da_demana]]=7,0.5,1))</f>
        <v>1</v>
      </c>
      <c r="I553" s="35">
        <f>_xlfn.XLOOKUP(Metas_Diarias[[#This Row],[data]],Feriados[Data],Feriados[Feriado],1)</f>
        <v>1</v>
      </c>
      <c r="J553" s="33" cm="1">
        <f t="array" aca="1" ref="J553" ca="1">SUMPRODUCT(IF((NOT(ISERROR(MATCH(ROW(INDIRECT(DATE(YEAR(B553),MONTH(B553),1)&amp;":"&amp;DATE(YEAR(B553),MONTH(B553)+1,0))),Feriados[Data],0))))=FALSE,
IF(WEEKDAY(ROW(INDIRECT(DATE(YEAR(B553),MONTH(B553),1)&amp;":"&amp;DATE(YEAR(B553),MONTH(B553)+1,0))),2)&lt;=5,1,IF(WEEKDAY(ROW(INDIRECT(DATE(YEAR(B553),MONTH(B553),1)&amp;":"&amp;DATE(YEAR(B553),MONTH(B553)+1,0))),2)=6,0.5,0)),0))</f>
        <v>25</v>
      </c>
      <c r="K553" s="22" cm="1">
        <f t="array" ref="K553">_xlfn.XLOOKUP(1,((Metas_Diarias[[#This Row],[tipo_equipe_id]]=Metas[equipe])*(Metas_Diarias[[#This Row],[data]]&gt;Metas[data_inicio])*(Metas_Diarias[[#This Row],[data]]&lt;Metas[data_fim])),Metas[meta_mensal],0)</f>
        <v>160000</v>
      </c>
      <c r="L553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54" spans="2:12" x14ac:dyDescent="0.3">
      <c r="B554" s="34">
        <v>45843</v>
      </c>
      <c r="C554" s="34" t="str">
        <f>TEXT(Metas_Diarias[[#This Row],[data]],"dddd")</f>
        <v>sábado</v>
      </c>
      <c r="D554" s="33">
        <v>1</v>
      </c>
      <c r="E554" s="33">
        <v>1</v>
      </c>
      <c r="F554" s="18"/>
      <c r="G554" s="35">
        <f>WEEKDAY(Metas_Diarias[[#This Row],[data]])</f>
        <v>7</v>
      </c>
      <c r="H554" s="35">
        <f>IF(Metas_Diarias[[#This Row],[dias_da_demana]]=1,"domingo",IF(Metas_Diarias[[#This Row],[dias_da_demana]]=7,0.5,1))</f>
        <v>0.5</v>
      </c>
      <c r="I554" s="35">
        <f>_xlfn.XLOOKUP(Metas_Diarias[[#This Row],[data]],Feriados[Data],Feriados[Feriado],1)</f>
        <v>1</v>
      </c>
      <c r="J554" s="33" cm="1">
        <f t="array" aca="1" ref="J554" ca="1">SUMPRODUCT(IF((NOT(ISERROR(MATCH(ROW(INDIRECT(DATE(YEAR(B554),MONTH(B554),1)&amp;":"&amp;DATE(YEAR(B554),MONTH(B554)+1,0))),Feriados[Data],0))))=FALSE,
IF(WEEKDAY(ROW(INDIRECT(DATE(YEAR(B554),MONTH(B554),1)&amp;":"&amp;DATE(YEAR(B554),MONTH(B554)+1,0))),2)&lt;=5,1,IF(WEEKDAY(ROW(INDIRECT(DATE(YEAR(B554),MONTH(B554),1)&amp;":"&amp;DATE(YEAR(B554),MONTH(B554)+1,0))),2)=6,0.5,0)),0))</f>
        <v>25</v>
      </c>
      <c r="K554" s="22" cm="1">
        <f t="array" ref="K554">_xlfn.XLOOKUP(1,((Metas_Diarias[[#This Row],[tipo_equipe_id]]=Metas[equipe])*(Metas_Diarias[[#This Row],[data]]&gt;Metas[data_inicio])*(Metas_Diarias[[#This Row],[data]]&lt;Metas[data_fim])),Metas[meta_mensal],0)</f>
        <v>160000</v>
      </c>
      <c r="L554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555" spans="2:12" x14ac:dyDescent="0.3">
      <c r="B555" s="34">
        <v>45844</v>
      </c>
      <c r="C555" s="34" t="str">
        <f>TEXT(Metas_Diarias[[#This Row],[data]],"dddd")</f>
        <v>domingo</v>
      </c>
      <c r="D555" s="33">
        <v>1</v>
      </c>
      <c r="E555" s="33">
        <v>1</v>
      </c>
      <c r="F555" s="18"/>
      <c r="G555" s="35">
        <f>WEEKDAY(Metas_Diarias[[#This Row],[data]])</f>
        <v>1</v>
      </c>
      <c r="H555" s="35" t="str">
        <f>IF(Metas_Diarias[[#This Row],[dias_da_demana]]=1,"domingo",IF(Metas_Diarias[[#This Row],[dias_da_demana]]=7,0.5,1))</f>
        <v>domingo</v>
      </c>
      <c r="I555" s="35">
        <f>_xlfn.XLOOKUP(Metas_Diarias[[#This Row],[data]],Feriados[Data],Feriados[Feriado],1)</f>
        <v>1</v>
      </c>
      <c r="J555" s="33" cm="1">
        <f t="array" aca="1" ref="J555" ca="1">SUMPRODUCT(IF((NOT(ISERROR(MATCH(ROW(INDIRECT(DATE(YEAR(B555),MONTH(B555),1)&amp;":"&amp;DATE(YEAR(B555),MONTH(B555)+1,0))),Feriados[Data],0))))=FALSE,
IF(WEEKDAY(ROW(INDIRECT(DATE(YEAR(B555),MONTH(B555),1)&amp;":"&amp;DATE(YEAR(B555),MONTH(B555)+1,0))),2)&lt;=5,1,IF(WEEKDAY(ROW(INDIRECT(DATE(YEAR(B555),MONTH(B555),1)&amp;":"&amp;DATE(YEAR(B555),MONTH(B555)+1,0))),2)=6,0.5,0)),0))</f>
        <v>25</v>
      </c>
      <c r="K555" s="22" cm="1">
        <f t="array" ref="K555">_xlfn.XLOOKUP(1,((Metas_Diarias[[#This Row],[tipo_equipe_id]]=Metas[equipe])*(Metas_Diarias[[#This Row],[data]]&gt;Metas[data_inicio])*(Metas_Diarias[[#This Row],[data]]&lt;Metas[data_fim])),Metas[meta_mensal],0)</f>
        <v>160000</v>
      </c>
      <c r="L55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56" spans="2:12" x14ac:dyDescent="0.3">
      <c r="B556" s="34">
        <v>45845</v>
      </c>
      <c r="C556" s="34" t="str">
        <f>TEXT(Metas_Diarias[[#This Row],[data]],"dddd")</f>
        <v>segunda-feira</v>
      </c>
      <c r="D556" s="33">
        <v>1</v>
      </c>
      <c r="E556" s="33">
        <v>1</v>
      </c>
      <c r="F556" s="18"/>
      <c r="G556" s="35">
        <f>WEEKDAY(Metas_Diarias[[#This Row],[data]])</f>
        <v>2</v>
      </c>
      <c r="H556" s="35">
        <f>IF(Metas_Diarias[[#This Row],[dias_da_demana]]=1,"domingo",IF(Metas_Diarias[[#This Row],[dias_da_demana]]=7,0.5,1))</f>
        <v>1</v>
      </c>
      <c r="I556" s="35">
        <f>_xlfn.XLOOKUP(Metas_Diarias[[#This Row],[data]],Feriados[Data],Feriados[Feriado],1)</f>
        <v>1</v>
      </c>
      <c r="J556" s="33" cm="1">
        <f t="array" aca="1" ref="J556" ca="1">SUMPRODUCT(IF((NOT(ISERROR(MATCH(ROW(INDIRECT(DATE(YEAR(B556),MONTH(B556),1)&amp;":"&amp;DATE(YEAR(B556),MONTH(B556)+1,0))),Feriados[Data],0))))=FALSE,
IF(WEEKDAY(ROW(INDIRECT(DATE(YEAR(B556),MONTH(B556),1)&amp;":"&amp;DATE(YEAR(B556),MONTH(B556)+1,0))),2)&lt;=5,1,IF(WEEKDAY(ROW(INDIRECT(DATE(YEAR(B556),MONTH(B556),1)&amp;":"&amp;DATE(YEAR(B556),MONTH(B556)+1,0))),2)=6,0.5,0)),0))</f>
        <v>25</v>
      </c>
      <c r="K556" s="22" cm="1">
        <f t="array" ref="K556">_xlfn.XLOOKUP(1,((Metas_Diarias[[#This Row],[tipo_equipe_id]]=Metas[equipe])*(Metas_Diarias[[#This Row],[data]]&gt;Metas[data_inicio])*(Metas_Diarias[[#This Row],[data]]&lt;Metas[data_fim])),Metas[meta_mensal],0)</f>
        <v>160000</v>
      </c>
      <c r="L556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57" spans="2:12" x14ac:dyDescent="0.3">
      <c r="B557" s="34">
        <v>45846</v>
      </c>
      <c r="C557" s="34" t="str">
        <f>TEXT(Metas_Diarias[[#This Row],[data]],"dddd")</f>
        <v>terça-feira</v>
      </c>
      <c r="D557" s="33">
        <v>1</v>
      </c>
      <c r="E557" s="33">
        <v>1</v>
      </c>
      <c r="F557" s="18"/>
      <c r="G557" s="35">
        <f>WEEKDAY(Metas_Diarias[[#This Row],[data]])</f>
        <v>3</v>
      </c>
      <c r="H557" s="35">
        <f>IF(Metas_Diarias[[#This Row],[dias_da_demana]]=1,"domingo",IF(Metas_Diarias[[#This Row],[dias_da_demana]]=7,0.5,1))</f>
        <v>1</v>
      </c>
      <c r="I557" s="35">
        <f>_xlfn.XLOOKUP(Metas_Diarias[[#This Row],[data]],Feriados[Data],Feriados[Feriado],1)</f>
        <v>1</v>
      </c>
      <c r="J557" s="33" cm="1">
        <f t="array" aca="1" ref="J557" ca="1">SUMPRODUCT(IF((NOT(ISERROR(MATCH(ROW(INDIRECT(DATE(YEAR(B557),MONTH(B557),1)&amp;":"&amp;DATE(YEAR(B557),MONTH(B557)+1,0))),Feriados[Data],0))))=FALSE,
IF(WEEKDAY(ROW(INDIRECT(DATE(YEAR(B557),MONTH(B557),1)&amp;":"&amp;DATE(YEAR(B557),MONTH(B557)+1,0))),2)&lt;=5,1,IF(WEEKDAY(ROW(INDIRECT(DATE(YEAR(B557),MONTH(B557),1)&amp;":"&amp;DATE(YEAR(B557),MONTH(B557)+1,0))),2)=6,0.5,0)),0))</f>
        <v>25</v>
      </c>
      <c r="K557" s="22" cm="1">
        <f t="array" ref="K557">_xlfn.XLOOKUP(1,((Metas_Diarias[[#This Row],[tipo_equipe_id]]=Metas[equipe])*(Metas_Diarias[[#This Row],[data]]&gt;Metas[data_inicio])*(Metas_Diarias[[#This Row],[data]]&lt;Metas[data_fim])),Metas[meta_mensal],0)</f>
        <v>160000</v>
      </c>
      <c r="L557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58" spans="2:12" x14ac:dyDescent="0.3">
      <c r="B558" s="34">
        <v>45847</v>
      </c>
      <c r="C558" s="34" t="str">
        <f>TEXT(Metas_Diarias[[#This Row],[data]],"dddd")</f>
        <v>quarta-feira</v>
      </c>
      <c r="D558" s="33">
        <v>1</v>
      </c>
      <c r="E558" s="33">
        <v>1</v>
      </c>
      <c r="F558" s="18"/>
      <c r="G558" s="35">
        <f>WEEKDAY(Metas_Diarias[[#This Row],[data]])</f>
        <v>4</v>
      </c>
      <c r="H558" s="35">
        <f>IF(Metas_Diarias[[#This Row],[dias_da_demana]]=1,"domingo",IF(Metas_Diarias[[#This Row],[dias_da_demana]]=7,0.5,1))</f>
        <v>1</v>
      </c>
      <c r="I558" s="35">
        <f>_xlfn.XLOOKUP(Metas_Diarias[[#This Row],[data]],Feriados[Data],Feriados[Feriado],1)</f>
        <v>1</v>
      </c>
      <c r="J558" s="33" cm="1">
        <f t="array" aca="1" ref="J558" ca="1">SUMPRODUCT(IF((NOT(ISERROR(MATCH(ROW(INDIRECT(DATE(YEAR(B558),MONTH(B558),1)&amp;":"&amp;DATE(YEAR(B558),MONTH(B558)+1,0))),Feriados[Data],0))))=FALSE,
IF(WEEKDAY(ROW(INDIRECT(DATE(YEAR(B558),MONTH(B558),1)&amp;":"&amp;DATE(YEAR(B558),MONTH(B558)+1,0))),2)&lt;=5,1,IF(WEEKDAY(ROW(INDIRECT(DATE(YEAR(B558),MONTH(B558),1)&amp;":"&amp;DATE(YEAR(B558),MONTH(B558)+1,0))),2)=6,0.5,0)),0))</f>
        <v>25</v>
      </c>
      <c r="K558" s="22" cm="1">
        <f t="array" ref="K558">_xlfn.XLOOKUP(1,((Metas_Diarias[[#This Row],[tipo_equipe_id]]=Metas[equipe])*(Metas_Diarias[[#This Row],[data]]&gt;Metas[data_inicio])*(Metas_Diarias[[#This Row],[data]]&lt;Metas[data_fim])),Metas[meta_mensal],0)</f>
        <v>160000</v>
      </c>
      <c r="L558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59" spans="2:12" x14ac:dyDescent="0.3">
      <c r="B559" s="34">
        <v>45848</v>
      </c>
      <c r="C559" s="34" t="str">
        <f>TEXT(Metas_Diarias[[#This Row],[data]],"dddd")</f>
        <v>quinta-feira</v>
      </c>
      <c r="D559" s="33">
        <v>1</v>
      </c>
      <c r="E559" s="33">
        <v>1</v>
      </c>
      <c r="F559" s="18"/>
      <c r="G559" s="35">
        <f>WEEKDAY(Metas_Diarias[[#This Row],[data]])</f>
        <v>5</v>
      </c>
      <c r="H559" s="35">
        <f>IF(Metas_Diarias[[#This Row],[dias_da_demana]]=1,"domingo",IF(Metas_Diarias[[#This Row],[dias_da_demana]]=7,0.5,1))</f>
        <v>1</v>
      </c>
      <c r="I559" s="35">
        <f>_xlfn.XLOOKUP(Metas_Diarias[[#This Row],[data]],Feriados[Data],Feriados[Feriado],1)</f>
        <v>1</v>
      </c>
      <c r="J559" s="33" cm="1">
        <f t="array" aca="1" ref="J559" ca="1">SUMPRODUCT(IF((NOT(ISERROR(MATCH(ROW(INDIRECT(DATE(YEAR(B559),MONTH(B559),1)&amp;":"&amp;DATE(YEAR(B559),MONTH(B559)+1,0))),Feriados[Data],0))))=FALSE,
IF(WEEKDAY(ROW(INDIRECT(DATE(YEAR(B559),MONTH(B559),1)&amp;":"&amp;DATE(YEAR(B559),MONTH(B559)+1,0))),2)&lt;=5,1,IF(WEEKDAY(ROW(INDIRECT(DATE(YEAR(B559),MONTH(B559),1)&amp;":"&amp;DATE(YEAR(B559),MONTH(B559)+1,0))),2)=6,0.5,0)),0))</f>
        <v>25</v>
      </c>
      <c r="K559" s="22" cm="1">
        <f t="array" ref="K559">_xlfn.XLOOKUP(1,((Metas_Diarias[[#This Row],[tipo_equipe_id]]=Metas[equipe])*(Metas_Diarias[[#This Row],[data]]&gt;Metas[data_inicio])*(Metas_Diarias[[#This Row],[data]]&lt;Metas[data_fim])),Metas[meta_mensal],0)</f>
        <v>160000</v>
      </c>
      <c r="L559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60" spans="2:12" x14ac:dyDescent="0.3">
      <c r="B560" s="34">
        <v>45849</v>
      </c>
      <c r="C560" s="34" t="str">
        <f>TEXT(Metas_Diarias[[#This Row],[data]],"dddd")</f>
        <v>sexta-feira</v>
      </c>
      <c r="D560" s="33">
        <v>1</v>
      </c>
      <c r="E560" s="33">
        <v>1</v>
      </c>
      <c r="F560" s="18"/>
      <c r="G560" s="35">
        <f>WEEKDAY(Metas_Diarias[[#This Row],[data]])</f>
        <v>6</v>
      </c>
      <c r="H560" s="35">
        <f>IF(Metas_Diarias[[#This Row],[dias_da_demana]]=1,"domingo",IF(Metas_Diarias[[#This Row],[dias_da_demana]]=7,0.5,1))</f>
        <v>1</v>
      </c>
      <c r="I560" s="35">
        <f>_xlfn.XLOOKUP(Metas_Diarias[[#This Row],[data]],Feriados[Data],Feriados[Feriado],1)</f>
        <v>1</v>
      </c>
      <c r="J560" s="33" cm="1">
        <f t="array" aca="1" ref="J560" ca="1">SUMPRODUCT(IF((NOT(ISERROR(MATCH(ROW(INDIRECT(DATE(YEAR(B560),MONTH(B560),1)&amp;":"&amp;DATE(YEAR(B560),MONTH(B560)+1,0))),Feriados[Data],0))))=FALSE,
IF(WEEKDAY(ROW(INDIRECT(DATE(YEAR(B560),MONTH(B560),1)&amp;":"&amp;DATE(YEAR(B560),MONTH(B560)+1,0))),2)&lt;=5,1,IF(WEEKDAY(ROW(INDIRECT(DATE(YEAR(B560),MONTH(B560),1)&amp;":"&amp;DATE(YEAR(B560),MONTH(B560)+1,0))),2)=6,0.5,0)),0))</f>
        <v>25</v>
      </c>
      <c r="K560" s="22" cm="1">
        <f t="array" ref="K560">_xlfn.XLOOKUP(1,((Metas_Diarias[[#This Row],[tipo_equipe_id]]=Metas[equipe])*(Metas_Diarias[[#This Row],[data]]&gt;Metas[data_inicio])*(Metas_Diarias[[#This Row],[data]]&lt;Metas[data_fim])),Metas[meta_mensal],0)</f>
        <v>160000</v>
      </c>
      <c r="L560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61" spans="2:12" x14ac:dyDescent="0.3">
      <c r="B561" s="34">
        <v>45850</v>
      </c>
      <c r="C561" s="34" t="str">
        <f>TEXT(Metas_Diarias[[#This Row],[data]],"dddd")</f>
        <v>sábado</v>
      </c>
      <c r="D561" s="33">
        <v>1</v>
      </c>
      <c r="E561" s="33">
        <v>1</v>
      </c>
      <c r="F561" s="18"/>
      <c r="G561" s="35">
        <f>WEEKDAY(Metas_Diarias[[#This Row],[data]])</f>
        <v>7</v>
      </c>
      <c r="H561" s="35">
        <f>IF(Metas_Diarias[[#This Row],[dias_da_demana]]=1,"domingo",IF(Metas_Diarias[[#This Row],[dias_da_demana]]=7,0.5,1))</f>
        <v>0.5</v>
      </c>
      <c r="I561" s="35">
        <f>_xlfn.XLOOKUP(Metas_Diarias[[#This Row],[data]],Feriados[Data],Feriados[Feriado],1)</f>
        <v>1</v>
      </c>
      <c r="J561" s="33" cm="1">
        <f t="array" aca="1" ref="J561" ca="1">SUMPRODUCT(IF((NOT(ISERROR(MATCH(ROW(INDIRECT(DATE(YEAR(B561),MONTH(B561),1)&amp;":"&amp;DATE(YEAR(B561),MONTH(B561)+1,0))),Feriados[Data],0))))=FALSE,
IF(WEEKDAY(ROW(INDIRECT(DATE(YEAR(B561),MONTH(B561),1)&amp;":"&amp;DATE(YEAR(B561),MONTH(B561)+1,0))),2)&lt;=5,1,IF(WEEKDAY(ROW(INDIRECT(DATE(YEAR(B561),MONTH(B561),1)&amp;":"&amp;DATE(YEAR(B561),MONTH(B561)+1,0))),2)=6,0.5,0)),0))</f>
        <v>25</v>
      </c>
      <c r="K561" s="22" cm="1">
        <f t="array" ref="K561">_xlfn.XLOOKUP(1,((Metas_Diarias[[#This Row],[tipo_equipe_id]]=Metas[equipe])*(Metas_Diarias[[#This Row],[data]]&gt;Metas[data_inicio])*(Metas_Diarias[[#This Row],[data]]&lt;Metas[data_fim])),Metas[meta_mensal],0)</f>
        <v>160000</v>
      </c>
      <c r="L561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562" spans="2:12" x14ac:dyDescent="0.3">
      <c r="B562" s="34">
        <v>45851</v>
      </c>
      <c r="C562" s="34" t="str">
        <f>TEXT(Metas_Diarias[[#This Row],[data]],"dddd")</f>
        <v>domingo</v>
      </c>
      <c r="D562" s="33">
        <v>1</v>
      </c>
      <c r="E562" s="33">
        <v>1</v>
      </c>
      <c r="F562" s="18"/>
      <c r="G562" s="35">
        <f>WEEKDAY(Metas_Diarias[[#This Row],[data]])</f>
        <v>1</v>
      </c>
      <c r="H562" s="35" t="str">
        <f>IF(Metas_Diarias[[#This Row],[dias_da_demana]]=1,"domingo",IF(Metas_Diarias[[#This Row],[dias_da_demana]]=7,0.5,1))</f>
        <v>domingo</v>
      </c>
      <c r="I562" s="35">
        <f>_xlfn.XLOOKUP(Metas_Diarias[[#This Row],[data]],Feriados[Data],Feriados[Feriado],1)</f>
        <v>1</v>
      </c>
      <c r="J562" s="33" cm="1">
        <f t="array" aca="1" ref="J562" ca="1">SUMPRODUCT(IF((NOT(ISERROR(MATCH(ROW(INDIRECT(DATE(YEAR(B562),MONTH(B562),1)&amp;":"&amp;DATE(YEAR(B562),MONTH(B562)+1,0))),Feriados[Data],0))))=FALSE,
IF(WEEKDAY(ROW(INDIRECT(DATE(YEAR(B562),MONTH(B562),1)&amp;":"&amp;DATE(YEAR(B562),MONTH(B562)+1,0))),2)&lt;=5,1,IF(WEEKDAY(ROW(INDIRECT(DATE(YEAR(B562),MONTH(B562),1)&amp;":"&amp;DATE(YEAR(B562),MONTH(B562)+1,0))),2)=6,0.5,0)),0))</f>
        <v>25</v>
      </c>
      <c r="K562" s="22" cm="1">
        <f t="array" ref="K562">_xlfn.XLOOKUP(1,((Metas_Diarias[[#This Row],[tipo_equipe_id]]=Metas[equipe])*(Metas_Diarias[[#This Row],[data]]&gt;Metas[data_inicio])*(Metas_Diarias[[#This Row],[data]]&lt;Metas[data_fim])),Metas[meta_mensal],0)</f>
        <v>160000</v>
      </c>
      <c r="L56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63" spans="2:12" x14ac:dyDescent="0.3">
      <c r="B563" s="34">
        <v>45852</v>
      </c>
      <c r="C563" s="34" t="str">
        <f>TEXT(Metas_Diarias[[#This Row],[data]],"dddd")</f>
        <v>segunda-feira</v>
      </c>
      <c r="D563" s="33">
        <v>1</v>
      </c>
      <c r="E563" s="33">
        <v>1</v>
      </c>
      <c r="F563" s="18"/>
      <c r="G563" s="35">
        <f>WEEKDAY(Metas_Diarias[[#This Row],[data]])</f>
        <v>2</v>
      </c>
      <c r="H563" s="35">
        <f>IF(Metas_Diarias[[#This Row],[dias_da_demana]]=1,"domingo",IF(Metas_Diarias[[#This Row],[dias_da_demana]]=7,0.5,1))</f>
        <v>1</v>
      </c>
      <c r="I563" s="35">
        <f>_xlfn.XLOOKUP(Metas_Diarias[[#This Row],[data]],Feriados[Data],Feriados[Feriado],1)</f>
        <v>1</v>
      </c>
      <c r="J563" s="33" cm="1">
        <f t="array" aca="1" ref="J563" ca="1">SUMPRODUCT(IF((NOT(ISERROR(MATCH(ROW(INDIRECT(DATE(YEAR(B563),MONTH(B563),1)&amp;":"&amp;DATE(YEAR(B563),MONTH(B563)+1,0))),Feriados[Data],0))))=FALSE,
IF(WEEKDAY(ROW(INDIRECT(DATE(YEAR(B563),MONTH(B563),1)&amp;":"&amp;DATE(YEAR(B563),MONTH(B563)+1,0))),2)&lt;=5,1,IF(WEEKDAY(ROW(INDIRECT(DATE(YEAR(B563),MONTH(B563),1)&amp;":"&amp;DATE(YEAR(B563),MONTH(B563)+1,0))),2)=6,0.5,0)),0))</f>
        <v>25</v>
      </c>
      <c r="K563" s="22" cm="1">
        <f t="array" ref="K563">_xlfn.XLOOKUP(1,((Metas_Diarias[[#This Row],[tipo_equipe_id]]=Metas[equipe])*(Metas_Diarias[[#This Row],[data]]&gt;Metas[data_inicio])*(Metas_Diarias[[#This Row],[data]]&lt;Metas[data_fim])),Metas[meta_mensal],0)</f>
        <v>160000</v>
      </c>
      <c r="L563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64" spans="2:12" x14ac:dyDescent="0.3">
      <c r="B564" s="34">
        <v>45853</v>
      </c>
      <c r="C564" s="34" t="str">
        <f>TEXT(Metas_Diarias[[#This Row],[data]],"dddd")</f>
        <v>terça-feira</v>
      </c>
      <c r="D564" s="33">
        <v>1</v>
      </c>
      <c r="E564" s="33">
        <v>1</v>
      </c>
      <c r="F564" s="18"/>
      <c r="G564" s="35">
        <f>WEEKDAY(Metas_Diarias[[#This Row],[data]])</f>
        <v>3</v>
      </c>
      <c r="H564" s="35">
        <f>IF(Metas_Diarias[[#This Row],[dias_da_demana]]=1,"domingo",IF(Metas_Diarias[[#This Row],[dias_da_demana]]=7,0.5,1))</f>
        <v>1</v>
      </c>
      <c r="I564" s="35">
        <f>_xlfn.XLOOKUP(Metas_Diarias[[#This Row],[data]],Feriados[Data],Feriados[Feriado],1)</f>
        <v>1</v>
      </c>
      <c r="J564" s="33" cm="1">
        <f t="array" aca="1" ref="J564" ca="1">SUMPRODUCT(IF((NOT(ISERROR(MATCH(ROW(INDIRECT(DATE(YEAR(B564),MONTH(B564),1)&amp;":"&amp;DATE(YEAR(B564),MONTH(B564)+1,0))),Feriados[Data],0))))=FALSE,
IF(WEEKDAY(ROW(INDIRECT(DATE(YEAR(B564),MONTH(B564),1)&amp;":"&amp;DATE(YEAR(B564),MONTH(B564)+1,0))),2)&lt;=5,1,IF(WEEKDAY(ROW(INDIRECT(DATE(YEAR(B564),MONTH(B564),1)&amp;":"&amp;DATE(YEAR(B564),MONTH(B564)+1,0))),2)=6,0.5,0)),0))</f>
        <v>25</v>
      </c>
      <c r="K564" s="22" cm="1">
        <f t="array" ref="K564">_xlfn.XLOOKUP(1,((Metas_Diarias[[#This Row],[tipo_equipe_id]]=Metas[equipe])*(Metas_Diarias[[#This Row],[data]]&gt;Metas[data_inicio])*(Metas_Diarias[[#This Row],[data]]&lt;Metas[data_fim])),Metas[meta_mensal],0)</f>
        <v>160000</v>
      </c>
      <c r="L564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65" spans="2:12" x14ac:dyDescent="0.3">
      <c r="B565" s="34">
        <v>45854</v>
      </c>
      <c r="C565" s="34" t="str">
        <f>TEXT(Metas_Diarias[[#This Row],[data]],"dddd")</f>
        <v>quarta-feira</v>
      </c>
      <c r="D565" s="33">
        <v>1</v>
      </c>
      <c r="E565" s="33">
        <v>1</v>
      </c>
      <c r="F565" s="18"/>
      <c r="G565" s="35">
        <f>WEEKDAY(Metas_Diarias[[#This Row],[data]])</f>
        <v>4</v>
      </c>
      <c r="H565" s="35">
        <f>IF(Metas_Diarias[[#This Row],[dias_da_demana]]=1,"domingo",IF(Metas_Diarias[[#This Row],[dias_da_demana]]=7,0.5,1))</f>
        <v>1</v>
      </c>
      <c r="I565" s="35">
        <f>_xlfn.XLOOKUP(Metas_Diarias[[#This Row],[data]],Feriados[Data],Feriados[Feriado],1)</f>
        <v>1</v>
      </c>
      <c r="J565" s="33" cm="1">
        <f t="array" aca="1" ref="J565" ca="1">SUMPRODUCT(IF((NOT(ISERROR(MATCH(ROW(INDIRECT(DATE(YEAR(B565),MONTH(B565),1)&amp;":"&amp;DATE(YEAR(B565),MONTH(B565)+1,0))),Feriados[Data],0))))=FALSE,
IF(WEEKDAY(ROW(INDIRECT(DATE(YEAR(B565),MONTH(B565),1)&amp;":"&amp;DATE(YEAR(B565),MONTH(B565)+1,0))),2)&lt;=5,1,IF(WEEKDAY(ROW(INDIRECT(DATE(YEAR(B565),MONTH(B565),1)&amp;":"&amp;DATE(YEAR(B565),MONTH(B565)+1,0))),2)=6,0.5,0)),0))</f>
        <v>25</v>
      </c>
      <c r="K565" s="22" cm="1">
        <f t="array" ref="K565">_xlfn.XLOOKUP(1,((Metas_Diarias[[#This Row],[tipo_equipe_id]]=Metas[equipe])*(Metas_Diarias[[#This Row],[data]]&gt;Metas[data_inicio])*(Metas_Diarias[[#This Row],[data]]&lt;Metas[data_fim])),Metas[meta_mensal],0)</f>
        <v>160000</v>
      </c>
      <c r="L565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66" spans="2:12" x14ac:dyDescent="0.3">
      <c r="B566" s="34">
        <v>45855</v>
      </c>
      <c r="C566" s="34" t="str">
        <f>TEXT(Metas_Diarias[[#This Row],[data]],"dddd")</f>
        <v>quinta-feira</v>
      </c>
      <c r="D566" s="33">
        <v>1</v>
      </c>
      <c r="E566" s="33">
        <v>1</v>
      </c>
      <c r="F566" s="18"/>
      <c r="G566" s="35">
        <f>WEEKDAY(Metas_Diarias[[#This Row],[data]])</f>
        <v>5</v>
      </c>
      <c r="H566" s="35">
        <f>IF(Metas_Diarias[[#This Row],[dias_da_demana]]=1,"domingo",IF(Metas_Diarias[[#This Row],[dias_da_demana]]=7,0.5,1))</f>
        <v>1</v>
      </c>
      <c r="I566" s="35">
        <f>_xlfn.XLOOKUP(Metas_Diarias[[#This Row],[data]],Feriados[Data],Feriados[Feriado],1)</f>
        <v>1</v>
      </c>
      <c r="J566" s="33" cm="1">
        <f t="array" aca="1" ref="J566" ca="1">SUMPRODUCT(IF((NOT(ISERROR(MATCH(ROW(INDIRECT(DATE(YEAR(B566),MONTH(B566),1)&amp;":"&amp;DATE(YEAR(B566),MONTH(B566)+1,0))),Feriados[Data],0))))=FALSE,
IF(WEEKDAY(ROW(INDIRECT(DATE(YEAR(B566),MONTH(B566),1)&amp;":"&amp;DATE(YEAR(B566),MONTH(B566)+1,0))),2)&lt;=5,1,IF(WEEKDAY(ROW(INDIRECT(DATE(YEAR(B566),MONTH(B566),1)&amp;":"&amp;DATE(YEAR(B566),MONTH(B566)+1,0))),2)=6,0.5,0)),0))</f>
        <v>25</v>
      </c>
      <c r="K566" s="22" cm="1">
        <f t="array" ref="K566">_xlfn.XLOOKUP(1,((Metas_Diarias[[#This Row],[tipo_equipe_id]]=Metas[equipe])*(Metas_Diarias[[#This Row],[data]]&gt;Metas[data_inicio])*(Metas_Diarias[[#This Row],[data]]&lt;Metas[data_fim])),Metas[meta_mensal],0)</f>
        <v>160000</v>
      </c>
      <c r="L566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67" spans="2:12" x14ac:dyDescent="0.3">
      <c r="B567" s="34">
        <v>45856</v>
      </c>
      <c r="C567" s="34" t="str">
        <f>TEXT(Metas_Diarias[[#This Row],[data]],"dddd")</f>
        <v>sexta-feira</v>
      </c>
      <c r="D567" s="33">
        <v>1</v>
      </c>
      <c r="E567" s="33">
        <v>1</v>
      </c>
      <c r="F567" s="18"/>
      <c r="G567" s="35">
        <f>WEEKDAY(Metas_Diarias[[#This Row],[data]])</f>
        <v>6</v>
      </c>
      <c r="H567" s="35">
        <f>IF(Metas_Diarias[[#This Row],[dias_da_demana]]=1,"domingo",IF(Metas_Diarias[[#This Row],[dias_da_demana]]=7,0.5,1))</f>
        <v>1</v>
      </c>
      <c r="I567" s="35">
        <f>_xlfn.XLOOKUP(Metas_Diarias[[#This Row],[data]],Feriados[Data],Feriados[Feriado],1)</f>
        <v>1</v>
      </c>
      <c r="J567" s="33" cm="1">
        <f t="array" aca="1" ref="J567" ca="1">SUMPRODUCT(IF((NOT(ISERROR(MATCH(ROW(INDIRECT(DATE(YEAR(B567),MONTH(B567),1)&amp;":"&amp;DATE(YEAR(B567),MONTH(B567)+1,0))),Feriados[Data],0))))=FALSE,
IF(WEEKDAY(ROW(INDIRECT(DATE(YEAR(B567),MONTH(B567),1)&amp;":"&amp;DATE(YEAR(B567),MONTH(B567)+1,0))),2)&lt;=5,1,IF(WEEKDAY(ROW(INDIRECT(DATE(YEAR(B567),MONTH(B567),1)&amp;":"&amp;DATE(YEAR(B567),MONTH(B567)+1,0))),2)=6,0.5,0)),0))</f>
        <v>25</v>
      </c>
      <c r="K567" s="22" cm="1">
        <f t="array" ref="K567">_xlfn.XLOOKUP(1,((Metas_Diarias[[#This Row],[tipo_equipe_id]]=Metas[equipe])*(Metas_Diarias[[#This Row],[data]]&gt;Metas[data_inicio])*(Metas_Diarias[[#This Row],[data]]&lt;Metas[data_fim])),Metas[meta_mensal],0)</f>
        <v>160000</v>
      </c>
      <c r="L567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68" spans="2:12" x14ac:dyDescent="0.3">
      <c r="B568" s="34">
        <v>45857</v>
      </c>
      <c r="C568" s="34" t="str">
        <f>TEXT(Metas_Diarias[[#This Row],[data]],"dddd")</f>
        <v>sábado</v>
      </c>
      <c r="D568" s="33">
        <v>1</v>
      </c>
      <c r="E568" s="33">
        <v>1</v>
      </c>
      <c r="F568" s="18"/>
      <c r="G568" s="35">
        <f>WEEKDAY(Metas_Diarias[[#This Row],[data]])</f>
        <v>7</v>
      </c>
      <c r="H568" s="35">
        <f>IF(Metas_Diarias[[#This Row],[dias_da_demana]]=1,"domingo",IF(Metas_Diarias[[#This Row],[dias_da_demana]]=7,0.5,1))</f>
        <v>0.5</v>
      </c>
      <c r="I568" s="35">
        <f>_xlfn.XLOOKUP(Metas_Diarias[[#This Row],[data]],Feriados[Data],Feriados[Feriado],1)</f>
        <v>1</v>
      </c>
      <c r="J568" s="33" cm="1">
        <f t="array" aca="1" ref="J568" ca="1">SUMPRODUCT(IF((NOT(ISERROR(MATCH(ROW(INDIRECT(DATE(YEAR(B568),MONTH(B568),1)&amp;":"&amp;DATE(YEAR(B568),MONTH(B568)+1,0))),Feriados[Data],0))))=FALSE,
IF(WEEKDAY(ROW(INDIRECT(DATE(YEAR(B568),MONTH(B568),1)&amp;":"&amp;DATE(YEAR(B568),MONTH(B568)+1,0))),2)&lt;=5,1,IF(WEEKDAY(ROW(INDIRECT(DATE(YEAR(B568),MONTH(B568),1)&amp;":"&amp;DATE(YEAR(B568),MONTH(B568)+1,0))),2)=6,0.5,0)),0))</f>
        <v>25</v>
      </c>
      <c r="K568" s="22" cm="1">
        <f t="array" ref="K568">_xlfn.XLOOKUP(1,((Metas_Diarias[[#This Row],[tipo_equipe_id]]=Metas[equipe])*(Metas_Diarias[[#This Row],[data]]&gt;Metas[data_inicio])*(Metas_Diarias[[#This Row],[data]]&lt;Metas[data_fim])),Metas[meta_mensal],0)</f>
        <v>160000</v>
      </c>
      <c r="L568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569" spans="2:12" x14ac:dyDescent="0.3">
      <c r="B569" s="34">
        <v>45858</v>
      </c>
      <c r="C569" s="34" t="str">
        <f>TEXT(Metas_Diarias[[#This Row],[data]],"dddd")</f>
        <v>domingo</v>
      </c>
      <c r="D569" s="33">
        <v>1</v>
      </c>
      <c r="E569" s="33">
        <v>1</v>
      </c>
      <c r="F569" s="18"/>
      <c r="G569" s="35">
        <f>WEEKDAY(Metas_Diarias[[#This Row],[data]])</f>
        <v>1</v>
      </c>
      <c r="H569" s="35" t="str">
        <f>IF(Metas_Diarias[[#This Row],[dias_da_demana]]=1,"domingo",IF(Metas_Diarias[[#This Row],[dias_da_demana]]=7,0.5,1))</f>
        <v>domingo</v>
      </c>
      <c r="I569" s="35">
        <f>_xlfn.XLOOKUP(Metas_Diarias[[#This Row],[data]],Feriados[Data],Feriados[Feriado],1)</f>
        <v>1</v>
      </c>
      <c r="J569" s="33" cm="1">
        <f t="array" aca="1" ref="J569" ca="1">SUMPRODUCT(IF((NOT(ISERROR(MATCH(ROW(INDIRECT(DATE(YEAR(B569),MONTH(B569),1)&amp;":"&amp;DATE(YEAR(B569),MONTH(B569)+1,0))),Feriados[Data],0))))=FALSE,
IF(WEEKDAY(ROW(INDIRECT(DATE(YEAR(B569),MONTH(B569),1)&amp;":"&amp;DATE(YEAR(B569),MONTH(B569)+1,0))),2)&lt;=5,1,IF(WEEKDAY(ROW(INDIRECT(DATE(YEAR(B569),MONTH(B569),1)&amp;":"&amp;DATE(YEAR(B569),MONTH(B569)+1,0))),2)=6,0.5,0)),0))</f>
        <v>25</v>
      </c>
      <c r="K569" s="22" cm="1">
        <f t="array" ref="K569">_xlfn.XLOOKUP(1,((Metas_Diarias[[#This Row],[tipo_equipe_id]]=Metas[equipe])*(Metas_Diarias[[#This Row],[data]]&gt;Metas[data_inicio])*(Metas_Diarias[[#This Row],[data]]&lt;Metas[data_fim])),Metas[meta_mensal],0)</f>
        <v>160000</v>
      </c>
      <c r="L56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70" spans="2:12" x14ac:dyDescent="0.3">
      <c r="B570" s="34">
        <v>45859</v>
      </c>
      <c r="C570" s="34" t="str">
        <f>TEXT(Metas_Diarias[[#This Row],[data]],"dddd")</f>
        <v>segunda-feira</v>
      </c>
      <c r="D570" s="33">
        <v>1</v>
      </c>
      <c r="E570" s="33">
        <v>1</v>
      </c>
      <c r="F570" s="18"/>
      <c r="G570" s="35">
        <f>WEEKDAY(Metas_Diarias[[#This Row],[data]])</f>
        <v>2</v>
      </c>
      <c r="H570" s="35">
        <f>IF(Metas_Diarias[[#This Row],[dias_da_demana]]=1,"domingo",IF(Metas_Diarias[[#This Row],[dias_da_demana]]=7,0.5,1))</f>
        <v>1</v>
      </c>
      <c r="I570" s="35">
        <f>_xlfn.XLOOKUP(Metas_Diarias[[#This Row],[data]],Feriados[Data],Feriados[Feriado],1)</f>
        <v>1</v>
      </c>
      <c r="J570" s="33" cm="1">
        <f t="array" aca="1" ref="J570" ca="1">SUMPRODUCT(IF((NOT(ISERROR(MATCH(ROW(INDIRECT(DATE(YEAR(B570),MONTH(B570),1)&amp;":"&amp;DATE(YEAR(B570),MONTH(B570)+1,0))),Feriados[Data],0))))=FALSE,
IF(WEEKDAY(ROW(INDIRECT(DATE(YEAR(B570),MONTH(B570),1)&amp;":"&amp;DATE(YEAR(B570),MONTH(B570)+1,0))),2)&lt;=5,1,IF(WEEKDAY(ROW(INDIRECT(DATE(YEAR(B570),MONTH(B570),1)&amp;":"&amp;DATE(YEAR(B570),MONTH(B570)+1,0))),2)=6,0.5,0)),0))</f>
        <v>25</v>
      </c>
      <c r="K570" s="22" cm="1">
        <f t="array" ref="K570">_xlfn.XLOOKUP(1,((Metas_Diarias[[#This Row],[tipo_equipe_id]]=Metas[equipe])*(Metas_Diarias[[#This Row],[data]]&gt;Metas[data_inicio])*(Metas_Diarias[[#This Row],[data]]&lt;Metas[data_fim])),Metas[meta_mensal],0)</f>
        <v>160000</v>
      </c>
      <c r="L570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71" spans="2:12" x14ac:dyDescent="0.3">
      <c r="B571" s="34">
        <v>45860</v>
      </c>
      <c r="C571" s="34" t="str">
        <f>TEXT(Metas_Diarias[[#This Row],[data]],"dddd")</f>
        <v>terça-feira</v>
      </c>
      <c r="D571" s="33">
        <v>1</v>
      </c>
      <c r="E571" s="33">
        <v>1</v>
      </c>
      <c r="F571" s="18"/>
      <c r="G571" s="35">
        <f>WEEKDAY(Metas_Diarias[[#This Row],[data]])</f>
        <v>3</v>
      </c>
      <c r="H571" s="35">
        <f>IF(Metas_Diarias[[#This Row],[dias_da_demana]]=1,"domingo",IF(Metas_Diarias[[#This Row],[dias_da_demana]]=7,0.5,1))</f>
        <v>1</v>
      </c>
      <c r="I571" s="35">
        <f>_xlfn.XLOOKUP(Metas_Diarias[[#This Row],[data]],Feriados[Data],Feriados[Feriado],1)</f>
        <v>1</v>
      </c>
      <c r="J571" s="33" cm="1">
        <f t="array" aca="1" ref="J571" ca="1">SUMPRODUCT(IF((NOT(ISERROR(MATCH(ROW(INDIRECT(DATE(YEAR(B571),MONTH(B571),1)&amp;":"&amp;DATE(YEAR(B571),MONTH(B571)+1,0))),Feriados[Data],0))))=FALSE,
IF(WEEKDAY(ROW(INDIRECT(DATE(YEAR(B571),MONTH(B571),1)&amp;":"&amp;DATE(YEAR(B571),MONTH(B571)+1,0))),2)&lt;=5,1,IF(WEEKDAY(ROW(INDIRECT(DATE(YEAR(B571),MONTH(B571),1)&amp;":"&amp;DATE(YEAR(B571),MONTH(B571)+1,0))),2)=6,0.5,0)),0))</f>
        <v>25</v>
      </c>
      <c r="K571" s="22" cm="1">
        <f t="array" ref="K571">_xlfn.XLOOKUP(1,((Metas_Diarias[[#This Row],[tipo_equipe_id]]=Metas[equipe])*(Metas_Diarias[[#This Row],[data]]&gt;Metas[data_inicio])*(Metas_Diarias[[#This Row],[data]]&lt;Metas[data_fim])),Metas[meta_mensal],0)</f>
        <v>160000</v>
      </c>
      <c r="L571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72" spans="2:12" x14ac:dyDescent="0.3">
      <c r="B572" s="34">
        <v>45861</v>
      </c>
      <c r="C572" s="34" t="str">
        <f>TEXT(Metas_Diarias[[#This Row],[data]],"dddd")</f>
        <v>quarta-feira</v>
      </c>
      <c r="D572" s="33">
        <v>1</v>
      </c>
      <c r="E572" s="33">
        <v>1</v>
      </c>
      <c r="F572" s="18"/>
      <c r="G572" s="35">
        <f>WEEKDAY(Metas_Diarias[[#This Row],[data]])</f>
        <v>4</v>
      </c>
      <c r="H572" s="35">
        <f>IF(Metas_Diarias[[#This Row],[dias_da_demana]]=1,"domingo",IF(Metas_Diarias[[#This Row],[dias_da_demana]]=7,0.5,1))</f>
        <v>1</v>
      </c>
      <c r="I572" s="35">
        <f>_xlfn.XLOOKUP(Metas_Diarias[[#This Row],[data]],Feriados[Data],Feriados[Feriado],1)</f>
        <v>1</v>
      </c>
      <c r="J572" s="33" cm="1">
        <f t="array" aca="1" ref="J572" ca="1">SUMPRODUCT(IF((NOT(ISERROR(MATCH(ROW(INDIRECT(DATE(YEAR(B572),MONTH(B572),1)&amp;":"&amp;DATE(YEAR(B572),MONTH(B572)+1,0))),Feriados[Data],0))))=FALSE,
IF(WEEKDAY(ROW(INDIRECT(DATE(YEAR(B572),MONTH(B572),1)&amp;":"&amp;DATE(YEAR(B572),MONTH(B572)+1,0))),2)&lt;=5,1,IF(WEEKDAY(ROW(INDIRECT(DATE(YEAR(B572),MONTH(B572),1)&amp;":"&amp;DATE(YEAR(B572),MONTH(B572)+1,0))),2)=6,0.5,0)),0))</f>
        <v>25</v>
      </c>
      <c r="K572" s="22" cm="1">
        <f t="array" ref="K572">_xlfn.XLOOKUP(1,((Metas_Diarias[[#This Row],[tipo_equipe_id]]=Metas[equipe])*(Metas_Diarias[[#This Row],[data]]&gt;Metas[data_inicio])*(Metas_Diarias[[#This Row],[data]]&lt;Metas[data_fim])),Metas[meta_mensal],0)</f>
        <v>160000</v>
      </c>
      <c r="L572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73" spans="2:12" x14ac:dyDescent="0.3">
      <c r="B573" s="34">
        <v>45862</v>
      </c>
      <c r="C573" s="34" t="str">
        <f>TEXT(Metas_Diarias[[#This Row],[data]],"dddd")</f>
        <v>quinta-feira</v>
      </c>
      <c r="D573" s="33">
        <v>1</v>
      </c>
      <c r="E573" s="33">
        <v>1</v>
      </c>
      <c r="F573" s="18"/>
      <c r="G573" s="35">
        <f>WEEKDAY(Metas_Diarias[[#This Row],[data]])</f>
        <v>5</v>
      </c>
      <c r="H573" s="35">
        <f>IF(Metas_Diarias[[#This Row],[dias_da_demana]]=1,"domingo",IF(Metas_Diarias[[#This Row],[dias_da_demana]]=7,0.5,1))</f>
        <v>1</v>
      </c>
      <c r="I573" s="35">
        <f>_xlfn.XLOOKUP(Metas_Diarias[[#This Row],[data]],Feriados[Data],Feriados[Feriado],1)</f>
        <v>1</v>
      </c>
      <c r="J573" s="33" cm="1">
        <f t="array" aca="1" ref="J573" ca="1">SUMPRODUCT(IF((NOT(ISERROR(MATCH(ROW(INDIRECT(DATE(YEAR(B573),MONTH(B573),1)&amp;":"&amp;DATE(YEAR(B573),MONTH(B573)+1,0))),Feriados[Data],0))))=FALSE,
IF(WEEKDAY(ROW(INDIRECT(DATE(YEAR(B573),MONTH(B573),1)&amp;":"&amp;DATE(YEAR(B573),MONTH(B573)+1,0))),2)&lt;=5,1,IF(WEEKDAY(ROW(INDIRECT(DATE(YEAR(B573),MONTH(B573),1)&amp;":"&amp;DATE(YEAR(B573),MONTH(B573)+1,0))),2)=6,0.5,0)),0))</f>
        <v>25</v>
      </c>
      <c r="K573" s="22" cm="1">
        <f t="array" ref="K573">_xlfn.XLOOKUP(1,((Metas_Diarias[[#This Row],[tipo_equipe_id]]=Metas[equipe])*(Metas_Diarias[[#This Row],[data]]&gt;Metas[data_inicio])*(Metas_Diarias[[#This Row],[data]]&lt;Metas[data_fim])),Metas[meta_mensal],0)</f>
        <v>160000</v>
      </c>
      <c r="L573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74" spans="2:12" x14ac:dyDescent="0.3">
      <c r="B574" s="34">
        <v>45863</v>
      </c>
      <c r="C574" s="34" t="str">
        <f>TEXT(Metas_Diarias[[#This Row],[data]],"dddd")</f>
        <v>sexta-feira</v>
      </c>
      <c r="D574" s="33">
        <v>1</v>
      </c>
      <c r="E574" s="33">
        <v>1</v>
      </c>
      <c r="F574" s="18"/>
      <c r="G574" s="35">
        <f>WEEKDAY(Metas_Diarias[[#This Row],[data]])</f>
        <v>6</v>
      </c>
      <c r="H574" s="35">
        <f>IF(Metas_Diarias[[#This Row],[dias_da_demana]]=1,"domingo",IF(Metas_Diarias[[#This Row],[dias_da_demana]]=7,0.5,1))</f>
        <v>1</v>
      </c>
      <c r="I574" s="35">
        <f>_xlfn.XLOOKUP(Metas_Diarias[[#This Row],[data]],Feriados[Data],Feriados[Feriado],1)</f>
        <v>1</v>
      </c>
      <c r="J574" s="33" cm="1">
        <f t="array" aca="1" ref="J574" ca="1">SUMPRODUCT(IF((NOT(ISERROR(MATCH(ROW(INDIRECT(DATE(YEAR(B574),MONTH(B574),1)&amp;":"&amp;DATE(YEAR(B574),MONTH(B574)+1,0))),Feriados[Data],0))))=FALSE,
IF(WEEKDAY(ROW(INDIRECT(DATE(YEAR(B574),MONTH(B574),1)&amp;":"&amp;DATE(YEAR(B574),MONTH(B574)+1,0))),2)&lt;=5,1,IF(WEEKDAY(ROW(INDIRECT(DATE(YEAR(B574),MONTH(B574),1)&amp;":"&amp;DATE(YEAR(B574),MONTH(B574)+1,0))),2)=6,0.5,0)),0))</f>
        <v>25</v>
      </c>
      <c r="K574" s="22" cm="1">
        <f t="array" ref="K574">_xlfn.XLOOKUP(1,((Metas_Diarias[[#This Row],[tipo_equipe_id]]=Metas[equipe])*(Metas_Diarias[[#This Row],[data]]&gt;Metas[data_inicio])*(Metas_Diarias[[#This Row],[data]]&lt;Metas[data_fim])),Metas[meta_mensal],0)</f>
        <v>160000</v>
      </c>
      <c r="L574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75" spans="2:12" x14ac:dyDescent="0.3">
      <c r="B575" s="34">
        <v>45864</v>
      </c>
      <c r="C575" s="34" t="str">
        <f>TEXT(Metas_Diarias[[#This Row],[data]],"dddd")</f>
        <v>sábado</v>
      </c>
      <c r="D575" s="33">
        <v>1</v>
      </c>
      <c r="E575" s="33">
        <v>1</v>
      </c>
      <c r="F575" s="18"/>
      <c r="G575" s="35">
        <f>WEEKDAY(Metas_Diarias[[#This Row],[data]])</f>
        <v>7</v>
      </c>
      <c r="H575" s="35">
        <f>IF(Metas_Diarias[[#This Row],[dias_da_demana]]=1,"domingo",IF(Metas_Diarias[[#This Row],[dias_da_demana]]=7,0.5,1))</f>
        <v>0.5</v>
      </c>
      <c r="I575" s="35">
        <f>_xlfn.XLOOKUP(Metas_Diarias[[#This Row],[data]],Feriados[Data],Feriados[Feriado],1)</f>
        <v>1</v>
      </c>
      <c r="J575" s="33" cm="1">
        <f t="array" aca="1" ref="J575" ca="1">SUMPRODUCT(IF((NOT(ISERROR(MATCH(ROW(INDIRECT(DATE(YEAR(B575),MONTH(B575),1)&amp;":"&amp;DATE(YEAR(B575),MONTH(B575)+1,0))),Feriados[Data],0))))=FALSE,
IF(WEEKDAY(ROW(INDIRECT(DATE(YEAR(B575),MONTH(B575),1)&amp;":"&amp;DATE(YEAR(B575),MONTH(B575)+1,0))),2)&lt;=5,1,IF(WEEKDAY(ROW(INDIRECT(DATE(YEAR(B575),MONTH(B575),1)&amp;":"&amp;DATE(YEAR(B575),MONTH(B575)+1,0))),2)=6,0.5,0)),0))</f>
        <v>25</v>
      </c>
      <c r="K575" s="22" cm="1">
        <f t="array" ref="K575">_xlfn.XLOOKUP(1,((Metas_Diarias[[#This Row],[tipo_equipe_id]]=Metas[equipe])*(Metas_Diarias[[#This Row],[data]]&gt;Metas[data_inicio])*(Metas_Diarias[[#This Row],[data]]&lt;Metas[data_fim])),Metas[meta_mensal],0)</f>
        <v>160000</v>
      </c>
      <c r="L575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576" spans="2:12" x14ac:dyDescent="0.3">
      <c r="B576" s="34">
        <v>45865</v>
      </c>
      <c r="C576" s="34" t="str">
        <f>TEXT(Metas_Diarias[[#This Row],[data]],"dddd")</f>
        <v>domingo</v>
      </c>
      <c r="D576" s="33">
        <v>1</v>
      </c>
      <c r="E576" s="33">
        <v>1</v>
      </c>
      <c r="F576" s="18"/>
      <c r="G576" s="35">
        <f>WEEKDAY(Metas_Diarias[[#This Row],[data]])</f>
        <v>1</v>
      </c>
      <c r="H576" s="35" t="str">
        <f>IF(Metas_Diarias[[#This Row],[dias_da_demana]]=1,"domingo",IF(Metas_Diarias[[#This Row],[dias_da_demana]]=7,0.5,1))</f>
        <v>domingo</v>
      </c>
      <c r="I576" s="35">
        <f>_xlfn.XLOOKUP(Metas_Diarias[[#This Row],[data]],Feriados[Data],Feriados[Feriado],1)</f>
        <v>1</v>
      </c>
      <c r="J576" s="33" cm="1">
        <f t="array" aca="1" ref="J576" ca="1">SUMPRODUCT(IF((NOT(ISERROR(MATCH(ROW(INDIRECT(DATE(YEAR(B576),MONTH(B576),1)&amp;":"&amp;DATE(YEAR(B576),MONTH(B576)+1,0))),Feriados[Data],0))))=FALSE,
IF(WEEKDAY(ROW(INDIRECT(DATE(YEAR(B576),MONTH(B576),1)&amp;":"&amp;DATE(YEAR(B576),MONTH(B576)+1,0))),2)&lt;=5,1,IF(WEEKDAY(ROW(INDIRECT(DATE(YEAR(B576),MONTH(B576),1)&amp;":"&amp;DATE(YEAR(B576),MONTH(B576)+1,0))),2)=6,0.5,0)),0))</f>
        <v>25</v>
      </c>
      <c r="K576" s="22" cm="1">
        <f t="array" ref="K576">_xlfn.XLOOKUP(1,((Metas_Diarias[[#This Row],[tipo_equipe_id]]=Metas[equipe])*(Metas_Diarias[[#This Row],[data]]&gt;Metas[data_inicio])*(Metas_Diarias[[#This Row],[data]]&lt;Metas[data_fim])),Metas[meta_mensal],0)</f>
        <v>160000</v>
      </c>
      <c r="L57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77" spans="2:12" x14ac:dyDescent="0.3">
      <c r="B577" s="34">
        <v>45866</v>
      </c>
      <c r="C577" s="34" t="str">
        <f>TEXT(Metas_Diarias[[#This Row],[data]],"dddd")</f>
        <v>segunda-feira</v>
      </c>
      <c r="D577" s="33">
        <v>1</v>
      </c>
      <c r="E577" s="33">
        <v>1</v>
      </c>
      <c r="F577" s="18"/>
      <c r="G577" s="35">
        <f>WEEKDAY(Metas_Diarias[[#This Row],[data]])</f>
        <v>2</v>
      </c>
      <c r="H577" s="35">
        <f>IF(Metas_Diarias[[#This Row],[dias_da_demana]]=1,"domingo",IF(Metas_Diarias[[#This Row],[dias_da_demana]]=7,0.5,1))</f>
        <v>1</v>
      </c>
      <c r="I577" s="35">
        <f>_xlfn.XLOOKUP(Metas_Diarias[[#This Row],[data]],Feriados[Data],Feriados[Feriado],1)</f>
        <v>1</v>
      </c>
      <c r="J577" s="33" cm="1">
        <f t="array" aca="1" ref="J577" ca="1">SUMPRODUCT(IF((NOT(ISERROR(MATCH(ROW(INDIRECT(DATE(YEAR(B577),MONTH(B577),1)&amp;":"&amp;DATE(YEAR(B577),MONTH(B577)+1,0))),Feriados[Data],0))))=FALSE,
IF(WEEKDAY(ROW(INDIRECT(DATE(YEAR(B577),MONTH(B577),1)&amp;":"&amp;DATE(YEAR(B577),MONTH(B577)+1,0))),2)&lt;=5,1,IF(WEEKDAY(ROW(INDIRECT(DATE(YEAR(B577),MONTH(B577),1)&amp;":"&amp;DATE(YEAR(B577),MONTH(B577)+1,0))),2)=6,0.5,0)),0))</f>
        <v>25</v>
      </c>
      <c r="K577" s="22" cm="1">
        <f t="array" ref="K577">_xlfn.XLOOKUP(1,((Metas_Diarias[[#This Row],[tipo_equipe_id]]=Metas[equipe])*(Metas_Diarias[[#This Row],[data]]&gt;Metas[data_inicio])*(Metas_Diarias[[#This Row],[data]]&lt;Metas[data_fim])),Metas[meta_mensal],0)</f>
        <v>160000</v>
      </c>
      <c r="L577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78" spans="2:12" x14ac:dyDescent="0.3">
      <c r="B578" s="34">
        <v>45867</v>
      </c>
      <c r="C578" s="34" t="str">
        <f>TEXT(Metas_Diarias[[#This Row],[data]],"dddd")</f>
        <v>terça-feira</v>
      </c>
      <c r="D578" s="33">
        <v>1</v>
      </c>
      <c r="E578" s="33">
        <v>1</v>
      </c>
      <c r="F578" s="18"/>
      <c r="G578" s="35">
        <f>WEEKDAY(Metas_Diarias[[#This Row],[data]])</f>
        <v>3</v>
      </c>
      <c r="H578" s="35">
        <f>IF(Metas_Diarias[[#This Row],[dias_da_demana]]=1,"domingo",IF(Metas_Diarias[[#This Row],[dias_da_demana]]=7,0.5,1))</f>
        <v>1</v>
      </c>
      <c r="I578" s="35">
        <f>_xlfn.XLOOKUP(Metas_Diarias[[#This Row],[data]],Feriados[Data],Feriados[Feriado],1)</f>
        <v>1</v>
      </c>
      <c r="J578" s="33" cm="1">
        <f t="array" aca="1" ref="J578" ca="1">SUMPRODUCT(IF((NOT(ISERROR(MATCH(ROW(INDIRECT(DATE(YEAR(B578),MONTH(B578),1)&amp;":"&amp;DATE(YEAR(B578),MONTH(B578)+1,0))),Feriados[Data],0))))=FALSE,
IF(WEEKDAY(ROW(INDIRECT(DATE(YEAR(B578),MONTH(B578),1)&amp;":"&amp;DATE(YEAR(B578),MONTH(B578)+1,0))),2)&lt;=5,1,IF(WEEKDAY(ROW(INDIRECT(DATE(YEAR(B578),MONTH(B578),1)&amp;":"&amp;DATE(YEAR(B578),MONTH(B578)+1,0))),2)=6,0.5,0)),0))</f>
        <v>25</v>
      </c>
      <c r="K578" s="22" cm="1">
        <f t="array" ref="K578">_xlfn.XLOOKUP(1,((Metas_Diarias[[#This Row],[tipo_equipe_id]]=Metas[equipe])*(Metas_Diarias[[#This Row],[data]]&gt;Metas[data_inicio])*(Metas_Diarias[[#This Row],[data]]&lt;Metas[data_fim])),Metas[meta_mensal],0)</f>
        <v>160000</v>
      </c>
      <c r="L578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79" spans="2:12" x14ac:dyDescent="0.3">
      <c r="B579" s="34">
        <v>45868</v>
      </c>
      <c r="C579" s="34" t="str">
        <f>TEXT(Metas_Diarias[[#This Row],[data]],"dddd")</f>
        <v>quarta-feira</v>
      </c>
      <c r="D579" s="33">
        <v>1</v>
      </c>
      <c r="E579" s="33">
        <v>1</v>
      </c>
      <c r="F579" s="18"/>
      <c r="G579" s="35">
        <f>WEEKDAY(Metas_Diarias[[#This Row],[data]])</f>
        <v>4</v>
      </c>
      <c r="H579" s="35">
        <f>IF(Metas_Diarias[[#This Row],[dias_da_demana]]=1,"domingo",IF(Metas_Diarias[[#This Row],[dias_da_demana]]=7,0.5,1))</f>
        <v>1</v>
      </c>
      <c r="I579" s="35">
        <f>_xlfn.XLOOKUP(Metas_Diarias[[#This Row],[data]],Feriados[Data],Feriados[Feriado],1)</f>
        <v>1</v>
      </c>
      <c r="J579" s="33" cm="1">
        <f t="array" aca="1" ref="J579" ca="1">SUMPRODUCT(IF((NOT(ISERROR(MATCH(ROW(INDIRECT(DATE(YEAR(B579),MONTH(B579),1)&amp;":"&amp;DATE(YEAR(B579),MONTH(B579)+1,0))),Feriados[Data],0))))=FALSE,
IF(WEEKDAY(ROW(INDIRECT(DATE(YEAR(B579),MONTH(B579),1)&amp;":"&amp;DATE(YEAR(B579),MONTH(B579)+1,0))),2)&lt;=5,1,IF(WEEKDAY(ROW(INDIRECT(DATE(YEAR(B579),MONTH(B579),1)&amp;":"&amp;DATE(YEAR(B579),MONTH(B579)+1,0))),2)=6,0.5,0)),0))</f>
        <v>25</v>
      </c>
      <c r="K579" s="22" cm="1">
        <f t="array" ref="K579">_xlfn.XLOOKUP(1,((Metas_Diarias[[#This Row],[tipo_equipe_id]]=Metas[equipe])*(Metas_Diarias[[#This Row],[data]]&gt;Metas[data_inicio])*(Metas_Diarias[[#This Row],[data]]&lt;Metas[data_fim])),Metas[meta_mensal],0)</f>
        <v>160000</v>
      </c>
      <c r="L579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80" spans="2:12" x14ac:dyDescent="0.3">
      <c r="B580" s="34">
        <v>45869</v>
      </c>
      <c r="C580" s="34" t="str">
        <f>TEXT(Metas_Diarias[[#This Row],[data]],"dddd")</f>
        <v>quinta-feira</v>
      </c>
      <c r="D580" s="33">
        <v>1</v>
      </c>
      <c r="E580" s="33">
        <v>1</v>
      </c>
      <c r="F580" s="18"/>
      <c r="G580" s="35">
        <f>WEEKDAY(Metas_Diarias[[#This Row],[data]])</f>
        <v>5</v>
      </c>
      <c r="H580" s="35">
        <f>IF(Metas_Diarias[[#This Row],[dias_da_demana]]=1,"domingo",IF(Metas_Diarias[[#This Row],[dias_da_demana]]=7,0.5,1))</f>
        <v>1</v>
      </c>
      <c r="I580" s="35">
        <f>_xlfn.XLOOKUP(Metas_Diarias[[#This Row],[data]],Feriados[Data],Feriados[Feriado],1)</f>
        <v>1</v>
      </c>
      <c r="J580" s="33" cm="1">
        <f t="array" aca="1" ref="J580" ca="1">SUMPRODUCT(IF((NOT(ISERROR(MATCH(ROW(INDIRECT(DATE(YEAR(B580),MONTH(B580),1)&amp;":"&amp;DATE(YEAR(B580),MONTH(B580)+1,0))),Feriados[Data],0))))=FALSE,
IF(WEEKDAY(ROW(INDIRECT(DATE(YEAR(B580),MONTH(B580),1)&amp;":"&amp;DATE(YEAR(B580),MONTH(B580)+1,0))),2)&lt;=5,1,IF(WEEKDAY(ROW(INDIRECT(DATE(YEAR(B580),MONTH(B580),1)&amp;":"&amp;DATE(YEAR(B580),MONTH(B580)+1,0))),2)=6,0.5,0)),0))</f>
        <v>25</v>
      </c>
      <c r="K580" s="22" cm="1">
        <f t="array" ref="K580">_xlfn.XLOOKUP(1,((Metas_Diarias[[#This Row],[tipo_equipe_id]]=Metas[equipe])*(Metas_Diarias[[#This Row],[data]]&gt;Metas[data_inicio])*(Metas_Diarias[[#This Row],[data]]&lt;Metas[data_fim])),Metas[meta_mensal],0)</f>
        <v>160000</v>
      </c>
      <c r="L580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581" spans="2:12" x14ac:dyDescent="0.3">
      <c r="B581" s="34">
        <v>45870</v>
      </c>
      <c r="C581" s="34" t="str">
        <f>TEXT(Metas_Diarias[[#This Row],[data]],"dddd")</f>
        <v>sexta-feira</v>
      </c>
      <c r="D581" s="33">
        <v>1</v>
      </c>
      <c r="E581" s="33">
        <v>1</v>
      </c>
      <c r="F581" s="18"/>
      <c r="G581" s="35">
        <f>WEEKDAY(Metas_Diarias[[#This Row],[data]])</f>
        <v>6</v>
      </c>
      <c r="H581" s="35">
        <f>IF(Metas_Diarias[[#This Row],[dias_da_demana]]=1,"domingo",IF(Metas_Diarias[[#This Row],[dias_da_demana]]=7,0.5,1))</f>
        <v>1</v>
      </c>
      <c r="I581" s="35">
        <f>_xlfn.XLOOKUP(Metas_Diarias[[#This Row],[data]],Feriados[Data],Feriados[Feriado],1)</f>
        <v>1</v>
      </c>
      <c r="J581" s="33" cm="1">
        <f t="array" aca="1" ref="J581" ca="1">SUMPRODUCT(IF((NOT(ISERROR(MATCH(ROW(INDIRECT(DATE(YEAR(B581),MONTH(B581),1)&amp;":"&amp;DATE(YEAR(B581),MONTH(B581)+1,0))),Feriados[Data],0))))=FALSE,
IF(WEEKDAY(ROW(INDIRECT(DATE(YEAR(B581),MONTH(B581),1)&amp;":"&amp;DATE(YEAR(B581),MONTH(B581)+1,0))),2)&lt;=5,1,IF(WEEKDAY(ROW(INDIRECT(DATE(YEAR(B581),MONTH(B581),1)&amp;":"&amp;DATE(YEAR(B581),MONTH(B581)+1,0))),2)=6,0.5,0)),0))</f>
        <v>23.5</v>
      </c>
      <c r="K581" s="22" cm="1">
        <f t="array" ref="K581">_xlfn.XLOOKUP(1,((Metas_Diarias[[#This Row],[tipo_equipe_id]]=Metas[equipe])*(Metas_Diarias[[#This Row],[data]]&gt;Metas[data_inicio])*(Metas_Diarias[[#This Row],[data]]&lt;Metas[data_fim])),Metas[meta_mensal],0)</f>
        <v>160000</v>
      </c>
      <c r="L581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82" spans="2:12" x14ac:dyDescent="0.3">
      <c r="B582" s="34">
        <v>45871</v>
      </c>
      <c r="C582" s="34" t="str">
        <f>TEXT(Metas_Diarias[[#This Row],[data]],"dddd")</f>
        <v>sábado</v>
      </c>
      <c r="D582" s="33">
        <v>1</v>
      </c>
      <c r="E582" s="33">
        <v>1</v>
      </c>
      <c r="F582" s="18"/>
      <c r="G582" s="35">
        <f>WEEKDAY(Metas_Diarias[[#This Row],[data]])</f>
        <v>7</v>
      </c>
      <c r="H582" s="35">
        <f>IF(Metas_Diarias[[#This Row],[dias_da_demana]]=1,"domingo",IF(Metas_Diarias[[#This Row],[dias_da_demana]]=7,0.5,1))</f>
        <v>0.5</v>
      </c>
      <c r="I582" s="35">
        <f>_xlfn.XLOOKUP(Metas_Diarias[[#This Row],[data]],Feriados[Data],Feriados[Feriado],1)</f>
        <v>1</v>
      </c>
      <c r="J582" s="33" cm="1">
        <f t="array" aca="1" ref="J582" ca="1">SUMPRODUCT(IF((NOT(ISERROR(MATCH(ROW(INDIRECT(DATE(YEAR(B582),MONTH(B582),1)&amp;":"&amp;DATE(YEAR(B582),MONTH(B582)+1,0))),Feriados[Data],0))))=FALSE,
IF(WEEKDAY(ROW(INDIRECT(DATE(YEAR(B582),MONTH(B582),1)&amp;":"&amp;DATE(YEAR(B582),MONTH(B582)+1,0))),2)&lt;=5,1,IF(WEEKDAY(ROW(INDIRECT(DATE(YEAR(B582),MONTH(B582),1)&amp;":"&amp;DATE(YEAR(B582),MONTH(B582)+1,0))),2)=6,0.5,0)),0))</f>
        <v>23.5</v>
      </c>
      <c r="K582" s="22" cm="1">
        <f t="array" ref="K582">_xlfn.XLOOKUP(1,((Metas_Diarias[[#This Row],[tipo_equipe_id]]=Metas[equipe])*(Metas_Diarias[[#This Row],[data]]&gt;Metas[data_inicio])*(Metas_Diarias[[#This Row],[data]]&lt;Metas[data_fim])),Metas[meta_mensal],0)</f>
        <v>160000</v>
      </c>
      <c r="L582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583" spans="2:12" x14ac:dyDescent="0.3">
      <c r="B583" s="34">
        <v>45872</v>
      </c>
      <c r="C583" s="34" t="str">
        <f>TEXT(Metas_Diarias[[#This Row],[data]],"dddd")</f>
        <v>domingo</v>
      </c>
      <c r="D583" s="33">
        <v>1</v>
      </c>
      <c r="E583" s="33">
        <v>1</v>
      </c>
      <c r="F583" s="18"/>
      <c r="G583" s="35">
        <f>WEEKDAY(Metas_Diarias[[#This Row],[data]])</f>
        <v>1</v>
      </c>
      <c r="H583" s="35" t="str">
        <f>IF(Metas_Diarias[[#This Row],[dias_da_demana]]=1,"domingo",IF(Metas_Diarias[[#This Row],[dias_da_demana]]=7,0.5,1))</f>
        <v>domingo</v>
      </c>
      <c r="I583" s="35">
        <f>_xlfn.XLOOKUP(Metas_Diarias[[#This Row],[data]],Feriados[Data],Feriados[Feriado],1)</f>
        <v>1</v>
      </c>
      <c r="J583" s="33" cm="1">
        <f t="array" aca="1" ref="J583" ca="1">SUMPRODUCT(IF((NOT(ISERROR(MATCH(ROW(INDIRECT(DATE(YEAR(B583),MONTH(B583),1)&amp;":"&amp;DATE(YEAR(B583),MONTH(B583)+1,0))),Feriados[Data],0))))=FALSE,
IF(WEEKDAY(ROW(INDIRECT(DATE(YEAR(B583),MONTH(B583),1)&amp;":"&amp;DATE(YEAR(B583),MONTH(B583)+1,0))),2)&lt;=5,1,IF(WEEKDAY(ROW(INDIRECT(DATE(YEAR(B583),MONTH(B583),1)&amp;":"&amp;DATE(YEAR(B583),MONTH(B583)+1,0))),2)=6,0.5,0)),0))</f>
        <v>23.5</v>
      </c>
      <c r="K583" s="22" cm="1">
        <f t="array" ref="K583">_xlfn.XLOOKUP(1,((Metas_Diarias[[#This Row],[tipo_equipe_id]]=Metas[equipe])*(Metas_Diarias[[#This Row],[data]]&gt;Metas[data_inicio])*(Metas_Diarias[[#This Row],[data]]&lt;Metas[data_fim])),Metas[meta_mensal],0)</f>
        <v>160000</v>
      </c>
      <c r="L58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84" spans="2:12" x14ac:dyDescent="0.3">
      <c r="B584" s="34">
        <v>45873</v>
      </c>
      <c r="C584" s="34" t="str">
        <f>TEXT(Metas_Diarias[[#This Row],[data]],"dddd")</f>
        <v>segunda-feira</v>
      </c>
      <c r="D584" s="33">
        <v>1</v>
      </c>
      <c r="E584" s="33">
        <v>1</v>
      </c>
      <c r="F584" s="18"/>
      <c r="G584" s="35">
        <f>WEEKDAY(Metas_Diarias[[#This Row],[data]])</f>
        <v>2</v>
      </c>
      <c r="H584" s="35">
        <f>IF(Metas_Diarias[[#This Row],[dias_da_demana]]=1,"domingo",IF(Metas_Diarias[[#This Row],[dias_da_demana]]=7,0.5,1))</f>
        <v>1</v>
      </c>
      <c r="I584" s="35">
        <f>_xlfn.XLOOKUP(Metas_Diarias[[#This Row],[data]],Feriados[Data],Feriados[Feriado],1)</f>
        <v>1</v>
      </c>
      <c r="J584" s="33" cm="1">
        <f t="array" aca="1" ref="J584" ca="1">SUMPRODUCT(IF((NOT(ISERROR(MATCH(ROW(INDIRECT(DATE(YEAR(B584),MONTH(B584),1)&amp;":"&amp;DATE(YEAR(B584),MONTH(B584)+1,0))),Feriados[Data],0))))=FALSE,
IF(WEEKDAY(ROW(INDIRECT(DATE(YEAR(B584),MONTH(B584),1)&amp;":"&amp;DATE(YEAR(B584),MONTH(B584)+1,0))),2)&lt;=5,1,IF(WEEKDAY(ROW(INDIRECT(DATE(YEAR(B584),MONTH(B584),1)&amp;":"&amp;DATE(YEAR(B584),MONTH(B584)+1,0))),2)=6,0.5,0)),0))</f>
        <v>23.5</v>
      </c>
      <c r="K584" s="22" cm="1">
        <f t="array" ref="K584">_xlfn.XLOOKUP(1,((Metas_Diarias[[#This Row],[tipo_equipe_id]]=Metas[equipe])*(Metas_Diarias[[#This Row],[data]]&gt;Metas[data_inicio])*(Metas_Diarias[[#This Row],[data]]&lt;Metas[data_fim])),Metas[meta_mensal],0)</f>
        <v>160000</v>
      </c>
      <c r="L584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85" spans="2:12" x14ac:dyDescent="0.3">
      <c r="B585" s="34">
        <v>45874</v>
      </c>
      <c r="C585" s="34" t="str">
        <f>TEXT(Metas_Diarias[[#This Row],[data]],"dddd")</f>
        <v>terça-feira</v>
      </c>
      <c r="D585" s="33">
        <v>1</v>
      </c>
      <c r="E585" s="33">
        <v>1</v>
      </c>
      <c r="F585" s="18"/>
      <c r="G585" s="35">
        <f>WEEKDAY(Metas_Diarias[[#This Row],[data]])</f>
        <v>3</v>
      </c>
      <c r="H585" s="35">
        <f>IF(Metas_Diarias[[#This Row],[dias_da_demana]]=1,"domingo",IF(Metas_Diarias[[#This Row],[dias_da_demana]]=7,0.5,1))</f>
        <v>1</v>
      </c>
      <c r="I585" s="35">
        <f>_xlfn.XLOOKUP(Metas_Diarias[[#This Row],[data]],Feriados[Data],Feriados[Feriado],1)</f>
        <v>1</v>
      </c>
      <c r="J585" s="33" cm="1">
        <f t="array" aca="1" ref="J585" ca="1">SUMPRODUCT(IF((NOT(ISERROR(MATCH(ROW(INDIRECT(DATE(YEAR(B585),MONTH(B585),1)&amp;":"&amp;DATE(YEAR(B585),MONTH(B585)+1,0))),Feriados[Data],0))))=FALSE,
IF(WEEKDAY(ROW(INDIRECT(DATE(YEAR(B585),MONTH(B585),1)&amp;":"&amp;DATE(YEAR(B585),MONTH(B585)+1,0))),2)&lt;=5,1,IF(WEEKDAY(ROW(INDIRECT(DATE(YEAR(B585),MONTH(B585),1)&amp;":"&amp;DATE(YEAR(B585),MONTH(B585)+1,0))),2)=6,0.5,0)),0))</f>
        <v>23.5</v>
      </c>
      <c r="K585" s="22" cm="1">
        <f t="array" ref="K585">_xlfn.XLOOKUP(1,((Metas_Diarias[[#This Row],[tipo_equipe_id]]=Metas[equipe])*(Metas_Diarias[[#This Row],[data]]&gt;Metas[data_inicio])*(Metas_Diarias[[#This Row],[data]]&lt;Metas[data_fim])),Metas[meta_mensal],0)</f>
        <v>160000</v>
      </c>
      <c r="L585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86" spans="2:12" x14ac:dyDescent="0.3">
      <c r="B586" s="34">
        <v>45875</v>
      </c>
      <c r="C586" s="34" t="str">
        <f>TEXT(Metas_Diarias[[#This Row],[data]],"dddd")</f>
        <v>quarta-feira</v>
      </c>
      <c r="D586" s="33">
        <v>1</v>
      </c>
      <c r="E586" s="33">
        <v>1</v>
      </c>
      <c r="F586" s="18"/>
      <c r="G586" s="35">
        <f>WEEKDAY(Metas_Diarias[[#This Row],[data]])</f>
        <v>4</v>
      </c>
      <c r="H586" s="35">
        <f>IF(Metas_Diarias[[#This Row],[dias_da_demana]]=1,"domingo",IF(Metas_Diarias[[#This Row],[dias_da_demana]]=7,0.5,1))</f>
        <v>1</v>
      </c>
      <c r="I586" s="35">
        <f>_xlfn.XLOOKUP(Metas_Diarias[[#This Row],[data]],Feriados[Data],Feriados[Feriado],1)</f>
        <v>1</v>
      </c>
      <c r="J586" s="33" cm="1">
        <f t="array" aca="1" ref="J586" ca="1">SUMPRODUCT(IF((NOT(ISERROR(MATCH(ROW(INDIRECT(DATE(YEAR(B586),MONTH(B586),1)&amp;":"&amp;DATE(YEAR(B586),MONTH(B586)+1,0))),Feriados[Data],0))))=FALSE,
IF(WEEKDAY(ROW(INDIRECT(DATE(YEAR(B586),MONTH(B586),1)&amp;":"&amp;DATE(YEAR(B586),MONTH(B586)+1,0))),2)&lt;=5,1,IF(WEEKDAY(ROW(INDIRECT(DATE(YEAR(B586),MONTH(B586),1)&amp;":"&amp;DATE(YEAR(B586),MONTH(B586)+1,0))),2)=6,0.5,0)),0))</f>
        <v>23.5</v>
      </c>
      <c r="K586" s="22" cm="1">
        <f t="array" ref="K586">_xlfn.XLOOKUP(1,((Metas_Diarias[[#This Row],[tipo_equipe_id]]=Metas[equipe])*(Metas_Diarias[[#This Row],[data]]&gt;Metas[data_inicio])*(Metas_Diarias[[#This Row],[data]]&lt;Metas[data_fim])),Metas[meta_mensal],0)</f>
        <v>160000</v>
      </c>
      <c r="L586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87" spans="2:12" x14ac:dyDescent="0.3">
      <c r="B587" s="34">
        <v>45876</v>
      </c>
      <c r="C587" s="34" t="str">
        <f>TEXT(Metas_Diarias[[#This Row],[data]],"dddd")</f>
        <v>quinta-feira</v>
      </c>
      <c r="D587" s="33">
        <v>1</v>
      </c>
      <c r="E587" s="33">
        <v>1</v>
      </c>
      <c r="F587" s="18"/>
      <c r="G587" s="35">
        <f>WEEKDAY(Metas_Diarias[[#This Row],[data]])</f>
        <v>5</v>
      </c>
      <c r="H587" s="35">
        <f>IF(Metas_Diarias[[#This Row],[dias_da_demana]]=1,"domingo",IF(Metas_Diarias[[#This Row],[dias_da_demana]]=7,0.5,1))</f>
        <v>1</v>
      </c>
      <c r="I587" s="35">
        <f>_xlfn.XLOOKUP(Metas_Diarias[[#This Row],[data]],Feriados[Data],Feriados[Feriado],1)</f>
        <v>1</v>
      </c>
      <c r="J587" s="33" cm="1">
        <f t="array" aca="1" ref="J587" ca="1">SUMPRODUCT(IF((NOT(ISERROR(MATCH(ROW(INDIRECT(DATE(YEAR(B587),MONTH(B587),1)&amp;":"&amp;DATE(YEAR(B587),MONTH(B587)+1,0))),Feriados[Data],0))))=FALSE,
IF(WEEKDAY(ROW(INDIRECT(DATE(YEAR(B587),MONTH(B587),1)&amp;":"&amp;DATE(YEAR(B587),MONTH(B587)+1,0))),2)&lt;=5,1,IF(WEEKDAY(ROW(INDIRECT(DATE(YEAR(B587),MONTH(B587),1)&amp;":"&amp;DATE(YEAR(B587),MONTH(B587)+1,0))),2)=6,0.5,0)),0))</f>
        <v>23.5</v>
      </c>
      <c r="K587" s="22" cm="1">
        <f t="array" ref="K587">_xlfn.XLOOKUP(1,((Metas_Diarias[[#This Row],[tipo_equipe_id]]=Metas[equipe])*(Metas_Diarias[[#This Row],[data]]&gt;Metas[data_inicio])*(Metas_Diarias[[#This Row],[data]]&lt;Metas[data_fim])),Metas[meta_mensal],0)</f>
        <v>160000</v>
      </c>
      <c r="L587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88" spans="2:12" x14ac:dyDescent="0.3">
      <c r="B588" s="34">
        <v>45877</v>
      </c>
      <c r="C588" s="34" t="str">
        <f>TEXT(Metas_Diarias[[#This Row],[data]],"dddd")</f>
        <v>sexta-feira</v>
      </c>
      <c r="D588" s="33">
        <v>1</v>
      </c>
      <c r="E588" s="33">
        <v>1</v>
      </c>
      <c r="F588" s="18"/>
      <c r="G588" s="35">
        <f>WEEKDAY(Metas_Diarias[[#This Row],[data]])</f>
        <v>6</v>
      </c>
      <c r="H588" s="35">
        <f>IF(Metas_Diarias[[#This Row],[dias_da_demana]]=1,"domingo",IF(Metas_Diarias[[#This Row],[dias_da_demana]]=7,0.5,1))</f>
        <v>1</v>
      </c>
      <c r="I588" s="35">
        <f>_xlfn.XLOOKUP(Metas_Diarias[[#This Row],[data]],Feriados[Data],Feriados[Feriado],1)</f>
        <v>1</v>
      </c>
      <c r="J588" s="33" cm="1">
        <f t="array" aca="1" ref="J588" ca="1">SUMPRODUCT(IF((NOT(ISERROR(MATCH(ROW(INDIRECT(DATE(YEAR(B588),MONTH(B588),1)&amp;":"&amp;DATE(YEAR(B588),MONTH(B588)+1,0))),Feriados[Data],0))))=FALSE,
IF(WEEKDAY(ROW(INDIRECT(DATE(YEAR(B588),MONTH(B588),1)&amp;":"&amp;DATE(YEAR(B588),MONTH(B588)+1,0))),2)&lt;=5,1,IF(WEEKDAY(ROW(INDIRECT(DATE(YEAR(B588),MONTH(B588),1)&amp;":"&amp;DATE(YEAR(B588),MONTH(B588)+1,0))),2)=6,0.5,0)),0))</f>
        <v>23.5</v>
      </c>
      <c r="K588" s="22" cm="1">
        <f t="array" ref="K588">_xlfn.XLOOKUP(1,((Metas_Diarias[[#This Row],[tipo_equipe_id]]=Metas[equipe])*(Metas_Diarias[[#This Row],[data]]&gt;Metas[data_inicio])*(Metas_Diarias[[#This Row],[data]]&lt;Metas[data_fim])),Metas[meta_mensal],0)</f>
        <v>160000</v>
      </c>
      <c r="L588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89" spans="2:12" x14ac:dyDescent="0.3">
      <c r="B589" s="34">
        <v>45878</v>
      </c>
      <c r="C589" s="34" t="str">
        <f>TEXT(Metas_Diarias[[#This Row],[data]],"dddd")</f>
        <v>sábado</v>
      </c>
      <c r="D589" s="33">
        <v>1</v>
      </c>
      <c r="E589" s="33">
        <v>1</v>
      </c>
      <c r="F589" s="18"/>
      <c r="G589" s="35">
        <f>WEEKDAY(Metas_Diarias[[#This Row],[data]])</f>
        <v>7</v>
      </c>
      <c r="H589" s="35">
        <f>IF(Metas_Diarias[[#This Row],[dias_da_demana]]=1,"domingo",IF(Metas_Diarias[[#This Row],[dias_da_demana]]=7,0.5,1))</f>
        <v>0.5</v>
      </c>
      <c r="I589" s="35">
        <f>_xlfn.XLOOKUP(Metas_Diarias[[#This Row],[data]],Feriados[Data],Feriados[Feriado],1)</f>
        <v>1</v>
      </c>
      <c r="J589" s="33" cm="1">
        <f t="array" aca="1" ref="J589" ca="1">SUMPRODUCT(IF((NOT(ISERROR(MATCH(ROW(INDIRECT(DATE(YEAR(B589),MONTH(B589),1)&amp;":"&amp;DATE(YEAR(B589),MONTH(B589)+1,0))),Feriados[Data],0))))=FALSE,
IF(WEEKDAY(ROW(INDIRECT(DATE(YEAR(B589),MONTH(B589),1)&amp;":"&amp;DATE(YEAR(B589),MONTH(B589)+1,0))),2)&lt;=5,1,IF(WEEKDAY(ROW(INDIRECT(DATE(YEAR(B589),MONTH(B589),1)&amp;":"&amp;DATE(YEAR(B589),MONTH(B589)+1,0))),2)=6,0.5,0)),0))</f>
        <v>23.5</v>
      </c>
      <c r="K589" s="22" cm="1">
        <f t="array" ref="K589">_xlfn.XLOOKUP(1,((Metas_Diarias[[#This Row],[tipo_equipe_id]]=Metas[equipe])*(Metas_Diarias[[#This Row],[data]]&gt;Metas[data_inicio])*(Metas_Diarias[[#This Row],[data]]&lt;Metas[data_fim])),Metas[meta_mensal],0)</f>
        <v>160000</v>
      </c>
      <c r="L589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590" spans="2:12" x14ac:dyDescent="0.3">
      <c r="B590" s="34">
        <v>45879</v>
      </c>
      <c r="C590" s="34" t="str">
        <f>TEXT(Metas_Diarias[[#This Row],[data]],"dddd")</f>
        <v>domingo</v>
      </c>
      <c r="D590" s="33">
        <v>1</v>
      </c>
      <c r="E590" s="33">
        <v>1</v>
      </c>
      <c r="F590" s="18"/>
      <c r="G590" s="35">
        <f>WEEKDAY(Metas_Diarias[[#This Row],[data]])</f>
        <v>1</v>
      </c>
      <c r="H590" s="35" t="str">
        <f>IF(Metas_Diarias[[#This Row],[dias_da_demana]]=1,"domingo",IF(Metas_Diarias[[#This Row],[dias_da_demana]]=7,0.5,1))</f>
        <v>domingo</v>
      </c>
      <c r="I590" s="35">
        <f>_xlfn.XLOOKUP(Metas_Diarias[[#This Row],[data]],Feriados[Data],Feriados[Feriado],1)</f>
        <v>1</v>
      </c>
      <c r="J590" s="33" cm="1">
        <f t="array" aca="1" ref="J590" ca="1">SUMPRODUCT(IF((NOT(ISERROR(MATCH(ROW(INDIRECT(DATE(YEAR(B590),MONTH(B590),1)&amp;":"&amp;DATE(YEAR(B590),MONTH(B590)+1,0))),Feriados[Data],0))))=FALSE,
IF(WEEKDAY(ROW(INDIRECT(DATE(YEAR(B590),MONTH(B590),1)&amp;":"&amp;DATE(YEAR(B590),MONTH(B590)+1,0))),2)&lt;=5,1,IF(WEEKDAY(ROW(INDIRECT(DATE(YEAR(B590),MONTH(B590),1)&amp;":"&amp;DATE(YEAR(B590),MONTH(B590)+1,0))),2)=6,0.5,0)),0))</f>
        <v>23.5</v>
      </c>
      <c r="K590" s="22" cm="1">
        <f t="array" ref="K590">_xlfn.XLOOKUP(1,((Metas_Diarias[[#This Row],[tipo_equipe_id]]=Metas[equipe])*(Metas_Diarias[[#This Row],[data]]&gt;Metas[data_inicio])*(Metas_Diarias[[#This Row],[data]]&lt;Metas[data_fim])),Metas[meta_mensal],0)</f>
        <v>160000</v>
      </c>
      <c r="L59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91" spans="2:12" x14ac:dyDescent="0.3">
      <c r="B591" s="34">
        <v>45880</v>
      </c>
      <c r="C591" s="34" t="str">
        <f>TEXT(Metas_Diarias[[#This Row],[data]],"dddd")</f>
        <v>segunda-feira</v>
      </c>
      <c r="D591" s="33">
        <v>1</v>
      </c>
      <c r="E591" s="33">
        <v>1</v>
      </c>
      <c r="F591" s="18"/>
      <c r="G591" s="35">
        <f>WEEKDAY(Metas_Diarias[[#This Row],[data]])</f>
        <v>2</v>
      </c>
      <c r="H591" s="35">
        <f>IF(Metas_Diarias[[#This Row],[dias_da_demana]]=1,"domingo",IF(Metas_Diarias[[#This Row],[dias_da_demana]]=7,0.5,1))</f>
        <v>1</v>
      </c>
      <c r="I591" s="35">
        <f>_xlfn.XLOOKUP(Metas_Diarias[[#This Row],[data]],Feriados[Data],Feriados[Feriado],1)</f>
        <v>1</v>
      </c>
      <c r="J591" s="33" cm="1">
        <f t="array" aca="1" ref="J591" ca="1">SUMPRODUCT(IF((NOT(ISERROR(MATCH(ROW(INDIRECT(DATE(YEAR(B591),MONTH(B591),1)&amp;":"&amp;DATE(YEAR(B591),MONTH(B591)+1,0))),Feriados[Data],0))))=FALSE,
IF(WEEKDAY(ROW(INDIRECT(DATE(YEAR(B591),MONTH(B591),1)&amp;":"&amp;DATE(YEAR(B591),MONTH(B591)+1,0))),2)&lt;=5,1,IF(WEEKDAY(ROW(INDIRECT(DATE(YEAR(B591),MONTH(B591),1)&amp;":"&amp;DATE(YEAR(B591),MONTH(B591)+1,0))),2)=6,0.5,0)),0))</f>
        <v>23.5</v>
      </c>
      <c r="K591" s="22" cm="1">
        <f t="array" ref="K591">_xlfn.XLOOKUP(1,((Metas_Diarias[[#This Row],[tipo_equipe_id]]=Metas[equipe])*(Metas_Diarias[[#This Row],[data]]&gt;Metas[data_inicio])*(Metas_Diarias[[#This Row],[data]]&lt;Metas[data_fim])),Metas[meta_mensal],0)</f>
        <v>160000</v>
      </c>
      <c r="L591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92" spans="2:12" x14ac:dyDescent="0.3">
      <c r="B592" s="34">
        <v>45881</v>
      </c>
      <c r="C592" s="34" t="str">
        <f>TEXT(Metas_Diarias[[#This Row],[data]],"dddd")</f>
        <v>terça-feira</v>
      </c>
      <c r="D592" s="33">
        <v>1</v>
      </c>
      <c r="E592" s="33">
        <v>1</v>
      </c>
      <c r="F592" s="18"/>
      <c r="G592" s="35">
        <f>WEEKDAY(Metas_Diarias[[#This Row],[data]])</f>
        <v>3</v>
      </c>
      <c r="H592" s="35">
        <f>IF(Metas_Diarias[[#This Row],[dias_da_demana]]=1,"domingo",IF(Metas_Diarias[[#This Row],[dias_da_demana]]=7,0.5,1))</f>
        <v>1</v>
      </c>
      <c r="I592" s="35">
        <f>_xlfn.XLOOKUP(Metas_Diarias[[#This Row],[data]],Feriados[Data],Feriados[Feriado],1)</f>
        <v>1</v>
      </c>
      <c r="J592" s="33" cm="1">
        <f t="array" aca="1" ref="J592" ca="1">SUMPRODUCT(IF((NOT(ISERROR(MATCH(ROW(INDIRECT(DATE(YEAR(B592),MONTH(B592),1)&amp;":"&amp;DATE(YEAR(B592),MONTH(B592)+1,0))),Feriados[Data],0))))=FALSE,
IF(WEEKDAY(ROW(INDIRECT(DATE(YEAR(B592),MONTH(B592),1)&amp;":"&amp;DATE(YEAR(B592),MONTH(B592)+1,0))),2)&lt;=5,1,IF(WEEKDAY(ROW(INDIRECT(DATE(YEAR(B592),MONTH(B592),1)&amp;":"&amp;DATE(YEAR(B592),MONTH(B592)+1,0))),2)=6,0.5,0)),0))</f>
        <v>23.5</v>
      </c>
      <c r="K592" s="22" cm="1">
        <f t="array" ref="K592">_xlfn.XLOOKUP(1,((Metas_Diarias[[#This Row],[tipo_equipe_id]]=Metas[equipe])*(Metas_Diarias[[#This Row],[data]]&gt;Metas[data_inicio])*(Metas_Diarias[[#This Row],[data]]&lt;Metas[data_fim])),Metas[meta_mensal],0)</f>
        <v>160000</v>
      </c>
      <c r="L592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93" spans="2:12" x14ac:dyDescent="0.3">
      <c r="B593" s="34">
        <v>45882</v>
      </c>
      <c r="C593" s="34" t="str">
        <f>TEXT(Metas_Diarias[[#This Row],[data]],"dddd")</f>
        <v>quarta-feira</v>
      </c>
      <c r="D593" s="33">
        <v>1</v>
      </c>
      <c r="E593" s="33">
        <v>1</v>
      </c>
      <c r="F593" s="18"/>
      <c r="G593" s="35">
        <f>WEEKDAY(Metas_Diarias[[#This Row],[data]])</f>
        <v>4</v>
      </c>
      <c r="H593" s="35">
        <f>IF(Metas_Diarias[[#This Row],[dias_da_demana]]=1,"domingo",IF(Metas_Diarias[[#This Row],[dias_da_demana]]=7,0.5,1))</f>
        <v>1</v>
      </c>
      <c r="I593" s="35">
        <f>_xlfn.XLOOKUP(Metas_Diarias[[#This Row],[data]],Feriados[Data],Feriados[Feriado],1)</f>
        <v>1</v>
      </c>
      <c r="J593" s="33" cm="1">
        <f t="array" aca="1" ref="J593" ca="1">SUMPRODUCT(IF((NOT(ISERROR(MATCH(ROW(INDIRECT(DATE(YEAR(B593),MONTH(B593),1)&amp;":"&amp;DATE(YEAR(B593),MONTH(B593)+1,0))),Feriados[Data],0))))=FALSE,
IF(WEEKDAY(ROW(INDIRECT(DATE(YEAR(B593),MONTH(B593),1)&amp;":"&amp;DATE(YEAR(B593),MONTH(B593)+1,0))),2)&lt;=5,1,IF(WEEKDAY(ROW(INDIRECT(DATE(YEAR(B593),MONTH(B593),1)&amp;":"&amp;DATE(YEAR(B593),MONTH(B593)+1,0))),2)=6,0.5,0)),0))</f>
        <v>23.5</v>
      </c>
      <c r="K593" s="22" cm="1">
        <f t="array" ref="K593">_xlfn.XLOOKUP(1,((Metas_Diarias[[#This Row],[tipo_equipe_id]]=Metas[equipe])*(Metas_Diarias[[#This Row],[data]]&gt;Metas[data_inicio])*(Metas_Diarias[[#This Row],[data]]&lt;Metas[data_fim])),Metas[meta_mensal],0)</f>
        <v>160000</v>
      </c>
      <c r="L593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94" spans="2:12" x14ac:dyDescent="0.3">
      <c r="B594" s="34">
        <v>45883</v>
      </c>
      <c r="C594" s="34" t="str">
        <f>TEXT(Metas_Diarias[[#This Row],[data]],"dddd")</f>
        <v>quinta-feira</v>
      </c>
      <c r="D594" s="33">
        <v>1</v>
      </c>
      <c r="E594" s="33">
        <v>1</v>
      </c>
      <c r="F594" s="18"/>
      <c r="G594" s="35">
        <f>WEEKDAY(Metas_Diarias[[#This Row],[data]])</f>
        <v>5</v>
      </c>
      <c r="H594" s="35">
        <f>IF(Metas_Diarias[[#This Row],[dias_da_demana]]=1,"domingo",IF(Metas_Diarias[[#This Row],[dias_da_demana]]=7,0.5,1))</f>
        <v>1</v>
      </c>
      <c r="I594" s="35">
        <f>_xlfn.XLOOKUP(Metas_Diarias[[#This Row],[data]],Feriados[Data],Feriados[Feriado],1)</f>
        <v>1</v>
      </c>
      <c r="J594" s="33" cm="1">
        <f t="array" aca="1" ref="J594" ca="1">SUMPRODUCT(IF((NOT(ISERROR(MATCH(ROW(INDIRECT(DATE(YEAR(B594),MONTH(B594),1)&amp;":"&amp;DATE(YEAR(B594),MONTH(B594)+1,0))),Feriados[Data],0))))=FALSE,
IF(WEEKDAY(ROW(INDIRECT(DATE(YEAR(B594),MONTH(B594),1)&amp;":"&amp;DATE(YEAR(B594),MONTH(B594)+1,0))),2)&lt;=5,1,IF(WEEKDAY(ROW(INDIRECT(DATE(YEAR(B594),MONTH(B594),1)&amp;":"&amp;DATE(YEAR(B594),MONTH(B594)+1,0))),2)=6,0.5,0)),0))</f>
        <v>23.5</v>
      </c>
      <c r="K594" s="22" cm="1">
        <f t="array" ref="K594">_xlfn.XLOOKUP(1,((Metas_Diarias[[#This Row],[tipo_equipe_id]]=Metas[equipe])*(Metas_Diarias[[#This Row],[data]]&gt;Metas[data_inicio])*(Metas_Diarias[[#This Row],[data]]&lt;Metas[data_fim])),Metas[meta_mensal],0)</f>
        <v>160000</v>
      </c>
      <c r="L594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95" spans="2:12" x14ac:dyDescent="0.3">
      <c r="B595" s="34">
        <v>45884</v>
      </c>
      <c r="C595" s="34" t="str">
        <f>TEXT(Metas_Diarias[[#This Row],[data]],"dddd")</f>
        <v>sexta-feira</v>
      </c>
      <c r="D595" s="33">
        <v>1</v>
      </c>
      <c r="E595" s="33">
        <v>1</v>
      </c>
      <c r="F595" s="18"/>
      <c r="G595" s="35">
        <f>WEEKDAY(Metas_Diarias[[#This Row],[data]])</f>
        <v>6</v>
      </c>
      <c r="H595" s="35">
        <f>IF(Metas_Diarias[[#This Row],[dias_da_demana]]=1,"domingo",IF(Metas_Diarias[[#This Row],[dias_da_demana]]=7,0.5,1))</f>
        <v>1</v>
      </c>
      <c r="I595" s="35">
        <f>_xlfn.XLOOKUP(Metas_Diarias[[#This Row],[data]],Feriados[Data],Feriados[Feriado],1)</f>
        <v>1</v>
      </c>
      <c r="J595" s="33" cm="1">
        <f t="array" aca="1" ref="J595" ca="1">SUMPRODUCT(IF((NOT(ISERROR(MATCH(ROW(INDIRECT(DATE(YEAR(B595),MONTH(B595),1)&amp;":"&amp;DATE(YEAR(B595),MONTH(B595)+1,0))),Feriados[Data],0))))=FALSE,
IF(WEEKDAY(ROW(INDIRECT(DATE(YEAR(B595),MONTH(B595),1)&amp;":"&amp;DATE(YEAR(B595),MONTH(B595)+1,0))),2)&lt;=5,1,IF(WEEKDAY(ROW(INDIRECT(DATE(YEAR(B595),MONTH(B595),1)&amp;":"&amp;DATE(YEAR(B595),MONTH(B595)+1,0))),2)=6,0.5,0)),0))</f>
        <v>23.5</v>
      </c>
      <c r="K595" s="22" cm="1">
        <f t="array" ref="K595">_xlfn.XLOOKUP(1,((Metas_Diarias[[#This Row],[tipo_equipe_id]]=Metas[equipe])*(Metas_Diarias[[#This Row],[data]]&gt;Metas[data_inicio])*(Metas_Diarias[[#This Row],[data]]&lt;Metas[data_fim])),Metas[meta_mensal],0)</f>
        <v>160000</v>
      </c>
      <c r="L595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96" spans="2:12" x14ac:dyDescent="0.3">
      <c r="B596" s="34">
        <v>45885</v>
      </c>
      <c r="C596" s="34" t="str">
        <f>TEXT(Metas_Diarias[[#This Row],[data]],"dddd")</f>
        <v>sábado</v>
      </c>
      <c r="D596" s="33">
        <v>1</v>
      </c>
      <c r="E596" s="33">
        <v>1</v>
      </c>
      <c r="F596" s="18"/>
      <c r="G596" s="35">
        <f>WEEKDAY(Metas_Diarias[[#This Row],[data]])</f>
        <v>7</v>
      </c>
      <c r="H596" s="35">
        <f>IF(Metas_Diarias[[#This Row],[dias_da_demana]]=1,"domingo",IF(Metas_Diarias[[#This Row],[dias_da_demana]]=7,0.5,1))</f>
        <v>0.5</v>
      </c>
      <c r="I596" s="35">
        <f>_xlfn.XLOOKUP(Metas_Diarias[[#This Row],[data]],Feriados[Data],Feriados[Feriado],1)</f>
        <v>1</v>
      </c>
      <c r="J596" s="33" cm="1">
        <f t="array" aca="1" ref="J596" ca="1">SUMPRODUCT(IF((NOT(ISERROR(MATCH(ROW(INDIRECT(DATE(YEAR(B596),MONTH(B596),1)&amp;":"&amp;DATE(YEAR(B596),MONTH(B596)+1,0))),Feriados[Data],0))))=FALSE,
IF(WEEKDAY(ROW(INDIRECT(DATE(YEAR(B596),MONTH(B596),1)&amp;":"&amp;DATE(YEAR(B596),MONTH(B596)+1,0))),2)&lt;=5,1,IF(WEEKDAY(ROW(INDIRECT(DATE(YEAR(B596),MONTH(B596),1)&amp;":"&amp;DATE(YEAR(B596),MONTH(B596)+1,0))),2)=6,0.5,0)),0))</f>
        <v>23.5</v>
      </c>
      <c r="K596" s="22" cm="1">
        <f t="array" ref="K596">_xlfn.XLOOKUP(1,((Metas_Diarias[[#This Row],[tipo_equipe_id]]=Metas[equipe])*(Metas_Diarias[[#This Row],[data]]&gt;Metas[data_inicio])*(Metas_Diarias[[#This Row],[data]]&lt;Metas[data_fim])),Metas[meta_mensal],0)</f>
        <v>160000</v>
      </c>
      <c r="L596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597" spans="2:12" x14ac:dyDescent="0.3">
      <c r="B597" s="34">
        <v>45886</v>
      </c>
      <c r="C597" s="34" t="str">
        <f>TEXT(Metas_Diarias[[#This Row],[data]],"dddd")</f>
        <v>domingo</v>
      </c>
      <c r="D597" s="33">
        <v>1</v>
      </c>
      <c r="E597" s="33">
        <v>1</v>
      </c>
      <c r="F597" s="18"/>
      <c r="G597" s="35">
        <f>WEEKDAY(Metas_Diarias[[#This Row],[data]])</f>
        <v>1</v>
      </c>
      <c r="H597" s="35" t="str">
        <f>IF(Metas_Diarias[[#This Row],[dias_da_demana]]=1,"domingo",IF(Metas_Diarias[[#This Row],[dias_da_demana]]=7,0.5,1))</f>
        <v>domingo</v>
      </c>
      <c r="I597" s="35">
        <f>_xlfn.XLOOKUP(Metas_Diarias[[#This Row],[data]],Feriados[Data],Feriados[Feriado],1)</f>
        <v>1</v>
      </c>
      <c r="J597" s="33" cm="1">
        <f t="array" aca="1" ref="J597" ca="1">SUMPRODUCT(IF((NOT(ISERROR(MATCH(ROW(INDIRECT(DATE(YEAR(B597),MONTH(B597),1)&amp;":"&amp;DATE(YEAR(B597),MONTH(B597)+1,0))),Feriados[Data],0))))=FALSE,
IF(WEEKDAY(ROW(INDIRECT(DATE(YEAR(B597),MONTH(B597),1)&amp;":"&amp;DATE(YEAR(B597),MONTH(B597)+1,0))),2)&lt;=5,1,IF(WEEKDAY(ROW(INDIRECT(DATE(YEAR(B597),MONTH(B597),1)&amp;":"&amp;DATE(YEAR(B597),MONTH(B597)+1,0))),2)=6,0.5,0)),0))</f>
        <v>23.5</v>
      </c>
      <c r="K597" s="22" cm="1">
        <f t="array" ref="K597">_xlfn.XLOOKUP(1,((Metas_Diarias[[#This Row],[tipo_equipe_id]]=Metas[equipe])*(Metas_Diarias[[#This Row],[data]]&gt;Metas[data_inicio])*(Metas_Diarias[[#This Row],[data]]&lt;Metas[data_fim])),Metas[meta_mensal],0)</f>
        <v>160000</v>
      </c>
      <c r="L59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598" spans="2:12" x14ac:dyDescent="0.3">
      <c r="B598" s="34">
        <v>45887</v>
      </c>
      <c r="C598" s="34" t="str">
        <f>TEXT(Metas_Diarias[[#This Row],[data]],"dddd")</f>
        <v>segunda-feira</v>
      </c>
      <c r="D598" s="33">
        <v>1</v>
      </c>
      <c r="E598" s="33">
        <v>1</v>
      </c>
      <c r="F598" s="18"/>
      <c r="G598" s="35">
        <f>WEEKDAY(Metas_Diarias[[#This Row],[data]])</f>
        <v>2</v>
      </c>
      <c r="H598" s="35">
        <f>IF(Metas_Diarias[[#This Row],[dias_da_demana]]=1,"domingo",IF(Metas_Diarias[[#This Row],[dias_da_demana]]=7,0.5,1))</f>
        <v>1</v>
      </c>
      <c r="I598" s="35">
        <f>_xlfn.XLOOKUP(Metas_Diarias[[#This Row],[data]],Feriados[Data],Feriados[Feriado],1)</f>
        <v>1</v>
      </c>
      <c r="J598" s="33" cm="1">
        <f t="array" aca="1" ref="J598" ca="1">SUMPRODUCT(IF((NOT(ISERROR(MATCH(ROW(INDIRECT(DATE(YEAR(B598),MONTH(B598),1)&amp;":"&amp;DATE(YEAR(B598),MONTH(B598)+1,0))),Feriados[Data],0))))=FALSE,
IF(WEEKDAY(ROW(INDIRECT(DATE(YEAR(B598),MONTH(B598),1)&amp;":"&amp;DATE(YEAR(B598),MONTH(B598)+1,0))),2)&lt;=5,1,IF(WEEKDAY(ROW(INDIRECT(DATE(YEAR(B598),MONTH(B598),1)&amp;":"&amp;DATE(YEAR(B598),MONTH(B598)+1,0))),2)=6,0.5,0)),0))</f>
        <v>23.5</v>
      </c>
      <c r="K598" s="22" cm="1">
        <f t="array" ref="K598">_xlfn.XLOOKUP(1,((Metas_Diarias[[#This Row],[tipo_equipe_id]]=Metas[equipe])*(Metas_Diarias[[#This Row],[data]]&gt;Metas[data_inicio])*(Metas_Diarias[[#This Row],[data]]&lt;Metas[data_fim])),Metas[meta_mensal],0)</f>
        <v>160000</v>
      </c>
      <c r="L598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599" spans="2:12" x14ac:dyDescent="0.3">
      <c r="B599" s="34">
        <v>45888</v>
      </c>
      <c r="C599" s="34" t="str">
        <f>TEXT(Metas_Diarias[[#This Row],[data]],"dddd")</f>
        <v>terça-feira</v>
      </c>
      <c r="D599" s="33">
        <v>1</v>
      </c>
      <c r="E599" s="33">
        <v>1</v>
      </c>
      <c r="F599" s="18"/>
      <c r="G599" s="35">
        <f>WEEKDAY(Metas_Diarias[[#This Row],[data]])</f>
        <v>3</v>
      </c>
      <c r="H599" s="35">
        <f>IF(Metas_Diarias[[#This Row],[dias_da_demana]]=1,"domingo",IF(Metas_Diarias[[#This Row],[dias_da_demana]]=7,0.5,1))</f>
        <v>1</v>
      </c>
      <c r="I599" s="35">
        <f>_xlfn.XLOOKUP(Metas_Diarias[[#This Row],[data]],Feriados[Data],Feriados[Feriado],1)</f>
        <v>1</v>
      </c>
      <c r="J599" s="33" cm="1">
        <f t="array" aca="1" ref="J599" ca="1">SUMPRODUCT(IF((NOT(ISERROR(MATCH(ROW(INDIRECT(DATE(YEAR(B599),MONTH(B599),1)&amp;":"&amp;DATE(YEAR(B599),MONTH(B599)+1,0))),Feriados[Data],0))))=FALSE,
IF(WEEKDAY(ROW(INDIRECT(DATE(YEAR(B599),MONTH(B599),1)&amp;":"&amp;DATE(YEAR(B599),MONTH(B599)+1,0))),2)&lt;=5,1,IF(WEEKDAY(ROW(INDIRECT(DATE(YEAR(B599),MONTH(B599),1)&amp;":"&amp;DATE(YEAR(B599),MONTH(B599)+1,0))),2)=6,0.5,0)),0))</f>
        <v>23.5</v>
      </c>
      <c r="K599" s="22" cm="1">
        <f t="array" ref="K599">_xlfn.XLOOKUP(1,((Metas_Diarias[[#This Row],[tipo_equipe_id]]=Metas[equipe])*(Metas_Diarias[[#This Row],[data]]&gt;Metas[data_inicio])*(Metas_Diarias[[#This Row],[data]]&lt;Metas[data_fim])),Metas[meta_mensal],0)</f>
        <v>160000</v>
      </c>
      <c r="L599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00" spans="2:12" x14ac:dyDescent="0.3">
      <c r="B600" s="34">
        <v>45889</v>
      </c>
      <c r="C600" s="34" t="str">
        <f>TEXT(Metas_Diarias[[#This Row],[data]],"dddd")</f>
        <v>quarta-feira</v>
      </c>
      <c r="D600" s="33">
        <v>1</v>
      </c>
      <c r="E600" s="33">
        <v>1</v>
      </c>
      <c r="F600" s="18"/>
      <c r="G600" s="35">
        <f>WEEKDAY(Metas_Diarias[[#This Row],[data]])</f>
        <v>4</v>
      </c>
      <c r="H600" s="35">
        <f>IF(Metas_Diarias[[#This Row],[dias_da_demana]]=1,"domingo",IF(Metas_Diarias[[#This Row],[dias_da_demana]]=7,0.5,1))</f>
        <v>1</v>
      </c>
      <c r="I600" s="35">
        <f>_xlfn.XLOOKUP(Metas_Diarias[[#This Row],[data]],Feriados[Data],Feriados[Feriado],1)</f>
        <v>1</v>
      </c>
      <c r="J600" s="33" cm="1">
        <f t="array" aca="1" ref="J600" ca="1">SUMPRODUCT(IF((NOT(ISERROR(MATCH(ROW(INDIRECT(DATE(YEAR(B600),MONTH(B600),1)&amp;":"&amp;DATE(YEAR(B600),MONTH(B600)+1,0))),Feriados[Data],0))))=FALSE,
IF(WEEKDAY(ROW(INDIRECT(DATE(YEAR(B600),MONTH(B600),1)&amp;":"&amp;DATE(YEAR(B600),MONTH(B600)+1,0))),2)&lt;=5,1,IF(WEEKDAY(ROW(INDIRECT(DATE(YEAR(B600),MONTH(B600),1)&amp;":"&amp;DATE(YEAR(B600),MONTH(B600)+1,0))),2)=6,0.5,0)),0))</f>
        <v>23.5</v>
      </c>
      <c r="K600" s="22" cm="1">
        <f t="array" ref="K600">_xlfn.XLOOKUP(1,((Metas_Diarias[[#This Row],[tipo_equipe_id]]=Metas[equipe])*(Metas_Diarias[[#This Row],[data]]&gt;Metas[data_inicio])*(Metas_Diarias[[#This Row],[data]]&lt;Metas[data_fim])),Metas[meta_mensal],0)</f>
        <v>160000</v>
      </c>
      <c r="L600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01" spans="2:12" x14ac:dyDescent="0.3">
      <c r="B601" s="34">
        <v>45890</v>
      </c>
      <c r="C601" s="34" t="str">
        <f>TEXT(Metas_Diarias[[#This Row],[data]],"dddd")</f>
        <v>quinta-feira</v>
      </c>
      <c r="D601" s="33">
        <v>1</v>
      </c>
      <c r="E601" s="33">
        <v>1</v>
      </c>
      <c r="F601" s="18"/>
      <c r="G601" s="35">
        <f>WEEKDAY(Metas_Diarias[[#This Row],[data]])</f>
        <v>5</v>
      </c>
      <c r="H601" s="35">
        <f>IF(Metas_Diarias[[#This Row],[dias_da_demana]]=1,"domingo",IF(Metas_Diarias[[#This Row],[dias_da_demana]]=7,0.5,1))</f>
        <v>1</v>
      </c>
      <c r="I601" s="35">
        <f>_xlfn.XLOOKUP(Metas_Diarias[[#This Row],[data]],Feriados[Data],Feriados[Feriado],1)</f>
        <v>1</v>
      </c>
      <c r="J601" s="33" cm="1">
        <f t="array" aca="1" ref="J601" ca="1">SUMPRODUCT(IF((NOT(ISERROR(MATCH(ROW(INDIRECT(DATE(YEAR(B601),MONTH(B601),1)&amp;":"&amp;DATE(YEAR(B601),MONTH(B601)+1,0))),Feriados[Data],0))))=FALSE,
IF(WEEKDAY(ROW(INDIRECT(DATE(YEAR(B601),MONTH(B601),1)&amp;":"&amp;DATE(YEAR(B601),MONTH(B601)+1,0))),2)&lt;=5,1,IF(WEEKDAY(ROW(INDIRECT(DATE(YEAR(B601),MONTH(B601),1)&amp;":"&amp;DATE(YEAR(B601),MONTH(B601)+1,0))),2)=6,0.5,0)),0))</f>
        <v>23.5</v>
      </c>
      <c r="K601" s="22" cm="1">
        <f t="array" ref="K601">_xlfn.XLOOKUP(1,((Metas_Diarias[[#This Row],[tipo_equipe_id]]=Metas[equipe])*(Metas_Diarias[[#This Row],[data]]&gt;Metas[data_inicio])*(Metas_Diarias[[#This Row],[data]]&lt;Metas[data_fim])),Metas[meta_mensal],0)</f>
        <v>160000</v>
      </c>
      <c r="L601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02" spans="2:12" x14ac:dyDescent="0.3">
      <c r="B602" s="34">
        <v>45891</v>
      </c>
      <c r="C602" s="34" t="str">
        <f>TEXT(Metas_Diarias[[#This Row],[data]],"dddd")</f>
        <v>sexta-feira</v>
      </c>
      <c r="D602" s="33">
        <v>1</v>
      </c>
      <c r="E602" s="33">
        <v>1</v>
      </c>
      <c r="F602" s="18"/>
      <c r="G602" s="35">
        <f>WEEKDAY(Metas_Diarias[[#This Row],[data]])</f>
        <v>6</v>
      </c>
      <c r="H602" s="35">
        <f>IF(Metas_Diarias[[#This Row],[dias_da_demana]]=1,"domingo",IF(Metas_Diarias[[#This Row],[dias_da_demana]]=7,0.5,1))</f>
        <v>1</v>
      </c>
      <c r="I602" s="35">
        <f>_xlfn.XLOOKUP(Metas_Diarias[[#This Row],[data]],Feriados[Data],Feriados[Feriado],1)</f>
        <v>1</v>
      </c>
      <c r="J602" s="33" cm="1">
        <f t="array" aca="1" ref="J602" ca="1">SUMPRODUCT(IF((NOT(ISERROR(MATCH(ROW(INDIRECT(DATE(YEAR(B602),MONTH(B602),1)&amp;":"&amp;DATE(YEAR(B602),MONTH(B602)+1,0))),Feriados[Data],0))))=FALSE,
IF(WEEKDAY(ROW(INDIRECT(DATE(YEAR(B602),MONTH(B602),1)&amp;":"&amp;DATE(YEAR(B602),MONTH(B602)+1,0))),2)&lt;=5,1,IF(WEEKDAY(ROW(INDIRECT(DATE(YEAR(B602),MONTH(B602),1)&amp;":"&amp;DATE(YEAR(B602),MONTH(B602)+1,0))),2)=6,0.5,0)),0))</f>
        <v>23.5</v>
      </c>
      <c r="K602" s="22" cm="1">
        <f t="array" ref="K602">_xlfn.XLOOKUP(1,((Metas_Diarias[[#This Row],[tipo_equipe_id]]=Metas[equipe])*(Metas_Diarias[[#This Row],[data]]&gt;Metas[data_inicio])*(Metas_Diarias[[#This Row],[data]]&lt;Metas[data_fim])),Metas[meta_mensal],0)</f>
        <v>160000</v>
      </c>
      <c r="L602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03" spans="2:12" x14ac:dyDescent="0.3">
      <c r="B603" s="34">
        <v>45892</v>
      </c>
      <c r="C603" s="34" t="str">
        <f>TEXT(Metas_Diarias[[#This Row],[data]],"dddd")</f>
        <v>sábado</v>
      </c>
      <c r="D603" s="33">
        <v>1</v>
      </c>
      <c r="E603" s="33">
        <v>1</v>
      </c>
      <c r="F603" s="18"/>
      <c r="G603" s="35">
        <f>WEEKDAY(Metas_Diarias[[#This Row],[data]])</f>
        <v>7</v>
      </c>
      <c r="H603" s="35">
        <f>IF(Metas_Diarias[[#This Row],[dias_da_demana]]=1,"domingo",IF(Metas_Diarias[[#This Row],[dias_da_demana]]=7,0.5,1))</f>
        <v>0.5</v>
      </c>
      <c r="I603" s="35">
        <f>_xlfn.XLOOKUP(Metas_Diarias[[#This Row],[data]],Feriados[Data],Feriados[Feriado],1)</f>
        <v>1</v>
      </c>
      <c r="J603" s="33" cm="1">
        <f t="array" aca="1" ref="J603" ca="1">SUMPRODUCT(IF((NOT(ISERROR(MATCH(ROW(INDIRECT(DATE(YEAR(B603),MONTH(B603),1)&amp;":"&amp;DATE(YEAR(B603),MONTH(B603)+1,0))),Feriados[Data],0))))=FALSE,
IF(WEEKDAY(ROW(INDIRECT(DATE(YEAR(B603),MONTH(B603),1)&amp;":"&amp;DATE(YEAR(B603),MONTH(B603)+1,0))),2)&lt;=5,1,IF(WEEKDAY(ROW(INDIRECT(DATE(YEAR(B603),MONTH(B603),1)&amp;":"&amp;DATE(YEAR(B603),MONTH(B603)+1,0))),2)=6,0.5,0)),0))</f>
        <v>23.5</v>
      </c>
      <c r="K603" s="22" cm="1">
        <f t="array" ref="K603">_xlfn.XLOOKUP(1,((Metas_Diarias[[#This Row],[tipo_equipe_id]]=Metas[equipe])*(Metas_Diarias[[#This Row],[data]]&gt;Metas[data_inicio])*(Metas_Diarias[[#This Row],[data]]&lt;Metas[data_fim])),Metas[meta_mensal],0)</f>
        <v>160000</v>
      </c>
      <c r="L603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604" spans="2:12" x14ac:dyDescent="0.3">
      <c r="B604" s="34">
        <v>45893</v>
      </c>
      <c r="C604" s="34" t="str">
        <f>TEXT(Metas_Diarias[[#This Row],[data]],"dddd")</f>
        <v>domingo</v>
      </c>
      <c r="D604" s="33">
        <v>1</v>
      </c>
      <c r="E604" s="33">
        <v>1</v>
      </c>
      <c r="F604" s="18"/>
      <c r="G604" s="35">
        <f>WEEKDAY(Metas_Diarias[[#This Row],[data]])</f>
        <v>1</v>
      </c>
      <c r="H604" s="35" t="str">
        <f>IF(Metas_Diarias[[#This Row],[dias_da_demana]]=1,"domingo",IF(Metas_Diarias[[#This Row],[dias_da_demana]]=7,0.5,1))</f>
        <v>domingo</v>
      </c>
      <c r="I604" s="35">
        <f>_xlfn.XLOOKUP(Metas_Diarias[[#This Row],[data]],Feriados[Data],Feriados[Feriado],1)</f>
        <v>1</v>
      </c>
      <c r="J604" s="33" cm="1">
        <f t="array" aca="1" ref="J604" ca="1">SUMPRODUCT(IF((NOT(ISERROR(MATCH(ROW(INDIRECT(DATE(YEAR(B604),MONTH(B604),1)&amp;":"&amp;DATE(YEAR(B604),MONTH(B604)+1,0))),Feriados[Data],0))))=FALSE,
IF(WEEKDAY(ROW(INDIRECT(DATE(YEAR(B604),MONTH(B604),1)&amp;":"&amp;DATE(YEAR(B604),MONTH(B604)+1,0))),2)&lt;=5,1,IF(WEEKDAY(ROW(INDIRECT(DATE(YEAR(B604),MONTH(B604),1)&amp;":"&amp;DATE(YEAR(B604),MONTH(B604)+1,0))),2)=6,0.5,0)),0))</f>
        <v>23.5</v>
      </c>
      <c r="K604" s="22" cm="1">
        <f t="array" ref="K604">_xlfn.XLOOKUP(1,((Metas_Diarias[[#This Row],[tipo_equipe_id]]=Metas[equipe])*(Metas_Diarias[[#This Row],[data]]&gt;Metas[data_inicio])*(Metas_Diarias[[#This Row],[data]]&lt;Metas[data_fim])),Metas[meta_mensal],0)</f>
        <v>160000</v>
      </c>
      <c r="L60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05" spans="2:12" x14ac:dyDescent="0.3">
      <c r="B605" s="34">
        <v>45894</v>
      </c>
      <c r="C605" s="34" t="str">
        <f>TEXT(Metas_Diarias[[#This Row],[data]],"dddd")</f>
        <v>segunda-feira</v>
      </c>
      <c r="D605" s="33">
        <v>1</v>
      </c>
      <c r="E605" s="33">
        <v>1</v>
      </c>
      <c r="F605" s="18"/>
      <c r="G605" s="35">
        <f>WEEKDAY(Metas_Diarias[[#This Row],[data]])</f>
        <v>2</v>
      </c>
      <c r="H605" s="35">
        <f>IF(Metas_Diarias[[#This Row],[dias_da_demana]]=1,"domingo",IF(Metas_Diarias[[#This Row],[dias_da_demana]]=7,0.5,1))</f>
        <v>1</v>
      </c>
      <c r="I605" s="35">
        <f>_xlfn.XLOOKUP(Metas_Diarias[[#This Row],[data]],Feriados[Data],Feriados[Feriado],1)</f>
        <v>1</v>
      </c>
      <c r="J605" s="33" cm="1">
        <f t="array" aca="1" ref="J605" ca="1">SUMPRODUCT(IF((NOT(ISERROR(MATCH(ROW(INDIRECT(DATE(YEAR(B605),MONTH(B605),1)&amp;":"&amp;DATE(YEAR(B605),MONTH(B605)+1,0))),Feriados[Data],0))))=FALSE,
IF(WEEKDAY(ROW(INDIRECT(DATE(YEAR(B605),MONTH(B605),1)&amp;":"&amp;DATE(YEAR(B605),MONTH(B605)+1,0))),2)&lt;=5,1,IF(WEEKDAY(ROW(INDIRECT(DATE(YEAR(B605),MONTH(B605),1)&amp;":"&amp;DATE(YEAR(B605),MONTH(B605)+1,0))),2)=6,0.5,0)),0))</f>
        <v>23.5</v>
      </c>
      <c r="K605" s="22" cm="1">
        <f t="array" ref="K605">_xlfn.XLOOKUP(1,((Metas_Diarias[[#This Row],[tipo_equipe_id]]=Metas[equipe])*(Metas_Diarias[[#This Row],[data]]&gt;Metas[data_inicio])*(Metas_Diarias[[#This Row],[data]]&lt;Metas[data_fim])),Metas[meta_mensal],0)</f>
        <v>160000</v>
      </c>
      <c r="L605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06" spans="2:12" x14ac:dyDescent="0.3">
      <c r="B606" s="34">
        <v>45895</v>
      </c>
      <c r="C606" s="34" t="str">
        <f>TEXT(Metas_Diarias[[#This Row],[data]],"dddd")</f>
        <v>terça-feira</v>
      </c>
      <c r="D606" s="33">
        <v>1</v>
      </c>
      <c r="E606" s="33">
        <v>1</v>
      </c>
      <c r="F606" s="18"/>
      <c r="G606" s="35">
        <f>WEEKDAY(Metas_Diarias[[#This Row],[data]])</f>
        <v>3</v>
      </c>
      <c r="H606" s="35">
        <f>IF(Metas_Diarias[[#This Row],[dias_da_demana]]=1,"domingo",IF(Metas_Diarias[[#This Row],[dias_da_demana]]=7,0.5,1))</f>
        <v>1</v>
      </c>
      <c r="I606" s="35">
        <f>_xlfn.XLOOKUP(Metas_Diarias[[#This Row],[data]],Feriados[Data],Feriados[Feriado],1)</f>
        <v>1</v>
      </c>
      <c r="J606" s="33" cm="1">
        <f t="array" aca="1" ref="J606" ca="1">SUMPRODUCT(IF((NOT(ISERROR(MATCH(ROW(INDIRECT(DATE(YEAR(B606),MONTH(B606),1)&amp;":"&amp;DATE(YEAR(B606),MONTH(B606)+1,0))),Feriados[Data],0))))=FALSE,
IF(WEEKDAY(ROW(INDIRECT(DATE(YEAR(B606),MONTH(B606),1)&amp;":"&amp;DATE(YEAR(B606),MONTH(B606)+1,0))),2)&lt;=5,1,IF(WEEKDAY(ROW(INDIRECT(DATE(YEAR(B606),MONTH(B606),1)&amp;":"&amp;DATE(YEAR(B606),MONTH(B606)+1,0))),2)=6,0.5,0)),0))</f>
        <v>23.5</v>
      </c>
      <c r="K606" s="22" cm="1">
        <f t="array" ref="K606">_xlfn.XLOOKUP(1,((Metas_Diarias[[#This Row],[tipo_equipe_id]]=Metas[equipe])*(Metas_Diarias[[#This Row],[data]]&gt;Metas[data_inicio])*(Metas_Diarias[[#This Row],[data]]&lt;Metas[data_fim])),Metas[meta_mensal],0)</f>
        <v>160000</v>
      </c>
      <c r="L606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07" spans="2:12" x14ac:dyDescent="0.3">
      <c r="B607" s="34">
        <v>45896</v>
      </c>
      <c r="C607" s="34" t="str">
        <f>TEXT(Metas_Diarias[[#This Row],[data]],"dddd")</f>
        <v>quarta-feira</v>
      </c>
      <c r="D607" s="33">
        <v>1</v>
      </c>
      <c r="E607" s="33">
        <v>1</v>
      </c>
      <c r="F607" s="18"/>
      <c r="G607" s="35">
        <f>WEEKDAY(Metas_Diarias[[#This Row],[data]])</f>
        <v>4</v>
      </c>
      <c r="H607" s="35">
        <f>IF(Metas_Diarias[[#This Row],[dias_da_demana]]=1,"domingo",IF(Metas_Diarias[[#This Row],[dias_da_demana]]=7,0.5,1))</f>
        <v>1</v>
      </c>
      <c r="I607" s="35">
        <f>_xlfn.XLOOKUP(Metas_Diarias[[#This Row],[data]],Feriados[Data],Feriados[Feriado],1)</f>
        <v>1</v>
      </c>
      <c r="J607" s="33" cm="1">
        <f t="array" aca="1" ref="J607" ca="1">SUMPRODUCT(IF((NOT(ISERROR(MATCH(ROW(INDIRECT(DATE(YEAR(B607),MONTH(B607),1)&amp;":"&amp;DATE(YEAR(B607),MONTH(B607)+1,0))),Feriados[Data],0))))=FALSE,
IF(WEEKDAY(ROW(INDIRECT(DATE(YEAR(B607),MONTH(B607),1)&amp;":"&amp;DATE(YEAR(B607),MONTH(B607)+1,0))),2)&lt;=5,1,IF(WEEKDAY(ROW(INDIRECT(DATE(YEAR(B607),MONTH(B607),1)&amp;":"&amp;DATE(YEAR(B607),MONTH(B607)+1,0))),2)=6,0.5,0)),0))</f>
        <v>23.5</v>
      </c>
      <c r="K607" s="22" cm="1">
        <f t="array" ref="K607">_xlfn.XLOOKUP(1,((Metas_Diarias[[#This Row],[tipo_equipe_id]]=Metas[equipe])*(Metas_Diarias[[#This Row],[data]]&gt;Metas[data_inicio])*(Metas_Diarias[[#This Row],[data]]&lt;Metas[data_fim])),Metas[meta_mensal],0)</f>
        <v>160000</v>
      </c>
      <c r="L607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08" spans="2:12" x14ac:dyDescent="0.3">
      <c r="B608" s="34">
        <v>45897</v>
      </c>
      <c r="C608" s="34" t="str">
        <f>TEXT(Metas_Diarias[[#This Row],[data]],"dddd")</f>
        <v>quinta-feira</v>
      </c>
      <c r="D608" s="33">
        <v>1</v>
      </c>
      <c r="E608" s="33">
        <v>1</v>
      </c>
      <c r="F608" s="18"/>
      <c r="G608" s="35">
        <f>WEEKDAY(Metas_Diarias[[#This Row],[data]])</f>
        <v>5</v>
      </c>
      <c r="H608" s="35">
        <f>IF(Metas_Diarias[[#This Row],[dias_da_demana]]=1,"domingo",IF(Metas_Diarias[[#This Row],[dias_da_demana]]=7,0.5,1))</f>
        <v>1</v>
      </c>
      <c r="I608" s="35">
        <f>_xlfn.XLOOKUP(Metas_Diarias[[#This Row],[data]],Feriados[Data],Feriados[Feriado],1)</f>
        <v>1</v>
      </c>
      <c r="J608" s="33" cm="1">
        <f t="array" aca="1" ref="J608" ca="1">SUMPRODUCT(IF((NOT(ISERROR(MATCH(ROW(INDIRECT(DATE(YEAR(B608),MONTH(B608),1)&amp;":"&amp;DATE(YEAR(B608),MONTH(B608)+1,0))),Feriados[Data],0))))=FALSE,
IF(WEEKDAY(ROW(INDIRECT(DATE(YEAR(B608),MONTH(B608),1)&amp;":"&amp;DATE(YEAR(B608),MONTH(B608)+1,0))),2)&lt;=5,1,IF(WEEKDAY(ROW(INDIRECT(DATE(YEAR(B608),MONTH(B608),1)&amp;":"&amp;DATE(YEAR(B608),MONTH(B608)+1,0))),2)=6,0.5,0)),0))</f>
        <v>23.5</v>
      </c>
      <c r="K608" s="22" cm="1">
        <f t="array" ref="K608">_xlfn.XLOOKUP(1,((Metas_Diarias[[#This Row],[tipo_equipe_id]]=Metas[equipe])*(Metas_Diarias[[#This Row],[data]]&gt;Metas[data_inicio])*(Metas_Diarias[[#This Row],[data]]&lt;Metas[data_fim])),Metas[meta_mensal],0)</f>
        <v>160000</v>
      </c>
      <c r="L608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09" spans="2:12" x14ac:dyDescent="0.3">
      <c r="B609" s="34">
        <v>45898</v>
      </c>
      <c r="C609" s="34" t="str">
        <f>TEXT(Metas_Diarias[[#This Row],[data]],"dddd")</f>
        <v>sexta-feira</v>
      </c>
      <c r="D609" s="33">
        <v>1</v>
      </c>
      <c r="E609" s="33">
        <v>1</v>
      </c>
      <c r="F609" s="18"/>
      <c r="G609" s="35">
        <f>WEEKDAY(Metas_Diarias[[#This Row],[data]])</f>
        <v>6</v>
      </c>
      <c r="H609" s="35">
        <f>IF(Metas_Diarias[[#This Row],[dias_da_demana]]=1,"domingo",IF(Metas_Diarias[[#This Row],[dias_da_demana]]=7,0.5,1))</f>
        <v>1</v>
      </c>
      <c r="I609" s="35">
        <f>_xlfn.XLOOKUP(Metas_Diarias[[#This Row],[data]],Feriados[Data],Feriados[Feriado],1)</f>
        <v>1</v>
      </c>
      <c r="J609" s="33" cm="1">
        <f t="array" aca="1" ref="J609" ca="1">SUMPRODUCT(IF((NOT(ISERROR(MATCH(ROW(INDIRECT(DATE(YEAR(B609),MONTH(B609),1)&amp;":"&amp;DATE(YEAR(B609),MONTH(B609)+1,0))),Feriados[Data],0))))=FALSE,
IF(WEEKDAY(ROW(INDIRECT(DATE(YEAR(B609),MONTH(B609),1)&amp;":"&amp;DATE(YEAR(B609),MONTH(B609)+1,0))),2)&lt;=5,1,IF(WEEKDAY(ROW(INDIRECT(DATE(YEAR(B609),MONTH(B609),1)&amp;":"&amp;DATE(YEAR(B609),MONTH(B609)+1,0))),2)=6,0.5,0)),0))</f>
        <v>23.5</v>
      </c>
      <c r="K609" s="22" cm="1">
        <f t="array" ref="K609">_xlfn.XLOOKUP(1,((Metas_Diarias[[#This Row],[tipo_equipe_id]]=Metas[equipe])*(Metas_Diarias[[#This Row],[data]]&gt;Metas[data_inicio])*(Metas_Diarias[[#This Row],[data]]&lt;Metas[data_fim])),Metas[meta_mensal],0)</f>
        <v>160000</v>
      </c>
      <c r="L609" s="24">
        <f ca="1">Metas_Diarias[[#This Row],[meta_mensal]]*IF(Metas_Diarias[[#This Row],[semana]]="domingo",0,Metas_Diarias[[#This Row],[semana]])*IF(Metas_Diarias[[#This Row],[feriado]]&lt;&gt;1,0,1)/Metas_Diarias[[#This Row],[dias_úteis_Mês]]</f>
        <v>6808.510638297872</v>
      </c>
    </row>
    <row r="610" spans="2:12" x14ac:dyDescent="0.3">
      <c r="B610" s="34">
        <v>45899</v>
      </c>
      <c r="C610" s="34" t="str">
        <f>TEXT(Metas_Diarias[[#This Row],[data]],"dddd")</f>
        <v>sábado</v>
      </c>
      <c r="D610" s="33">
        <v>1</v>
      </c>
      <c r="E610" s="33">
        <v>1</v>
      </c>
      <c r="F610" s="18"/>
      <c r="G610" s="35">
        <f>WEEKDAY(Metas_Diarias[[#This Row],[data]])</f>
        <v>7</v>
      </c>
      <c r="H610" s="35">
        <f>IF(Metas_Diarias[[#This Row],[dias_da_demana]]=1,"domingo",IF(Metas_Diarias[[#This Row],[dias_da_demana]]=7,0.5,1))</f>
        <v>0.5</v>
      </c>
      <c r="I610" s="35">
        <f>_xlfn.XLOOKUP(Metas_Diarias[[#This Row],[data]],Feriados[Data],Feriados[Feriado],1)</f>
        <v>1</v>
      </c>
      <c r="J610" s="33" cm="1">
        <f t="array" aca="1" ref="J610" ca="1">SUMPRODUCT(IF((NOT(ISERROR(MATCH(ROW(INDIRECT(DATE(YEAR(B610),MONTH(B610),1)&amp;":"&amp;DATE(YEAR(B610),MONTH(B610)+1,0))),Feriados[Data],0))))=FALSE,
IF(WEEKDAY(ROW(INDIRECT(DATE(YEAR(B610),MONTH(B610),1)&amp;":"&amp;DATE(YEAR(B610),MONTH(B610)+1,0))),2)&lt;=5,1,IF(WEEKDAY(ROW(INDIRECT(DATE(YEAR(B610),MONTH(B610),1)&amp;":"&amp;DATE(YEAR(B610),MONTH(B610)+1,0))),2)=6,0.5,0)),0))</f>
        <v>23.5</v>
      </c>
      <c r="K610" s="22" cm="1">
        <f t="array" ref="K610">_xlfn.XLOOKUP(1,((Metas_Diarias[[#This Row],[tipo_equipe_id]]=Metas[equipe])*(Metas_Diarias[[#This Row],[data]]&gt;Metas[data_inicio])*(Metas_Diarias[[#This Row],[data]]&lt;Metas[data_fim])),Metas[meta_mensal],0)</f>
        <v>160000</v>
      </c>
      <c r="L610" s="24">
        <f ca="1">Metas_Diarias[[#This Row],[meta_mensal]]*IF(Metas_Diarias[[#This Row],[semana]]="domingo",0,Metas_Diarias[[#This Row],[semana]])*IF(Metas_Diarias[[#This Row],[feriado]]&lt;&gt;1,0,1)/Metas_Diarias[[#This Row],[dias_úteis_Mês]]</f>
        <v>3404.255319148936</v>
      </c>
    </row>
    <row r="611" spans="2:12" x14ac:dyDescent="0.3">
      <c r="B611" s="34">
        <v>45900</v>
      </c>
      <c r="C611" s="34" t="str">
        <f>TEXT(Metas_Diarias[[#This Row],[data]],"dddd")</f>
        <v>domingo</v>
      </c>
      <c r="D611" s="33">
        <v>1</v>
      </c>
      <c r="E611" s="33">
        <v>1</v>
      </c>
      <c r="F611" s="18"/>
      <c r="G611" s="35">
        <f>WEEKDAY(Metas_Diarias[[#This Row],[data]])</f>
        <v>1</v>
      </c>
      <c r="H611" s="35" t="str">
        <f>IF(Metas_Diarias[[#This Row],[dias_da_demana]]=1,"domingo",IF(Metas_Diarias[[#This Row],[dias_da_demana]]=7,0.5,1))</f>
        <v>domingo</v>
      </c>
      <c r="I611" s="35">
        <f>_xlfn.XLOOKUP(Metas_Diarias[[#This Row],[data]],Feriados[Data],Feriados[Feriado],1)</f>
        <v>1</v>
      </c>
      <c r="J611" s="33" cm="1">
        <f t="array" aca="1" ref="J611" ca="1">SUMPRODUCT(IF((NOT(ISERROR(MATCH(ROW(INDIRECT(DATE(YEAR(B611),MONTH(B611),1)&amp;":"&amp;DATE(YEAR(B611),MONTH(B611)+1,0))),Feriados[Data],0))))=FALSE,
IF(WEEKDAY(ROW(INDIRECT(DATE(YEAR(B611),MONTH(B611),1)&amp;":"&amp;DATE(YEAR(B611),MONTH(B611)+1,0))),2)&lt;=5,1,IF(WEEKDAY(ROW(INDIRECT(DATE(YEAR(B611),MONTH(B611),1)&amp;":"&amp;DATE(YEAR(B611),MONTH(B611)+1,0))),2)=6,0.5,0)),0))</f>
        <v>23.5</v>
      </c>
      <c r="K611" s="22" cm="1">
        <f t="array" ref="K611">_xlfn.XLOOKUP(1,((Metas_Diarias[[#This Row],[tipo_equipe_id]]=Metas[equipe])*(Metas_Diarias[[#This Row],[data]]&gt;Metas[data_inicio])*(Metas_Diarias[[#This Row],[data]]&lt;Metas[data_fim])),Metas[meta_mensal],0)</f>
        <v>160000</v>
      </c>
      <c r="L61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12" spans="2:12" x14ac:dyDescent="0.3">
      <c r="B612" s="34">
        <v>45901</v>
      </c>
      <c r="C612" s="34" t="str">
        <f>TEXT(Metas_Diarias[[#This Row],[data]],"dddd")</f>
        <v>segunda-feira</v>
      </c>
      <c r="D612" s="33">
        <v>1</v>
      </c>
      <c r="E612" s="33">
        <v>1</v>
      </c>
      <c r="F612" s="18"/>
      <c r="G612" s="35">
        <f>WEEKDAY(Metas_Diarias[[#This Row],[data]])</f>
        <v>2</v>
      </c>
      <c r="H612" s="35">
        <f>IF(Metas_Diarias[[#This Row],[dias_da_demana]]=1,"domingo",IF(Metas_Diarias[[#This Row],[dias_da_demana]]=7,0.5,1))</f>
        <v>1</v>
      </c>
      <c r="I612" s="35">
        <f>_xlfn.XLOOKUP(Metas_Diarias[[#This Row],[data]],Feriados[Data],Feriados[Feriado],1)</f>
        <v>1</v>
      </c>
      <c r="J612" s="33" cm="1">
        <f t="array" aca="1" ref="J612" ca="1">SUMPRODUCT(IF((NOT(ISERROR(MATCH(ROW(INDIRECT(DATE(YEAR(B612),MONTH(B612),1)&amp;":"&amp;DATE(YEAR(B612),MONTH(B612)+1,0))),Feriados[Data],0))))=FALSE,
IF(WEEKDAY(ROW(INDIRECT(DATE(YEAR(B612),MONTH(B612),1)&amp;":"&amp;DATE(YEAR(B612),MONTH(B612)+1,0))),2)&lt;=5,1,IF(WEEKDAY(ROW(INDIRECT(DATE(YEAR(B612),MONTH(B612),1)&amp;":"&amp;DATE(YEAR(B612),MONTH(B612)+1,0))),2)=6,0.5,0)),0))</f>
        <v>24</v>
      </c>
      <c r="K612" s="22" cm="1">
        <f t="array" ref="K612">_xlfn.XLOOKUP(1,((Metas_Diarias[[#This Row],[tipo_equipe_id]]=Metas[equipe])*(Metas_Diarias[[#This Row],[data]]&gt;Metas[data_inicio])*(Metas_Diarias[[#This Row],[data]]&lt;Metas[data_fim])),Metas[meta_mensal],0)</f>
        <v>160000</v>
      </c>
      <c r="L61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13" spans="2:12" x14ac:dyDescent="0.3">
      <c r="B613" s="34">
        <v>45902</v>
      </c>
      <c r="C613" s="34" t="str">
        <f>TEXT(Metas_Diarias[[#This Row],[data]],"dddd")</f>
        <v>terça-feira</v>
      </c>
      <c r="D613" s="33">
        <v>1</v>
      </c>
      <c r="E613" s="33">
        <v>1</v>
      </c>
      <c r="F613" s="18"/>
      <c r="G613" s="35">
        <f>WEEKDAY(Metas_Diarias[[#This Row],[data]])</f>
        <v>3</v>
      </c>
      <c r="H613" s="35">
        <f>IF(Metas_Diarias[[#This Row],[dias_da_demana]]=1,"domingo",IF(Metas_Diarias[[#This Row],[dias_da_demana]]=7,0.5,1))</f>
        <v>1</v>
      </c>
      <c r="I613" s="35">
        <f>_xlfn.XLOOKUP(Metas_Diarias[[#This Row],[data]],Feriados[Data],Feriados[Feriado],1)</f>
        <v>1</v>
      </c>
      <c r="J613" s="33" cm="1">
        <f t="array" aca="1" ref="J613" ca="1">SUMPRODUCT(IF((NOT(ISERROR(MATCH(ROW(INDIRECT(DATE(YEAR(B613),MONTH(B613),1)&amp;":"&amp;DATE(YEAR(B613),MONTH(B613)+1,0))),Feriados[Data],0))))=FALSE,
IF(WEEKDAY(ROW(INDIRECT(DATE(YEAR(B613),MONTH(B613),1)&amp;":"&amp;DATE(YEAR(B613),MONTH(B613)+1,0))),2)&lt;=5,1,IF(WEEKDAY(ROW(INDIRECT(DATE(YEAR(B613),MONTH(B613),1)&amp;":"&amp;DATE(YEAR(B613),MONTH(B613)+1,0))),2)=6,0.5,0)),0))</f>
        <v>24</v>
      </c>
      <c r="K613" s="22" cm="1">
        <f t="array" ref="K613">_xlfn.XLOOKUP(1,((Metas_Diarias[[#This Row],[tipo_equipe_id]]=Metas[equipe])*(Metas_Diarias[[#This Row],[data]]&gt;Metas[data_inicio])*(Metas_Diarias[[#This Row],[data]]&lt;Metas[data_fim])),Metas[meta_mensal],0)</f>
        <v>160000</v>
      </c>
      <c r="L61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14" spans="2:12" x14ac:dyDescent="0.3">
      <c r="B614" s="34">
        <v>45903</v>
      </c>
      <c r="C614" s="34" t="str">
        <f>TEXT(Metas_Diarias[[#This Row],[data]],"dddd")</f>
        <v>quarta-feira</v>
      </c>
      <c r="D614" s="33">
        <v>1</v>
      </c>
      <c r="E614" s="33">
        <v>1</v>
      </c>
      <c r="F614" s="18"/>
      <c r="G614" s="35">
        <f>WEEKDAY(Metas_Diarias[[#This Row],[data]])</f>
        <v>4</v>
      </c>
      <c r="H614" s="35">
        <f>IF(Metas_Diarias[[#This Row],[dias_da_demana]]=1,"domingo",IF(Metas_Diarias[[#This Row],[dias_da_demana]]=7,0.5,1))</f>
        <v>1</v>
      </c>
      <c r="I614" s="35">
        <f>_xlfn.XLOOKUP(Metas_Diarias[[#This Row],[data]],Feriados[Data],Feriados[Feriado],1)</f>
        <v>1</v>
      </c>
      <c r="J614" s="33" cm="1">
        <f t="array" aca="1" ref="J614" ca="1">SUMPRODUCT(IF((NOT(ISERROR(MATCH(ROW(INDIRECT(DATE(YEAR(B614),MONTH(B614),1)&amp;":"&amp;DATE(YEAR(B614),MONTH(B614)+1,0))),Feriados[Data],0))))=FALSE,
IF(WEEKDAY(ROW(INDIRECT(DATE(YEAR(B614),MONTH(B614),1)&amp;":"&amp;DATE(YEAR(B614),MONTH(B614)+1,0))),2)&lt;=5,1,IF(WEEKDAY(ROW(INDIRECT(DATE(YEAR(B614),MONTH(B614),1)&amp;":"&amp;DATE(YEAR(B614),MONTH(B614)+1,0))),2)=6,0.5,0)),0))</f>
        <v>24</v>
      </c>
      <c r="K614" s="22" cm="1">
        <f t="array" ref="K614">_xlfn.XLOOKUP(1,((Metas_Diarias[[#This Row],[tipo_equipe_id]]=Metas[equipe])*(Metas_Diarias[[#This Row],[data]]&gt;Metas[data_inicio])*(Metas_Diarias[[#This Row],[data]]&lt;Metas[data_fim])),Metas[meta_mensal],0)</f>
        <v>160000</v>
      </c>
      <c r="L61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15" spans="2:12" x14ac:dyDescent="0.3">
      <c r="B615" s="34">
        <v>45904</v>
      </c>
      <c r="C615" s="34" t="str">
        <f>TEXT(Metas_Diarias[[#This Row],[data]],"dddd")</f>
        <v>quinta-feira</v>
      </c>
      <c r="D615" s="33">
        <v>1</v>
      </c>
      <c r="E615" s="33">
        <v>1</v>
      </c>
      <c r="F615" s="18"/>
      <c r="G615" s="35">
        <f>WEEKDAY(Metas_Diarias[[#This Row],[data]])</f>
        <v>5</v>
      </c>
      <c r="H615" s="35">
        <f>IF(Metas_Diarias[[#This Row],[dias_da_demana]]=1,"domingo",IF(Metas_Diarias[[#This Row],[dias_da_demana]]=7,0.5,1))</f>
        <v>1</v>
      </c>
      <c r="I615" s="35">
        <f>_xlfn.XLOOKUP(Metas_Diarias[[#This Row],[data]],Feriados[Data],Feriados[Feriado],1)</f>
        <v>1</v>
      </c>
      <c r="J615" s="33" cm="1">
        <f t="array" aca="1" ref="J615" ca="1">SUMPRODUCT(IF((NOT(ISERROR(MATCH(ROW(INDIRECT(DATE(YEAR(B615),MONTH(B615),1)&amp;":"&amp;DATE(YEAR(B615),MONTH(B615)+1,0))),Feriados[Data],0))))=FALSE,
IF(WEEKDAY(ROW(INDIRECT(DATE(YEAR(B615),MONTH(B615),1)&amp;":"&amp;DATE(YEAR(B615),MONTH(B615)+1,0))),2)&lt;=5,1,IF(WEEKDAY(ROW(INDIRECT(DATE(YEAR(B615),MONTH(B615),1)&amp;":"&amp;DATE(YEAR(B615),MONTH(B615)+1,0))),2)=6,0.5,0)),0))</f>
        <v>24</v>
      </c>
      <c r="K615" s="22" cm="1">
        <f t="array" ref="K615">_xlfn.XLOOKUP(1,((Metas_Diarias[[#This Row],[tipo_equipe_id]]=Metas[equipe])*(Metas_Diarias[[#This Row],[data]]&gt;Metas[data_inicio])*(Metas_Diarias[[#This Row],[data]]&lt;Metas[data_fim])),Metas[meta_mensal],0)</f>
        <v>160000</v>
      </c>
      <c r="L61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16" spans="2:12" x14ac:dyDescent="0.3">
      <c r="B616" s="34">
        <v>45905</v>
      </c>
      <c r="C616" s="34" t="str">
        <f>TEXT(Metas_Diarias[[#This Row],[data]],"dddd")</f>
        <v>sexta-feira</v>
      </c>
      <c r="D616" s="33">
        <v>1</v>
      </c>
      <c r="E616" s="33">
        <v>1</v>
      </c>
      <c r="F616" s="18"/>
      <c r="G616" s="35">
        <f>WEEKDAY(Metas_Diarias[[#This Row],[data]])</f>
        <v>6</v>
      </c>
      <c r="H616" s="35">
        <f>IF(Metas_Diarias[[#This Row],[dias_da_demana]]=1,"domingo",IF(Metas_Diarias[[#This Row],[dias_da_demana]]=7,0.5,1))</f>
        <v>1</v>
      </c>
      <c r="I616" s="35">
        <f>_xlfn.XLOOKUP(Metas_Diarias[[#This Row],[data]],Feriados[Data],Feriados[Feriado],1)</f>
        <v>1</v>
      </c>
      <c r="J616" s="33" cm="1">
        <f t="array" aca="1" ref="J616" ca="1">SUMPRODUCT(IF((NOT(ISERROR(MATCH(ROW(INDIRECT(DATE(YEAR(B616),MONTH(B616),1)&amp;":"&amp;DATE(YEAR(B616),MONTH(B616)+1,0))),Feriados[Data],0))))=FALSE,
IF(WEEKDAY(ROW(INDIRECT(DATE(YEAR(B616),MONTH(B616),1)&amp;":"&amp;DATE(YEAR(B616),MONTH(B616)+1,0))),2)&lt;=5,1,IF(WEEKDAY(ROW(INDIRECT(DATE(YEAR(B616),MONTH(B616),1)&amp;":"&amp;DATE(YEAR(B616),MONTH(B616)+1,0))),2)=6,0.5,0)),0))</f>
        <v>24</v>
      </c>
      <c r="K616" s="22" cm="1">
        <f t="array" ref="K616">_xlfn.XLOOKUP(1,((Metas_Diarias[[#This Row],[tipo_equipe_id]]=Metas[equipe])*(Metas_Diarias[[#This Row],[data]]&gt;Metas[data_inicio])*(Metas_Diarias[[#This Row],[data]]&lt;Metas[data_fim])),Metas[meta_mensal],0)</f>
        <v>160000</v>
      </c>
      <c r="L61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17" spans="2:12" x14ac:dyDescent="0.3">
      <c r="B617" s="34">
        <v>45906</v>
      </c>
      <c r="C617" s="34" t="str">
        <f>TEXT(Metas_Diarias[[#This Row],[data]],"dddd")</f>
        <v>sábado</v>
      </c>
      <c r="D617" s="33">
        <v>1</v>
      </c>
      <c r="E617" s="33">
        <v>1</v>
      </c>
      <c r="F617" s="18"/>
      <c r="G617" s="35">
        <f>WEEKDAY(Metas_Diarias[[#This Row],[data]])</f>
        <v>7</v>
      </c>
      <c r="H617" s="35">
        <f>IF(Metas_Diarias[[#This Row],[dias_da_demana]]=1,"domingo",IF(Metas_Diarias[[#This Row],[dias_da_demana]]=7,0.5,1))</f>
        <v>0.5</v>
      </c>
      <c r="I617" s="35">
        <f>_xlfn.XLOOKUP(Metas_Diarias[[#This Row],[data]],Feriados[Data],Feriados[Feriado],1)</f>
        <v>1</v>
      </c>
      <c r="J617" s="33" cm="1">
        <f t="array" aca="1" ref="J617" ca="1">SUMPRODUCT(IF((NOT(ISERROR(MATCH(ROW(INDIRECT(DATE(YEAR(B617),MONTH(B617),1)&amp;":"&amp;DATE(YEAR(B617),MONTH(B617)+1,0))),Feriados[Data],0))))=FALSE,
IF(WEEKDAY(ROW(INDIRECT(DATE(YEAR(B617),MONTH(B617),1)&amp;":"&amp;DATE(YEAR(B617),MONTH(B617)+1,0))),2)&lt;=5,1,IF(WEEKDAY(ROW(INDIRECT(DATE(YEAR(B617),MONTH(B617),1)&amp;":"&amp;DATE(YEAR(B617),MONTH(B617)+1,0))),2)=6,0.5,0)),0))</f>
        <v>24</v>
      </c>
      <c r="K617" s="22" cm="1">
        <f t="array" ref="K617">_xlfn.XLOOKUP(1,((Metas_Diarias[[#This Row],[tipo_equipe_id]]=Metas[equipe])*(Metas_Diarias[[#This Row],[data]]&gt;Metas[data_inicio])*(Metas_Diarias[[#This Row],[data]]&lt;Metas[data_fim])),Metas[meta_mensal],0)</f>
        <v>160000</v>
      </c>
      <c r="L617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618" spans="2:12" x14ac:dyDescent="0.3">
      <c r="B618" s="34">
        <v>45907</v>
      </c>
      <c r="C618" s="34" t="str">
        <f>TEXT(Metas_Diarias[[#This Row],[data]],"dddd")</f>
        <v>domingo</v>
      </c>
      <c r="D618" s="33">
        <v>1</v>
      </c>
      <c r="E618" s="33">
        <v>1</v>
      </c>
      <c r="F618" s="18"/>
      <c r="G618" s="35">
        <f>WEEKDAY(Metas_Diarias[[#This Row],[data]])</f>
        <v>1</v>
      </c>
      <c r="H618" s="35" t="str">
        <f>IF(Metas_Diarias[[#This Row],[dias_da_demana]]=1,"domingo",IF(Metas_Diarias[[#This Row],[dias_da_demana]]=7,0.5,1))</f>
        <v>domingo</v>
      </c>
      <c r="I618" s="35" t="str">
        <f>_xlfn.XLOOKUP(Metas_Diarias[[#This Row],[data]],Feriados[Data],Feriados[Feriado],1)</f>
        <v>Independência do Brasil</v>
      </c>
      <c r="J618" s="33" cm="1">
        <f t="array" aca="1" ref="J618" ca="1">SUMPRODUCT(IF((NOT(ISERROR(MATCH(ROW(INDIRECT(DATE(YEAR(B618),MONTH(B618),1)&amp;":"&amp;DATE(YEAR(B618),MONTH(B618)+1,0))),Feriados[Data],0))))=FALSE,
IF(WEEKDAY(ROW(INDIRECT(DATE(YEAR(B618),MONTH(B618),1)&amp;":"&amp;DATE(YEAR(B618),MONTH(B618)+1,0))),2)&lt;=5,1,IF(WEEKDAY(ROW(INDIRECT(DATE(YEAR(B618),MONTH(B618),1)&amp;":"&amp;DATE(YEAR(B618),MONTH(B618)+1,0))),2)=6,0.5,0)),0))</f>
        <v>24</v>
      </c>
      <c r="K618" s="22" cm="1">
        <f t="array" ref="K618">_xlfn.XLOOKUP(1,((Metas_Diarias[[#This Row],[tipo_equipe_id]]=Metas[equipe])*(Metas_Diarias[[#This Row],[data]]&gt;Metas[data_inicio])*(Metas_Diarias[[#This Row],[data]]&lt;Metas[data_fim])),Metas[meta_mensal],0)</f>
        <v>160000</v>
      </c>
      <c r="L61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19" spans="2:12" x14ac:dyDescent="0.3">
      <c r="B619" s="34">
        <v>45908</v>
      </c>
      <c r="C619" s="34" t="str">
        <f>TEXT(Metas_Diarias[[#This Row],[data]],"dddd")</f>
        <v>segunda-feira</v>
      </c>
      <c r="D619" s="33">
        <v>1</v>
      </c>
      <c r="E619" s="33">
        <v>1</v>
      </c>
      <c r="F619" s="18"/>
      <c r="G619" s="35">
        <f>WEEKDAY(Metas_Diarias[[#This Row],[data]])</f>
        <v>2</v>
      </c>
      <c r="H619" s="35">
        <f>IF(Metas_Diarias[[#This Row],[dias_da_demana]]=1,"domingo",IF(Metas_Diarias[[#This Row],[dias_da_demana]]=7,0.5,1))</f>
        <v>1</v>
      </c>
      <c r="I619" s="35">
        <f>_xlfn.XLOOKUP(Metas_Diarias[[#This Row],[data]],Feriados[Data],Feriados[Feriado],1)</f>
        <v>1</v>
      </c>
      <c r="J619" s="33" cm="1">
        <f t="array" aca="1" ref="J619" ca="1">SUMPRODUCT(IF((NOT(ISERROR(MATCH(ROW(INDIRECT(DATE(YEAR(B619),MONTH(B619),1)&amp;":"&amp;DATE(YEAR(B619),MONTH(B619)+1,0))),Feriados[Data],0))))=FALSE,
IF(WEEKDAY(ROW(INDIRECT(DATE(YEAR(B619),MONTH(B619),1)&amp;":"&amp;DATE(YEAR(B619),MONTH(B619)+1,0))),2)&lt;=5,1,IF(WEEKDAY(ROW(INDIRECT(DATE(YEAR(B619),MONTH(B619),1)&amp;":"&amp;DATE(YEAR(B619),MONTH(B619)+1,0))),2)=6,0.5,0)),0))</f>
        <v>24</v>
      </c>
      <c r="K619" s="22" cm="1">
        <f t="array" ref="K619">_xlfn.XLOOKUP(1,((Metas_Diarias[[#This Row],[tipo_equipe_id]]=Metas[equipe])*(Metas_Diarias[[#This Row],[data]]&gt;Metas[data_inicio])*(Metas_Diarias[[#This Row],[data]]&lt;Metas[data_fim])),Metas[meta_mensal],0)</f>
        <v>160000</v>
      </c>
      <c r="L619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20" spans="2:12" x14ac:dyDescent="0.3">
      <c r="B620" s="34">
        <v>45909</v>
      </c>
      <c r="C620" s="34" t="str">
        <f>TEXT(Metas_Diarias[[#This Row],[data]],"dddd")</f>
        <v>terça-feira</v>
      </c>
      <c r="D620" s="33">
        <v>1</v>
      </c>
      <c r="E620" s="33">
        <v>1</v>
      </c>
      <c r="F620" s="18"/>
      <c r="G620" s="35">
        <f>WEEKDAY(Metas_Diarias[[#This Row],[data]])</f>
        <v>3</v>
      </c>
      <c r="H620" s="35">
        <f>IF(Metas_Diarias[[#This Row],[dias_da_demana]]=1,"domingo",IF(Metas_Diarias[[#This Row],[dias_da_demana]]=7,0.5,1))</f>
        <v>1</v>
      </c>
      <c r="I620" s="35">
        <f>_xlfn.XLOOKUP(Metas_Diarias[[#This Row],[data]],Feriados[Data],Feriados[Feriado],1)</f>
        <v>1</v>
      </c>
      <c r="J620" s="33" cm="1">
        <f t="array" aca="1" ref="J620" ca="1">SUMPRODUCT(IF((NOT(ISERROR(MATCH(ROW(INDIRECT(DATE(YEAR(B620),MONTH(B620),1)&amp;":"&amp;DATE(YEAR(B620),MONTH(B620)+1,0))),Feriados[Data],0))))=FALSE,
IF(WEEKDAY(ROW(INDIRECT(DATE(YEAR(B620),MONTH(B620),1)&amp;":"&amp;DATE(YEAR(B620),MONTH(B620)+1,0))),2)&lt;=5,1,IF(WEEKDAY(ROW(INDIRECT(DATE(YEAR(B620),MONTH(B620),1)&amp;":"&amp;DATE(YEAR(B620),MONTH(B620)+1,0))),2)=6,0.5,0)),0))</f>
        <v>24</v>
      </c>
      <c r="K620" s="22" cm="1">
        <f t="array" ref="K620">_xlfn.XLOOKUP(1,((Metas_Diarias[[#This Row],[tipo_equipe_id]]=Metas[equipe])*(Metas_Diarias[[#This Row],[data]]&gt;Metas[data_inicio])*(Metas_Diarias[[#This Row],[data]]&lt;Metas[data_fim])),Metas[meta_mensal],0)</f>
        <v>160000</v>
      </c>
      <c r="L62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21" spans="2:12" x14ac:dyDescent="0.3">
      <c r="B621" s="34">
        <v>45910</v>
      </c>
      <c r="C621" s="34" t="str">
        <f>TEXT(Metas_Diarias[[#This Row],[data]],"dddd")</f>
        <v>quarta-feira</v>
      </c>
      <c r="D621" s="33">
        <v>1</v>
      </c>
      <c r="E621" s="33">
        <v>1</v>
      </c>
      <c r="F621" s="18"/>
      <c r="G621" s="35">
        <f>WEEKDAY(Metas_Diarias[[#This Row],[data]])</f>
        <v>4</v>
      </c>
      <c r="H621" s="35">
        <f>IF(Metas_Diarias[[#This Row],[dias_da_demana]]=1,"domingo",IF(Metas_Diarias[[#This Row],[dias_da_demana]]=7,0.5,1))</f>
        <v>1</v>
      </c>
      <c r="I621" s="35">
        <f>_xlfn.XLOOKUP(Metas_Diarias[[#This Row],[data]],Feriados[Data],Feriados[Feriado],1)</f>
        <v>1</v>
      </c>
      <c r="J621" s="33" cm="1">
        <f t="array" aca="1" ref="J621" ca="1">SUMPRODUCT(IF((NOT(ISERROR(MATCH(ROW(INDIRECT(DATE(YEAR(B621),MONTH(B621),1)&amp;":"&amp;DATE(YEAR(B621),MONTH(B621)+1,0))),Feriados[Data],0))))=FALSE,
IF(WEEKDAY(ROW(INDIRECT(DATE(YEAR(B621),MONTH(B621),1)&amp;":"&amp;DATE(YEAR(B621),MONTH(B621)+1,0))),2)&lt;=5,1,IF(WEEKDAY(ROW(INDIRECT(DATE(YEAR(B621),MONTH(B621),1)&amp;":"&amp;DATE(YEAR(B621),MONTH(B621)+1,0))),2)=6,0.5,0)),0))</f>
        <v>24</v>
      </c>
      <c r="K621" s="22" cm="1">
        <f t="array" ref="K621">_xlfn.XLOOKUP(1,((Metas_Diarias[[#This Row],[tipo_equipe_id]]=Metas[equipe])*(Metas_Diarias[[#This Row],[data]]&gt;Metas[data_inicio])*(Metas_Diarias[[#This Row],[data]]&lt;Metas[data_fim])),Metas[meta_mensal],0)</f>
        <v>160000</v>
      </c>
      <c r="L62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22" spans="2:12" x14ac:dyDescent="0.3">
      <c r="B622" s="34">
        <v>45911</v>
      </c>
      <c r="C622" s="34" t="str">
        <f>TEXT(Metas_Diarias[[#This Row],[data]],"dddd")</f>
        <v>quinta-feira</v>
      </c>
      <c r="D622" s="33">
        <v>1</v>
      </c>
      <c r="E622" s="33">
        <v>1</v>
      </c>
      <c r="F622" s="18"/>
      <c r="G622" s="35">
        <f>WEEKDAY(Metas_Diarias[[#This Row],[data]])</f>
        <v>5</v>
      </c>
      <c r="H622" s="35">
        <f>IF(Metas_Diarias[[#This Row],[dias_da_demana]]=1,"domingo",IF(Metas_Diarias[[#This Row],[dias_da_demana]]=7,0.5,1))</f>
        <v>1</v>
      </c>
      <c r="I622" s="35">
        <f>_xlfn.XLOOKUP(Metas_Diarias[[#This Row],[data]],Feriados[Data],Feriados[Feriado],1)</f>
        <v>1</v>
      </c>
      <c r="J622" s="33" cm="1">
        <f t="array" aca="1" ref="J622" ca="1">SUMPRODUCT(IF((NOT(ISERROR(MATCH(ROW(INDIRECT(DATE(YEAR(B622),MONTH(B622),1)&amp;":"&amp;DATE(YEAR(B622),MONTH(B622)+1,0))),Feriados[Data],0))))=FALSE,
IF(WEEKDAY(ROW(INDIRECT(DATE(YEAR(B622),MONTH(B622),1)&amp;":"&amp;DATE(YEAR(B622),MONTH(B622)+1,0))),2)&lt;=5,1,IF(WEEKDAY(ROW(INDIRECT(DATE(YEAR(B622),MONTH(B622),1)&amp;":"&amp;DATE(YEAR(B622),MONTH(B622)+1,0))),2)=6,0.5,0)),0))</f>
        <v>24</v>
      </c>
      <c r="K622" s="22" cm="1">
        <f t="array" ref="K622">_xlfn.XLOOKUP(1,((Metas_Diarias[[#This Row],[tipo_equipe_id]]=Metas[equipe])*(Metas_Diarias[[#This Row],[data]]&gt;Metas[data_inicio])*(Metas_Diarias[[#This Row],[data]]&lt;Metas[data_fim])),Metas[meta_mensal],0)</f>
        <v>160000</v>
      </c>
      <c r="L62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23" spans="2:12" x14ac:dyDescent="0.3">
      <c r="B623" s="34">
        <v>45912</v>
      </c>
      <c r="C623" s="34" t="str">
        <f>TEXT(Metas_Diarias[[#This Row],[data]],"dddd")</f>
        <v>sexta-feira</v>
      </c>
      <c r="D623" s="33">
        <v>1</v>
      </c>
      <c r="E623" s="33">
        <v>1</v>
      </c>
      <c r="F623" s="18"/>
      <c r="G623" s="35">
        <f>WEEKDAY(Metas_Diarias[[#This Row],[data]])</f>
        <v>6</v>
      </c>
      <c r="H623" s="35">
        <f>IF(Metas_Diarias[[#This Row],[dias_da_demana]]=1,"domingo",IF(Metas_Diarias[[#This Row],[dias_da_demana]]=7,0.5,1))</f>
        <v>1</v>
      </c>
      <c r="I623" s="35">
        <f>_xlfn.XLOOKUP(Metas_Diarias[[#This Row],[data]],Feriados[Data],Feriados[Feriado],1)</f>
        <v>1</v>
      </c>
      <c r="J623" s="33" cm="1">
        <f t="array" aca="1" ref="J623" ca="1">SUMPRODUCT(IF((NOT(ISERROR(MATCH(ROW(INDIRECT(DATE(YEAR(B623),MONTH(B623),1)&amp;":"&amp;DATE(YEAR(B623),MONTH(B623)+1,0))),Feriados[Data],0))))=FALSE,
IF(WEEKDAY(ROW(INDIRECT(DATE(YEAR(B623),MONTH(B623),1)&amp;":"&amp;DATE(YEAR(B623),MONTH(B623)+1,0))),2)&lt;=5,1,IF(WEEKDAY(ROW(INDIRECT(DATE(YEAR(B623),MONTH(B623),1)&amp;":"&amp;DATE(YEAR(B623),MONTH(B623)+1,0))),2)=6,0.5,0)),0))</f>
        <v>24</v>
      </c>
      <c r="K623" s="22" cm="1">
        <f t="array" ref="K623">_xlfn.XLOOKUP(1,((Metas_Diarias[[#This Row],[tipo_equipe_id]]=Metas[equipe])*(Metas_Diarias[[#This Row],[data]]&gt;Metas[data_inicio])*(Metas_Diarias[[#This Row],[data]]&lt;Metas[data_fim])),Metas[meta_mensal],0)</f>
        <v>160000</v>
      </c>
      <c r="L62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24" spans="2:12" x14ac:dyDescent="0.3">
      <c r="B624" s="34">
        <v>45913</v>
      </c>
      <c r="C624" s="34" t="str">
        <f>TEXT(Metas_Diarias[[#This Row],[data]],"dddd")</f>
        <v>sábado</v>
      </c>
      <c r="D624" s="33">
        <v>1</v>
      </c>
      <c r="E624" s="33">
        <v>1</v>
      </c>
      <c r="F624" s="18"/>
      <c r="G624" s="35">
        <f>WEEKDAY(Metas_Diarias[[#This Row],[data]])</f>
        <v>7</v>
      </c>
      <c r="H624" s="35">
        <f>IF(Metas_Diarias[[#This Row],[dias_da_demana]]=1,"domingo",IF(Metas_Diarias[[#This Row],[dias_da_demana]]=7,0.5,1))</f>
        <v>0.5</v>
      </c>
      <c r="I624" s="35">
        <f>_xlfn.XLOOKUP(Metas_Diarias[[#This Row],[data]],Feriados[Data],Feriados[Feriado],1)</f>
        <v>1</v>
      </c>
      <c r="J624" s="33" cm="1">
        <f t="array" aca="1" ref="J624" ca="1">SUMPRODUCT(IF((NOT(ISERROR(MATCH(ROW(INDIRECT(DATE(YEAR(B624),MONTH(B624),1)&amp;":"&amp;DATE(YEAR(B624),MONTH(B624)+1,0))),Feriados[Data],0))))=FALSE,
IF(WEEKDAY(ROW(INDIRECT(DATE(YEAR(B624),MONTH(B624),1)&amp;":"&amp;DATE(YEAR(B624),MONTH(B624)+1,0))),2)&lt;=5,1,IF(WEEKDAY(ROW(INDIRECT(DATE(YEAR(B624),MONTH(B624),1)&amp;":"&amp;DATE(YEAR(B624),MONTH(B624)+1,0))),2)=6,0.5,0)),0))</f>
        <v>24</v>
      </c>
      <c r="K624" s="22" cm="1">
        <f t="array" ref="K624">_xlfn.XLOOKUP(1,((Metas_Diarias[[#This Row],[tipo_equipe_id]]=Metas[equipe])*(Metas_Diarias[[#This Row],[data]]&gt;Metas[data_inicio])*(Metas_Diarias[[#This Row],[data]]&lt;Metas[data_fim])),Metas[meta_mensal],0)</f>
        <v>160000</v>
      </c>
      <c r="L624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625" spans="2:12" x14ac:dyDescent="0.3">
      <c r="B625" s="34">
        <v>45914</v>
      </c>
      <c r="C625" s="34" t="str">
        <f>TEXT(Metas_Diarias[[#This Row],[data]],"dddd")</f>
        <v>domingo</v>
      </c>
      <c r="D625" s="33">
        <v>1</v>
      </c>
      <c r="E625" s="33">
        <v>1</v>
      </c>
      <c r="F625" s="18"/>
      <c r="G625" s="35">
        <f>WEEKDAY(Metas_Diarias[[#This Row],[data]])</f>
        <v>1</v>
      </c>
      <c r="H625" s="35" t="str">
        <f>IF(Metas_Diarias[[#This Row],[dias_da_demana]]=1,"domingo",IF(Metas_Diarias[[#This Row],[dias_da_demana]]=7,0.5,1))</f>
        <v>domingo</v>
      </c>
      <c r="I625" s="35">
        <f>_xlfn.XLOOKUP(Metas_Diarias[[#This Row],[data]],Feriados[Data],Feriados[Feriado],1)</f>
        <v>1</v>
      </c>
      <c r="J625" s="33" cm="1">
        <f t="array" aca="1" ref="J625" ca="1">SUMPRODUCT(IF((NOT(ISERROR(MATCH(ROW(INDIRECT(DATE(YEAR(B625),MONTH(B625),1)&amp;":"&amp;DATE(YEAR(B625),MONTH(B625)+1,0))),Feriados[Data],0))))=FALSE,
IF(WEEKDAY(ROW(INDIRECT(DATE(YEAR(B625),MONTH(B625),1)&amp;":"&amp;DATE(YEAR(B625),MONTH(B625)+1,0))),2)&lt;=5,1,IF(WEEKDAY(ROW(INDIRECT(DATE(YEAR(B625),MONTH(B625),1)&amp;":"&amp;DATE(YEAR(B625),MONTH(B625)+1,0))),2)=6,0.5,0)),0))</f>
        <v>24</v>
      </c>
      <c r="K625" s="22" cm="1">
        <f t="array" ref="K625">_xlfn.XLOOKUP(1,((Metas_Diarias[[#This Row],[tipo_equipe_id]]=Metas[equipe])*(Metas_Diarias[[#This Row],[data]]&gt;Metas[data_inicio])*(Metas_Diarias[[#This Row],[data]]&lt;Metas[data_fim])),Metas[meta_mensal],0)</f>
        <v>160000</v>
      </c>
      <c r="L62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26" spans="2:12" x14ac:dyDescent="0.3">
      <c r="B626" s="34">
        <v>45915</v>
      </c>
      <c r="C626" s="34" t="str">
        <f>TEXT(Metas_Diarias[[#This Row],[data]],"dddd")</f>
        <v>segunda-feira</v>
      </c>
      <c r="D626" s="33">
        <v>1</v>
      </c>
      <c r="E626" s="33">
        <v>1</v>
      </c>
      <c r="F626" s="18"/>
      <c r="G626" s="35">
        <f>WEEKDAY(Metas_Diarias[[#This Row],[data]])</f>
        <v>2</v>
      </c>
      <c r="H626" s="35">
        <f>IF(Metas_Diarias[[#This Row],[dias_da_demana]]=1,"domingo",IF(Metas_Diarias[[#This Row],[dias_da_demana]]=7,0.5,1))</f>
        <v>1</v>
      </c>
      <c r="I626" s="35">
        <f>_xlfn.XLOOKUP(Metas_Diarias[[#This Row],[data]],Feriados[Data],Feriados[Feriado],1)</f>
        <v>1</v>
      </c>
      <c r="J626" s="33" cm="1">
        <f t="array" aca="1" ref="J626" ca="1">SUMPRODUCT(IF((NOT(ISERROR(MATCH(ROW(INDIRECT(DATE(YEAR(B626),MONTH(B626),1)&amp;":"&amp;DATE(YEAR(B626),MONTH(B626)+1,0))),Feriados[Data],0))))=FALSE,
IF(WEEKDAY(ROW(INDIRECT(DATE(YEAR(B626),MONTH(B626),1)&amp;":"&amp;DATE(YEAR(B626),MONTH(B626)+1,0))),2)&lt;=5,1,IF(WEEKDAY(ROW(INDIRECT(DATE(YEAR(B626),MONTH(B626),1)&amp;":"&amp;DATE(YEAR(B626),MONTH(B626)+1,0))),2)=6,0.5,0)),0))</f>
        <v>24</v>
      </c>
      <c r="K626" s="22" cm="1">
        <f t="array" ref="K626">_xlfn.XLOOKUP(1,((Metas_Diarias[[#This Row],[tipo_equipe_id]]=Metas[equipe])*(Metas_Diarias[[#This Row],[data]]&gt;Metas[data_inicio])*(Metas_Diarias[[#This Row],[data]]&lt;Metas[data_fim])),Metas[meta_mensal],0)</f>
        <v>160000</v>
      </c>
      <c r="L62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27" spans="2:12" x14ac:dyDescent="0.3">
      <c r="B627" s="34">
        <v>45916</v>
      </c>
      <c r="C627" s="34" t="str">
        <f>TEXT(Metas_Diarias[[#This Row],[data]],"dddd")</f>
        <v>terça-feira</v>
      </c>
      <c r="D627" s="33">
        <v>1</v>
      </c>
      <c r="E627" s="33">
        <v>1</v>
      </c>
      <c r="F627" s="18"/>
      <c r="G627" s="35">
        <f>WEEKDAY(Metas_Diarias[[#This Row],[data]])</f>
        <v>3</v>
      </c>
      <c r="H627" s="35">
        <f>IF(Metas_Diarias[[#This Row],[dias_da_demana]]=1,"domingo",IF(Metas_Diarias[[#This Row],[dias_da_demana]]=7,0.5,1))</f>
        <v>1</v>
      </c>
      <c r="I627" s="35">
        <f>_xlfn.XLOOKUP(Metas_Diarias[[#This Row],[data]],Feriados[Data],Feriados[Feriado],1)</f>
        <v>1</v>
      </c>
      <c r="J627" s="33" cm="1">
        <f t="array" aca="1" ref="J627" ca="1">SUMPRODUCT(IF((NOT(ISERROR(MATCH(ROW(INDIRECT(DATE(YEAR(B627),MONTH(B627),1)&amp;":"&amp;DATE(YEAR(B627),MONTH(B627)+1,0))),Feriados[Data],0))))=FALSE,
IF(WEEKDAY(ROW(INDIRECT(DATE(YEAR(B627),MONTH(B627),1)&amp;":"&amp;DATE(YEAR(B627),MONTH(B627)+1,0))),2)&lt;=5,1,IF(WEEKDAY(ROW(INDIRECT(DATE(YEAR(B627),MONTH(B627),1)&amp;":"&amp;DATE(YEAR(B627),MONTH(B627)+1,0))),2)=6,0.5,0)),0))</f>
        <v>24</v>
      </c>
      <c r="K627" s="22" cm="1">
        <f t="array" ref="K627">_xlfn.XLOOKUP(1,((Metas_Diarias[[#This Row],[tipo_equipe_id]]=Metas[equipe])*(Metas_Diarias[[#This Row],[data]]&gt;Metas[data_inicio])*(Metas_Diarias[[#This Row],[data]]&lt;Metas[data_fim])),Metas[meta_mensal],0)</f>
        <v>160000</v>
      </c>
      <c r="L62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28" spans="2:12" x14ac:dyDescent="0.3">
      <c r="B628" s="34">
        <v>45917</v>
      </c>
      <c r="C628" s="34" t="str">
        <f>TEXT(Metas_Diarias[[#This Row],[data]],"dddd")</f>
        <v>quarta-feira</v>
      </c>
      <c r="D628" s="33">
        <v>1</v>
      </c>
      <c r="E628" s="33">
        <v>1</v>
      </c>
      <c r="F628" s="18"/>
      <c r="G628" s="35">
        <f>WEEKDAY(Metas_Diarias[[#This Row],[data]])</f>
        <v>4</v>
      </c>
      <c r="H628" s="35">
        <f>IF(Metas_Diarias[[#This Row],[dias_da_demana]]=1,"domingo",IF(Metas_Diarias[[#This Row],[dias_da_demana]]=7,0.5,1))</f>
        <v>1</v>
      </c>
      <c r="I628" s="35">
        <f>_xlfn.XLOOKUP(Metas_Diarias[[#This Row],[data]],Feriados[Data],Feriados[Feriado],1)</f>
        <v>1</v>
      </c>
      <c r="J628" s="33" cm="1">
        <f t="array" aca="1" ref="J628" ca="1">SUMPRODUCT(IF((NOT(ISERROR(MATCH(ROW(INDIRECT(DATE(YEAR(B628),MONTH(B628),1)&amp;":"&amp;DATE(YEAR(B628),MONTH(B628)+1,0))),Feriados[Data],0))))=FALSE,
IF(WEEKDAY(ROW(INDIRECT(DATE(YEAR(B628),MONTH(B628),1)&amp;":"&amp;DATE(YEAR(B628),MONTH(B628)+1,0))),2)&lt;=5,1,IF(WEEKDAY(ROW(INDIRECT(DATE(YEAR(B628),MONTH(B628),1)&amp;":"&amp;DATE(YEAR(B628),MONTH(B628)+1,0))),2)=6,0.5,0)),0))</f>
        <v>24</v>
      </c>
      <c r="K628" s="22" cm="1">
        <f t="array" ref="K628">_xlfn.XLOOKUP(1,((Metas_Diarias[[#This Row],[tipo_equipe_id]]=Metas[equipe])*(Metas_Diarias[[#This Row],[data]]&gt;Metas[data_inicio])*(Metas_Diarias[[#This Row],[data]]&lt;Metas[data_fim])),Metas[meta_mensal],0)</f>
        <v>160000</v>
      </c>
      <c r="L62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29" spans="2:12" x14ac:dyDescent="0.3">
      <c r="B629" s="34">
        <v>45918</v>
      </c>
      <c r="C629" s="34" t="str">
        <f>TEXT(Metas_Diarias[[#This Row],[data]],"dddd")</f>
        <v>quinta-feira</v>
      </c>
      <c r="D629" s="33">
        <v>1</v>
      </c>
      <c r="E629" s="33">
        <v>1</v>
      </c>
      <c r="F629" s="18"/>
      <c r="G629" s="35">
        <f>WEEKDAY(Metas_Diarias[[#This Row],[data]])</f>
        <v>5</v>
      </c>
      <c r="H629" s="35">
        <f>IF(Metas_Diarias[[#This Row],[dias_da_demana]]=1,"domingo",IF(Metas_Diarias[[#This Row],[dias_da_demana]]=7,0.5,1))</f>
        <v>1</v>
      </c>
      <c r="I629" s="35">
        <f>_xlfn.XLOOKUP(Metas_Diarias[[#This Row],[data]],Feriados[Data],Feriados[Feriado],1)</f>
        <v>1</v>
      </c>
      <c r="J629" s="33" cm="1">
        <f t="array" aca="1" ref="J629" ca="1">SUMPRODUCT(IF((NOT(ISERROR(MATCH(ROW(INDIRECT(DATE(YEAR(B629),MONTH(B629),1)&amp;":"&amp;DATE(YEAR(B629),MONTH(B629)+1,0))),Feriados[Data],0))))=FALSE,
IF(WEEKDAY(ROW(INDIRECT(DATE(YEAR(B629),MONTH(B629),1)&amp;":"&amp;DATE(YEAR(B629),MONTH(B629)+1,0))),2)&lt;=5,1,IF(WEEKDAY(ROW(INDIRECT(DATE(YEAR(B629),MONTH(B629),1)&amp;":"&amp;DATE(YEAR(B629),MONTH(B629)+1,0))),2)=6,0.5,0)),0))</f>
        <v>24</v>
      </c>
      <c r="K629" s="22" cm="1">
        <f t="array" ref="K629">_xlfn.XLOOKUP(1,((Metas_Diarias[[#This Row],[tipo_equipe_id]]=Metas[equipe])*(Metas_Diarias[[#This Row],[data]]&gt;Metas[data_inicio])*(Metas_Diarias[[#This Row],[data]]&lt;Metas[data_fim])),Metas[meta_mensal],0)</f>
        <v>160000</v>
      </c>
      <c r="L629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30" spans="2:12" x14ac:dyDescent="0.3">
      <c r="B630" s="34">
        <v>45919</v>
      </c>
      <c r="C630" s="34" t="str">
        <f>TEXT(Metas_Diarias[[#This Row],[data]],"dddd")</f>
        <v>sexta-feira</v>
      </c>
      <c r="D630" s="33">
        <v>1</v>
      </c>
      <c r="E630" s="33">
        <v>1</v>
      </c>
      <c r="F630" s="18"/>
      <c r="G630" s="35">
        <f>WEEKDAY(Metas_Diarias[[#This Row],[data]])</f>
        <v>6</v>
      </c>
      <c r="H630" s="35">
        <f>IF(Metas_Diarias[[#This Row],[dias_da_demana]]=1,"domingo",IF(Metas_Diarias[[#This Row],[dias_da_demana]]=7,0.5,1))</f>
        <v>1</v>
      </c>
      <c r="I630" s="35">
        <f>_xlfn.XLOOKUP(Metas_Diarias[[#This Row],[data]],Feriados[Data],Feriados[Feriado],1)</f>
        <v>1</v>
      </c>
      <c r="J630" s="33" cm="1">
        <f t="array" aca="1" ref="J630" ca="1">SUMPRODUCT(IF((NOT(ISERROR(MATCH(ROW(INDIRECT(DATE(YEAR(B630),MONTH(B630),1)&amp;":"&amp;DATE(YEAR(B630),MONTH(B630)+1,0))),Feriados[Data],0))))=FALSE,
IF(WEEKDAY(ROW(INDIRECT(DATE(YEAR(B630),MONTH(B630),1)&amp;":"&amp;DATE(YEAR(B630),MONTH(B630)+1,0))),2)&lt;=5,1,IF(WEEKDAY(ROW(INDIRECT(DATE(YEAR(B630),MONTH(B630),1)&amp;":"&amp;DATE(YEAR(B630),MONTH(B630)+1,0))),2)=6,0.5,0)),0))</f>
        <v>24</v>
      </c>
      <c r="K630" s="22" cm="1">
        <f t="array" ref="K630">_xlfn.XLOOKUP(1,((Metas_Diarias[[#This Row],[tipo_equipe_id]]=Metas[equipe])*(Metas_Diarias[[#This Row],[data]]&gt;Metas[data_inicio])*(Metas_Diarias[[#This Row],[data]]&lt;Metas[data_fim])),Metas[meta_mensal],0)</f>
        <v>160000</v>
      </c>
      <c r="L63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31" spans="2:12" x14ac:dyDescent="0.3">
      <c r="B631" s="34">
        <v>45920</v>
      </c>
      <c r="C631" s="34" t="str">
        <f>TEXT(Metas_Diarias[[#This Row],[data]],"dddd")</f>
        <v>sábado</v>
      </c>
      <c r="D631" s="33">
        <v>1</v>
      </c>
      <c r="E631" s="33">
        <v>1</v>
      </c>
      <c r="F631" s="18"/>
      <c r="G631" s="35">
        <f>WEEKDAY(Metas_Diarias[[#This Row],[data]])</f>
        <v>7</v>
      </c>
      <c r="H631" s="35">
        <f>IF(Metas_Diarias[[#This Row],[dias_da_demana]]=1,"domingo",IF(Metas_Diarias[[#This Row],[dias_da_demana]]=7,0.5,1))</f>
        <v>0.5</v>
      </c>
      <c r="I631" s="35">
        <f>_xlfn.XLOOKUP(Metas_Diarias[[#This Row],[data]],Feriados[Data],Feriados[Feriado],1)</f>
        <v>1</v>
      </c>
      <c r="J631" s="33" cm="1">
        <f t="array" aca="1" ref="J631" ca="1">SUMPRODUCT(IF((NOT(ISERROR(MATCH(ROW(INDIRECT(DATE(YEAR(B631),MONTH(B631),1)&amp;":"&amp;DATE(YEAR(B631),MONTH(B631)+1,0))),Feriados[Data],0))))=FALSE,
IF(WEEKDAY(ROW(INDIRECT(DATE(YEAR(B631),MONTH(B631),1)&amp;":"&amp;DATE(YEAR(B631),MONTH(B631)+1,0))),2)&lt;=5,1,IF(WEEKDAY(ROW(INDIRECT(DATE(YEAR(B631),MONTH(B631),1)&amp;":"&amp;DATE(YEAR(B631),MONTH(B631)+1,0))),2)=6,0.5,0)),0))</f>
        <v>24</v>
      </c>
      <c r="K631" s="22" cm="1">
        <f t="array" ref="K631">_xlfn.XLOOKUP(1,((Metas_Diarias[[#This Row],[tipo_equipe_id]]=Metas[equipe])*(Metas_Diarias[[#This Row],[data]]&gt;Metas[data_inicio])*(Metas_Diarias[[#This Row],[data]]&lt;Metas[data_fim])),Metas[meta_mensal],0)</f>
        <v>160000</v>
      </c>
      <c r="L631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632" spans="2:12" x14ac:dyDescent="0.3">
      <c r="B632" s="34">
        <v>45921</v>
      </c>
      <c r="C632" s="34" t="str">
        <f>TEXT(Metas_Diarias[[#This Row],[data]],"dddd")</f>
        <v>domingo</v>
      </c>
      <c r="D632" s="33">
        <v>1</v>
      </c>
      <c r="E632" s="33">
        <v>1</v>
      </c>
      <c r="F632" s="18"/>
      <c r="G632" s="35">
        <f>WEEKDAY(Metas_Diarias[[#This Row],[data]])</f>
        <v>1</v>
      </c>
      <c r="H632" s="35" t="str">
        <f>IF(Metas_Diarias[[#This Row],[dias_da_demana]]=1,"domingo",IF(Metas_Diarias[[#This Row],[dias_da_demana]]=7,0.5,1))</f>
        <v>domingo</v>
      </c>
      <c r="I632" s="35">
        <f>_xlfn.XLOOKUP(Metas_Diarias[[#This Row],[data]],Feriados[Data],Feriados[Feriado],1)</f>
        <v>1</v>
      </c>
      <c r="J632" s="33" cm="1">
        <f t="array" aca="1" ref="J632" ca="1">SUMPRODUCT(IF((NOT(ISERROR(MATCH(ROW(INDIRECT(DATE(YEAR(B632),MONTH(B632),1)&amp;":"&amp;DATE(YEAR(B632),MONTH(B632)+1,0))),Feriados[Data],0))))=FALSE,
IF(WEEKDAY(ROW(INDIRECT(DATE(YEAR(B632),MONTH(B632),1)&amp;":"&amp;DATE(YEAR(B632),MONTH(B632)+1,0))),2)&lt;=5,1,IF(WEEKDAY(ROW(INDIRECT(DATE(YEAR(B632),MONTH(B632),1)&amp;":"&amp;DATE(YEAR(B632),MONTH(B632)+1,0))),2)=6,0.5,0)),0))</f>
        <v>24</v>
      </c>
      <c r="K632" s="22" cm="1">
        <f t="array" ref="K632">_xlfn.XLOOKUP(1,((Metas_Diarias[[#This Row],[tipo_equipe_id]]=Metas[equipe])*(Metas_Diarias[[#This Row],[data]]&gt;Metas[data_inicio])*(Metas_Diarias[[#This Row],[data]]&lt;Metas[data_fim])),Metas[meta_mensal],0)</f>
        <v>160000</v>
      </c>
      <c r="L63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33" spans="2:12" x14ac:dyDescent="0.3">
      <c r="B633" s="34">
        <v>45922</v>
      </c>
      <c r="C633" s="34" t="str">
        <f>TEXT(Metas_Diarias[[#This Row],[data]],"dddd")</f>
        <v>segunda-feira</v>
      </c>
      <c r="D633" s="33">
        <v>1</v>
      </c>
      <c r="E633" s="33">
        <v>1</v>
      </c>
      <c r="F633" s="18"/>
      <c r="G633" s="35">
        <f>WEEKDAY(Metas_Diarias[[#This Row],[data]])</f>
        <v>2</v>
      </c>
      <c r="H633" s="35">
        <f>IF(Metas_Diarias[[#This Row],[dias_da_demana]]=1,"domingo",IF(Metas_Diarias[[#This Row],[dias_da_demana]]=7,0.5,1))</f>
        <v>1</v>
      </c>
      <c r="I633" s="35">
        <f>_xlfn.XLOOKUP(Metas_Diarias[[#This Row],[data]],Feriados[Data],Feriados[Feriado],1)</f>
        <v>1</v>
      </c>
      <c r="J633" s="33" cm="1">
        <f t="array" aca="1" ref="J633" ca="1">SUMPRODUCT(IF((NOT(ISERROR(MATCH(ROW(INDIRECT(DATE(YEAR(B633),MONTH(B633),1)&amp;":"&amp;DATE(YEAR(B633),MONTH(B633)+1,0))),Feriados[Data],0))))=FALSE,
IF(WEEKDAY(ROW(INDIRECT(DATE(YEAR(B633),MONTH(B633),1)&amp;":"&amp;DATE(YEAR(B633),MONTH(B633)+1,0))),2)&lt;=5,1,IF(WEEKDAY(ROW(INDIRECT(DATE(YEAR(B633),MONTH(B633),1)&amp;":"&amp;DATE(YEAR(B633),MONTH(B633)+1,0))),2)=6,0.5,0)),0))</f>
        <v>24</v>
      </c>
      <c r="K633" s="22" cm="1">
        <f t="array" ref="K633">_xlfn.XLOOKUP(1,((Metas_Diarias[[#This Row],[tipo_equipe_id]]=Metas[equipe])*(Metas_Diarias[[#This Row],[data]]&gt;Metas[data_inicio])*(Metas_Diarias[[#This Row],[data]]&lt;Metas[data_fim])),Metas[meta_mensal],0)</f>
        <v>160000</v>
      </c>
      <c r="L63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34" spans="2:12" x14ac:dyDescent="0.3">
      <c r="B634" s="34">
        <v>45923</v>
      </c>
      <c r="C634" s="34" t="str">
        <f>TEXT(Metas_Diarias[[#This Row],[data]],"dddd")</f>
        <v>terça-feira</v>
      </c>
      <c r="D634" s="33">
        <v>1</v>
      </c>
      <c r="E634" s="33">
        <v>1</v>
      </c>
      <c r="F634" s="18"/>
      <c r="G634" s="35">
        <f>WEEKDAY(Metas_Diarias[[#This Row],[data]])</f>
        <v>3</v>
      </c>
      <c r="H634" s="35">
        <f>IF(Metas_Diarias[[#This Row],[dias_da_demana]]=1,"domingo",IF(Metas_Diarias[[#This Row],[dias_da_demana]]=7,0.5,1))</f>
        <v>1</v>
      </c>
      <c r="I634" s="35">
        <f>_xlfn.XLOOKUP(Metas_Diarias[[#This Row],[data]],Feriados[Data],Feriados[Feriado],1)</f>
        <v>1</v>
      </c>
      <c r="J634" s="33" cm="1">
        <f t="array" aca="1" ref="J634" ca="1">SUMPRODUCT(IF((NOT(ISERROR(MATCH(ROW(INDIRECT(DATE(YEAR(B634),MONTH(B634),1)&amp;":"&amp;DATE(YEAR(B634),MONTH(B634)+1,0))),Feriados[Data],0))))=FALSE,
IF(WEEKDAY(ROW(INDIRECT(DATE(YEAR(B634),MONTH(B634),1)&amp;":"&amp;DATE(YEAR(B634),MONTH(B634)+1,0))),2)&lt;=5,1,IF(WEEKDAY(ROW(INDIRECT(DATE(YEAR(B634),MONTH(B634),1)&amp;":"&amp;DATE(YEAR(B634),MONTH(B634)+1,0))),2)=6,0.5,0)),0))</f>
        <v>24</v>
      </c>
      <c r="K634" s="22" cm="1">
        <f t="array" ref="K634">_xlfn.XLOOKUP(1,((Metas_Diarias[[#This Row],[tipo_equipe_id]]=Metas[equipe])*(Metas_Diarias[[#This Row],[data]]&gt;Metas[data_inicio])*(Metas_Diarias[[#This Row],[data]]&lt;Metas[data_fim])),Metas[meta_mensal],0)</f>
        <v>160000</v>
      </c>
      <c r="L63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35" spans="2:12" x14ac:dyDescent="0.3">
      <c r="B635" s="34">
        <v>45924</v>
      </c>
      <c r="C635" s="34" t="str">
        <f>TEXT(Metas_Diarias[[#This Row],[data]],"dddd")</f>
        <v>quarta-feira</v>
      </c>
      <c r="D635" s="33">
        <v>1</v>
      </c>
      <c r="E635" s="33">
        <v>1</v>
      </c>
      <c r="F635" s="18"/>
      <c r="G635" s="35">
        <f>WEEKDAY(Metas_Diarias[[#This Row],[data]])</f>
        <v>4</v>
      </c>
      <c r="H635" s="35">
        <f>IF(Metas_Diarias[[#This Row],[dias_da_demana]]=1,"domingo",IF(Metas_Diarias[[#This Row],[dias_da_demana]]=7,0.5,1))</f>
        <v>1</v>
      </c>
      <c r="I635" s="35">
        <f>_xlfn.XLOOKUP(Metas_Diarias[[#This Row],[data]],Feriados[Data],Feriados[Feriado],1)</f>
        <v>1</v>
      </c>
      <c r="J635" s="33" cm="1">
        <f t="array" aca="1" ref="J635" ca="1">SUMPRODUCT(IF((NOT(ISERROR(MATCH(ROW(INDIRECT(DATE(YEAR(B635),MONTH(B635),1)&amp;":"&amp;DATE(YEAR(B635),MONTH(B635)+1,0))),Feriados[Data],0))))=FALSE,
IF(WEEKDAY(ROW(INDIRECT(DATE(YEAR(B635),MONTH(B635),1)&amp;":"&amp;DATE(YEAR(B635),MONTH(B635)+1,0))),2)&lt;=5,1,IF(WEEKDAY(ROW(INDIRECT(DATE(YEAR(B635),MONTH(B635),1)&amp;":"&amp;DATE(YEAR(B635),MONTH(B635)+1,0))),2)=6,0.5,0)),0))</f>
        <v>24</v>
      </c>
      <c r="K635" s="22" cm="1">
        <f t="array" ref="K635">_xlfn.XLOOKUP(1,((Metas_Diarias[[#This Row],[tipo_equipe_id]]=Metas[equipe])*(Metas_Diarias[[#This Row],[data]]&gt;Metas[data_inicio])*(Metas_Diarias[[#This Row],[data]]&lt;Metas[data_fim])),Metas[meta_mensal],0)</f>
        <v>160000</v>
      </c>
      <c r="L63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36" spans="2:12" x14ac:dyDescent="0.3">
      <c r="B636" s="34">
        <v>45925</v>
      </c>
      <c r="C636" s="34" t="str">
        <f>TEXT(Metas_Diarias[[#This Row],[data]],"dddd")</f>
        <v>quinta-feira</v>
      </c>
      <c r="D636" s="33">
        <v>1</v>
      </c>
      <c r="E636" s="33">
        <v>1</v>
      </c>
      <c r="F636" s="18"/>
      <c r="G636" s="35">
        <f>WEEKDAY(Metas_Diarias[[#This Row],[data]])</f>
        <v>5</v>
      </c>
      <c r="H636" s="35">
        <f>IF(Metas_Diarias[[#This Row],[dias_da_demana]]=1,"domingo",IF(Metas_Diarias[[#This Row],[dias_da_demana]]=7,0.5,1))</f>
        <v>1</v>
      </c>
      <c r="I636" s="35">
        <f>_xlfn.XLOOKUP(Metas_Diarias[[#This Row],[data]],Feriados[Data],Feriados[Feriado],1)</f>
        <v>1</v>
      </c>
      <c r="J636" s="33" cm="1">
        <f t="array" aca="1" ref="J636" ca="1">SUMPRODUCT(IF((NOT(ISERROR(MATCH(ROW(INDIRECT(DATE(YEAR(B636),MONTH(B636),1)&amp;":"&amp;DATE(YEAR(B636),MONTH(B636)+1,0))),Feriados[Data],0))))=FALSE,
IF(WEEKDAY(ROW(INDIRECT(DATE(YEAR(B636),MONTH(B636),1)&amp;":"&amp;DATE(YEAR(B636),MONTH(B636)+1,0))),2)&lt;=5,1,IF(WEEKDAY(ROW(INDIRECT(DATE(YEAR(B636),MONTH(B636),1)&amp;":"&amp;DATE(YEAR(B636),MONTH(B636)+1,0))),2)=6,0.5,0)),0))</f>
        <v>24</v>
      </c>
      <c r="K636" s="22" cm="1">
        <f t="array" ref="K636">_xlfn.XLOOKUP(1,((Metas_Diarias[[#This Row],[tipo_equipe_id]]=Metas[equipe])*(Metas_Diarias[[#This Row],[data]]&gt;Metas[data_inicio])*(Metas_Diarias[[#This Row],[data]]&lt;Metas[data_fim])),Metas[meta_mensal],0)</f>
        <v>160000</v>
      </c>
      <c r="L63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37" spans="2:12" x14ac:dyDescent="0.3">
      <c r="B637" s="34">
        <v>45926</v>
      </c>
      <c r="C637" s="34" t="str">
        <f>TEXT(Metas_Diarias[[#This Row],[data]],"dddd")</f>
        <v>sexta-feira</v>
      </c>
      <c r="D637" s="33">
        <v>1</v>
      </c>
      <c r="E637" s="33">
        <v>1</v>
      </c>
      <c r="F637" s="18"/>
      <c r="G637" s="35">
        <f>WEEKDAY(Metas_Diarias[[#This Row],[data]])</f>
        <v>6</v>
      </c>
      <c r="H637" s="35">
        <f>IF(Metas_Diarias[[#This Row],[dias_da_demana]]=1,"domingo",IF(Metas_Diarias[[#This Row],[dias_da_demana]]=7,0.5,1))</f>
        <v>1</v>
      </c>
      <c r="I637" s="35">
        <f>_xlfn.XLOOKUP(Metas_Diarias[[#This Row],[data]],Feriados[Data],Feriados[Feriado],1)</f>
        <v>1</v>
      </c>
      <c r="J637" s="33" cm="1">
        <f t="array" aca="1" ref="J637" ca="1">SUMPRODUCT(IF((NOT(ISERROR(MATCH(ROW(INDIRECT(DATE(YEAR(B637),MONTH(B637),1)&amp;":"&amp;DATE(YEAR(B637),MONTH(B637)+1,0))),Feriados[Data],0))))=FALSE,
IF(WEEKDAY(ROW(INDIRECT(DATE(YEAR(B637),MONTH(B637),1)&amp;":"&amp;DATE(YEAR(B637),MONTH(B637)+1,0))),2)&lt;=5,1,IF(WEEKDAY(ROW(INDIRECT(DATE(YEAR(B637),MONTH(B637),1)&amp;":"&amp;DATE(YEAR(B637),MONTH(B637)+1,0))),2)=6,0.5,0)),0))</f>
        <v>24</v>
      </c>
      <c r="K637" s="22" cm="1">
        <f t="array" ref="K637">_xlfn.XLOOKUP(1,((Metas_Diarias[[#This Row],[tipo_equipe_id]]=Metas[equipe])*(Metas_Diarias[[#This Row],[data]]&gt;Metas[data_inicio])*(Metas_Diarias[[#This Row],[data]]&lt;Metas[data_fim])),Metas[meta_mensal],0)</f>
        <v>160000</v>
      </c>
      <c r="L63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38" spans="2:12" x14ac:dyDescent="0.3">
      <c r="B638" s="34">
        <v>45927</v>
      </c>
      <c r="C638" s="34" t="str">
        <f>TEXT(Metas_Diarias[[#This Row],[data]],"dddd")</f>
        <v>sábado</v>
      </c>
      <c r="D638" s="33">
        <v>1</v>
      </c>
      <c r="E638" s="33">
        <v>1</v>
      </c>
      <c r="F638" s="18"/>
      <c r="G638" s="35">
        <f>WEEKDAY(Metas_Diarias[[#This Row],[data]])</f>
        <v>7</v>
      </c>
      <c r="H638" s="35">
        <f>IF(Metas_Diarias[[#This Row],[dias_da_demana]]=1,"domingo",IF(Metas_Diarias[[#This Row],[dias_da_demana]]=7,0.5,1))</f>
        <v>0.5</v>
      </c>
      <c r="I638" s="35">
        <f>_xlfn.XLOOKUP(Metas_Diarias[[#This Row],[data]],Feriados[Data],Feriados[Feriado],1)</f>
        <v>1</v>
      </c>
      <c r="J638" s="33" cm="1">
        <f t="array" aca="1" ref="J638" ca="1">SUMPRODUCT(IF((NOT(ISERROR(MATCH(ROW(INDIRECT(DATE(YEAR(B638),MONTH(B638),1)&amp;":"&amp;DATE(YEAR(B638),MONTH(B638)+1,0))),Feriados[Data],0))))=FALSE,
IF(WEEKDAY(ROW(INDIRECT(DATE(YEAR(B638),MONTH(B638),1)&amp;":"&amp;DATE(YEAR(B638),MONTH(B638)+1,0))),2)&lt;=5,1,IF(WEEKDAY(ROW(INDIRECT(DATE(YEAR(B638),MONTH(B638),1)&amp;":"&amp;DATE(YEAR(B638),MONTH(B638)+1,0))),2)=6,0.5,0)),0))</f>
        <v>24</v>
      </c>
      <c r="K638" s="22" cm="1">
        <f t="array" ref="K638">_xlfn.XLOOKUP(1,((Metas_Diarias[[#This Row],[tipo_equipe_id]]=Metas[equipe])*(Metas_Diarias[[#This Row],[data]]&gt;Metas[data_inicio])*(Metas_Diarias[[#This Row],[data]]&lt;Metas[data_fim])),Metas[meta_mensal],0)</f>
        <v>160000</v>
      </c>
      <c r="L638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639" spans="2:12" x14ac:dyDescent="0.3">
      <c r="B639" s="34">
        <v>45928</v>
      </c>
      <c r="C639" s="34" t="str">
        <f>TEXT(Metas_Diarias[[#This Row],[data]],"dddd")</f>
        <v>domingo</v>
      </c>
      <c r="D639" s="33">
        <v>1</v>
      </c>
      <c r="E639" s="33">
        <v>1</v>
      </c>
      <c r="F639" s="18"/>
      <c r="G639" s="35">
        <f>WEEKDAY(Metas_Diarias[[#This Row],[data]])</f>
        <v>1</v>
      </c>
      <c r="H639" s="35" t="str">
        <f>IF(Metas_Diarias[[#This Row],[dias_da_demana]]=1,"domingo",IF(Metas_Diarias[[#This Row],[dias_da_demana]]=7,0.5,1))</f>
        <v>domingo</v>
      </c>
      <c r="I639" s="35">
        <f>_xlfn.XLOOKUP(Metas_Diarias[[#This Row],[data]],Feriados[Data],Feriados[Feriado],1)</f>
        <v>1</v>
      </c>
      <c r="J639" s="33" cm="1">
        <f t="array" aca="1" ref="J639" ca="1">SUMPRODUCT(IF((NOT(ISERROR(MATCH(ROW(INDIRECT(DATE(YEAR(B639),MONTH(B639),1)&amp;":"&amp;DATE(YEAR(B639),MONTH(B639)+1,0))),Feriados[Data],0))))=FALSE,
IF(WEEKDAY(ROW(INDIRECT(DATE(YEAR(B639),MONTH(B639),1)&amp;":"&amp;DATE(YEAR(B639),MONTH(B639)+1,0))),2)&lt;=5,1,IF(WEEKDAY(ROW(INDIRECT(DATE(YEAR(B639),MONTH(B639),1)&amp;":"&amp;DATE(YEAR(B639),MONTH(B639)+1,0))),2)=6,0.5,0)),0))</f>
        <v>24</v>
      </c>
      <c r="K639" s="22" cm="1">
        <f t="array" ref="K639">_xlfn.XLOOKUP(1,((Metas_Diarias[[#This Row],[tipo_equipe_id]]=Metas[equipe])*(Metas_Diarias[[#This Row],[data]]&gt;Metas[data_inicio])*(Metas_Diarias[[#This Row],[data]]&lt;Metas[data_fim])),Metas[meta_mensal],0)</f>
        <v>160000</v>
      </c>
      <c r="L63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40" spans="2:12" x14ac:dyDescent="0.3">
      <c r="B640" s="34">
        <v>45929</v>
      </c>
      <c r="C640" s="34" t="str">
        <f>TEXT(Metas_Diarias[[#This Row],[data]],"dddd")</f>
        <v>segunda-feira</v>
      </c>
      <c r="D640" s="33">
        <v>1</v>
      </c>
      <c r="E640" s="33">
        <v>1</v>
      </c>
      <c r="F640" s="18"/>
      <c r="G640" s="35">
        <f>WEEKDAY(Metas_Diarias[[#This Row],[data]])</f>
        <v>2</v>
      </c>
      <c r="H640" s="35">
        <f>IF(Metas_Diarias[[#This Row],[dias_da_demana]]=1,"domingo",IF(Metas_Diarias[[#This Row],[dias_da_demana]]=7,0.5,1))</f>
        <v>1</v>
      </c>
      <c r="I640" s="35">
        <f>_xlfn.XLOOKUP(Metas_Diarias[[#This Row],[data]],Feriados[Data],Feriados[Feriado],1)</f>
        <v>1</v>
      </c>
      <c r="J640" s="33" cm="1">
        <f t="array" aca="1" ref="J640" ca="1">SUMPRODUCT(IF((NOT(ISERROR(MATCH(ROW(INDIRECT(DATE(YEAR(B640),MONTH(B640),1)&amp;":"&amp;DATE(YEAR(B640),MONTH(B640)+1,0))),Feriados[Data],0))))=FALSE,
IF(WEEKDAY(ROW(INDIRECT(DATE(YEAR(B640),MONTH(B640),1)&amp;":"&amp;DATE(YEAR(B640),MONTH(B640)+1,0))),2)&lt;=5,1,IF(WEEKDAY(ROW(INDIRECT(DATE(YEAR(B640),MONTH(B640),1)&amp;":"&amp;DATE(YEAR(B640),MONTH(B640)+1,0))),2)=6,0.5,0)),0))</f>
        <v>24</v>
      </c>
      <c r="K640" s="22" cm="1">
        <f t="array" ref="K640">_xlfn.XLOOKUP(1,((Metas_Diarias[[#This Row],[tipo_equipe_id]]=Metas[equipe])*(Metas_Diarias[[#This Row],[data]]&gt;Metas[data_inicio])*(Metas_Diarias[[#This Row],[data]]&lt;Metas[data_fim])),Metas[meta_mensal],0)</f>
        <v>160000</v>
      </c>
      <c r="L64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41" spans="2:12" x14ac:dyDescent="0.3">
      <c r="B641" s="34">
        <v>45930</v>
      </c>
      <c r="C641" s="34" t="str">
        <f>TEXT(Metas_Diarias[[#This Row],[data]],"dddd")</f>
        <v>terça-feira</v>
      </c>
      <c r="D641" s="33">
        <v>1</v>
      </c>
      <c r="E641" s="33">
        <v>1</v>
      </c>
      <c r="F641" s="18"/>
      <c r="G641" s="35">
        <f>WEEKDAY(Metas_Diarias[[#This Row],[data]])</f>
        <v>3</v>
      </c>
      <c r="H641" s="35">
        <f>IF(Metas_Diarias[[#This Row],[dias_da_demana]]=1,"domingo",IF(Metas_Diarias[[#This Row],[dias_da_demana]]=7,0.5,1))</f>
        <v>1</v>
      </c>
      <c r="I641" s="35">
        <f>_xlfn.XLOOKUP(Metas_Diarias[[#This Row],[data]],Feriados[Data],Feriados[Feriado],1)</f>
        <v>1</v>
      </c>
      <c r="J641" s="33" cm="1">
        <f t="array" aca="1" ref="J641" ca="1">SUMPRODUCT(IF((NOT(ISERROR(MATCH(ROW(INDIRECT(DATE(YEAR(B641),MONTH(B641),1)&amp;":"&amp;DATE(YEAR(B641),MONTH(B641)+1,0))),Feriados[Data],0))))=FALSE,
IF(WEEKDAY(ROW(INDIRECT(DATE(YEAR(B641),MONTH(B641),1)&amp;":"&amp;DATE(YEAR(B641),MONTH(B641)+1,0))),2)&lt;=5,1,IF(WEEKDAY(ROW(INDIRECT(DATE(YEAR(B641),MONTH(B641),1)&amp;":"&amp;DATE(YEAR(B641),MONTH(B641)+1,0))),2)=6,0.5,0)),0))</f>
        <v>24</v>
      </c>
      <c r="K641" s="22" cm="1">
        <f t="array" ref="K641">_xlfn.XLOOKUP(1,((Metas_Diarias[[#This Row],[tipo_equipe_id]]=Metas[equipe])*(Metas_Diarias[[#This Row],[data]]&gt;Metas[data_inicio])*(Metas_Diarias[[#This Row],[data]]&lt;Metas[data_fim])),Metas[meta_mensal],0)</f>
        <v>160000</v>
      </c>
      <c r="L64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642" spans="2:12" x14ac:dyDescent="0.3">
      <c r="B642" s="34">
        <v>45931</v>
      </c>
      <c r="C642" s="34" t="str">
        <f>TEXT(Metas_Diarias[[#This Row],[data]],"dddd")</f>
        <v>quarta-feira</v>
      </c>
      <c r="D642" s="33">
        <v>1</v>
      </c>
      <c r="E642" s="33">
        <v>1</v>
      </c>
      <c r="F642" s="18"/>
      <c r="G642" s="35">
        <f>WEEKDAY(Metas_Diarias[[#This Row],[data]])</f>
        <v>4</v>
      </c>
      <c r="H642" s="35">
        <f>IF(Metas_Diarias[[#This Row],[dias_da_demana]]=1,"domingo",IF(Metas_Diarias[[#This Row],[dias_da_demana]]=7,0.5,1))</f>
        <v>1</v>
      </c>
      <c r="I642" s="35">
        <f>_xlfn.XLOOKUP(Metas_Diarias[[#This Row],[data]],Feriados[Data],Feriados[Feriado],1)</f>
        <v>1</v>
      </c>
      <c r="J642" s="33" cm="1">
        <f t="array" aca="1" ref="J642" ca="1">SUMPRODUCT(IF((NOT(ISERROR(MATCH(ROW(INDIRECT(DATE(YEAR(B642),MONTH(B642),1)&amp;":"&amp;DATE(YEAR(B642),MONTH(B642)+1,0))),Feriados[Data],0))))=FALSE,
IF(WEEKDAY(ROW(INDIRECT(DATE(YEAR(B642),MONTH(B642),1)&amp;":"&amp;DATE(YEAR(B642),MONTH(B642)+1,0))),2)&lt;=5,1,IF(WEEKDAY(ROW(INDIRECT(DATE(YEAR(B642),MONTH(B642),1)&amp;":"&amp;DATE(YEAR(B642),MONTH(B642)+1,0))),2)=6,0.5,0)),0))</f>
        <v>25</v>
      </c>
      <c r="K642" s="22" cm="1">
        <f t="array" ref="K642">_xlfn.XLOOKUP(1,((Metas_Diarias[[#This Row],[tipo_equipe_id]]=Metas[equipe])*(Metas_Diarias[[#This Row],[data]]&gt;Metas[data_inicio])*(Metas_Diarias[[#This Row],[data]]&lt;Metas[data_fim])),Metas[meta_mensal],0)</f>
        <v>160000</v>
      </c>
      <c r="L642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43" spans="2:12" x14ac:dyDescent="0.3">
      <c r="B643" s="34">
        <v>45932</v>
      </c>
      <c r="C643" s="34" t="str">
        <f>TEXT(Metas_Diarias[[#This Row],[data]],"dddd")</f>
        <v>quinta-feira</v>
      </c>
      <c r="D643" s="33">
        <v>1</v>
      </c>
      <c r="E643" s="33">
        <v>1</v>
      </c>
      <c r="F643" s="18"/>
      <c r="G643" s="35">
        <f>WEEKDAY(Metas_Diarias[[#This Row],[data]])</f>
        <v>5</v>
      </c>
      <c r="H643" s="35">
        <f>IF(Metas_Diarias[[#This Row],[dias_da_demana]]=1,"domingo",IF(Metas_Diarias[[#This Row],[dias_da_demana]]=7,0.5,1))</f>
        <v>1</v>
      </c>
      <c r="I643" s="35">
        <f>_xlfn.XLOOKUP(Metas_Diarias[[#This Row],[data]],Feriados[Data],Feriados[Feriado],1)</f>
        <v>1</v>
      </c>
      <c r="J643" s="33" cm="1">
        <f t="array" aca="1" ref="J643" ca="1">SUMPRODUCT(IF((NOT(ISERROR(MATCH(ROW(INDIRECT(DATE(YEAR(B643),MONTH(B643),1)&amp;":"&amp;DATE(YEAR(B643),MONTH(B643)+1,0))),Feriados[Data],0))))=FALSE,
IF(WEEKDAY(ROW(INDIRECT(DATE(YEAR(B643),MONTH(B643),1)&amp;":"&amp;DATE(YEAR(B643),MONTH(B643)+1,0))),2)&lt;=5,1,IF(WEEKDAY(ROW(INDIRECT(DATE(YEAR(B643),MONTH(B643),1)&amp;":"&amp;DATE(YEAR(B643),MONTH(B643)+1,0))),2)=6,0.5,0)),0))</f>
        <v>25</v>
      </c>
      <c r="K643" s="22" cm="1">
        <f t="array" ref="K643">_xlfn.XLOOKUP(1,((Metas_Diarias[[#This Row],[tipo_equipe_id]]=Metas[equipe])*(Metas_Diarias[[#This Row],[data]]&gt;Metas[data_inicio])*(Metas_Diarias[[#This Row],[data]]&lt;Metas[data_fim])),Metas[meta_mensal],0)</f>
        <v>160000</v>
      </c>
      <c r="L643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44" spans="2:12" x14ac:dyDescent="0.3">
      <c r="B644" s="34">
        <v>45933</v>
      </c>
      <c r="C644" s="34" t="str">
        <f>TEXT(Metas_Diarias[[#This Row],[data]],"dddd")</f>
        <v>sexta-feira</v>
      </c>
      <c r="D644" s="33">
        <v>1</v>
      </c>
      <c r="E644" s="33">
        <v>1</v>
      </c>
      <c r="F644" s="18"/>
      <c r="G644" s="35">
        <f>WEEKDAY(Metas_Diarias[[#This Row],[data]])</f>
        <v>6</v>
      </c>
      <c r="H644" s="35">
        <f>IF(Metas_Diarias[[#This Row],[dias_da_demana]]=1,"domingo",IF(Metas_Diarias[[#This Row],[dias_da_demana]]=7,0.5,1))</f>
        <v>1</v>
      </c>
      <c r="I644" s="35">
        <f>_xlfn.XLOOKUP(Metas_Diarias[[#This Row],[data]],Feriados[Data],Feriados[Feriado],1)</f>
        <v>1</v>
      </c>
      <c r="J644" s="33" cm="1">
        <f t="array" aca="1" ref="J644" ca="1">SUMPRODUCT(IF((NOT(ISERROR(MATCH(ROW(INDIRECT(DATE(YEAR(B644),MONTH(B644),1)&amp;":"&amp;DATE(YEAR(B644),MONTH(B644)+1,0))),Feriados[Data],0))))=FALSE,
IF(WEEKDAY(ROW(INDIRECT(DATE(YEAR(B644),MONTH(B644),1)&amp;":"&amp;DATE(YEAR(B644),MONTH(B644)+1,0))),2)&lt;=5,1,IF(WEEKDAY(ROW(INDIRECT(DATE(YEAR(B644),MONTH(B644),1)&amp;":"&amp;DATE(YEAR(B644),MONTH(B644)+1,0))),2)=6,0.5,0)),0))</f>
        <v>25</v>
      </c>
      <c r="K644" s="22" cm="1">
        <f t="array" ref="K644">_xlfn.XLOOKUP(1,((Metas_Diarias[[#This Row],[tipo_equipe_id]]=Metas[equipe])*(Metas_Diarias[[#This Row],[data]]&gt;Metas[data_inicio])*(Metas_Diarias[[#This Row],[data]]&lt;Metas[data_fim])),Metas[meta_mensal],0)</f>
        <v>160000</v>
      </c>
      <c r="L644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45" spans="2:12" x14ac:dyDescent="0.3">
      <c r="B645" s="34">
        <v>45934</v>
      </c>
      <c r="C645" s="34" t="str">
        <f>TEXT(Metas_Diarias[[#This Row],[data]],"dddd")</f>
        <v>sábado</v>
      </c>
      <c r="D645" s="33">
        <v>1</v>
      </c>
      <c r="E645" s="33">
        <v>1</v>
      </c>
      <c r="F645" s="18"/>
      <c r="G645" s="35">
        <f>WEEKDAY(Metas_Diarias[[#This Row],[data]])</f>
        <v>7</v>
      </c>
      <c r="H645" s="35">
        <f>IF(Metas_Diarias[[#This Row],[dias_da_demana]]=1,"domingo",IF(Metas_Diarias[[#This Row],[dias_da_demana]]=7,0.5,1))</f>
        <v>0.5</v>
      </c>
      <c r="I645" s="35">
        <f>_xlfn.XLOOKUP(Metas_Diarias[[#This Row],[data]],Feriados[Data],Feriados[Feriado],1)</f>
        <v>1</v>
      </c>
      <c r="J645" s="33" cm="1">
        <f t="array" aca="1" ref="J645" ca="1">SUMPRODUCT(IF((NOT(ISERROR(MATCH(ROW(INDIRECT(DATE(YEAR(B645),MONTH(B645),1)&amp;":"&amp;DATE(YEAR(B645),MONTH(B645)+1,0))),Feriados[Data],0))))=FALSE,
IF(WEEKDAY(ROW(INDIRECT(DATE(YEAR(B645),MONTH(B645),1)&amp;":"&amp;DATE(YEAR(B645),MONTH(B645)+1,0))),2)&lt;=5,1,IF(WEEKDAY(ROW(INDIRECT(DATE(YEAR(B645),MONTH(B645),1)&amp;":"&amp;DATE(YEAR(B645),MONTH(B645)+1,0))),2)=6,0.5,0)),0))</f>
        <v>25</v>
      </c>
      <c r="K645" s="22" cm="1">
        <f t="array" ref="K645">_xlfn.XLOOKUP(1,((Metas_Diarias[[#This Row],[tipo_equipe_id]]=Metas[equipe])*(Metas_Diarias[[#This Row],[data]]&gt;Metas[data_inicio])*(Metas_Diarias[[#This Row],[data]]&lt;Metas[data_fim])),Metas[meta_mensal],0)</f>
        <v>160000</v>
      </c>
      <c r="L645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646" spans="2:12" x14ac:dyDescent="0.3">
      <c r="B646" s="34">
        <v>45935</v>
      </c>
      <c r="C646" s="34" t="str">
        <f>TEXT(Metas_Diarias[[#This Row],[data]],"dddd")</f>
        <v>domingo</v>
      </c>
      <c r="D646" s="33">
        <v>1</v>
      </c>
      <c r="E646" s="33">
        <v>1</v>
      </c>
      <c r="F646" s="18"/>
      <c r="G646" s="35">
        <f>WEEKDAY(Metas_Diarias[[#This Row],[data]])</f>
        <v>1</v>
      </c>
      <c r="H646" s="35" t="str">
        <f>IF(Metas_Diarias[[#This Row],[dias_da_demana]]=1,"domingo",IF(Metas_Diarias[[#This Row],[dias_da_demana]]=7,0.5,1))</f>
        <v>domingo</v>
      </c>
      <c r="I646" s="35">
        <f>_xlfn.XLOOKUP(Metas_Diarias[[#This Row],[data]],Feriados[Data],Feriados[Feriado],1)</f>
        <v>1</v>
      </c>
      <c r="J646" s="33" cm="1">
        <f t="array" aca="1" ref="J646" ca="1">SUMPRODUCT(IF((NOT(ISERROR(MATCH(ROW(INDIRECT(DATE(YEAR(B646),MONTH(B646),1)&amp;":"&amp;DATE(YEAR(B646),MONTH(B646)+1,0))),Feriados[Data],0))))=FALSE,
IF(WEEKDAY(ROW(INDIRECT(DATE(YEAR(B646),MONTH(B646),1)&amp;":"&amp;DATE(YEAR(B646),MONTH(B646)+1,0))),2)&lt;=5,1,IF(WEEKDAY(ROW(INDIRECT(DATE(YEAR(B646),MONTH(B646),1)&amp;":"&amp;DATE(YEAR(B646),MONTH(B646)+1,0))),2)=6,0.5,0)),0))</f>
        <v>25</v>
      </c>
      <c r="K646" s="22" cm="1">
        <f t="array" ref="K646">_xlfn.XLOOKUP(1,((Metas_Diarias[[#This Row],[tipo_equipe_id]]=Metas[equipe])*(Metas_Diarias[[#This Row],[data]]&gt;Metas[data_inicio])*(Metas_Diarias[[#This Row],[data]]&lt;Metas[data_fim])),Metas[meta_mensal],0)</f>
        <v>160000</v>
      </c>
      <c r="L64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47" spans="2:12" x14ac:dyDescent="0.3">
      <c r="B647" s="34">
        <v>45936</v>
      </c>
      <c r="C647" s="34" t="str">
        <f>TEXT(Metas_Diarias[[#This Row],[data]],"dddd")</f>
        <v>segunda-feira</v>
      </c>
      <c r="D647" s="33">
        <v>1</v>
      </c>
      <c r="E647" s="33">
        <v>1</v>
      </c>
      <c r="F647" s="18"/>
      <c r="G647" s="35">
        <f>WEEKDAY(Metas_Diarias[[#This Row],[data]])</f>
        <v>2</v>
      </c>
      <c r="H647" s="35">
        <f>IF(Metas_Diarias[[#This Row],[dias_da_demana]]=1,"domingo",IF(Metas_Diarias[[#This Row],[dias_da_demana]]=7,0.5,1))</f>
        <v>1</v>
      </c>
      <c r="I647" s="35">
        <f>_xlfn.XLOOKUP(Metas_Diarias[[#This Row],[data]],Feriados[Data],Feriados[Feriado],1)</f>
        <v>1</v>
      </c>
      <c r="J647" s="33" cm="1">
        <f t="array" aca="1" ref="J647" ca="1">SUMPRODUCT(IF((NOT(ISERROR(MATCH(ROW(INDIRECT(DATE(YEAR(B647),MONTH(B647),1)&amp;":"&amp;DATE(YEAR(B647),MONTH(B647)+1,0))),Feriados[Data],0))))=FALSE,
IF(WEEKDAY(ROW(INDIRECT(DATE(YEAR(B647),MONTH(B647),1)&amp;":"&amp;DATE(YEAR(B647),MONTH(B647)+1,0))),2)&lt;=5,1,IF(WEEKDAY(ROW(INDIRECT(DATE(YEAR(B647),MONTH(B647),1)&amp;":"&amp;DATE(YEAR(B647),MONTH(B647)+1,0))),2)=6,0.5,0)),0))</f>
        <v>25</v>
      </c>
      <c r="K647" s="22" cm="1">
        <f t="array" ref="K647">_xlfn.XLOOKUP(1,((Metas_Diarias[[#This Row],[tipo_equipe_id]]=Metas[equipe])*(Metas_Diarias[[#This Row],[data]]&gt;Metas[data_inicio])*(Metas_Diarias[[#This Row],[data]]&lt;Metas[data_fim])),Metas[meta_mensal],0)</f>
        <v>160000</v>
      </c>
      <c r="L647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48" spans="2:12" x14ac:dyDescent="0.3">
      <c r="B648" s="34">
        <v>45937</v>
      </c>
      <c r="C648" s="34" t="str">
        <f>TEXT(Metas_Diarias[[#This Row],[data]],"dddd")</f>
        <v>terça-feira</v>
      </c>
      <c r="D648" s="33">
        <v>1</v>
      </c>
      <c r="E648" s="33">
        <v>1</v>
      </c>
      <c r="F648" s="18"/>
      <c r="G648" s="35">
        <f>WEEKDAY(Metas_Diarias[[#This Row],[data]])</f>
        <v>3</v>
      </c>
      <c r="H648" s="35">
        <f>IF(Metas_Diarias[[#This Row],[dias_da_demana]]=1,"domingo",IF(Metas_Diarias[[#This Row],[dias_da_demana]]=7,0.5,1))</f>
        <v>1</v>
      </c>
      <c r="I648" s="35">
        <f>_xlfn.XLOOKUP(Metas_Diarias[[#This Row],[data]],Feriados[Data],Feriados[Feriado],1)</f>
        <v>1</v>
      </c>
      <c r="J648" s="33" cm="1">
        <f t="array" aca="1" ref="J648" ca="1">SUMPRODUCT(IF((NOT(ISERROR(MATCH(ROW(INDIRECT(DATE(YEAR(B648),MONTH(B648),1)&amp;":"&amp;DATE(YEAR(B648),MONTH(B648)+1,0))),Feriados[Data],0))))=FALSE,
IF(WEEKDAY(ROW(INDIRECT(DATE(YEAR(B648),MONTH(B648),1)&amp;":"&amp;DATE(YEAR(B648),MONTH(B648)+1,0))),2)&lt;=5,1,IF(WEEKDAY(ROW(INDIRECT(DATE(YEAR(B648),MONTH(B648),1)&amp;":"&amp;DATE(YEAR(B648),MONTH(B648)+1,0))),2)=6,0.5,0)),0))</f>
        <v>25</v>
      </c>
      <c r="K648" s="22" cm="1">
        <f t="array" ref="K648">_xlfn.XLOOKUP(1,((Metas_Diarias[[#This Row],[tipo_equipe_id]]=Metas[equipe])*(Metas_Diarias[[#This Row],[data]]&gt;Metas[data_inicio])*(Metas_Diarias[[#This Row],[data]]&lt;Metas[data_fim])),Metas[meta_mensal],0)</f>
        <v>160000</v>
      </c>
      <c r="L648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49" spans="2:12" x14ac:dyDescent="0.3">
      <c r="B649" s="34">
        <v>45938</v>
      </c>
      <c r="C649" s="34" t="str">
        <f>TEXT(Metas_Diarias[[#This Row],[data]],"dddd")</f>
        <v>quarta-feira</v>
      </c>
      <c r="D649" s="33">
        <v>1</v>
      </c>
      <c r="E649" s="33">
        <v>1</v>
      </c>
      <c r="F649" s="18"/>
      <c r="G649" s="35">
        <f>WEEKDAY(Metas_Diarias[[#This Row],[data]])</f>
        <v>4</v>
      </c>
      <c r="H649" s="35">
        <f>IF(Metas_Diarias[[#This Row],[dias_da_demana]]=1,"domingo",IF(Metas_Diarias[[#This Row],[dias_da_demana]]=7,0.5,1))</f>
        <v>1</v>
      </c>
      <c r="I649" s="35">
        <f>_xlfn.XLOOKUP(Metas_Diarias[[#This Row],[data]],Feriados[Data],Feriados[Feriado],1)</f>
        <v>1</v>
      </c>
      <c r="J649" s="33" cm="1">
        <f t="array" aca="1" ref="J649" ca="1">SUMPRODUCT(IF((NOT(ISERROR(MATCH(ROW(INDIRECT(DATE(YEAR(B649),MONTH(B649),1)&amp;":"&amp;DATE(YEAR(B649),MONTH(B649)+1,0))),Feriados[Data],0))))=FALSE,
IF(WEEKDAY(ROW(INDIRECT(DATE(YEAR(B649),MONTH(B649),1)&amp;":"&amp;DATE(YEAR(B649),MONTH(B649)+1,0))),2)&lt;=5,1,IF(WEEKDAY(ROW(INDIRECT(DATE(YEAR(B649),MONTH(B649),1)&amp;":"&amp;DATE(YEAR(B649),MONTH(B649)+1,0))),2)=6,0.5,0)),0))</f>
        <v>25</v>
      </c>
      <c r="K649" s="22" cm="1">
        <f t="array" ref="K649">_xlfn.XLOOKUP(1,((Metas_Diarias[[#This Row],[tipo_equipe_id]]=Metas[equipe])*(Metas_Diarias[[#This Row],[data]]&gt;Metas[data_inicio])*(Metas_Diarias[[#This Row],[data]]&lt;Metas[data_fim])),Metas[meta_mensal],0)</f>
        <v>160000</v>
      </c>
      <c r="L649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50" spans="2:12" x14ac:dyDescent="0.3">
      <c r="B650" s="34">
        <v>45939</v>
      </c>
      <c r="C650" s="34" t="str">
        <f>TEXT(Metas_Diarias[[#This Row],[data]],"dddd")</f>
        <v>quinta-feira</v>
      </c>
      <c r="D650" s="33">
        <v>1</v>
      </c>
      <c r="E650" s="33">
        <v>1</v>
      </c>
      <c r="F650" s="18"/>
      <c r="G650" s="35">
        <f>WEEKDAY(Metas_Diarias[[#This Row],[data]])</f>
        <v>5</v>
      </c>
      <c r="H650" s="35">
        <f>IF(Metas_Diarias[[#This Row],[dias_da_demana]]=1,"domingo",IF(Metas_Diarias[[#This Row],[dias_da_demana]]=7,0.5,1))</f>
        <v>1</v>
      </c>
      <c r="I650" s="35">
        <f>_xlfn.XLOOKUP(Metas_Diarias[[#This Row],[data]],Feriados[Data],Feriados[Feriado],1)</f>
        <v>1</v>
      </c>
      <c r="J650" s="33" cm="1">
        <f t="array" aca="1" ref="J650" ca="1">SUMPRODUCT(IF((NOT(ISERROR(MATCH(ROW(INDIRECT(DATE(YEAR(B650),MONTH(B650),1)&amp;":"&amp;DATE(YEAR(B650),MONTH(B650)+1,0))),Feriados[Data],0))))=FALSE,
IF(WEEKDAY(ROW(INDIRECT(DATE(YEAR(B650),MONTH(B650),1)&amp;":"&amp;DATE(YEAR(B650),MONTH(B650)+1,0))),2)&lt;=5,1,IF(WEEKDAY(ROW(INDIRECT(DATE(YEAR(B650),MONTH(B650),1)&amp;":"&amp;DATE(YEAR(B650),MONTH(B650)+1,0))),2)=6,0.5,0)),0))</f>
        <v>25</v>
      </c>
      <c r="K650" s="22" cm="1">
        <f t="array" ref="K650">_xlfn.XLOOKUP(1,((Metas_Diarias[[#This Row],[tipo_equipe_id]]=Metas[equipe])*(Metas_Diarias[[#This Row],[data]]&gt;Metas[data_inicio])*(Metas_Diarias[[#This Row],[data]]&lt;Metas[data_fim])),Metas[meta_mensal],0)</f>
        <v>160000</v>
      </c>
      <c r="L650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51" spans="2:12" x14ac:dyDescent="0.3">
      <c r="B651" s="34">
        <v>45940</v>
      </c>
      <c r="C651" s="34" t="str">
        <f>TEXT(Metas_Diarias[[#This Row],[data]],"dddd")</f>
        <v>sexta-feira</v>
      </c>
      <c r="D651" s="33">
        <v>1</v>
      </c>
      <c r="E651" s="33">
        <v>1</v>
      </c>
      <c r="F651" s="18"/>
      <c r="G651" s="35">
        <f>WEEKDAY(Metas_Diarias[[#This Row],[data]])</f>
        <v>6</v>
      </c>
      <c r="H651" s="35">
        <f>IF(Metas_Diarias[[#This Row],[dias_da_demana]]=1,"domingo",IF(Metas_Diarias[[#This Row],[dias_da_demana]]=7,0.5,1))</f>
        <v>1</v>
      </c>
      <c r="I651" s="35">
        <f>_xlfn.XLOOKUP(Metas_Diarias[[#This Row],[data]],Feriados[Data],Feriados[Feriado],1)</f>
        <v>1</v>
      </c>
      <c r="J651" s="33" cm="1">
        <f t="array" aca="1" ref="J651" ca="1">SUMPRODUCT(IF((NOT(ISERROR(MATCH(ROW(INDIRECT(DATE(YEAR(B651),MONTH(B651),1)&amp;":"&amp;DATE(YEAR(B651),MONTH(B651)+1,0))),Feriados[Data],0))))=FALSE,
IF(WEEKDAY(ROW(INDIRECT(DATE(YEAR(B651),MONTH(B651),1)&amp;":"&amp;DATE(YEAR(B651),MONTH(B651)+1,0))),2)&lt;=5,1,IF(WEEKDAY(ROW(INDIRECT(DATE(YEAR(B651),MONTH(B651),1)&amp;":"&amp;DATE(YEAR(B651),MONTH(B651)+1,0))),2)=6,0.5,0)),0))</f>
        <v>25</v>
      </c>
      <c r="K651" s="22" cm="1">
        <f t="array" ref="K651">_xlfn.XLOOKUP(1,((Metas_Diarias[[#This Row],[tipo_equipe_id]]=Metas[equipe])*(Metas_Diarias[[#This Row],[data]]&gt;Metas[data_inicio])*(Metas_Diarias[[#This Row],[data]]&lt;Metas[data_fim])),Metas[meta_mensal],0)</f>
        <v>160000</v>
      </c>
      <c r="L651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52" spans="2:12" x14ac:dyDescent="0.3">
      <c r="B652" s="34">
        <v>45941</v>
      </c>
      <c r="C652" s="34" t="str">
        <f>TEXT(Metas_Diarias[[#This Row],[data]],"dddd")</f>
        <v>sábado</v>
      </c>
      <c r="D652" s="33">
        <v>1</v>
      </c>
      <c r="E652" s="33">
        <v>1</v>
      </c>
      <c r="F652" s="18"/>
      <c r="G652" s="35">
        <f>WEEKDAY(Metas_Diarias[[#This Row],[data]])</f>
        <v>7</v>
      </c>
      <c r="H652" s="35">
        <f>IF(Metas_Diarias[[#This Row],[dias_da_demana]]=1,"domingo",IF(Metas_Diarias[[#This Row],[dias_da_demana]]=7,0.5,1))</f>
        <v>0.5</v>
      </c>
      <c r="I652" s="35">
        <f>_xlfn.XLOOKUP(Metas_Diarias[[#This Row],[data]],Feriados[Data],Feriados[Feriado],1)</f>
        <v>1</v>
      </c>
      <c r="J652" s="33" cm="1">
        <f t="array" aca="1" ref="J652" ca="1">SUMPRODUCT(IF((NOT(ISERROR(MATCH(ROW(INDIRECT(DATE(YEAR(B652),MONTH(B652),1)&amp;":"&amp;DATE(YEAR(B652),MONTH(B652)+1,0))),Feriados[Data],0))))=FALSE,
IF(WEEKDAY(ROW(INDIRECT(DATE(YEAR(B652),MONTH(B652),1)&amp;":"&amp;DATE(YEAR(B652),MONTH(B652)+1,0))),2)&lt;=5,1,IF(WEEKDAY(ROW(INDIRECT(DATE(YEAR(B652),MONTH(B652),1)&amp;":"&amp;DATE(YEAR(B652),MONTH(B652)+1,0))),2)=6,0.5,0)),0))</f>
        <v>25</v>
      </c>
      <c r="K652" s="22" cm="1">
        <f t="array" ref="K652">_xlfn.XLOOKUP(1,((Metas_Diarias[[#This Row],[tipo_equipe_id]]=Metas[equipe])*(Metas_Diarias[[#This Row],[data]]&gt;Metas[data_inicio])*(Metas_Diarias[[#This Row],[data]]&lt;Metas[data_fim])),Metas[meta_mensal],0)</f>
        <v>160000</v>
      </c>
      <c r="L652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653" spans="2:12" x14ac:dyDescent="0.3">
      <c r="B653" s="34">
        <v>45942</v>
      </c>
      <c r="C653" s="34" t="str">
        <f>TEXT(Metas_Diarias[[#This Row],[data]],"dddd")</f>
        <v>domingo</v>
      </c>
      <c r="D653" s="33">
        <v>1</v>
      </c>
      <c r="E653" s="33">
        <v>1</v>
      </c>
      <c r="F653" s="18"/>
      <c r="G653" s="35">
        <f>WEEKDAY(Metas_Diarias[[#This Row],[data]])</f>
        <v>1</v>
      </c>
      <c r="H653" s="35" t="str">
        <f>IF(Metas_Diarias[[#This Row],[dias_da_demana]]=1,"domingo",IF(Metas_Diarias[[#This Row],[dias_da_demana]]=7,0.5,1))</f>
        <v>domingo</v>
      </c>
      <c r="I653" s="35" t="str">
        <f>_xlfn.XLOOKUP(Metas_Diarias[[#This Row],[data]],Feriados[Data],Feriados[Feriado],1)</f>
        <v>Nossa Sr.a Aparecida - Padroeira do Brasil</v>
      </c>
      <c r="J653" s="33" cm="1">
        <f t="array" aca="1" ref="J653" ca="1">SUMPRODUCT(IF((NOT(ISERROR(MATCH(ROW(INDIRECT(DATE(YEAR(B653),MONTH(B653),1)&amp;":"&amp;DATE(YEAR(B653),MONTH(B653)+1,0))),Feriados[Data],0))))=FALSE,
IF(WEEKDAY(ROW(INDIRECT(DATE(YEAR(B653),MONTH(B653),1)&amp;":"&amp;DATE(YEAR(B653),MONTH(B653)+1,0))),2)&lt;=5,1,IF(WEEKDAY(ROW(INDIRECT(DATE(YEAR(B653),MONTH(B653),1)&amp;":"&amp;DATE(YEAR(B653),MONTH(B653)+1,0))),2)=6,0.5,0)),0))</f>
        <v>25</v>
      </c>
      <c r="K653" s="22" cm="1">
        <f t="array" ref="K653">_xlfn.XLOOKUP(1,((Metas_Diarias[[#This Row],[tipo_equipe_id]]=Metas[equipe])*(Metas_Diarias[[#This Row],[data]]&gt;Metas[data_inicio])*(Metas_Diarias[[#This Row],[data]]&lt;Metas[data_fim])),Metas[meta_mensal],0)</f>
        <v>160000</v>
      </c>
      <c r="L65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54" spans="2:12" x14ac:dyDescent="0.3">
      <c r="B654" s="34">
        <v>45943</v>
      </c>
      <c r="C654" s="34" t="str">
        <f>TEXT(Metas_Diarias[[#This Row],[data]],"dddd")</f>
        <v>segunda-feira</v>
      </c>
      <c r="D654" s="33">
        <v>1</v>
      </c>
      <c r="E654" s="33">
        <v>1</v>
      </c>
      <c r="F654" s="18"/>
      <c r="G654" s="35">
        <f>WEEKDAY(Metas_Diarias[[#This Row],[data]])</f>
        <v>2</v>
      </c>
      <c r="H654" s="35">
        <f>IF(Metas_Diarias[[#This Row],[dias_da_demana]]=1,"domingo",IF(Metas_Diarias[[#This Row],[dias_da_demana]]=7,0.5,1))</f>
        <v>1</v>
      </c>
      <c r="I654" s="35">
        <f>_xlfn.XLOOKUP(Metas_Diarias[[#This Row],[data]],Feriados[Data],Feriados[Feriado],1)</f>
        <v>1</v>
      </c>
      <c r="J654" s="33" cm="1">
        <f t="array" aca="1" ref="J654" ca="1">SUMPRODUCT(IF((NOT(ISERROR(MATCH(ROW(INDIRECT(DATE(YEAR(B654),MONTH(B654),1)&amp;":"&amp;DATE(YEAR(B654),MONTH(B654)+1,0))),Feriados[Data],0))))=FALSE,
IF(WEEKDAY(ROW(INDIRECT(DATE(YEAR(B654),MONTH(B654),1)&amp;":"&amp;DATE(YEAR(B654),MONTH(B654)+1,0))),2)&lt;=5,1,IF(WEEKDAY(ROW(INDIRECT(DATE(YEAR(B654),MONTH(B654),1)&amp;":"&amp;DATE(YEAR(B654),MONTH(B654)+1,0))),2)=6,0.5,0)),0))</f>
        <v>25</v>
      </c>
      <c r="K654" s="22" cm="1">
        <f t="array" ref="K654">_xlfn.XLOOKUP(1,((Metas_Diarias[[#This Row],[tipo_equipe_id]]=Metas[equipe])*(Metas_Diarias[[#This Row],[data]]&gt;Metas[data_inicio])*(Metas_Diarias[[#This Row],[data]]&lt;Metas[data_fim])),Metas[meta_mensal],0)</f>
        <v>160000</v>
      </c>
      <c r="L654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55" spans="2:12" x14ac:dyDescent="0.3">
      <c r="B655" s="34">
        <v>45944</v>
      </c>
      <c r="C655" s="34" t="str">
        <f>TEXT(Metas_Diarias[[#This Row],[data]],"dddd")</f>
        <v>terça-feira</v>
      </c>
      <c r="D655" s="33">
        <v>1</v>
      </c>
      <c r="E655" s="33">
        <v>1</v>
      </c>
      <c r="F655" s="18"/>
      <c r="G655" s="35">
        <f>WEEKDAY(Metas_Diarias[[#This Row],[data]])</f>
        <v>3</v>
      </c>
      <c r="H655" s="35">
        <f>IF(Metas_Diarias[[#This Row],[dias_da_demana]]=1,"domingo",IF(Metas_Diarias[[#This Row],[dias_da_demana]]=7,0.5,1))</f>
        <v>1</v>
      </c>
      <c r="I655" s="35">
        <f>_xlfn.XLOOKUP(Metas_Diarias[[#This Row],[data]],Feriados[Data],Feriados[Feriado],1)</f>
        <v>1</v>
      </c>
      <c r="J655" s="33" cm="1">
        <f t="array" aca="1" ref="J655" ca="1">SUMPRODUCT(IF((NOT(ISERROR(MATCH(ROW(INDIRECT(DATE(YEAR(B655),MONTH(B655),1)&amp;":"&amp;DATE(YEAR(B655),MONTH(B655)+1,0))),Feriados[Data],0))))=FALSE,
IF(WEEKDAY(ROW(INDIRECT(DATE(YEAR(B655),MONTH(B655),1)&amp;":"&amp;DATE(YEAR(B655),MONTH(B655)+1,0))),2)&lt;=5,1,IF(WEEKDAY(ROW(INDIRECT(DATE(YEAR(B655),MONTH(B655),1)&amp;":"&amp;DATE(YEAR(B655),MONTH(B655)+1,0))),2)=6,0.5,0)),0))</f>
        <v>25</v>
      </c>
      <c r="K655" s="22" cm="1">
        <f t="array" ref="K655">_xlfn.XLOOKUP(1,((Metas_Diarias[[#This Row],[tipo_equipe_id]]=Metas[equipe])*(Metas_Diarias[[#This Row],[data]]&gt;Metas[data_inicio])*(Metas_Diarias[[#This Row],[data]]&lt;Metas[data_fim])),Metas[meta_mensal],0)</f>
        <v>160000</v>
      </c>
      <c r="L655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56" spans="2:12" x14ac:dyDescent="0.3">
      <c r="B656" s="34">
        <v>45945</v>
      </c>
      <c r="C656" s="34" t="str">
        <f>TEXT(Metas_Diarias[[#This Row],[data]],"dddd")</f>
        <v>quarta-feira</v>
      </c>
      <c r="D656" s="33">
        <v>1</v>
      </c>
      <c r="E656" s="33">
        <v>1</v>
      </c>
      <c r="F656" s="18"/>
      <c r="G656" s="35">
        <f>WEEKDAY(Metas_Diarias[[#This Row],[data]])</f>
        <v>4</v>
      </c>
      <c r="H656" s="35">
        <f>IF(Metas_Diarias[[#This Row],[dias_da_demana]]=1,"domingo",IF(Metas_Diarias[[#This Row],[dias_da_demana]]=7,0.5,1))</f>
        <v>1</v>
      </c>
      <c r="I656" s="35">
        <f>_xlfn.XLOOKUP(Metas_Diarias[[#This Row],[data]],Feriados[Data],Feriados[Feriado],1)</f>
        <v>1</v>
      </c>
      <c r="J656" s="33" cm="1">
        <f t="array" aca="1" ref="J656" ca="1">SUMPRODUCT(IF((NOT(ISERROR(MATCH(ROW(INDIRECT(DATE(YEAR(B656),MONTH(B656),1)&amp;":"&amp;DATE(YEAR(B656),MONTH(B656)+1,0))),Feriados[Data],0))))=FALSE,
IF(WEEKDAY(ROW(INDIRECT(DATE(YEAR(B656),MONTH(B656),1)&amp;":"&amp;DATE(YEAR(B656),MONTH(B656)+1,0))),2)&lt;=5,1,IF(WEEKDAY(ROW(INDIRECT(DATE(YEAR(B656),MONTH(B656),1)&amp;":"&amp;DATE(YEAR(B656),MONTH(B656)+1,0))),2)=6,0.5,0)),0))</f>
        <v>25</v>
      </c>
      <c r="K656" s="22" cm="1">
        <f t="array" ref="K656">_xlfn.XLOOKUP(1,((Metas_Diarias[[#This Row],[tipo_equipe_id]]=Metas[equipe])*(Metas_Diarias[[#This Row],[data]]&gt;Metas[data_inicio])*(Metas_Diarias[[#This Row],[data]]&lt;Metas[data_fim])),Metas[meta_mensal],0)</f>
        <v>160000</v>
      </c>
      <c r="L656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57" spans="2:12" x14ac:dyDescent="0.3">
      <c r="B657" s="34">
        <v>45946</v>
      </c>
      <c r="C657" s="34" t="str">
        <f>TEXT(Metas_Diarias[[#This Row],[data]],"dddd")</f>
        <v>quinta-feira</v>
      </c>
      <c r="D657" s="33">
        <v>1</v>
      </c>
      <c r="E657" s="33">
        <v>1</v>
      </c>
      <c r="F657" s="18"/>
      <c r="G657" s="35">
        <f>WEEKDAY(Metas_Diarias[[#This Row],[data]])</f>
        <v>5</v>
      </c>
      <c r="H657" s="35">
        <f>IF(Metas_Diarias[[#This Row],[dias_da_demana]]=1,"domingo",IF(Metas_Diarias[[#This Row],[dias_da_demana]]=7,0.5,1))</f>
        <v>1</v>
      </c>
      <c r="I657" s="35">
        <f>_xlfn.XLOOKUP(Metas_Diarias[[#This Row],[data]],Feriados[Data],Feriados[Feriado],1)</f>
        <v>1</v>
      </c>
      <c r="J657" s="33" cm="1">
        <f t="array" aca="1" ref="J657" ca="1">SUMPRODUCT(IF((NOT(ISERROR(MATCH(ROW(INDIRECT(DATE(YEAR(B657),MONTH(B657),1)&amp;":"&amp;DATE(YEAR(B657),MONTH(B657)+1,0))),Feriados[Data],0))))=FALSE,
IF(WEEKDAY(ROW(INDIRECT(DATE(YEAR(B657),MONTH(B657),1)&amp;":"&amp;DATE(YEAR(B657),MONTH(B657)+1,0))),2)&lt;=5,1,IF(WEEKDAY(ROW(INDIRECT(DATE(YEAR(B657),MONTH(B657),1)&amp;":"&amp;DATE(YEAR(B657),MONTH(B657)+1,0))),2)=6,0.5,0)),0))</f>
        <v>25</v>
      </c>
      <c r="K657" s="22" cm="1">
        <f t="array" ref="K657">_xlfn.XLOOKUP(1,((Metas_Diarias[[#This Row],[tipo_equipe_id]]=Metas[equipe])*(Metas_Diarias[[#This Row],[data]]&gt;Metas[data_inicio])*(Metas_Diarias[[#This Row],[data]]&lt;Metas[data_fim])),Metas[meta_mensal],0)</f>
        <v>160000</v>
      </c>
      <c r="L657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58" spans="2:12" x14ac:dyDescent="0.3">
      <c r="B658" s="34">
        <v>45947</v>
      </c>
      <c r="C658" s="34" t="str">
        <f>TEXT(Metas_Diarias[[#This Row],[data]],"dddd")</f>
        <v>sexta-feira</v>
      </c>
      <c r="D658" s="33">
        <v>1</v>
      </c>
      <c r="E658" s="33">
        <v>1</v>
      </c>
      <c r="F658" s="18"/>
      <c r="G658" s="35">
        <f>WEEKDAY(Metas_Diarias[[#This Row],[data]])</f>
        <v>6</v>
      </c>
      <c r="H658" s="35">
        <f>IF(Metas_Diarias[[#This Row],[dias_da_demana]]=1,"domingo",IF(Metas_Diarias[[#This Row],[dias_da_demana]]=7,0.5,1))</f>
        <v>1</v>
      </c>
      <c r="I658" s="35">
        <f>_xlfn.XLOOKUP(Metas_Diarias[[#This Row],[data]],Feriados[Data],Feriados[Feriado],1)</f>
        <v>1</v>
      </c>
      <c r="J658" s="33" cm="1">
        <f t="array" aca="1" ref="J658" ca="1">SUMPRODUCT(IF((NOT(ISERROR(MATCH(ROW(INDIRECT(DATE(YEAR(B658),MONTH(B658),1)&amp;":"&amp;DATE(YEAR(B658),MONTH(B658)+1,0))),Feriados[Data],0))))=FALSE,
IF(WEEKDAY(ROW(INDIRECT(DATE(YEAR(B658),MONTH(B658),1)&amp;":"&amp;DATE(YEAR(B658),MONTH(B658)+1,0))),2)&lt;=5,1,IF(WEEKDAY(ROW(INDIRECT(DATE(YEAR(B658),MONTH(B658),1)&amp;":"&amp;DATE(YEAR(B658),MONTH(B658)+1,0))),2)=6,0.5,0)),0))</f>
        <v>25</v>
      </c>
      <c r="K658" s="22" cm="1">
        <f t="array" ref="K658">_xlfn.XLOOKUP(1,((Metas_Diarias[[#This Row],[tipo_equipe_id]]=Metas[equipe])*(Metas_Diarias[[#This Row],[data]]&gt;Metas[data_inicio])*(Metas_Diarias[[#This Row],[data]]&lt;Metas[data_fim])),Metas[meta_mensal],0)</f>
        <v>160000</v>
      </c>
      <c r="L658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59" spans="2:12" x14ac:dyDescent="0.3">
      <c r="B659" s="34">
        <v>45948</v>
      </c>
      <c r="C659" s="34" t="str">
        <f>TEXT(Metas_Diarias[[#This Row],[data]],"dddd")</f>
        <v>sábado</v>
      </c>
      <c r="D659" s="33">
        <v>1</v>
      </c>
      <c r="E659" s="33">
        <v>1</v>
      </c>
      <c r="F659" s="18"/>
      <c r="G659" s="35">
        <f>WEEKDAY(Metas_Diarias[[#This Row],[data]])</f>
        <v>7</v>
      </c>
      <c r="H659" s="35">
        <f>IF(Metas_Diarias[[#This Row],[dias_da_demana]]=1,"domingo",IF(Metas_Diarias[[#This Row],[dias_da_demana]]=7,0.5,1))</f>
        <v>0.5</v>
      </c>
      <c r="I659" s="35">
        <f>_xlfn.XLOOKUP(Metas_Diarias[[#This Row],[data]],Feriados[Data],Feriados[Feriado],1)</f>
        <v>1</v>
      </c>
      <c r="J659" s="33" cm="1">
        <f t="array" aca="1" ref="J659" ca="1">SUMPRODUCT(IF((NOT(ISERROR(MATCH(ROW(INDIRECT(DATE(YEAR(B659),MONTH(B659),1)&amp;":"&amp;DATE(YEAR(B659),MONTH(B659)+1,0))),Feriados[Data],0))))=FALSE,
IF(WEEKDAY(ROW(INDIRECT(DATE(YEAR(B659),MONTH(B659),1)&amp;":"&amp;DATE(YEAR(B659),MONTH(B659)+1,0))),2)&lt;=5,1,IF(WEEKDAY(ROW(INDIRECT(DATE(YEAR(B659),MONTH(B659),1)&amp;":"&amp;DATE(YEAR(B659),MONTH(B659)+1,0))),2)=6,0.5,0)),0))</f>
        <v>25</v>
      </c>
      <c r="K659" s="22" cm="1">
        <f t="array" ref="K659">_xlfn.XLOOKUP(1,((Metas_Diarias[[#This Row],[tipo_equipe_id]]=Metas[equipe])*(Metas_Diarias[[#This Row],[data]]&gt;Metas[data_inicio])*(Metas_Diarias[[#This Row],[data]]&lt;Metas[data_fim])),Metas[meta_mensal],0)</f>
        <v>160000</v>
      </c>
      <c r="L659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660" spans="2:12" x14ac:dyDescent="0.3">
      <c r="B660" s="34">
        <v>45949</v>
      </c>
      <c r="C660" s="34" t="str">
        <f>TEXT(Metas_Diarias[[#This Row],[data]],"dddd")</f>
        <v>domingo</v>
      </c>
      <c r="D660" s="33">
        <v>1</v>
      </c>
      <c r="E660" s="33">
        <v>1</v>
      </c>
      <c r="F660" s="18"/>
      <c r="G660" s="35">
        <f>WEEKDAY(Metas_Diarias[[#This Row],[data]])</f>
        <v>1</v>
      </c>
      <c r="H660" s="35" t="str">
        <f>IF(Metas_Diarias[[#This Row],[dias_da_demana]]=1,"domingo",IF(Metas_Diarias[[#This Row],[dias_da_demana]]=7,0.5,1))</f>
        <v>domingo</v>
      </c>
      <c r="I660" s="35">
        <f>_xlfn.XLOOKUP(Metas_Diarias[[#This Row],[data]],Feriados[Data],Feriados[Feriado],1)</f>
        <v>1</v>
      </c>
      <c r="J660" s="33" cm="1">
        <f t="array" aca="1" ref="J660" ca="1">SUMPRODUCT(IF((NOT(ISERROR(MATCH(ROW(INDIRECT(DATE(YEAR(B660),MONTH(B660),1)&amp;":"&amp;DATE(YEAR(B660),MONTH(B660)+1,0))),Feriados[Data],0))))=FALSE,
IF(WEEKDAY(ROW(INDIRECT(DATE(YEAR(B660),MONTH(B660),1)&amp;":"&amp;DATE(YEAR(B660),MONTH(B660)+1,0))),2)&lt;=5,1,IF(WEEKDAY(ROW(INDIRECT(DATE(YEAR(B660),MONTH(B660),1)&amp;":"&amp;DATE(YEAR(B660),MONTH(B660)+1,0))),2)=6,0.5,0)),0))</f>
        <v>25</v>
      </c>
      <c r="K660" s="22" cm="1">
        <f t="array" ref="K660">_xlfn.XLOOKUP(1,((Metas_Diarias[[#This Row],[tipo_equipe_id]]=Metas[equipe])*(Metas_Diarias[[#This Row],[data]]&gt;Metas[data_inicio])*(Metas_Diarias[[#This Row],[data]]&lt;Metas[data_fim])),Metas[meta_mensal],0)</f>
        <v>160000</v>
      </c>
      <c r="L66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61" spans="2:12" x14ac:dyDescent="0.3">
      <c r="B661" s="34">
        <v>45950</v>
      </c>
      <c r="C661" s="34" t="str">
        <f>TEXT(Metas_Diarias[[#This Row],[data]],"dddd")</f>
        <v>segunda-feira</v>
      </c>
      <c r="D661" s="33">
        <v>1</v>
      </c>
      <c r="E661" s="33">
        <v>1</v>
      </c>
      <c r="F661" s="18"/>
      <c r="G661" s="35">
        <f>WEEKDAY(Metas_Diarias[[#This Row],[data]])</f>
        <v>2</v>
      </c>
      <c r="H661" s="35">
        <f>IF(Metas_Diarias[[#This Row],[dias_da_demana]]=1,"domingo",IF(Metas_Diarias[[#This Row],[dias_da_demana]]=7,0.5,1))</f>
        <v>1</v>
      </c>
      <c r="I661" s="35">
        <f>_xlfn.XLOOKUP(Metas_Diarias[[#This Row],[data]],Feriados[Data],Feriados[Feriado],1)</f>
        <v>1</v>
      </c>
      <c r="J661" s="33" cm="1">
        <f t="array" aca="1" ref="J661" ca="1">SUMPRODUCT(IF((NOT(ISERROR(MATCH(ROW(INDIRECT(DATE(YEAR(B661),MONTH(B661),1)&amp;":"&amp;DATE(YEAR(B661),MONTH(B661)+1,0))),Feriados[Data],0))))=FALSE,
IF(WEEKDAY(ROW(INDIRECT(DATE(YEAR(B661),MONTH(B661),1)&amp;":"&amp;DATE(YEAR(B661),MONTH(B661)+1,0))),2)&lt;=5,1,IF(WEEKDAY(ROW(INDIRECT(DATE(YEAR(B661),MONTH(B661),1)&amp;":"&amp;DATE(YEAR(B661),MONTH(B661)+1,0))),2)=6,0.5,0)),0))</f>
        <v>25</v>
      </c>
      <c r="K661" s="22" cm="1">
        <f t="array" ref="K661">_xlfn.XLOOKUP(1,((Metas_Diarias[[#This Row],[tipo_equipe_id]]=Metas[equipe])*(Metas_Diarias[[#This Row],[data]]&gt;Metas[data_inicio])*(Metas_Diarias[[#This Row],[data]]&lt;Metas[data_fim])),Metas[meta_mensal],0)</f>
        <v>160000</v>
      </c>
      <c r="L661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62" spans="2:12" x14ac:dyDescent="0.3">
      <c r="B662" s="34">
        <v>45951</v>
      </c>
      <c r="C662" s="34" t="str">
        <f>TEXT(Metas_Diarias[[#This Row],[data]],"dddd")</f>
        <v>terça-feira</v>
      </c>
      <c r="D662" s="33">
        <v>1</v>
      </c>
      <c r="E662" s="33">
        <v>1</v>
      </c>
      <c r="F662" s="18"/>
      <c r="G662" s="35">
        <f>WEEKDAY(Metas_Diarias[[#This Row],[data]])</f>
        <v>3</v>
      </c>
      <c r="H662" s="35">
        <f>IF(Metas_Diarias[[#This Row],[dias_da_demana]]=1,"domingo",IF(Metas_Diarias[[#This Row],[dias_da_demana]]=7,0.5,1))</f>
        <v>1</v>
      </c>
      <c r="I662" s="35">
        <f>_xlfn.XLOOKUP(Metas_Diarias[[#This Row],[data]],Feriados[Data],Feriados[Feriado],1)</f>
        <v>1</v>
      </c>
      <c r="J662" s="33" cm="1">
        <f t="array" aca="1" ref="J662" ca="1">SUMPRODUCT(IF((NOT(ISERROR(MATCH(ROW(INDIRECT(DATE(YEAR(B662),MONTH(B662),1)&amp;":"&amp;DATE(YEAR(B662),MONTH(B662)+1,0))),Feriados[Data],0))))=FALSE,
IF(WEEKDAY(ROW(INDIRECT(DATE(YEAR(B662),MONTH(B662),1)&amp;":"&amp;DATE(YEAR(B662),MONTH(B662)+1,0))),2)&lt;=5,1,IF(WEEKDAY(ROW(INDIRECT(DATE(YEAR(B662),MONTH(B662),1)&amp;":"&amp;DATE(YEAR(B662),MONTH(B662)+1,0))),2)=6,0.5,0)),0))</f>
        <v>25</v>
      </c>
      <c r="K662" s="22" cm="1">
        <f t="array" ref="K662">_xlfn.XLOOKUP(1,((Metas_Diarias[[#This Row],[tipo_equipe_id]]=Metas[equipe])*(Metas_Diarias[[#This Row],[data]]&gt;Metas[data_inicio])*(Metas_Diarias[[#This Row],[data]]&lt;Metas[data_fim])),Metas[meta_mensal],0)</f>
        <v>160000</v>
      </c>
      <c r="L662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63" spans="2:12" x14ac:dyDescent="0.3">
      <c r="B663" s="34">
        <v>45952</v>
      </c>
      <c r="C663" s="34" t="str">
        <f>TEXT(Metas_Diarias[[#This Row],[data]],"dddd")</f>
        <v>quarta-feira</v>
      </c>
      <c r="D663" s="33">
        <v>1</v>
      </c>
      <c r="E663" s="33">
        <v>1</v>
      </c>
      <c r="F663" s="18"/>
      <c r="G663" s="35">
        <f>WEEKDAY(Metas_Diarias[[#This Row],[data]])</f>
        <v>4</v>
      </c>
      <c r="H663" s="35">
        <f>IF(Metas_Diarias[[#This Row],[dias_da_demana]]=1,"domingo",IF(Metas_Diarias[[#This Row],[dias_da_demana]]=7,0.5,1))</f>
        <v>1</v>
      </c>
      <c r="I663" s="35">
        <f>_xlfn.XLOOKUP(Metas_Diarias[[#This Row],[data]],Feriados[Data],Feriados[Feriado],1)</f>
        <v>1</v>
      </c>
      <c r="J663" s="33" cm="1">
        <f t="array" aca="1" ref="J663" ca="1">SUMPRODUCT(IF((NOT(ISERROR(MATCH(ROW(INDIRECT(DATE(YEAR(B663),MONTH(B663),1)&amp;":"&amp;DATE(YEAR(B663),MONTH(B663)+1,0))),Feriados[Data],0))))=FALSE,
IF(WEEKDAY(ROW(INDIRECT(DATE(YEAR(B663),MONTH(B663),1)&amp;":"&amp;DATE(YEAR(B663),MONTH(B663)+1,0))),2)&lt;=5,1,IF(WEEKDAY(ROW(INDIRECT(DATE(YEAR(B663),MONTH(B663),1)&amp;":"&amp;DATE(YEAR(B663),MONTH(B663)+1,0))),2)=6,0.5,0)),0))</f>
        <v>25</v>
      </c>
      <c r="K663" s="22" cm="1">
        <f t="array" ref="K663">_xlfn.XLOOKUP(1,((Metas_Diarias[[#This Row],[tipo_equipe_id]]=Metas[equipe])*(Metas_Diarias[[#This Row],[data]]&gt;Metas[data_inicio])*(Metas_Diarias[[#This Row],[data]]&lt;Metas[data_fim])),Metas[meta_mensal],0)</f>
        <v>160000</v>
      </c>
      <c r="L663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64" spans="2:12" x14ac:dyDescent="0.3">
      <c r="B664" s="34">
        <v>45953</v>
      </c>
      <c r="C664" s="34" t="str">
        <f>TEXT(Metas_Diarias[[#This Row],[data]],"dddd")</f>
        <v>quinta-feira</v>
      </c>
      <c r="D664" s="33">
        <v>1</v>
      </c>
      <c r="E664" s="33">
        <v>1</v>
      </c>
      <c r="F664" s="18"/>
      <c r="G664" s="35">
        <f>WEEKDAY(Metas_Diarias[[#This Row],[data]])</f>
        <v>5</v>
      </c>
      <c r="H664" s="35">
        <f>IF(Metas_Diarias[[#This Row],[dias_da_demana]]=1,"domingo",IF(Metas_Diarias[[#This Row],[dias_da_demana]]=7,0.5,1))</f>
        <v>1</v>
      </c>
      <c r="I664" s="35">
        <f>_xlfn.XLOOKUP(Metas_Diarias[[#This Row],[data]],Feriados[Data],Feriados[Feriado],1)</f>
        <v>1</v>
      </c>
      <c r="J664" s="33" cm="1">
        <f t="array" aca="1" ref="J664" ca="1">SUMPRODUCT(IF((NOT(ISERROR(MATCH(ROW(INDIRECT(DATE(YEAR(B664),MONTH(B664),1)&amp;":"&amp;DATE(YEAR(B664),MONTH(B664)+1,0))),Feriados[Data],0))))=FALSE,
IF(WEEKDAY(ROW(INDIRECT(DATE(YEAR(B664),MONTH(B664),1)&amp;":"&amp;DATE(YEAR(B664),MONTH(B664)+1,0))),2)&lt;=5,1,IF(WEEKDAY(ROW(INDIRECT(DATE(YEAR(B664),MONTH(B664),1)&amp;":"&amp;DATE(YEAR(B664),MONTH(B664)+1,0))),2)=6,0.5,0)),0))</f>
        <v>25</v>
      </c>
      <c r="K664" s="22" cm="1">
        <f t="array" ref="K664">_xlfn.XLOOKUP(1,((Metas_Diarias[[#This Row],[tipo_equipe_id]]=Metas[equipe])*(Metas_Diarias[[#This Row],[data]]&gt;Metas[data_inicio])*(Metas_Diarias[[#This Row],[data]]&lt;Metas[data_fim])),Metas[meta_mensal],0)</f>
        <v>160000</v>
      </c>
      <c r="L664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65" spans="2:12" x14ac:dyDescent="0.3">
      <c r="B665" s="34">
        <v>45954</v>
      </c>
      <c r="C665" s="34" t="str">
        <f>TEXT(Metas_Diarias[[#This Row],[data]],"dddd")</f>
        <v>sexta-feira</v>
      </c>
      <c r="D665" s="33">
        <v>1</v>
      </c>
      <c r="E665" s="33">
        <v>1</v>
      </c>
      <c r="F665" s="18"/>
      <c r="G665" s="35">
        <f>WEEKDAY(Metas_Diarias[[#This Row],[data]])</f>
        <v>6</v>
      </c>
      <c r="H665" s="35">
        <f>IF(Metas_Diarias[[#This Row],[dias_da_demana]]=1,"domingo",IF(Metas_Diarias[[#This Row],[dias_da_demana]]=7,0.5,1))</f>
        <v>1</v>
      </c>
      <c r="I665" s="35">
        <f>_xlfn.XLOOKUP(Metas_Diarias[[#This Row],[data]],Feriados[Data],Feriados[Feriado],1)</f>
        <v>1</v>
      </c>
      <c r="J665" s="33" cm="1">
        <f t="array" aca="1" ref="J665" ca="1">SUMPRODUCT(IF((NOT(ISERROR(MATCH(ROW(INDIRECT(DATE(YEAR(B665),MONTH(B665),1)&amp;":"&amp;DATE(YEAR(B665),MONTH(B665)+1,0))),Feriados[Data],0))))=FALSE,
IF(WEEKDAY(ROW(INDIRECT(DATE(YEAR(B665),MONTH(B665),1)&amp;":"&amp;DATE(YEAR(B665),MONTH(B665)+1,0))),2)&lt;=5,1,IF(WEEKDAY(ROW(INDIRECT(DATE(YEAR(B665),MONTH(B665),1)&amp;":"&amp;DATE(YEAR(B665),MONTH(B665)+1,0))),2)=6,0.5,0)),0))</f>
        <v>25</v>
      </c>
      <c r="K665" s="22" cm="1">
        <f t="array" ref="K665">_xlfn.XLOOKUP(1,((Metas_Diarias[[#This Row],[tipo_equipe_id]]=Metas[equipe])*(Metas_Diarias[[#This Row],[data]]&gt;Metas[data_inicio])*(Metas_Diarias[[#This Row],[data]]&lt;Metas[data_fim])),Metas[meta_mensal],0)</f>
        <v>160000</v>
      </c>
      <c r="L665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66" spans="2:12" x14ac:dyDescent="0.3">
      <c r="B666" s="34">
        <v>45955</v>
      </c>
      <c r="C666" s="34" t="str">
        <f>TEXT(Metas_Diarias[[#This Row],[data]],"dddd")</f>
        <v>sábado</v>
      </c>
      <c r="D666" s="33">
        <v>1</v>
      </c>
      <c r="E666" s="33">
        <v>1</v>
      </c>
      <c r="F666" s="18"/>
      <c r="G666" s="35">
        <f>WEEKDAY(Metas_Diarias[[#This Row],[data]])</f>
        <v>7</v>
      </c>
      <c r="H666" s="35">
        <f>IF(Metas_Diarias[[#This Row],[dias_da_demana]]=1,"domingo",IF(Metas_Diarias[[#This Row],[dias_da_demana]]=7,0.5,1))</f>
        <v>0.5</v>
      </c>
      <c r="I666" s="35">
        <f>_xlfn.XLOOKUP(Metas_Diarias[[#This Row],[data]],Feriados[Data],Feriados[Feriado],1)</f>
        <v>1</v>
      </c>
      <c r="J666" s="33" cm="1">
        <f t="array" aca="1" ref="J666" ca="1">SUMPRODUCT(IF((NOT(ISERROR(MATCH(ROW(INDIRECT(DATE(YEAR(B666),MONTH(B666),1)&amp;":"&amp;DATE(YEAR(B666),MONTH(B666)+1,0))),Feriados[Data],0))))=FALSE,
IF(WEEKDAY(ROW(INDIRECT(DATE(YEAR(B666),MONTH(B666),1)&amp;":"&amp;DATE(YEAR(B666),MONTH(B666)+1,0))),2)&lt;=5,1,IF(WEEKDAY(ROW(INDIRECT(DATE(YEAR(B666),MONTH(B666),1)&amp;":"&amp;DATE(YEAR(B666),MONTH(B666)+1,0))),2)=6,0.5,0)),0))</f>
        <v>25</v>
      </c>
      <c r="K666" s="22" cm="1">
        <f t="array" ref="K666">_xlfn.XLOOKUP(1,((Metas_Diarias[[#This Row],[tipo_equipe_id]]=Metas[equipe])*(Metas_Diarias[[#This Row],[data]]&gt;Metas[data_inicio])*(Metas_Diarias[[#This Row],[data]]&lt;Metas[data_fim])),Metas[meta_mensal],0)</f>
        <v>160000</v>
      </c>
      <c r="L666" s="24">
        <f ca="1">Metas_Diarias[[#This Row],[meta_mensal]]*IF(Metas_Diarias[[#This Row],[semana]]="domingo",0,Metas_Diarias[[#This Row],[semana]])*IF(Metas_Diarias[[#This Row],[feriado]]&lt;&gt;1,0,1)/Metas_Diarias[[#This Row],[dias_úteis_Mês]]</f>
        <v>3200</v>
      </c>
    </row>
    <row r="667" spans="2:12" x14ac:dyDescent="0.3">
      <c r="B667" s="34">
        <v>45956</v>
      </c>
      <c r="C667" s="34" t="str">
        <f>TEXT(Metas_Diarias[[#This Row],[data]],"dddd")</f>
        <v>domingo</v>
      </c>
      <c r="D667" s="33">
        <v>1</v>
      </c>
      <c r="E667" s="33">
        <v>1</v>
      </c>
      <c r="F667" s="18"/>
      <c r="G667" s="35">
        <f>WEEKDAY(Metas_Diarias[[#This Row],[data]])</f>
        <v>1</v>
      </c>
      <c r="H667" s="35" t="str">
        <f>IF(Metas_Diarias[[#This Row],[dias_da_demana]]=1,"domingo",IF(Metas_Diarias[[#This Row],[dias_da_demana]]=7,0.5,1))</f>
        <v>domingo</v>
      </c>
      <c r="I667" s="35">
        <f>_xlfn.XLOOKUP(Metas_Diarias[[#This Row],[data]],Feriados[Data],Feriados[Feriado],1)</f>
        <v>1</v>
      </c>
      <c r="J667" s="33" cm="1">
        <f t="array" aca="1" ref="J667" ca="1">SUMPRODUCT(IF((NOT(ISERROR(MATCH(ROW(INDIRECT(DATE(YEAR(B667),MONTH(B667),1)&amp;":"&amp;DATE(YEAR(B667),MONTH(B667)+1,0))),Feriados[Data],0))))=FALSE,
IF(WEEKDAY(ROW(INDIRECT(DATE(YEAR(B667),MONTH(B667),1)&amp;":"&amp;DATE(YEAR(B667),MONTH(B667)+1,0))),2)&lt;=5,1,IF(WEEKDAY(ROW(INDIRECT(DATE(YEAR(B667),MONTH(B667),1)&amp;":"&amp;DATE(YEAR(B667),MONTH(B667)+1,0))),2)=6,0.5,0)),0))</f>
        <v>25</v>
      </c>
      <c r="K667" s="22" cm="1">
        <f t="array" ref="K667">_xlfn.XLOOKUP(1,((Metas_Diarias[[#This Row],[tipo_equipe_id]]=Metas[equipe])*(Metas_Diarias[[#This Row],[data]]&gt;Metas[data_inicio])*(Metas_Diarias[[#This Row],[data]]&lt;Metas[data_fim])),Metas[meta_mensal],0)</f>
        <v>160000</v>
      </c>
      <c r="L66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68" spans="2:12" x14ac:dyDescent="0.3">
      <c r="B668" s="34">
        <v>45957</v>
      </c>
      <c r="C668" s="34" t="str">
        <f>TEXT(Metas_Diarias[[#This Row],[data]],"dddd")</f>
        <v>segunda-feira</v>
      </c>
      <c r="D668" s="33">
        <v>1</v>
      </c>
      <c r="E668" s="33">
        <v>1</v>
      </c>
      <c r="F668" s="18"/>
      <c r="G668" s="35">
        <f>WEEKDAY(Metas_Diarias[[#This Row],[data]])</f>
        <v>2</v>
      </c>
      <c r="H668" s="35">
        <f>IF(Metas_Diarias[[#This Row],[dias_da_demana]]=1,"domingo",IF(Metas_Diarias[[#This Row],[dias_da_demana]]=7,0.5,1))</f>
        <v>1</v>
      </c>
      <c r="I668" s="35">
        <f>_xlfn.XLOOKUP(Metas_Diarias[[#This Row],[data]],Feriados[Data],Feriados[Feriado],1)</f>
        <v>1</v>
      </c>
      <c r="J668" s="33" cm="1">
        <f t="array" aca="1" ref="J668" ca="1">SUMPRODUCT(IF((NOT(ISERROR(MATCH(ROW(INDIRECT(DATE(YEAR(B668),MONTH(B668),1)&amp;":"&amp;DATE(YEAR(B668),MONTH(B668)+1,0))),Feriados[Data],0))))=FALSE,
IF(WEEKDAY(ROW(INDIRECT(DATE(YEAR(B668),MONTH(B668),1)&amp;":"&amp;DATE(YEAR(B668),MONTH(B668)+1,0))),2)&lt;=5,1,IF(WEEKDAY(ROW(INDIRECT(DATE(YEAR(B668),MONTH(B668),1)&amp;":"&amp;DATE(YEAR(B668),MONTH(B668)+1,0))),2)=6,0.5,0)),0))</f>
        <v>25</v>
      </c>
      <c r="K668" s="22" cm="1">
        <f t="array" ref="K668">_xlfn.XLOOKUP(1,((Metas_Diarias[[#This Row],[tipo_equipe_id]]=Metas[equipe])*(Metas_Diarias[[#This Row],[data]]&gt;Metas[data_inicio])*(Metas_Diarias[[#This Row],[data]]&lt;Metas[data_fim])),Metas[meta_mensal],0)</f>
        <v>160000</v>
      </c>
      <c r="L668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69" spans="2:12" x14ac:dyDescent="0.3">
      <c r="B669" s="34">
        <v>45958</v>
      </c>
      <c r="C669" s="34" t="str">
        <f>TEXT(Metas_Diarias[[#This Row],[data]],"dddd")</f>
        <v>terça-feira</v>
      </c>
      <c r="D669" s="33">
        <v>1</v>
      </c>
      <c r="E669" s="33">
        <v>1</v>
      </c>
      <c r="F669" s="18"/>
      <c r="G669" s="35">
        <f>WEEKDAY(Metas_Diarias[[#This Row],[data]])</f>
        <v>3</v>
      </c>
      <c r="H669" s="35">
        <f>IF(Metas_Diarias[[#This Row],[dias_da_demana]]=1,"domingo",IF(Metas_Diarias[[#This Row],[dias_da_demana]]=7,0.5,1))</f>
        <v>1</v>
      </c>
      <c r="I669" s="35">
        <f>_xlfn.XLOOKUP(Metas_Diarias[[#This Row],[data]],Feriados[Data],Feriados[Feriado],1)</f>
        <v>1</v>
      </c>
      <c r="J669" s="33" cm="1">
        <f t="array" aca="1" ref="J669" ca="1">SUMPRODUCT(IF((NOT(ISERROR(MATCH(ROW(INDIRECT(DATE(YEAR(B669),MONTH(B669),1)&amp;":"&amp;DATE(YEAR(B669),MONTH(B669)+1,0))),Feriados[Data],0))))=FALSE,
IF(WEEKDAY(ROW(INDIRECT(DATE(YEAR(B669),MONTH(B669),1)&amp;":"&amp;DATE(YEAR(B669),MONTH(B669)+1,0))),2)&lt;=5,1,IF(WEEKDAY(ROW(INDIRECT(DATE(YEAR(B669),MONTH(B669),1)&amp;":"&amp;DATE(YEAR(B669),MONTH(B669)+1,0))),2)=6,0.5,0)),0))</f>
        <v>25</v>
      </c>
      <c r="K669" s="22" cm="1">
        <f t="array" ref="K669">_xlfn.XLOOKUP(1,((Metas_Diarias[[#This Row],[tipo_equipe_id]]=Metas[equipe])*(Metas_Diarias[[#This Row],[data]]&gt;Metas[data_inicio])*(Metas_Diarias[[#This Row],[data]]&lt;Metas[data_fim])),Metas[meta_mensal],0)</f>
        <v>160000</v>
      </c>
      <c r="L669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70" spans="2:12" x14ac:dyDescent="0.3">
      <c r="B670" s="34">
        <v>45959</v>
      </c>
      <c r="C670" s="34" t="str">
        <f>TEXT(Metas_Diarias[[#This Row],[data]],"dddd")</f>
        <v>quarta-feira</v>
      </c>
      <c r="D670" s="33">
        <v>1</v>
      </c>
      <c r="E670" s="33">
        <v>1</v>
      </c>
      <c r="F670" s="18"/>
      <c r="G670" s="35">
        <f>WEEKDAY(Metas_Diarias[[#This Row],[data]])</f>
        <v>4</v>
      </c>
      <c r="H670" s="35">
        <f>IF(Metas_Diarias[[#This Row],[dias_da_demana]]=1,"domingo",IF(Metas_Diarias[[#This Row],[dias_da_demana]]=7,0.5,1))</f>
        <v>1</v>
      </c>
      <c r="I670" s="35">
        <f>_xlfn.XLOOKUP(Metas_Diarias[[#This Row],[data]],Feriados[Data],Feriados[Feriado],1)</f>
        <v>1</v>
      </c>
      <c r="J670" s="33" cm="1">
        <f t="array" aca="1" ref="J670" ca="1">SUMPRODUCT(IF((NOT(ISERROR(MATCH(ROW(INDIRECT(DATE(YEAR(B670),MONTH(B670),1)&amp;":"&amp;DATE(YEAR(B670),MONTH(B670)+1,0))),Feriados[Data],0))))=FALSE,
IF(WEEKDAY(ROW(INDIRECT(DATE(YEAR(B670),MONTH(B670),1)&amp;":"&amp;DATE(YEAR(B670),MONTH(B670)+1,0))),2)&lt;=5,1,IF(WEEKDAY(ROW(INDIRECT(DATE(YEAR(B670),MONTH(B670),1)&amp;":"&amp;DATE(YEAR(B670),MONTH(B670)+1,0))),2)=6,0.5,0)),0))</f>
        <v>25</v>
      </c>
      <c r="K670" s="22" cm="1">
        <f t="array" ref="K670">_xlfn.XLOOKUP(1,((Metas_Diarias[[#This Row],[tipo_equipe_id]]=Metas[equipe])*(Metas_Diarias[[#This Row],[data]]&gt;Metas[data_inicio])*(Metas_Diarias[[#This Row],[data]]&lt;Metas[data_fim])),Metas[meta_mensal],0)</f>
        <v>160000</v>
      </c>
      <c r="L670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71" spans="2:12" x14ac:dyDescent="0.3">
      <c r="B671" s="34">
        <v>45960</v>
      </c>
      <c r="C671" s="34" t="str">
        <f>TEXT(Metas_Diarias[[#This Row],[data]],"dddd")</f>
        <v>quinta-feira</v>
      </c>
      <c r="D671" s="33">
        <v>1</v>
      </c>
      <c r="E671" s="33">
        <v>1</v>
      </c>
      <c r="F671" s="18"/>
      <c r="G671" s="35">
        <f>WEEKDAY(Metas_Diarias[[#This Row],[data]])</f>
        <v>5</v>
      </c>
      <c r="H671" s="35">
        <f>IF(Metas_Diarias[[#This Row],[dias_da_demana]]=1,"domingo",IF(Metas_Diarias[[#This Row],[dias_da_demana]]=7,0.5,1))</f>
        <v>1</v>
      </c>
      <c r="I671" s="35">
        <f>_xlfn.XLOOKUP(Metas_Diarias[[#This Row],[data]],Feriados[Data],Feriados[Feriado],1)</f>
        <v>1</v>
      </c>
      <c r="J671" s="33" cm="1">
        <f t="array" aca="1" ref="J671" ca="1">SUMPRODUCT(IF((NOT(ISERROR(MATCH(ROW(INDIRECT(DATE(YEAR(B671),MONTH(B671),1)&amp;":"&amp;DATE(YEAR(B671),MONTH(B671)+1,0))),Feriados[Data],0))))=FALSE,
IF(WEEKDAY(ROW(INDIRECT(DATE(YEAR(B671),MONTH(B671),1)&amp;":"&amp;DATE(YEAR(B671),MONTH(B671)+1,0))),2)&lt;=5,1,IF(WEEKDAY(ROW(INDIRECT(DATE(YEAR(B671),MONTH(B671),1)&amp;":"&amp;DATE(YEAR(B671),MONTH(B671)+1,0))),2)=6,0.5,0)),0))</f>
        <v>25</v>
      </c>
      <c r="K671" s="22" cm="1">
        <f t="array" ref="K671">_xlfn.XLOOKUP(1,((Metas_Diarias[[#This Row],[tipo_equipe_id]]=Metas[equipe])*(Metas_Diarias[[#This Row],[data]]&gt;Metas[data_inicio])*(Metas_Diarias[[#This Row],[data]]&lt;Metas[data_fim])),Metas[meta_mensal],0)</f>
        <v>160000</v>
      </c>
      <c r="L671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72" spans="2:12" x14ac:dyDescent="0.3">
      <c r="B672" s="34">
        <v>45961</v>
      </c>
      <c r="C672" s="34" t="str">
        <f>TEXT(Metas_Diarias[[#This Row],[data]],"dddd")</f>
        <v>sexta-feira</v>
      </c>
      <c r="D672" s="33">
        <v>1</v>
      </c>
      <c r="E672" s="33">
        <v>1</v>
      </c>
      <c r="F672" s="18"/>
      <c r="G672" s="35">
        <f>WEEKDAY(Metas_Diarias[[#This Row],[data]])</f>
        <v>6</v>
      </c>
      <c r="H672" s="35">
        <f>IF(Metas_Diarias[[#This Row],[dias_da_demana]]=1,"domingo",IF(Metas_Diarias[[#This Row],[dias_da_demana]]=7,0.5,1))</f>
        <v>1</v>
      </c>
      <c r="I672" s="35">
        <f>_xlfn.XLOOKUP(Metas_Diarias[[#This Row],[data]],Feriados[Data],Feriados[Feriado],1)</f>
        <v>1</v>
      </c>
      <c r="J672" s="33" cm="1">
        <f t="array" aca="1" ref="J672" ca="1">SUMPRODUCT(IF((NOT(ISERROR(MATCH(ROW(INDIRECT(DATE(YEAR(B672),MONTH(B672),1)&amp;":"&amp;DATE(YEAR(B672),MONTH(B672)+1,0))),Feriados[Data],0))))=FALSE,
IF(WEEKDAY(ROW(INDIRECT(DATE(YEAR(B672),MONTH(B672),1)&amp;":"&amp;DATE(YEAR(B672),MONTH(B672)+1,0))),2)&lt;=5,1,IF(WEEKDAY(ROW(INDIRECT(DATE(YEAR(B672),MONTH(B672),1)&amp;":"&amp;DATE(YEAR(B672),MONTH(B672)+1,0))),2)=6,0.5,0)),0))</f>
        <v>25</v>
      </c>
      <c r="K672" s="22" cm="1">
        <f t="array" ref="K672">_xlfn.XLOOKUP(1,((Metas_Diarias[[#This Row],[tipo_equipe_id]]=Metas[equipe])*(Metas_Diarias[[#This Row],[data]]&gt;Metas[data_inicio])*(Metas_Diarias[[#This Row],[data]]&lt;Metas[data_fim])),Metas[meta_mensal],0)</f>
        <v>160000</v>
      </c>
      <c r="L672" s="24">
        <f ca="1">Metas_Diarias[[#This Row],[meta_mensal]]*IF(Metas_Diarias[[#This Row],[semana]]="domingo",0,Metas_Diarias[[#This Row],[semana]])*IF(Metas_Diarias[[#This Row],[feriado]]&lt;&gt;1,0,1)/Metas_Diarias[[#This Row],[dias_úteis_Mês]]</f>
        <v>6400</v>
      </c>
    </row>
    <row r="673" spans="2:12" x14ac:dyDescent="0.3">
      <c r="B673" s="34">
        <v>45962</v>
      </c>
      <c r="C673" s="34" t="str">
        <f>TEXT(Metas_Diarias[[#This Row],[data]],"dddd")</f>
        <v>sábado</v>
      </c>
      <c r="D673" s="33">
        <v>1</v>
      </c>
      <c r="E673" s="33">
        <v>1</v>
      </c>
      <c r="F673" s="18"/>
      <c r="G673" s="35">
        <f>WEEKDAY(Metas_Diarias[[#This Row],[data]])</f>
        <v>7</v>
      </c>
      <c r="H673" s="35">
        <f>IF(Metas_Diarias[[#This Row],[dias_da_demana]]=1,"domingo",IF(Metas_Diarias[[#This Row],[dias_da_demana]]=7,0.5,1))</f>
        <v>0.5</v>
      </c>
      <c r="I673" s="35">
        <f>_xlfn.XLOOKUP(Metas_Diarias[[#This Row],[data]],Feriados[Data],Feriados[Feriado],1)</f>
        <v>1</v>
      </c>
      <c r="J673" s="33" cm="1">
        <f t="array" aca="1" ref="J673" ca="1">SUMPRODUCT(IF((NOT(ISERROR(MATCH(ROW(INDIRECT(DATE(YEAR(B673),MONTH(B673),1)&amp;":"&amp;DATE(YEAR(B673),MONTH(B673)+1,0))),Feriados[Data],0))))=FALSE,
IF(WEEKDAY(ROW(INDIRECT(DATE(YEAR(B673),MONTH(B673),1)&amp;":"&amp;DATE(YEAR(B673),MONTH(B673)+1,0))),2)&lt;=5,1,IF(WEEKDAY(ROW(INDIRECT(DATE(YEAR(B673),MONTH(B673),1)&amp;":"&amp;DATE(YEAR(B673),MONTH(B673)+1,0))),2)=6,0.5,0)),0))</f>
        <v>22</v>
      </c>
      <c r="K673" s="22" cm="1">
        <f t="array" ref="K673">_xlfn.XLOOKUP(1,((Metas_Diarias[[#This Row],[tipo_equipe_id]]=Metas[equipe])*(Metas_Diarias[[#This Row],[data]]&gt;Metas[data_inicio])*(Metas_Diarias[[#This Row],[data]]&lt;Metas[data_fim])),Metas[meta_mensal],0)</f>
        <v>160000</v>
      </c>
      <c r="L673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674" spans="2:12" x14ac:dyDescent="0.3">
      <c r="B674" s="34">
        <v>45963</v>
      </c>
      <c r="C674" s="34" t="str">
        <f>TEXT(Metas_Diarias[[#This Row],[data]],"dddd")</f>
        <v>domingo</v>
      </c>
      <c r="D674" s="33">
        <v>1</v>
      </c>
      <c r="E674" s="33">
        <v>1</v>
      </c>
      <c r="F674" s="18"/>
      <c r="G674" s="35">
        <f>WEEKDAY(Metas_Diarias[[#This Row],[data]])</f>
        <v>1</v>
      </c>
      <c r="H674" s="35" t="str">
        <f>IF(Metas_Diarias[[#This Row],[dias_da_demana]]=1,"domingo",IF(Metas_Diarias[[#This Row],[dias_da_demana]]=7,0.5,1))</f>
        <v>domingo</v>
      </c>
      <c r="I674" s="35" t="str">
        <f>_xlfn.XLOOKUP(Metas_Diarias[[#This Row],[data]],Feriados[Data],Feriados[Feriado],1)</f>
        <v>Finados</v>
      </c>
      <c r="J674" s="33" cm="1">
        <f t="array" aca="1" ref="J674" ca="1">SUMPRODUCT(IF((NOT(ISERROR(MATCH(ROW(INDIRECT(DATE(YEAR(B674),MONTH(B674),1)&amp;":"&amp;DATE(YEAR(B674),MONTH(B674)+1,0))),Feriados[Data],0))))=FALSE,
IF(WEEKDAY(ROW(INDIRECT(DATE(YEAR(B674),MONTH(B674),1)&amp;":"&amp;DATE(YEAR(B674),MONTH(B674)+1,0))),2)&lt;=5,1,IF(WEEKDAY(ROW(INDIRECT(DATE(YEAR(B674),MONTH(B674),1)&amp;":"&amp;DATE(YEAR(B674),MONTH(B674)+1,0))),2)=6,0.5,0)),0))</f>
        <v>22</v>
      </c>
      <c r="K674" s="22" cm="1">
        <f t="array" ref="K674">_xlfn.XLOOKUP(1,((Metas_Diarias[[#This Row],[tipo_equipe_id]]=Metas[equipe])*(Metas_Diarias[[#This Row],[data]]&gt;Metas[data_inicio])*(Metas_Diarias[[#This Row],[data]]&lt;Metas[data_fim])),Metas[meta_mensal],0)</f>
        <v>160000</v>
      </c>
      <c r="L67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75" spans="2:12" x14ac:dyDescent="0.3">
      <c r="B675" s="34">
        <v>45964</v>
      </c>
      <c r="C675" s="34" t="str">
        <f>TEXT(Metas_Diarias[[#This Row],[data]],"dddd")</f>
        <v>segunda-feira</v>
      </c>
      <c r="D675" s="33">
        <v>1</v>
      </c>
      <c r="E675" s="33">
        <v>1</v>
      </c>
      <c r="F675" s="18"/>
      <c r="G675" s="35">
        <f>WEEKDAY(Metas_Diarias[[#This Row],[data]])</f>
        <v>2</v>
      </c>
      <c r="H675" s="35">
        <f>IF(Metas_Diarias[[#This Row],[dias_da_demana]]=1,"domingo",IF(Metas_Diarias[[#This Row],[dias_da_demana]]=7,0.5,1))</f>
        <v>1</v>
      </c>
      <c r="I675" s="35">
        <f>_xlfn.XLOOKUP(Metas_Diarias[[#This Row],[data]],Feriados[Data],Feriados[Feriado],1)</f>
        <v>1</v>
      </c>
      <c r="J675" s="33" cm="1">
        <f t="array" aca="1" ref="J675" ca="1">SUMPRODUCT(IF((NOT(ISERROR(MATCH(ROW(INDIRECT(DATE(YEAR(B675),MONTH(B675),1)&amp;":"&amp;DATE(YEAR(B675),MONTH(B675)+1,0))),Feriados[Data],0))))=FALSE,
IF(WEEKDAY(ROW(INDIRECT(DATE(YEAR(B675),MONTH(B675),1)&amp;":"&amp;DATE(YEAR(B675),MONTH(B675)+1,0))),2)&lt;=5,1,IF(WEEKDAY(ROW(INDIRECT(DATE(YEAR(B675),MONTH(B675),1)&amp;":"&amp;DATE(YEAR(B675),MONTH(B675)+1,0))),2)=6,0.5,0)),0))</f>
        <v>22</v>
      </c>
      <c r="K675" s="22" cm="1">
        <f t="array" ref="K675">_xlfn.XLOOKUP(1,((Metas_Diarias[[#This Row],[tipo_equipe_id]]=Metas[equipe])*(Metas_Diarias[[#This Row],[data]]&gt;Metas[data_inicio])*(Metas_Diarias[[#This Row],[data]]&lt;Metas[data_fim])),Metas[meta_mensal],0)</f>
        <v>160000</v>
      </c>
      <c r="L67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76" spans="2:12" x14ac:dyDescent="0.3">
      <c r="B676" s="34">
        <v>45965</v>
      </c>
      <c r="C676" s="34" t="str">
        <f>TEXT(Metas_Diarias[[#This Row],[data]],"dddd")</f>
        <v>terça-feira</v>
      </c>
      <c r="D676" s="33">
        <v>1</v>
      </c>
      <c r="E676" s="33">
        <v>1</v>
      </c>
      <c r="F676" s="18"/>
      <c r="G676" s="35">
        <f>WEEKDAY(Metas_Diarias[[#This Row],[data]])</f>
        <v>3</v>
      </c>
      <c r="H676" s="35">
        <f>IF(Metas_Diarias[[#This Row],[dias_da_demana]]=1,"domingo",IF(Metas_Diarias[[#This Row],[dias_da_demana]]=7,0.5,1))</f>
        <v>1</v>
      </c>
      <c r="I676" s="35">
        <f>_xlfn.XLOOKUP(Metas_Diarias[[#This Row],[data]],Feriados[Data],Feriados[Feriado],1)</f>
        <v>1</v>
      </c>
      <c r="J676" s="33" cm="1">
        <f t="array" aca="1" ref="J676" ca="1">SUMPRODUCT(IF((NOT(ISERROR(MATCH(ROW(INDIRECT(DATE(YEAR(B676),MONTH(B676),1)&amp;":"&amp;DATE(YEAR(B676),MONTH(B676)+1,0))),Feriados[Data],0))))=FALSE,
IF(WEEKDAY(ROW(INDIRECT(DATE(YEAR(B676),MONTH(B676),1)&amp;":"&amp;DATE(YEAR(B676),MONTH(B676)+1,0))),2)&lt;=5,1,IF(WEEKDAY(ROW(INDIRECT(DATE(YEAR(B676),MONTH(B676),1)&amp;":"&amp;DATE(YEAR(B676),MONTH(B676)+1,0))),2)=6,0.5,0)),0))</f>
        <v>22</v>
      </c>
      <c r="K676" s="22" cm="1">
        <f t="array" ref="K676">_xlfn.XLOOKUP(1,((Metas_Diarias[[#This Row],[tipo_equipe_id]]=Metas[equipe])*(Metas_Diarias[[#This Row],[data]]&gt;Metas[data_inicio])*(Metas_Diarias[[#This Row],[data]]&lt;Metas[data_fim])),Metas[meta_mensal],0)</f>
        <v>160000</v>
      </c>
      <c r="L67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77" spans="2:12" x14ac:dyDescent="0.3">
      <c r="B677" s="34">
        <v>45966</v>
      </c>
      <c r="C677" s="34" t="str">
        <f>TEXT(Metas_Diarias[[#This Row],[data]],"dddd")</f>
        <v>quarta-feira</v>
      </c>
      <c r="D677" s="33">
        <v>1</v>
      </c>
      <c r="E677" s="33">
        <v>1</v>
      </c>
      <c r="F677" s="18"/>
      <c r="G677" s="35">
        <f>WEEKDAY(Metas_Diarias[[#This Row],[data]])</f>
        <v>4</v>
      </c>
      <c r="H677" s="35">
        <f>IF(Metas_Diarias[[#This Row],[dias_da_demana]]=1,"domingo",IF(Metas_Diarias[[#This Row],[dias_da_demana]]=7,0.5,1))</f>
        <v>1</v>
      </c>
      <c r="I677" s="35">
        <f>_xlfn.XLOOKUP(Metas_Diarias[[#This Row],[data]],Feriados[Data],Feriados[Feriado],1)</f>
        <v>1</v>
      </c>
      <c r="J677" s="33" cm="1">
        <f t="array" aca="1" ref="J677" ca="1">SUMPRODUCT(IF((NOT(ISERROR(MATCH(ROW(INDIRECT(DATE(YEAR(B677),MONTH(B677),1)&amp;":"&amp;DATE(YEAR(B677),MONTH(B677)+1,0))),Feriados[Data],0))))=FALSE,
IF(WEEKDAY(ROW(INDIRECT(DATE(YEAR(B677),MONTH(B677),1)&amp;":"&amp;DATE(YEAR(B677),MONTH(B677)+1,0))),2)&lt;=5,1,IF(WEEKDAY(ROW(INDIRECT(DATE(YEAR(B677),MONTH(B677),1)&amp;":"&amp;DATE(YEAR(B677),MONTH(B677)+1,0))),2)=6,0.5,0)),0))</f>
        <v>22</v>
      </c>
      <c r="K677" s="22" cm="1">
        <f t="array" ref="K677">_xlfn.XLOOKUP(1,((Metas_Diarias[[#This Row],[tipo_equipe_id]]=Metas[equipe])*(Metas_Diarias[[#This Row],[data]]&gt;Metas[data_inicio])*(Metas_Diarias[[#This Row],[data]]&lt;Metas[data_fim])),Metas[meta_mensal],0)</f>
        <v>160000</v>
      </c>
      <c r="L677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78" spans="2:12" x14ac:dyDescent="0.3">
      <c r="B678" s="34">
        <v>45967</v>
      </c>
      <c r="C678" s="34" t="str">
        <f>TEXT(Metas_Diarias[[#This Row],[data]],"dddd")</f>
        <v>quinta-feira</v>
      </c>
      <c r="D678" s="33">
        <v>1</v>
      </c>
      <c r="E678" s="33">
        <v>1</v>
      </c>
      <c r="F678" s="18"/>
      <c r="G678" s="35">
        <f>WEEKDAY(Metas_Diarias[[#This Row],[data]])</f>
        <v>5</v>
      </c>
      <c r="H678" s="35">
        <f>IF(Metas_Diarias[[#This Row],[dias_da_demana]]=1,"domingo",IF(Metas_Diarias[[#This Row],[dias_da_demana]]=7,0.5,1))</f>
        <v>1</v>
      </c>
      <c r="I678" s="35">
        <f>_xlfn.XLOOKUP(Metas_Diarias[[#This Row],[data]],Feriados[Data],Feriados[Feriado],1)</f>
        <v>1</v>
      </c>
      <c r="J678" s="33" cm="1">
        <f t="array" aca="1" ref="J678" ca="1">SUMPRODUCT(IF((NOT(ISERROR(MATCH(ROW(INDIRECT(DATE(YEAR(B678),MONTH(B678),1)&amp;":"&amp;DATE(YEAR(B678),MONTH(B678)+1,0))),Feriados[Data],0))))=FALSE,
IF(WEEKDAY(ROW(INDIRECT(DATE(YEAR(B678),MONTH(B678),1)&amp;":"&amp;DATE(YEAR(B678),MONTH(B678)+1,0))),2)&lt;=5,1,IF(WEEKDAY(ROW(INDIRECT(DATE(YEAR(B678),MONTH(B678),1)&amp;":"&amp;DATE(YEAR(B678),MONTH(B678)+1,0))),2)=6,0.5,0)),0))</f>
        <v>22</v>
      </c>
      <c r="K678" s="22" cm="1">
        <f t="array" ref="K678">_xlfn.XLOOKUP(1,((Metas_Diarias[[#This Row],[tipo_equipe_id]]=Metas[equipe])*(Metas_Diarias[[#This Row],[data]]&gt;Metas[data_inicio])*(Metas_Diarias[[#This Row],[data]]&lt;Metas[data_fim])),Metas[meta_mensal],0)</f>
        <v>160000</v>
      </c>
      <c r="L67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79" spans="2:12" x14ac:dyDescent="0.3">
      <c r="B679" s="34">
        <v>45968</v>
      </c>
      <c r="C679" s="34" t="str">
        <f>TEXT(Metas_Diarias[[#This Row],[data]],"dddd")</f>
        <v>sexta-feira</v>
      </c>
      <c r="D679" s="33">
        <v>1</v>
      </c>
      <c r="E679" s="33">
        <v>1</v>
      </c>
      <c r="F679" s="18"/>
      <c r="G679" s="35">
        <f>WEEKDAY(Metas_Diarias[[#This Row],[data]])</f>
        <v>6</v>
      </c>
      <c r="H679" s="35">
        <f>IF(Metas_Diarias[[#This Row],[dias_da_demana]]=1,"domingo",IF(Metas_Diarias[[#This Row],[dias_da_demana]]=7,0.5,1))</f>
        <v>1</v>
      </c>
      <c r="I679" s="35">
        <f>_xlfn.XLOOKUP(Metas_Diarias[[#This Row],[data]],Feriados[Data],Feriados[Feriado],1)</f>
        <v>1</v>
      </c>
      <c r="J679" s="33" cm="1">
        <f t="array" aca="1" ref="J679" ca="1">SUMPRODUCT(IF((NOT(ISERROR(MATCH(ROW(INDIRECT(DATE(YEAR(B679),MONTH(B679),1)&amp;":"&amp;DATE(YEAR(B679),MONTH(B679)+1,0))),Feriados[Data],0))))=FALSE,
IF(WEEKDAY(ROW(INDIRECT(DATE(YEAR(B679),MONTH(B679),1)&amp;":"&amp;DATE(YEAR(B679),MONTH(B679)+1,0))),2)&lt;=5,1,IF(WEEKDAY(ROW(INDIRECT(DATE(YEAR(B679),MONTH(B679),1)&amp;":"&amp;DATE(YEAR(B679),MONTH(B679)+1,0))),2)=6,0.5,0)),0))</f>
        <v>22</v>
      </c>
      <c r="K679" s="22" cm="1">
        <f t="array" ref="K679">_xlfn.XLOOKUP(1,((Metas_Diarias[[#This Row],[tipo_equipe_id]]=Metas[equipe])*(Metas_Diarias[[#This Row],[data]]&gt;Metas[data_inicio])*(Metas_Diarias[[#This Row],[data]]&lt;Metas[data_fim])),Metas[meta_mensal],0)</f>
        <v>160000</v>
      </c>
      <c r="L67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80" spans="2:12" x14ac:dyDescent="0.3">
      <c r="B680" s="34">
        <v>45969</v>
      </c>
      <c r="C680" s="34" t="str">
        <f>TEXT(Metas_Diarias[[#This Row],[data]],"dddd")</f>
        <v>sábado</v>
      </c>
      <c r="D680" s="33">
        <v>1</v>
      </c>
      <c r="E680" s="33">
        <v>1</v>
      </c>
      <c r="F680" s="18"/>
      <c r="G680" s="35">
        <f>WEEKDAY(Metas_Diarias[[#This Row],[data]])</f>
        <v>7</v>
      </c>
      <c r="H680" s="35">
        <f>IF(Metas_Diarias[[#This Row],[dias_da_demana]]=1,"domingo",IF(Metas_Diarias[[#This Row],[dias_da_demana]]=7,0.5,1))</f>
        <v>0.5</v>
      </c>
      <c r="I680" s="35">
        <f>_xlfn.XLOOKUP(Metas_Diarias[[#This Row],[data]],Feriados[Data],Feriados[Feriado],1)</f>
        <v>1</v>
      </c>
      <c r="J680" s="33" cm="1">
        <f t="array" aca="1" ref="J680" ca="1">SUMPRODUCT(IF((NOT(ISERROR(MATCH(ROW(INDIRECT(DATE(YEAR(B680),MONTH(B680),1)&amp;":"&amp;DATE(YEAR(B680),MONTH(B680)+1,0))),Feriados[Data],0))))=FALSE,
IF(WEEKDAY(ROW(INDIRECT(DATE(YEAR(B680),MONTH(B680),1)&amp;":"&amp;DATE(YEAR(B680),MONTH(B680)+1,0))),2)&lt;=5,1,IF(WEEKDAY(ROW(INDIRECT(DATE(YEAR(B680),MONTH(B680),1)&amp;":"&amp;DATE(YEAR(B680),MONTH(B680)+1,0))),2)=6,0.5,0)),0))</f>
        <v>22</v>
      </c>
      <c r="K680" s="22" cm="1">
        <f t="array" ref="K680">_xlfn.XLOOKUP(1,((Metas_Diarias[[#This Row],[tipo_equipe_id]]=Metas[equipe])*(Metas_Diarias[[#This Row],[data]]&gt;Metas[data_inicio])*(Metas_Diarias[[#This Row],[data]]&lt;Metas[data_fim])),Metas[meta_mensal],0)</f>
        <v>160000</v>
      </c>
      <c r="L680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681" spans="2:12" x14ac:dyDescent="0.3">
      <c r="B681" s="34">
        <v>45970</v>
      </c>
      <c r="C681" s="34" t="str">
        <f>TEXT(Metas_Diarias[[#This Row],[data]],"dddd")</f>
        <v>domingo</v>
      </c>
      <c r="D681" s="33">
        <v>1</v>
      </c>
      <c r="E681" s="33">
        <v>1</v>
      </c>
      <c r="F681" s="18"/>
      <c r="G681" s="35">
        <f>WEEKDAY(Metas_Diarias[[#This Row],[data]])</f>
        <v>1</v>
      </c>
      <c r="H681" s="35" t="str">
        <f>IF(Metas_Diarias[[#This Row],[dias_da_demana]]=1,"domingo",IF(Metas_Diarias[[#This Row],[dias_da_demana]]=7,0.5,1))</f>
        <v>domingo</v>
      </c>
      <c r="I681" s="35">
        <f>_xlfn.XLOOKUP(Metas_Diarias[[#This Row],[data]],Feriados[Data],Feriados[Feriado],1)</f>
        <v>1</v>
      </c>
      <c r="J681" s="33" cm="1">
        <f t="array" aca="1" ref="J681" ca="1">SUMPRODUCT(IF((NOT(ISERROR(MATCH(ROW(INDIRECT(DATE(YEAR(B681),MONTH(B681),1)&amp;":"&amp;DATE(YEAR(B681),MONTH(B681)+1,0))),Feriados[Data],0))))=FALSE,
IF(WEEKDAY(ROW(INDIRECT(DATE(YEAR(B681),MONTH(B681),1)&amp;":"&amp;DATE(YEAR(B681),MONTH(B681)+1,0))),2)&lt;=5,1,IF(WEEKDAY(ROW(INDIRECT(DATE(YEAR(B681),MONTH(B681),1)&amp;":"&amp;DATE(YEAR(B681),MONTH(B681)+1,0))),2)=6,0.5,0)),0))</f>
        <v>22</v>
      </c>
      <c r="K681" s="22" cm="1">
        <f t="array" ref="K681">_xlfn.XLOOKUP(1,((Metas_Diarias[[#This Row],[tipo_equipe_id]]=Metas[equipe])*(Metas_Diarias[[#This Row],[data]]&gt;Metas[data_inicio])*(Metas_Diarias[[#This Row],[data]]&lt;Metas[data_fim])),Metas[meta_mensal],0)</f>
        <v>160000</v>
      </c>
      <c r="L68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82" spans="2:12" x14ac:dyDescent="0.3">
      <c r="B682" s="34">
        <v>45971</v>
      </c>
      <c r="C682" s="34" t="str">
        <f>TEXT(Metas_Diarias[[#This Row],[data]],"dddd")</f>
        <v>segunda-feira</v>
      </c>
      <c r="D682" s="33">
        <v>1</v>
      </c>
      <c r="E682" s="33">
        <v>1</v>
      </c>
      <c r="F682" s="18"/>
      <c r="G682" s="35">
        <f>WEEKDAY(Metas_Diarias[[#This Row],[data]])</f>
        <v>2</v>
      </c>
      <c r="H682" s="35">
        <f>IF(Metas_Diarias[[#This Row],[dias_da_demana]]=1,"domingo",IF(Metas_Diarias[[#This Row],[dias_da_demana]]=7,0.5,1))</f>
        <v>1</v>
      </c>
      <c r="I682" s="35">
        <f>_xlfn.XLOOKUP(Metas_Diarias[[#This Row],[data]],Feriados[Data],Feriados[Feriado],1)</f>
        <v>1</v>
      </c>
      <c r="J682" s="33" cm="1">
        <f t="array" aca="1" ref="J682" ca="1">SUMPRODUCT(IF((NOT(ISERROR(MATCH(ROW(INDIRECT(DATE(YEAR(B682),MONTH(B682),1)&amp;":"&amp;DATE(YEAR(B682),MONTH(B682)+1,0))),Feriados[Data],0))))=FALSE,
IF(WEEKDAY(ROW(INDIRECT(DATE(YEAR(B682),MONTH(B682),1)&amp;":"&amp;DATE(YEAR(B682),MONTH(B682)+1,0))),2)&lt;=5,1,IF(WEEKDAY(ROW(INDIRECT(DATE(YEAR(B682),MONTH(B682),1)&amp;":"&amp;DATE(YEAR(B682),MONTH(B682)+1,0))),2)=6,0.5,0)),0))</f>
        <v>22</v>
      </c>
      <c r="K682" s="22" cm="1">
        <f t="array" ref="K682">_xlfn.XLOOKUP(1,((Metas_Diarias[[#This Row],[tipo_equipe_id]]=Metas[equipe])*(Metas_Diarias[[#This Row],[data]]&gt;Metas[data_inicio])*(Metas_Diarias[[#This Row],[data]]&lt;Metas[data_fim])),Metas[meta_mensal],0)</f>
        <v>160000</v>
      </c>
      <c r="L68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83" spans="2:12" x14ac:dyDescent="0.3">
      <c r="B683" s="34">
        <v>45972</v>
      </c>
      <c r="C683" s="34" t="str">
        <f>TEXT(Metas_Diarias[[#This Row],[data]],"dddd")</f>
        <v>terça-feira</v>
      </c>
      <c r="D683" s="33">
        <v>1</v>
      </c>
      <c r="E683" s="33">
        <v>1</v>
      </c>
      <c r="F683" s="18"/>
      <c r="G683" s="35">
        <f>WEEKDAY(Metas_Diarias[[#This Row],[data]])</f>
        <v>3</v>
      </c>
      <c r="H683" s="35">
        <f>IF(Metas_Diarias[[#This Row],[dias_da_demana]]=1,"domingo",IF(Metas_Diarias[[#This Row],[dias_da_demana]]=7,0.5,1))</f>
        <v>1</v>
      </c>
      <c r="I683" s="35">
        <f>_xlfn.XLOOKUP(Metas_Diarias[[#This Row],[data]],Feriados[Data],Feriados[Feriado],1)</f>
        <v>1</v>
      </c>
      <c r="J683" s="33" cm="1">
        <f t="array" aca="1" ref="J683" ca="1">SUMPRODUCT(IF((NOT(ISERROR(MATCH(ROW(INDIRECT(DATE(YEAR(B683),MONTH(B683),1)&amp;":"&amp;DATE(YEAR(B683),MONTH(B683)+1,0))),Feriados[Data],0))))=FALSE,
IF(WEEKDAY(ROW(INDIRECT(DATE(YEAR(B683),MONTH(B683),1)&amp;":"&amp;DATE(YEAR(B683),MONTH(B683)+1,0))),2)&lt;=5,1,IF(WEEKDAY(ROW(INDIRECT(DATE(YEAR(B683),MONTH(B683),1)&amp;":"&amp;DATE(YEAR(B683),MONTH(B683)+1,0))),2)=6,0.5,0)),0))</f>
        <v>22</v>
      </c>
      <c r="K683" s="22" cm="1">
        <f t="array" ref="K683">_xlfn.XLOOKUP(1,((Metas_Diarias[[#This Row],[tipo_equipe_id]]=Metas[equipe])*(Metas_Diarias[[#This Row],[data]]&gt;Metas[data_inicio])*(Metas_Diarias[[#This Row],[data]]&lt;Metas[data_fim])),Metas[meta_mensal],0)</f>
        <v>160000</v>
      </c>
      <c r="L68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84" spans="2:12" x14ac:dyDescent="0.3">
      <c r="B684" s="34">
        <v>45973</v>
      </c>
      <c r="C684" s="34" t="str">
        <f>TEXT(Metas_Diarias[[#This Row],[data]],"dddd")</f>
        <v>quarta-feira</v>
      </c>
      <c r="D684" s="33">
        <v>1</v>
      </c>
      <c r="E684" s="33">
        <v>1</v>
      </c>
      <c r="F684" s="18"/>
      <c r="G684" s="35">
        <f>WEEKDAY(Metas_Diarias[[#This Row],[data]])</f>
        <v>4</v>
      </c>
      <c r="H684" s="35">
        <f>IF(Metas_Diarias[[#This Row],[dias_da_demana]]=1,"domingo",IF(Metas_Diarias[[#This Row],[dias_da_demana]]=7,0.5,1))</f>
        <v>1</v>
      </c>
      <c r="I684" s="35">
        <f>_xlfn.XLOOKUP(Metas_Diarias[[#This Row],[data]],Feriados[Data],Feriados[Feriado],1)</f>
        <v>1</v>
      </c>
      <c r="J684" s="33" cm="1">
        <f t="array" aca="1" ref="J684" ca="1">SUMPRODUCT(IF((NOT(ISERROR(MATCH(ROW(INDIRECT(DATE(YEAR(B684),MONTH(B684),1)&amp;":"&amp;DATE(YEAR(B684),MONTH(B684)+1,0))),Feriados[Data],0))))=FALSE,
IF(WEEKDAY(ROW(INDIRECT(DATE(YEAR(B684),MONTH(B684),1)&amp;":"&amp;DATE(YEAR(B684),MONTH(B684)+1,0))),2)&lt;=5,1,IF(WEEKDAY(ROW(INDIRECT(DATE(YEAR(B684),MONTH(B684),1)&amp;":"&amp;DATE(YEAR(B684),MONTH(B684)+1,0))),2)=6,0.5,0)),0))</f>
        <v>22</v>
      </c>
      <c r="K684" s="22" cm="1">
        <f t="array" ref="K684">_xlfn.XLOOKUP(1,((Metas_Diarias[[#This Row],[tipo_equipe_id]]=Metas[equipe])*(Metas_Diarias[[#This Row],[data]]&gt;Metas[data_inicio])*(Metas_Diarias[[#This Row],[data]]&lt;Metas[data_fim])),Metas[meta_mensal],0)</f>
        <v>160000</v>
      </c>
      <c r="L684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85" spans="2:12" x14ac:dyDescent="0.3">
      <c r="B685" s="34">
        <v>45974</v>
      </c>
      <c r="C685" s="34" t="str">
        <f>TEXT(Metas_Diarias[[#This Row],[data]],"dddd")</f>
        <v>quinta-feira</v>
      </c>
      <c r="D685" s="33">
        <v>1</v>
      </c>
      <c r="E685" s="33">
        <v>1</v>
      </c>
      <c r="F685" s="18"/>
      <c r="G685" s="35">
        <f>WEEKDAY(Metas_Diarias[[#This Row],[data]])</f>
        <v>5</v>
      </c>
      <c r="H685" s="35">
        <f>IF(Metas_Diarias[[#This Row],[dias_da_demana]]=1,"domingo",IF(Metas_Diarias[[#This Row],[dias_da_demana]]=7,0.5,1))</f>
        <v>1</v>
      </c>
      <c r="I685" s="35">
        <f>_xlfn.XLOOKUP(Metas_Diarias[[#This Row],[data]],Feriados[Data],Feriados[Feriado],1)</f>
        <v>1</v>
      </c>
      <c r="J685" s="33" cm="1">
        <f t="array" aca="1" ref="J685" ca="1">SUMPRODUCT(IF((NOT(ISERROR(MATCH(ROW(INDIRECT(DATE(YEAR(B685),MONTH(B685),1)&amp;":"&amp;DATE(YEAR(B685),MONTH(B685)+1,0))),Feriados[Data],0))))=FALSE,
IF(WEEKDAY(ROW(INDIRECT(DATE(YEAR(B685),MONTH(B685),1)&amp;":"&amp;DATE(YEAR(B685),MONTH(B685)+1,0))),2)&lt;=5,1,IF(WEEKDAY(ROW(INDIRECT(DATE(YEAR(B685),MONTH(B685),1)&amp;":"&amp;DATE(YEAR(B685),MONTH(B685)+1,0))),2)=6,0.5,0)),0))</f>
        <v>22</v>
      </c>
      <c r="K685" s="22" cm="1">
        <f t="array" ref="K685">_xlfn.XLOOKUP(1,((Metas_Diarias[[#This Row],[tipo_equipe_id]]=Metas[equipe])*(Metas_Diarias[[#This Row],[data]]&gt;Metas[data_inicio])*(Metas_Diarias[[#This Row],[data]]&lt;Metas[data_fim])),Metas[meta_mensal],0)</f>
        <v>160000</v>
      </c>
      <c r="L685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86" spans="2:12" x14ac:dyDescent="0.3">
      <c r="B686" s="34">
        <v>45975</v>
      </c>
      <c r="C686" s="34" t="str">
        <f>TEXT(Metas_Diarias[[#This Row],[data]],"dddd")</f>
        <v>sexta-feira</v>
      </c>
      <c r="D686" s="33">
        <v>1</v>
      </c>
      <c r="E686" s="33">
        <v>1</v>
      </c>
      <c r="F686" s="18"/>
      <c r="G686" s="35">
        <f>WEEKDAY(Metas_Diarias[[#This Row],[data]])</f>
        <v>6</v>
      </c>
      <c r="H686" s="35">
        <f>IF(Metas_Diarias[[#This Row],[dias_da_demana]]=1,"domingo",IF(Metas_Diarias[[#This Row],[dias_da_demana]]=7,0.5,1))</f>
        <v>1</v>
      </c>
      <c r="I686" s="35">
        <f>_xlfn.XLOOKUP(Metas_Diarias[[#This Row],[data]],Feriados[Data],Feriados[Feriado],1)</f>
        <v>1</v>
      </c>
      <c r="J686" s="33" cm="1">
        <f t="array" aca="1" ref="J686" ca="1">SUMPRODUCT(IF((NOT(ISERROR(MATCH(ROW(INDIRECT(DATE(YEAR(B686),MONTH(B686),1)&amp;":"&amp;DATE(YEAR(B686),MONTH(B686)+1,0))),Feriados[Data],0))))=FALSE,
IF(WEEKDAY(ROW(INDIRECT(DATE(YEAR(B686),MONTH(B686),1)&amp;":"&amp;DATE(YEAR(B686),MONTH(B686)+1,0))),2)&lt;=5,1,IF(WEEKDAY(ROW(INDIRECT(DATE(YEAR(B686),MONTH(B686),1)&amp;":"&amp;DATE(YEAR(B686),MONTH(B686)+1,0))),2)=6,0.5,0)),0))</f>
        <v>22</v>
      </c>
      <c r="K686" s="22" cm="1">
        <f t="array" ref="K686">_xlfn.XLOOKUP(1,((Metas_Diarias[[#This Row],[tipo_equipe_id]]=Metas[equipe])*(Metas_Diarias[[#This Row],[data]]&gt;Metas[data_inicio])*(Metas_Diarias[[#This Row],[data]]&lt;Metas[data_fim])),Metas[meta_mensal],0)</f>
        <v>160000</v>
      </c>
      <c r="L68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87" spans="2:12" x14ac:dyDescent="0.3">
      <c r="B687" s="34">
        <v>45976</v>
      </c>
      <c r="C687" s="34" t="str">
        <f>TEXT(Metas_Diarias[[#This Row],[data]],"dddd")</f>
        <v>sábado</v>
      </c>
      <c r="D687" s="33">
        <v>1</v>
      </c>
      <c r="E687" s="33">
        <v>1</v>
      </c>
      <c r="F687" s="18"/>
      <c r="G687" s="35">
        <f>WEEKDAY(Metas_Diarias[[#This Row],[data]])</f>
        <v>7</v>
      </c>
      <c r="H687" s="35">
        <f>IF(Metas_Diarias[[#This Row],[dias_da_demana]]=1,"domingo",IF(Metas_Diarias[[#This Row],[dias_da_demana]]=7,0.5,1))</f>
        <v>0.5</v>
      </c>
      <c r="I687" s="35" t="str">
        <f>_xlfn.XLOOKUP(Metas_Diarias[[#This Row],[data]],Feriados[Data],Feriados[Feriado],1)</f>
        <v>Proclamação da República</v>
      </c>
      <c r="J687" s="33" cm="1">
        <f t="array" aca="1" ref="J687" ca="1">SUMPRODUCT(IF((NOT(ISERROR(MATCH(ROW(INDIRECT(DATE(YEAR(B687),MONTH(B687),1)&amp;":"&amp;DATE(YEAR(B687),MONTH(B687)+1,0))),Feriados[Data],0))))=FALSE,
IF(WEEKDAY(ROW(INDIRECT(DATE(YEAR(B687),MONTH(B687),1)&amp;":"&amp;DATE(YEAR(B687),MONTH(B687)+1,0))),2)&lt;=5,1,IF(WEEKDAY(ROW(INDIRECT(DATE(YEAR(B687),MONTH(B687),1)&amp;":"&amp;DATE(YEAR(B687),MONTH(B687)+1,0))),2)=6,0.5,0)),0))</f>
        <v>22</v>
      </c>
      <c r="K687" s="22" cm="1">
        <f t="array" ref="K687">_xlfn.XLOOKUP(1,((Metas_Diarias[[#This Row],[tipo_equipe_id]]=Metas[equipe])*(Metas_Diarias[[#This Row],[data]]&gt;Metas[data_inicio])*(Metas_Diarias[[#This Row],[data]]&lt;Metas[data_fim])),Metas[meta_mensal],0)</f>
        <v>160000</v>
      </c>
      <c r="L6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88" spans="2:12" x14ac:dyDescent="0.3">
      <c r="B688" s="34">
        <v>45977</v>
      </c>
      <c r="C688" s="34" t="str">
        <f>TEXT(Metas_Diarias[[#This Row],[data]],"dddd")</f>
        <v>domingo</v>
      </c>
      <c r="D688" s="33">
        <v>1</v>
      </c>
      <c r="E688" s="33">
        <v>1</v>
      </c>
      <c r="F688" s="18"/>
      <c r="G688" s="35">
        <f>WEEKDAY(Metas_Diarias[[#This Row],[data]])</f>
        <v>1</v>
      </c>
      <c r="H688" s="35" t="str">
        <f>IF(Metas_Diarias[[#This Row],[dias_da_demana]]=1,"domingo",IF(Metas_Diarias[[#This Row],[dias_da_demana]]=7,0.5,1))</f>
        <v>domingo</v>
      </c>
      <c r="I688" s="35">
        <f>_xlfn.XLOOKUP(Metas_Diarias[[#This Row],[data]],Feriados[Data],Feriados[Feriado],1)</f>
        <v>1</v>
      </c>
      <c r="J688" s="33" cm="1">
        <f t="array" aca="1" ref="J688" ca="1">SUMPRODUCT(IF((NOT(ISERROR(MATCH(ROW(INDIRECT(DATE(YEAR(B688),MONTH(B688),1)&amp;":"&amp;DATE(YEAR(B688),MONTH(B688)+1,0))),Feriados[Data],0))))=FALSE,
IF(WEEKDAY(ROW(INDIRECT(DATE(YEAR(B688),MONTH(B688),1)&amp;":"&amp;DATE(YEAR(B688),MONTH(B688)+1,0))),2)&lt;=5,1,IF(WEEKDAY(ROW(INDIRECT(DATE(YEAR(B688),MONTH(B688),1)&amp;":"&amp;DATE(YEAR(B688),MONTH(B688)+1,0))),2)=6,0.5,0)),0))</f>
        <v>22</v>
      </c>
      <c r="K688" s="22" cm="1">
        <f t="array" ref="K688">_xlfn.XLOOKUP(1,((Metas_Diarias[[#This Row],[tipo_equipe_id]]=Metas[equipe])*(Metas_Diarias[[#This Row],[data]]&gt;Metas[data_inicio])*(Metas_Diarias[[#This Row],[data]]&lt;Metas[data_fim])),Metas[meta_mensal],0)</f>
        <v>160000</v>
      </c>
      <c r="L68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89" spans="2:12" x14ac:dyDescent="0.3">
      <c r="B689" s="34">
        <v>45978</v>
      </c>
      <c r="C689" s="34" t="str">
        <f>TEXT(Metas_Diarias[[#This Row],[data]],"dddd")</f>
        <v>segunda-feira</v>
      </c>
      <c r="D689" s="33">
        <v>1</v>
      </c>
      <c r="E689" s="33">
        <v>1</v>
      </c>
      <c r="F689" s="18"/>
      <c r="G689" s="35">
        <f>WEEKDAY(Metas_Diarias[[#This Row],[data]])</f>
        <v>2</v>
      </c>
      <c r="H689" s="35">
        <f>IF(Metas_Diarias[[#This Row],[dias_da_demana]]=1,"domingo",IF(Metas_Diarias[[#This Row],[dias_da_demana]]=7,0.5,1))</f>
        <v>1</v>
      </c>
      <c r="I689" s="35">
        <f>_xlfn.XLOOKUP(Metas_Diarias[[#This Row],[data]],Feriados[Data],Feriados[Feriado],1)</f>
        <v>1</v>
      </c>
      <c r="J689" s="33" cm="1">
        <f t="array" aca="1" ref="J689" ca="1">SUMPRODUCT(IF((NOT(ISERROR(MATCH(ROW(INDIRECT(DATE(YEAR(B689),MONTH(B689),1)&amp;":"&amp;DATE(YEAR(B689),MONTH(B689)+1,0))),Feriados[Data],0))))=FALSE,
IF(WEEKDAY(ROW(INDIRECT(DATE(YEAR(B689),MONTH(B689),1)&amp;":"&amp;DATE(YEAR(B689),MONTH(B689)+1,0))),2)&lt;=5,1,IF(WEEKDAY(ROW(INDIRECT(DATE(YEAR(B689),MONTH(B689),1)&amp;":"&amp;DATE(YEAR(B689),MONTH(B689)+1,0))),2)=6,0.5,0)),0))</f>
        <v>22</v>
      </c>
      <c r="K689" s="22" cm="1">
        <f t="array" ref="K689">_xlfn.XLOOKUP(1,((Metas_Diarias[[#This Row],[tipo_equipe_id]]=Metas[equipe])*(Metas_Diarias[[#This Row],[data]]&gt;Metas[data_inicio])*(Metas_Diarias[[#This Row],[data]]&lt;Metas[data_fim])),Metas[meta_mensal],0)</f>
        <v>160000</v>
      </c>
      <c r="L68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90" spans="2:12" x14ac:dyDescent="0.3">
      <c r="B690" s="34">
        <v>45979</v>
      </c>
      <c r="C690" s="34" t="str">
        <f>TEXT(Metas_Diarias[[#This Row],[data]],"dddd")</f>
        <v>terça-feira</v>
      </c>
      <c r="D690" s="33">
        <v>1</v>
      </c>
      <c r="E690" s="33">
        <v>1</v>
      </c>
      <c r="F690" s="18"/>
      <c r="G690" s="35">
        <f>WEEKDAY(Metas_Diarias[[#This Row],[data]])</f>
        <v>3</v>
      </c>
      <c r="H690" s="35">
        <f>IF(Metas_Diarias[[#This Row],[dias_da_demana]]=1,"domingo",IF(Metas_Diarias[[#This Row],[dias_da_demana]]=7,0.5,1))</f>
        <v>1</v>
      </c>
      <c r="I690" s="35">
        <f>_xlfn.XLOOKUP(Metas_Diarias[[#This Row],[data]],Feriados[Data],Feriados[Feriado],1)</f>
        <v>1</v>
      </c>
      <c r="J690" s="33" cm="1">
        <f t="array" aca="1" ref="J690" ca="1">SUMPRODUCT(IF((NOT(ISERROR(MATCH(ROW(INDIRECT(DATE(YEAR(B690),MONTH(B690),1)&amp;":"&amp;DATE(YEAR(B690),MONTH(B690)+1,0))),Feriados[Data],0))))=FALSE,
IF(WEEKDAY(ROW(INDIRECT(DATE(YEAR(B690),MONTH(B690),1)&amp;":"&amp;DATE(YEAR(B690),MONTH(B690)+1,0))),2)&lt;=5,1,IF(WEEKDAY(ROW(INDIRECT(DATE(YEAR(B690),MONTH(B690),1)&amp;":"&amp;DATE(YEAR(B690),MONTH(B690)+1,0))),2)=6,0.5,0)),0))</f>
        <v>22</v>
      </c>
      <c r="K690" s="22" cm="1">
        <f t="array" ref="K690">_xlfn.XLOOKUP(1,((Metas_Diarias[[#This Row],[tipo_equipe_id]]=Metas[equipe])*(Metas_Diarias[[#This Row],[data]]&gt;Metas[data_inicio])*(Metas_Diarias[[#This Row],[data]]&lt;Metas[data_fim])),Metas[meta_mensal],0)</f>
        <v>160000</v>
      </c>
      <c r="L690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91" spans="2:12" x14ac:dyDescent="0.3">
      <c r="B691" s="34">
        <v>45980</v>
      </c>
      <c r="C691" s="34" t="str">
        <f>TEXT(Metas_Diarias[[#This Row],[data]],"dddd")</f>
        <v>quarta-feira</v>
      </c>
      <c r="D691" s="33">
        <v>1</v>
      </c>
      <c r="E691" s="33">
        <v>1</v>
      </c>
      <c r="F691" s="18"/>
      <c r="G691" s="35">
        <f>WEEKDAY(Metas_Diarias[[#This Row],[data]])</f>
        <v>4</v>
      </c>
      <c r="H691" s="35">
        <f>IF(Metas_Diarias[[#This Row],[dias_da_demana]]=1,"domingo",IF(Metas_Diarias[[#This Row],[dias_da_demana]]=7,0.5,1))</f>
        <v>1</v>
      </c>
      <c r="I691" s="35">
        <f>_xlfn.XLOOKUP(Metas_Diarias[[#This Row],[data]],Feriados[Data],Feriados[Feriado],1)</f>
        <v>1</v>
      </c>
      <c r="J691" s="33" cm="1">
        <f t="array" aca="1" ref="J691" ca="1">SUMPRODUCT(IF((NOT(ISERROR(MATCH(ROW(INDIRECT(DATE(YEAR(B691),MONTH(B691),1)&amp;":"&amp;DATE(YEAR(B691),MONTH(B691)+1,0))),Feriados[Data],0))))=FALSE,
IF(WEEKDAY(ROW(INDIRECT(DATE(YEAR(B691),MONTH(B691),1)&amp;":"&amp;DATE(YEAR(B691),MONTH(B691)+1,0))),2)&lt;=5,1,IF(WEEKDAY(ROW(INDIRECT(DATE(YEAR(B691),MONTH(B691),1)&amp;":"&amp;DATE(YEAR(B691),MONTH(B691)+1,0))),2)=6,0.5,0)),0))</f>
        <v>22</v>
      </c>
      <c r="K691" s="22" cm="1">
        <f t="array" ref="K691">_xlfn.XLOOKUP(1,((Metas_Diarias[[#This Row],[tipo_equipe_id]]=Metas[equipe])*(Metas_Diarias[[#This Row],[data]]&gt;Metas[data_inicio])*(Metas_Diarias[[#This Row],[data]]&lt;Metas[data_fim])),Metas[meta_mensal],0)</f>
        <v>160000</v>
      </c>
      <c r="L691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92" spans="2:12" x14ac:dyDescent="0.3">
      <c r="B692" s="34">
        <v>45981</v>
      </c>
      <c r="C692" s="34" t="str">
        <f>TEXT(Metas_Diarias[[#This Row],[data]],"dddd")</f>
        <v>quinta-feira</v>
      </c>
      <c r="D692" s="33">
        <v>1</v>
      </c>
      <c r="E692" s="33">
        <v>1</v>
      </c>
      <c r="F692" s="18"/>
      <c r="G692" s="35">
        <f>WEEKDAY(Metas_Diarias[[#This Row],[data]])</f>
        <v>5</v>
      </c>
      <c r="H692" s="35">
        <f>IF(Metas_Diarias[[#This Row],[dias_da_demana]]=1,"domingo",IF(Metas_Diarias[[#This Row],[dias_da_demana]]=7,0.5,1))</f>
        <v>1</v>
      </c>
      <c r="I692" s="35">
        <f>_xlfn.XLOOKUP(Metas_Diarias[[#This Row],[data]],Feriados[Data],Feriados[Feriado],1)</f>
        <v>1</v>
      </c>
      <c r="J692" s="33" cm="1">
        <f t="array" aca="1" ref="J692" ca="1">SUMPRODUCT(IF((NOT(ISERROR(MATCH(ROW(INDIRECT(DATE(YEAR(B692),MONTH(B692),1)&amp;":"&amp;DATE(YEAR(B692),MONTH(B692)+1,0))),Feriados[Data],0))))=FALSE,
IF(WEEKDAY(ROW(INDIRECT(DATE(YEAR(B692),MONTH(B692),1)&amp;":"&amp;DATE(YEAR(B692),MONTH(B692)+1,0))),2)&lt;=5,1,IF(WEEKDAY(ROW(INDIRECT(DATE(YEAR(B692),MONTH(B692),1)&amp;":"&amp;DATE(YEAR(B692),MONTH(B692)+1,0))),2)=6,0.5,0)),0))</f>
        <v>22</v>
      </c>
      <c r="K692" s="22" cm="1">
        <f t="array" ref="K692">_xlfn.XLOOKUP(1,((Metas_Diarias[[#This Row],[tipo_equipe_id]]=Metas[equipe])*(Metas_Diarias[[#This Row],[data]]&gt;Metas[data_inicio])*(Metas_Diarias[[#This Row],[data]]&lt;Metas[data_fim])),Metas[meta_mensal],0)</f>
        <v>160000</v>
      </c>
      <c r="L692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93" spans="2:12" x14ac:dyDescent="0.3">
      <c r="B693" s="34">
        <v>45982</v>
      </c>
      <c r="C693" s="34" t="str">
        <f>TEXT(Metas_Diarias[[#This Row],[data]],"dddd")</f>
        <v>sexta-feira</v>
      </c>
      <c r="D693" s="33">
        <v>1</v>
      </c>
      <c r="E693" s="33">
        <v>1</v>
      </c>
      <c r="F693" s="18"/>
      <c r="G693" s="35">
        <f>WEEKDAY(Metas_Diarias[[#This Row],[data]])</f>
        <v>6</v>
      </c>
      <c r="H693" s="35">
        <f>IF(Metas_Diarias[[#This Row],[dias_da_demana]]=1,"domingo",IF(Metas_Diarias[[#This Row],[dias_da_demana]]=7,0.5,1))</f>
        <v>1</v>
      </c>
      <c r="I693" s="35">
        <f>_xlfn.XLOOKUP(Metas_Diarias[[#This Row],[data]],Feriados[Data],Feriados[Feriado],1)</f>
        <v>1</v>
      </c>
      <c r="J693" s="33" cm="1">
        <f t="array" aca="1" ref="J693" ca="1">SUMPRODUCT(IF((NOT(ISERROR(MATCH(ROW(INDIRECT(DATE(YEAR(B693),MONTH(B693),1)&amp;":"&amp;DATE(YEAR(B693),MONTH(B693)+1,0))),Feriados[Data],0))))=FALSE,
IF(WEEKDAY(ROW(INDIRECT(DATE(YEAR(B693),MONTH(B693),1)&amp;":"&amp;DATE(YEAR(B693),MONTH(B693)+1,0))),2)&lt;=5,1,IF(WEEKDAY(ROW(INDIRECT(DATE(YEAR(B693),MONTH(B693),1)&amp;":"&amp;DATE(YEAR(B693),MONTH(B693)+1,0))),2)=6,0.5,0)),0))</f>
        <v>22</v>
      </c>
      <c r="K693" s="22" cm="1">
        <f t="array" ref="K693">_xlfn.XLOOKUP(1,((Metas_Diarias[[#This Row],[tipo_equipe_id]]=Metas[equipe])*(Metas_Diarias[[#This Row],[data]]&gt;Metas[data_inicio])*(Metas_Diarias[[#This Row],[data]]&lt;Metas[data_fim])),Metas[meta_mensal],0)</f>
        <v>160000</v>
      </c>
      <c r="L693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94" spans="2:12" x14ac:dyDescent="0.3">
      <c r="B694" s="34">
        <v>45983</v>
      </c>
      <c r="C694" s="34" t="str">
        <f>TEXT(Metas_Diarias[[#This Row],[data]],"dddd")</f>
        <v>sábado</v>
      </c>
      <c r="D694" s="33">
        <v>1</v>
      </c>
      <c r="E694" s="33">
        <v>1</v>
      </c>
      <c r="F694" s="18"/>
      <c r="G694" s="35">
        <f>WEEKDAY(Metas_Diarias[[#This Row],[data]])</f>
        <v>7</v>
      </c>
      <c r="H694" s="35">
        <f>IF(Metas_Diarias[[#This Row],[dias_da_demana]]=1,"domingo",IF(Metas_Diarias[[#This Row],[dias_da_demana]]=7,0.5,1))</f>
        <v>0.5</v>
      </c>
      <c r="I694" s="35">
        <f>_xlfn.XLOOKUP(Metas_Diarias[[#This Row],[data]],Feriados[Data],Feriados[Feriado],1)</f>
        <v>1</v>
      </c>
      <c r="J694" s="33" cm="1">
        <f t="array" aca="1" ref="J694" ca="1">SUMPRODUCT(IF((NOT(ISERROR(MATCH(ROW(INDIRECT(DATE(YEAR(B694),MONTH(B694),1)&amp;":"&amp;DATE(YEAR(B694),MONTH(B694)+1,0))),Feriados[Data],0))))=FALSE,
IF(WEEKDAY(ROW(INDIRECT(DATE(YEAR(B694),MONTH(B694),1)&amp;":"&amp;DATE(YEAR(B694),MONTH(B694)+1,0))),2)&lt;=5,1,IF(WEEKDAY(ROW(INDIRECT(DATE(YEAR(B694),MONTH(B694),1)&amp;":"&amp;DATE(YEAR(B694),MONTH(B694)+1,0))),2)=6,0.5,0)),0))</f>
        <v>22</v>
      </c>
      <c r="K694" s="22" cm="1">
        <f t="array" ref="K694">_xlfn.XLOOKUP(1,((Metas_Diarias[[#This Row],[tipo_equipe_id]]=Metas[equipe])*(Metas_Diarias[[#This Row],[data]]&gt;Metas[data_inicio])*(Metas_Diarias[[#This Row],[data]]&lt;Metas[data_fim])),Metas[meta_mensal],0)</f>
        <v>160000</v>
      </c>
      <c r="L694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695" spans="2:12" x14ac:dyDescent="0.3">
      <c r="B695" s="34">
        <v>45984</v>
      </c>
      <c r="C695" s="34" t="str">
        <f>TEXT(Metas_Diarias[[#This Row],[data]],"dddd")</f>
        <v>domingo</v>
      </c>
      <c r="D695" s="33">
        <v>1</v>
      </c>
      <c r="E695" s="33">
        <v>1</v>
      </c>
      <c r="F695" s="18"/>
      <c r="G695" s="35">
        <f>WEEKDAY(Metas_Diarias[[#This Row],[data]])</f>
        <v>1</v>
      </c>
      <c r="H695" s="35" t="str">
        <f>IF(Metas_Diarias[[#This Row],[dias_da_demana]]=1,"domingo",IF(Metas_Diarias[[#This Row],[dias_da_demana]]=7,0.5,1))</f>
        <v>domingo</v>
      </c>
      <c r="I695" s="35">
        <f>_xlfn.XLOOKUP(Metas_Diarias[[#This Row],[data]],Feriados[Data],Feriados[Feriado],1)</f>
        <v>1</v>
      </c>
      <c r="J695" s="33" cm="1">
        <f t="array" aca="1" ref="J695" ca="1">SUMPRODUCT(IF((NOT(ISERROR(MATCH(ROW(INDIRECT(DATE(YEAR(B695),MONTH(B695),1)&amp;":"&amp;DATE(YEAR(B695),MONTH(B695)+1,0))),Feriados[Data],0))))=FALSE,
IF(WEEKDAY(ROW(INDIRECT(DATE(YEAR(B695),MONTH(B695),1)&amp;":"&amp;DATE(YEAR(B695),MONTH(B695)+1,0))),2)&lt;=5,1,IF(WEEKDAY(ROW(INDIRECT(DATE(YEAR(B695),MONTH(B695),1)&amp;":"&amp;DATE(YEAR(B695),MONTH(B695)+1,0))),2)=6,0.5,0)),0))</f>
        <v>22</v>
      </c>
      <c r="K695" s="22" cm="1">
        <f t="array" ref="K695">_xlfn.XLOOKUP(1,((Metas_Diarias[[#This Row],[tipo_equipe_id]]=Metas[equipe])*(Metas_Diarias[[#This Row],[data]]&gt;Metas[data_inicio])*(Metas_Diarias[[#This Row],[data]]&lt;Metas[data_fim])),Metas[meta_mensal],0)</f>
        <v>160000</v>
      </c>
      <c r="L69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696" spans="2:12" x14ac:dyDescent="0.3">
      <c r="B696" s="34">
        <v>45985</v>
      </c>
      <c r="C696" s="34" t="str">
        <f>TEXT(Metas_Diarias[[#This Row],[data]],"dddd")</f>
        <v>segunda-feira</v>
      </c>
      <c r="D696" s="33">
        <v>1</v>
      </c>
      <c r="E696" s="33">
        <v>1</v>
      </c>
      <c r="F696" s="18"/>
      <c r="G696" s="35">
        <f>WEEKDAY(Metas_Diarias[[#This Row],[data]])</f>
        <v>2</v>
      </c>
      <c r="H696" s="35">
        <f>IF(Metas_Diarias[[#This Row],[dias_da_demana]]=1,"domingo",IF(Metas_Diarias[[#This Row],[dias_da_demana]]=7,0.5,1))</f>
        <v>1</v>
      </c>
      <c r="I696" s="35">
        <f>_xlfn.XLOOKUP(Metas_Diarias[[#This Row],[data]],Feriados[Data],Feriados[Feriado],1)</f>
        <v>1</v>
      </c>
      <c r="J696" s="33" cm="1">
        <f t="array" aca="1" ref="J696" ca="1">SUMPRODUCT(IF((NOT(ISERROR(MATCH(ROW(INDIRECT(DATE(YEAR(B696),MONTH(B696),1)&amp;":"&amp;DATE(YEAR(B696),MONTH(B696)+1,0))),Feriados[Data],0))))=FALSE,
IF(WEEKDAY(ROW(INDIRECT(DATE(YEAR(B696),MONTH(B696),1)&amp;":"&amp;DATE(YEAR(B696),MONTH(B696)+1,0))),2)&lt;=5,1,IF(WEEKDAY(ROW(INDIRECT(DATE(YEAR(B696),MONTH(B696),1)&amp;":"&amp;DATE(YEAR(B696),MONTH(B696)+1,0))),2)=6,0.5,0)),0))</f>
        <v>22</v>
      </c>
      <c r="K696" s="22" cm="1">
        <f t="array" ref="K696">_xlfn.XLOOKUP(1,((Metas_Diarias[[#This Row],[tipo_equipe_id]]=Metas[equipe])*(Metas_Diarias[[#This Row],[data]]&gt;Metas[data_inicio])*(Metas_Diarias[[#This Row],[data]]&lt;Metas[data_fim])),Metas[meta_mensal],0)</f>
        <v>160000</v>
      </c>
      <c r="L696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97" spans="2:12" x14ac:dyDescent="0.3">
      <c r="B697" s="34">
        <v>45986</v>
      </c>
      <c r="C697" s="34" t="str">
        <f>TEXT(Metas_Diarias[[#This Row],[data]],"dddd")</f>
        <v>terça-feira</v>
      </c>
      <c r="D697" s="33">
        <v>1</v>
      </c>
      <c r="E697" s="33">
        <v>1</v>
      </c>
      <c r="F697" s="18"/>
      <c r="G697" s="35">
        <f>WEEKDAY(Metas_Diarias[[#This Row],[data]])</f>
        <v>3</v>
      </c>
      <c r="H697" s="35">
        <f>IF(Metas_Diarias[[#This Row],[dias_da_demana]]=1,"domingo",IF(Metas_Diarias[[#This Row],[dias_da_demana]]=7,0.5,1))</f>
        <v>1</v>
      </c>
      <c r="I697" s="35">
        <f>_xlfn.XLOOKUP(Metas_Diarias[[#This Row],[data]],Feriados[Data],Feriados[Feriado],1)</f>
        <v>1</v>
      </c>
      <c r="J697" s="33" cm="1">
        <f t="array" aca="1" ref="J697" ca="1">SUMPRODUCT(IF((NOT(ISERROR(MATCH(ROW(INDIRECT(DATE(YEAR(B697),MONTH(B697),1)&amp;":"&amp;DATE(YEAR(B697),MONTH(B697)+1,0))),Feriados[Data],0))))=FALSE,
IF(WEEKDAY(ROW(INDIRECT(DATE(YEAR(B697),MONTH(B697),1)&amp;":"&amp;DATE(YEAR(B697),MONTH(B697)+1,0))),2)&lt;=5,1,IF(WEEKDAY(ROW(INDIRECT(DATE(YEAR(B697),MONTH(B697),1)&amp;":"&amp;DATE(YEAR(B697),MONTH(B697)+1,0))),2)=6,0.5,0)),0))</f>
        <v>22</v>
      </c>
      <c r="K697" s="22" cm="1">
        <f t="array" ref="K697">_xlfn.XLOOKUP(1,((Metas_Diarias[[#This Row],[tipo_equipe_id]]=Metas[equipe])*(Metas_Diarias[[#This Row],[data]]&gt;Metas[data_inicio])*(Metas_Diarias[[#This Row],[data]]&lt;Metas[data_fim])),Metas[meta_mensal],0)</f>
        <v>160000</v>
      </c>
      <c r="L697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98" spans="2:12" x14ac:dyDescent="0.3">
      <c r="B698" s="34">
        <v>45987</v>
      </c>
      <c r="C698" s="34" t="str">
        <f>TEXT(Metas_Diarias[[#This Row],[data]],"dddd")</f>
        <v>quarta-feira</v>
      </c>
      <c r="D698" s="33">
        <v>1</v>
      </c>
      <c r="E698" s="33">
        <v>1</v>
      </c>
      <c r="F698" s="18"/>
      <c r="G698" s="35">
        <f>WEEKDAY(Metas_Diarias[[#This Row],[data]])</f>
        <v>4</v>
      </c>
      <c r="H698" s="35">
        <f>IF(Metas_Diarias[[#This Row],[dias_da_demana]]=1,"domingo",IF(Metas_Diarias[[#This Row],[dias_da_demana]]=7,0.5,1))</f>
        <v>1</v>
      </c>
      <c r="I698" s="35">
        <f>_xlfn.XLOOKUP(Metas_Diarias[[#This Row],[data]],Feriados[Data],Feriados[Feriado],1)</f>
        <v>1</v>
      </c>
      <c r="J698" s="33" cm="1">
        <f t="array" aca="1" ref="J698" ca="1">SUMPRODUCT(IF((NOT(ISERROR(MATCH(ROW(INDIRECT(DATE(YEAR(B698),MONTH(B698),1)&amp;":"&amp;DATE(YEAR(B698),MONTH(B698)+1,0))),Feriados[Data],0))))=FALSE,
IF(WEEKDAY(ROW(INDIRECT(DATE(YEAR(B698),MONTH(B698),1)&amp;":"&amp;DATE(YEAR(B698),MONTH(B698)+1,0))),2)&lt;=5,1,IF(WEEKDAY(ROW(INDIRECT(DATE(YEAR(B698),MONTH(B698),1)&amp;":"&amp;DATE(YEAR(B698),MONTH(B698)+1,0))),2)=6,0.5,0)),0))</f>
        <v>22</v>
      </c>
      <c r="K698" s="22" cm="1">
        <f t="array" ref="K698">_xlfn.XLOOKUP(1,((Metas_Diarias[[#This Row],[tipo_equipe_id]]=Metas[equipe])*(Metas_Diarias[[#This Row],[data]]&gt;Metas[data_inicio])*(Metas_Diarias[[#This Row],[data]]&lt;Metas[data_fim])),Metas[meta_mensal],0)</f>
        <v>160000</v>
      </c>
      <c r="L698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699" spans="2:12" x14ac:dyDescent="0.3">
      <c r="B699" s="34">
        <v>45988</v>
      </c>
      <c r="C699" s="34" t="str">
        <f>TEXT(Metas_Diarias[[#This Row],[data]],"dddd")</f>
        <v>quinta-feira</v>
      </c>
      <c r="D699" s="33">
        <v>1</v>
      </c>
      <c r="E699" s="33">
        <v>1</v>
      </c>
      <c r="F699" s="18"/>
      <c r="G699" s="35">
        <f>WEEKDAY(Metas_Diarias[[#This Row],[data]])</f>
        <v>5</v>
      </c>
      <c r="H699" s="35">
        <f>IF(Metas_Diarias[[#This Row],[dias_da_demana]]=1,"domingo",IF(Metas_Diarias[[#This Row],[dias_da_demana]]=7,0.5,1))</f>
        <v>1</v>
      </c>
      <c r="I699" s="35">
        <f>_xlfn.XLOOKUP(Metas_Diarias[[#This Row],[data]],Feriados[Data],Feriados[Feriado],1)</f>
        <v>1</v>
      </c>
      <c r="J699" s="33" cm="1">
        <f t="array" aca="1" ref="J699" ca="1">SUMPRODUCT(IF((NOT(ISERROR(MATCH(ROW(INDIRECT(DATE(YEAR(B699),MONTH(B699),1)&amp;":"&amp;DATE(YEAR(B699),MONTH(B699)+1,0))),Feriados[Data],0))))=FALSE,
IF(WEEKDAY(ROW(INDIRECT(DATE(YEAR(B699),MONTH(B699),1)&amp;":"&amp;DATE(YEAR(B699),MONTH(B699)+1,0))),2)&lt;=5,1,IF(WEEKDAY(ROW(INDIRECT(DATE(YEAR(B699),MONTH(B699),1)&amp;":"&amp;DATE(YEAR(B699),MONTH(B699)+1,0))),2)=6,0.5,0)),0))</f>
        <v>22</v>
      </c>
      <c r="K699" s="22" cm="1">
        <f t="array" ref="K699">_xlfn.XLOOKUP(1,((Metas_Diarias[[#This Row],[tipo_equipe_id]]=Metas[equipe])*(Metas_Diarias[[#This Row],[data]]&gt;Metas[data_inicio])*(Metas_Diarias[[#This Row],[data]]&lt;Metas[data_fim])),Metas[meta_mensal],0)</f>
        <v>160000</v>
      </c>
      <c r="L699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700" spans="2:12" x14ac:dyDescent="0.3">
      <c r="B700" s="34">
        <v>45989</v>
      </c>
      <c r="C700" s="34" t="str">
        <f>TEXT(Metas_Diarias[[#This Row],[data]],"dddd")</f>
        <v>sexta-feira</v>
      </c>
      <c r="D700" s="33">
        <v>1</v>
      </c>
      <c r="E700" s="33">
        <v>1</v>
      </c>
      <c r="F700" s="18"/>
      <c r="G700" s="35">
        <f>WEEKDAY(Metas_Diarias[[#This Row],[data]])</f>
        <v>6</v>
      </c>
      <c r="H700" s="35">
        <f>IF(Metas_Diarias[[#This Row],[dias_da_demana]]=1,"domingo",IF(Metas_Diarias[[#This Row],[dias_da_demana]]=7,0.5,1))</f>
        <v>1</v>
      </c>
      <c r="I700" s="35">
        <f>_xlfn.XLOOKUP(Metas_Diarias[[#This Row],[data]],Feriados[Data],Feriados[Feriado],1)</f>
        <v>1</v>
      </c>
      <c r="J700" s="33" cm="1">
        <f t="array" aca="1" ref="J700" ca="1">SUMPRODUCT(IF((NOT(ISERROR(MATCH(ROW(INDIRECT(DATE(YEAR(B700),MONTH(B700),1)&amp;":"&amp;DATE(YEAR(B700),MONTH(B700)+1,0))),Feriados[Data],0))))=FALSE,
IF(WEEKDAY(ROW(INDIRECT(DATE(YEAR(B700),MONTH(B700),1)&amp;":"&amp;DATE(YEAR(B700),MONTH(B700)+1,0))),2)&lt;=5,1,IF(WEEKDAY(ROW(INDIRECT(DATE(YEAR(B700),MONTH(B700),1)&amp;":"&amp;DATE(YEAR(B700),MONTH(B700)+1,0))),2)=6,0.5,0)),0))</f>
        <v>22</v>
      </c>
      <c r="K700" s="22" cm="1">
        <f t="array" ref="K700">_xlfn.XLOOKUP(1,((Metas_Diarias[[#This Row],[tipo_equipe_id]]=Metas[equipe])*(Metas_Diarias[[#This Row],[data]]&gt;Metas[data_inicio])*(Metas_Diarias[[#This Row],[data]]&lt;Metas[data_fim])),Metas[meta_mensal],0)</f>
        <v>160000</v>
      </c>
      <c r="L700" s="24">
        <f ca="1">Metas_Diarias[[#This Row],[meta_mensal]]*IF(Metas_Diarias[[#This Row],[semana]]="domingo",0,Metas_Diarias[[#This Row],[semana]])*IF(Metas_Diarias[[#This Row],[feriado]]&lt;&gt;1,0,1)/Metas_Diarias[[#This Row],[dias_úteis_Mês]]</f>
        <v>7272.727272727273</v>
      </c>
    </row>
    <row r="701" spans="2:12" x14ac:dyDescent="0.3">
      <c r="B701" s="34">
        <v>45990</v>
      </c>
      <c r="C701" s="34" t="str">
        <f>TEXT(Metas_Diarias[[#This Row],[data]],"dddd")</f>
        <v>sábado</v>
      </c>
      <c r="D701" s="33">
        <v>1</v>
      </c>
      <c r="E701" s="33">
        <v>1</v>
      </c>
      <c r="F701" s="18"/>
      <c r="G701" s="35">
        <f>WEEKDAY(Metas_Diarias[[#This Row],[data]])</f>
        <v>7</v>
      </c>
      <c r="H701" s="35">
        <f>IF(Metas_Diarias[[#This Row],[dias_da_demana]]=1,"domingo",IF(Metas_Diarias[[#This Row],[dias_da_demana]]=7,0.5,1))</f>
        <v>0.5</v>
      </c>
      <c r="I701" s="35">
        <f>_xlfn.XLOOKUP(Metas_Diarias[[#This Row],[data]],Feriados[Data],Feriados[Feriado],1)</f>
        <v>1</v>
      </c>
      <c r="J701" s="33" cm="1">
        <f t="array" aca="1" ref="J701" ca="1">SUMPRODUCT(IF((NOT(ISERROR(MATCH(ROW(INDIRECT(DATE(YEAR(B701),MONTH(B701),1)&amp;":"&amp;DATE(YEAR(B701),MONTH(B701)+1,0))),Feriados[Data],0))))=FALSE,
IF(WEEKDAY(ROW(INDIRECT(DATE(YEAR(B701),MONTH(B701),1)&amp;":"&amp;DATE(YEAR(B701),MONTH(B701)+1,0))),2)&lt;=5,1,IF(WEEKDAY(ROW(INDIRECT(DATE(YEAR(B701),MONTH(B701),1)&amp;":"&amp;DATE(YEAR(B701),MONTH(B701)+1,0))),2)=6,0.5,0)),0))</f>
        <v>22</v>
      </c>
      <c r="K701" s="22" cm="1">
        <f t="array" ref="K701">_xlfn.XLOOKUP(1,((Metas_Diarias[[#This Row],[tipo_equipe_id]]=Metas[equipe])*(Metas_Diarias[[#This Row],[data]]&gt;Metas[data_inicio])*(Metas_Diarias[[#This Row],[data]]&lt;Metas[data_fim])),Metas[meta_mensal],0)</f>
        <v>160000</v>
      </c>
      <c r="L701" s="24">
        <f ca="1">Metas_Diarias[[#This Row],[meta_mensal]]*IF(Metas_Diarias[[#This Row],[semana]]="domingo",0,Metas_Diarias[[#This Row],[semana]])*IF(Metas_Diarias[[#This Row],[feriado]]&lt;&gt;1,0,1)/Metas_Diarias[[#This Row],[dias_úteis_Mês]]</f>
        <v>3636.3636363636365</v>
      </c>
    </row>
    <row r="702" spans="2:12" x14ac:dyDescent="0.3">
      <c r="B702" s="34">
        <v>45991</v>
      </c>
      <c r="C702" s="34" t="str">
        <f>TEXT(Metas_Diarias[[#This Row],[data]],"dddd")</f>
        <v>domingo</v>
      </c>
      <c r="D702" s="33">
        <v>1</v>
      </c>
      <c r="E702" s="33">
        <v>1</v>
      </c>
      <c r="F702" s="18"/>
      <c r="G702" s="35">
        <f>WEEKDAY(Metas_Diarias[[#This Row],[data]])</f>
        <v>1</v>
      </c>
      <c r="H702" s="35" t="str">
        <f>IF(Metas_Diarias[[#This Row],[dias_da_demana]]=1,"domingo",IF(Metas_Diarias[[#This Row],[dias_da_demana]]=7,0.5,1))</f>
        <v>domingo</v>
      </c>
      <c r="I702" s="35">
        <f>_xlfn.XLOOKUP(Metas_Diarias[[#This Row],[data]],Feriados[Data],Feriados[Feriado],1)</f>
        <v>1</v>
      </c>
      <c r="J702" s="33" cm="1">
        <f t="array" aca="1" ref="J702" ca="1">SUMPRODUCT(IF((NOT(ISERROR(MATCH(ROW(INDIRECT(DATE(YEAR(B702),MONTH(B702),1)&amp;":"&amp;DATE(YEAR(B702),MONTH(B702)+1,0))),Feriados[Data],0))))=FALSE,
IF(WEEKDAY(ROW(INDIRECT(DATE(YEAR(B702),MONTH(B702),1)&amp;":"&amp;DATE(YEAR(B702),MONTH(B702)+1,0))),2)&lt;=5,1,IF(WEEKDAY(ROW(INDIRECT(DATE(YEAR(B702),MONTH(B702),1)&amp;":"&amp;DATE(YEAR(B702),MONTH(B702)+1,0))),2)=6,0.5,0)),0))</f>
        <v>22</v>
      </c>
      <c r="K702" s="22" cm="1">
        <f t="array" ref="K702">_xlfn.XLOOKUP(1,((Metas_Diarias[[#This Row],[tipo_equipe_id]]=Metas[equipe])*(Metas_Diarias[[#This Row],[data]]&gt;Metas[data_inicio])*(Metas_Diarias[[#This Row],[data]]&lt;Metas[data_fim])),Metas[meta_mensal],0)</f>
        <v>160000</v>
      </c>
      <c r="L70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03" spans="2:12" x14ac:dyDescent="0.3">
      <c r="B703" s="34">
        <v>45992</v>
      </c>
      <c r="C703" s="34" t="str">
        <f>TEXT(Metas_Diarias[[#This Row],[data]],"dddd")</f>
        <v>segunda-feira</v>
      </c>
      <c r="D703" s="33">
        <v>1</v>
      </c>
      <c r="E703" s="33">
        <v>1</v>
      </c>
      <c r="F703" s="18"/>
      <c r="G703" s="35">
        <f>WEEKDAY(Metas_Diarias[[#This Row],[data]])</f>
        <v>2</v>
      </c>
      <c r="H703" s="35">
        <f>IF(Metas_Diarias[[#This Row],[dias_da_demana]]=1,"domingo",IF(Metas_Diarias[[#This Row],[dias_da_demana]]=7,0.5,1))</f>
        <v>1</v>
      </c>
      <c r="I703" s="35">
        <f>_xlfn.XLOOKUP(Metas_Diarias[[#This Row],[data]],Feriados[Data],Feriados[Feriado],1)</f>
        <v>1</v>
      </c>
      <c r="J703" s="33" cm="1">
        <f t="array" aca="1" ref="J703" ca="1">SUMPRODUCT(IF((NOT(ISERROR(MATCH(ROW(INDIRECT(DATE(YEAR(B703),MONTH(B703),1)&amp;":"&amp;DATE(YEAR(B703),MONTH(B703)+1,0))),Feriados[Data],0))))=FALSE,
IF(WEEKDAY(ROW(INDIRECT(DATE(YEAR(B703),MONTH(B703),1)&amp;":"&amp;DATE(YEAR(B703),MONTH(B703)+1,0))),2)&lt;=5,1,IF(WEEKDAY(ROW(INDIRECT(DATE(YEAR(B703),MONTH(B703),1)&amp;":"&amp;DATE(YEAR(B703),MONTH(B703)+1,0))),2)=6,0.5,0)),0))</f>
        <v>24</v>
      </c>
      <c r="K703" s="22" cm="1">
        <f t="array" ref="K703">_xlfn.XLOOKUP(1,((Metas_Diarias[[#This Row],[tipo_equipe_id]]=Metas[equipe])*(Metas_Diarias[[#This Row],[data]]&gt;Metas[data_inicio])*(Metas_Diarias[[#This Row],[data]]&lt;Metas[data_fim])),Metas[meta_mensal],0)</f>
        <v>160000</v>
      </c>
      <c r="L70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04" spans="2:12" x14ac:dyDescent="0.3">
      <c r="B704" s="34">
        <v>45993</v>
      </c>
      <c r="C704" s="34" t="str">
        <f>TEXT(Metas_Diarias[[#This Row],[data]],"dddd")</f>
        <v>terça-feira</v>
      </c>
      <c r="D704" s="33">
        <v>1</v>
      </c>
      <c r="E704" s="33">
        <v>1</v>
      </c>
      <c r="F704" s="18"/>
      <c r="G704" s="35">
        <f>WEEKDAY(Metas_Diarias[[#This Row],[data]])</f>
        <v>3</v>
      </c>
      <c r="H704" s="35">
        <f>IF(Metas_Diarias[[#This Row],[dias_da_demana]]=1,"domingo",IF(Metas_Diarias[[#This Row],[dias_da_demana]]=7,0.5,1))</f>
        <v>1</v>
      </c>
      <c r="I704" s="35">
        <f>_xlfn.XLOOKUP(Metas_Diarias[[#This Row],[data]],Feriados[Data],Feriados[Feriado],1)</f>
        <v>1</v>
      </c>
      <c r="J704" s="33" cm="1">
        <f t="array" aca="1" ref="J704" ca="1">SUMPRODUCT(IF((NOT(ISERROR(MATCH(ROW(INDIRECT(DATE(YEAR(B704),MONTH(B704),1)&amp;":"&amp;DATE(YEAR(B704),MONTH(B704)+1,0))),Feriados[Data],0))))=FALSE,
IF(WEEKDAY(ROW(INDIRECT(DATE(YEAR(B704),MONTH(B704),1)&amp;":"&amp;DATE(YEAR(B704),MONTH(B704)+1,0))),2)&lt;=5,1,IF(WEEKDAY(ROW(INDIRECT(DATE(YEAR(B704),MONTH(B704),1)&amp;":"&amp;DATE(YEAR(B704),MONTH(B704)+1,0))),2)=6,0.5,0)),0))</f>
        <v>24</v>
      </c>
      <c r="K704" s="22" cm="1">
        <f t="array" ref="K704">_xlfn.XLOOKUP(1,((Metas_Diarias[[#This Row],[tipo_equipe_id]]=Metas[equipe])*(Metas_Diarias[[#This Row],[data]]&gt;Metas[data_inicio])*(Metas_Diarias[[#This Row],[data]]&lt;Metas[data_fim])),Metas[meta_mensal],0)</f>
        <v>160000</v>
      </c>
      <c r="L70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05" spans="2:12" x14ac:dyDescent="0.3">
      <c r="B705" s="34">
        <v>45994</v>
      </c>
      <c r="C705" s="34" t="str">
        <f>TEXT(Metas_Diarias[[#This Row],[data]],"dddd")</f>
        <v>quarta-feira</v>
      </c>
      <c r="D705" s="33">
        <v>1</v>
      </c>
      <c r="E705" s="33">
        <v>1</v>
      </c>
      <c r="F705" s="18"/>
      <c r="G705" s="35">
        <f>WEEKDAY(Metas_Diarias[[#This Row],[data]])</f>
        <v>4</v>
      </c>
      <c r="H705" s="35">
        <f>IF(Metas_Diarias[[#This Row],[dias_da_demana]]=1,"domingo",IF(Metas_Diarias[[#This Row],[dias_da_demana]]=7,0.5,1))</f>
        <v>1</v>
      </c>
      <c r="I705" s="35">
        <f>_xlfn.XLOOKUP(Metas_Diarias[[#This Row],[data]],Feriados[Data],Feriados[Feriado],1)</f>
        <v>1</v>
      </c>
      <c r="J705" s="33" cm="1">
        <f t="array" aca="1" ref="J705" ca="1">SUMPRODUCT(IF((NOT(ISERROR(MATCH(ROW(INDIRECT(DATE(YEAR(B705),MONTH(B705),1)&amp;":"&amp;DATE(YEAR(B705),MONTH(B705)+1,0))),Feriados[Data],0))))=FALSE,
IF(WEEKDAY(ROW(INDIRECT(DATE(YEAR(B705),MONTH(B705),1)&amp;":"&amp;DATE(YEAR(B705),MONTH(B705)+1,0))),2)&lt;=5,1,IF(WEEKDAY(ROW(INDIRECT(DATE(YEAR(B705),MONTH(B705),1)&amp;":"&amp;DATE(YEAR(B705),MONTH(B705)+1,0))),2)=6,0.5,0)),0))</f>
        <v>24</v>
      </c>
      <c r="K705" s="22" cm="1">
        <f t="array" ref="K705">_xlfn.XLOOKUP(1,((Metas_Diarias[[#This Row],[tipo_equipe_id]]=Metas[equipe])*(Metas_Diarias[[#This Row],[data]]&gt;Metas[data_inicio])*(Metas_Diarias[[#This Row],[data]]&lt;Metas[data_fim])),Metas[meta_mensal],0)</f>
        <v>160000</v>
      </c>
      <c r="L70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06" spans="2:12" x14ac:dyDescent="0.3">
      <c r="B706" s="34">
        <v>45995</v>
      </c>
      <c r="C706" s="34" t="str">
        <f>TEXT(Metas_Diarias[[#This Row],[data]],"dddd")</f>
        <v>quinta-feira</v>
      </c>
      <c r="D706" s="33">
        <v>1</v>
      </c>
      <c r="E706" s="33">
        <v>1</v>
      </c>
      <c r="F706" s="18"/>
      <c r="G706" s="35">
        <f>WEEKDAY(Metas_Diarias[[#This Row],[data]])</f>
        <v>5</v>
      </c>
      <c r="H706" s="35">
        <f>IF(Metas_Diarias[[#This Row],[dias_da_demana]]=1,"domingo",IF(Metas_Diarias[[#This Row],[dias_da_demana]]=7,0.5,1))</f>
        <v>1</v>
      </c>
      <c r="I706" s="35">
        <f>_xlfn.XLOOKUP(Metas_Diarias[[#This Row],[data]],Feriados[Data],Feriados[Feriado],1)</f>
        <v>1</v>
      </c>
      <c r="J706" s="33" cm="1">
        <f t="array" aca="1" ref="J706" ca="1">SUMPRODUCT(IF((NOT(ISERROR(MATCH(ROW(INDIRECT(DATE(YEAR(B706),MONTH(B706),1)&amp;":"&amp;DATE(YEAR(B706),MONTH(B706)+1,0))),Feriados[Data],0))))=FALSE,
IF(WEEKDAY(ROW(INDIRECT(DATE(YEAR(B706),MONTH(B706),1)&amp;":"&amp;DATE(YEAR(B706),MONTH(B706)+1,0))),2)&lt;=5,1,IF(WEEKDAY(ROW(INDIRECT(DATE(YEAR(B706),MONTH(B706),1)&amp;":"&amp;DATE(YEAR(B706),MONTH(B706)+1,0))),2)=6,0.5,0)),0))</f>
        <v>24</v>
      </c>
      <c r="K706" s="22" cm="1">
        <f t="array" ref="K706">_xlfn.XLOOKUP(1,((Metas_Diarias[[#This Row],[tipo_equipe_id]]=Metas[equipe])*(Metas_Diarias[[#This Row],[data]]&gt;Metas[data_inicio])*(Metas_Diarias[[#This Row],[data]]&lt;Metas[data_fim])),Metas[meta_mensal],0)</f>
        <v>160000</v>
      </c>
      <c r="L70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07" spans="2:12" x14ac:dyDescent="0.3">
      <c r="B707" s="34">
        <v>45996</v>
      </c>
      <c r="C707" s="34" t="str">
        <f>TEXT(Metas_Diarias[[#This Row],[data]],"dddd")</f>
        <v>sexta-feira</v>
      </c>
      <c r="D707" s="33">
        <v>1</v>
      </c>
      <c r="E707" s="33">
        <v>1</v>
      </c>
      <c r="F707" s="18"/>
      <c r="G707" s="35">
        <f>WEEKDAY(Metas_Diarias[[#This Row],[data]])</f>
        <v>6</v>
      </c>
      <c r="H707" s="35">
        <f>IF(Metas_Diarias[[#This Row],[dias_da_demana]]=1,"domingo",IF(Metas_Diarias[[#This Row],[dias_da_demana]]=7,0.5,1))</f>
        <v>1</v>
      </c>
      <c r="I707" s="35">
        <f>_xlfn.XLOOKUP(Metas_Diarias[[#This Row],[data]],Feriados[Data],Feriados[Feriado],1)</f>
        <v>1</v>
      </c>
      <c r="J707" s="33" cm="1">
        <f t="array" aca="1" ref="J707" ca="1">SUMPRODUCT(IF((NOT(ISERROR(MATCH(ROW(INDIRECT(DATE(YEAR(B707),MONTH(B707),1)&amp;":"&amp;DATE(YEAR(B707),MONTH(B707)+1,0))),Feriados[Data],0))))=FALSE,
IF(WEEKDAY(ROW(INDIRECT(DATE(YEAR(B707),MONTH(B707),1)&amp;":"&amp;DATE(YEAR(B707),MONTH(B707)+1,0))),2)&lt;=5,1,IF(WEEKDAY(ROW(INDIRECT(DATE(YEAR(B707),MONTH(B707),1)&amp;":"&amp;DATE(YEAR(B707),MONTH(B707)+1,0))),2)=6,0.5,0)),0))</f>
        <v>24</v>
      </c>
      <c r="K707" s="22" cm="1">
        <f t="array" ref="K707">_xlfn.XLOOKUP(1,((Metas_Diarias[[#This Row],[tipo_equipe_id]]=Metas[equipe])*(Metas_Diarias[[#This Row],[data]]&gt;Metas[data_inicio])*(Metas_Diarias[[#This Row],[data]]&lt;Metas[data_fim])),Metas[meta_mensal],0)</f>
        <v>160000</v>
      </c>
      <c r="L70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08" spans="2:12" x14ac:dyDescent="0.3">
      <c r="B708" s="34">
        <v>45997</v>
      </c>
      <c r="C708" s="34" t="str">
        <f>TEXT(Metas_Diarias[[#This Row],[data]],"dddd")</f>
        <v>sábado</v>
      </c>
      <c r="D708" s="33">
        <v>1</v>
      </c>
      <c r="E708" s="33">
        <v>1</v>
      </c>
      <c r="F708" s="18"/>
      <c r="G708" s="35">
        <f>WEEKDAY(Metas_Diarias[[#This Row],[data]])</f>
        <v>7</v>
      </c>
      <c r="H708" s="35">
        <f>IF(Metas_Diarias[[#This Row],[dias_da_demana]]=1,"domingo",IF(Metas_Diarias[[#This Row],[dias_da_demana]]=7,0.5,1))</f>
        <v>0.5</v>
      </c>
      <c r="I708" s="35">
        <f>_xlfn.XLOOKUP(Metas_Diarias[[#This Row],[data]],Feriados[Data],Feriados[Feriado],1)</f>
        <v>1</v>
      </c>
      <c r="J708" s="33" cm="1">
        <f t="array" aca="1" ref="J708" ca="1">SUMPRODUCT(IF((NOT(ISERROR(MATCH(ROW(INDIRECT(DATE(YEAR(B708),MONTH(B708),1)&amp;":"&amp;DATE(YEAR(B708),MONTH(B708)+1,0))),Feriados[Data],0))))=FALSE,
IF(WEEKDAY(ROW(INDIRECT(DATE(YEAR(B708),MONTH(B708),1)&amp;":"&amp;DATE(YEAR(B708),MONTH(B708)+1,0))),2)&lt;=5,1,IF(WEEKDAY(ROW(INDIRECT(DATE(YEAR(B708),MONTH(B708),1)&amp;":"&amp;DATE(YEAR(B708),MONTH(B708)+1,0))),2)=6,0.5,0)),0))</f>
        <v>24</v>
      </c>
      <c r="K708" s="22" cm="1">
        <f t="array" ref="K708">_xlfn.XLOOKUP(1,((Metas_Diarias[[#This Row],[tipo_equipe_id]]=Metas[equipe])*(Metas_Diarias[[#This Row],[data]]&gt;Metas[data_inicio])*(Metas_Diarias[[#This Row],[data]]&lt;Metas[data_fim])),Metas[meta_mensal],0)</f>
        <v>160000</v>
      </c>
      <c r="L708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709" spans="2:12" x14ac:dyDescent="0.3">
      <c r="B709" s="34">
        <v>45998</v>
      </c>
      <c r="C709" s="34" t="str">
        <f>TEXT(Metas_Diarias[[#This Row],[data]],"dddd")</f>
        <v>domingo</v>
      </c>
      <c r="D709" s="33">
        <v>1</v>
      </c>
      <c r="E709" s="33">
        <v>1</v>
      </c>
      <c r="F709" s="18"/>
      <c r="G709" s="35">
        <f>WEEKDAY(Metas_Diarias[[#This Row],[data]])</f>
        <v>1</v>
      </c>
      <c r="H709" s="35" t="str">
        <f>IF(Metas_Diarias[[#This Row],[dias_da_demana]]=1,"domingo",IF(Metas_Diarias[[#This Row],[dias_da_demana]]=7,0.5,1))</f>
        <v>domingo</v>
      </c>
      <c r="I709" s="35">
        <f>_xlfn.XLOOKUP(Metas_Diarias[[#This Row],[data]],Feriados[Data],Feriados[Feriado],1)</f>
        <v>1</v>
      </c>
      <c r="J709" s="33" cm="1">
        <f t="array" aca="1" ref="J709" ca="1">SUMPRODUCT(IF((NOT(ISERROR(MATCH(ROW(INDIRECT(DATE(YEAR(B709),MONTH(B709),1)&amp;":"&amp;DATE(YEAR(B709),MONTH(B709)+1,0))),Feriados[Data],0))))=FALSE,
IF(WEEKDAY(ROW(INDIRECT(DATE(YEAR(B709),MONTH(B709),1)&amp;":"&amp;DATE(YEAR(B709),MONTH(B709)+1,0))),2)&lt;=5,1,IF(WEEKDAY(ROW(INDIRECT(DATE(YEAR(B709),MONTH(B709),1)&amp;":"&amp;DATE(YEAR(B709),MONTH(B709)+1,0))),2)=6,0.5,0)),0))</f>
        <v>24</v>
      </c>
      <c r="K709" s="22" cm="1">
        <f t="array" ref="K709">_xlfn.XLOOKUP(1,((Metas_Diarias[[#This Row],[tipo_equipe_id]]=Metas[equipe])*(Metas_Diarias[[#This Row],[data]]&gt;Metas[data_inicio])*(Metas_Diarias[[#This Row],[data]]&lt;Metas[data_fim])),Metas[meta_mensal],0)</f>
        <v>160000</v>
      </c>
      <c r="L70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10" spans="2:12" x14ac:dyDescent="0.3">
      <c r="B710" s="34">
        <v>45999</v>
      </c>
      <c r="C710" s="34" t="str">
        <f>TEXT(Metas_Diarias[[#This Row],[data]],"dddd")</f>
        <v>segunda-feira</v>
      </c>
      <c r="D710" s="33">
        <v>1</v>
      </c>
      <c r="E710" s="33">
        <v>1</v>
      </c>
      <c r="F710" s="18"/>
      <c r="G710" s="35">
        <f>WEEKDAY(Metas_Diarias[[#This Row],[data]])</f>
        <v>2</v>
      </c>
      <c r="H710" s="35">
        <f>IF(Metas_Diarias[[#This Row],[dias_da_demana]]=1,"domingo",IF(Metas_Diarias[[#This Row],[dias_da_demana]]=7,0.5,1))</f>
        <v>1</v>
      </c>
      <c r="I710" s="35">
        <f>_xlfn.XLOOKUP(Metas_Diarias[[#This Row],[data]],Feriados[Data],Feriados[Feriado],1)</f>
        <v>1</v>
      </c>
      <c r="J710" s="33" cm="1">
        <f t="array" aca="1" ref="J710" ca="1">SUMPRODUCT(IF((NOT(ISERROR(MATCH(ROW(INDIRECT(DATE(YEAR(B710),MONTH(B710),1)&amp;":"&amp;DATE(YEAR(B710),MONTH(B710)+1,0))),Feriados[Data],0))))=FALSE,
IF(WEEKDAY(ROW(INDIRECT(DATE(YEAR(B710),MONTH(B710),1)&amp;":"&amp;DATE(YEAR(B710),MONTH(B710)+1,0))),2)&lt;=5,1,IF(WEEKDAY(ROW(INDIRECT(DATE(YEAR(B710),MONTH(B710),1)&amp;":"&amp;DATE(YEAR(B710),MONTH(B710)+1,0))),2)=6,0.5,0)),0))</f>
        <v>24</v>
      </c>
      <c r="K710" s="22" cm="1">
        <f t="array" ref="K710">_xlfn.XLOOKUP(1,((Metas_Diarias[[#This Row],[tipo_equipe_id]]=Metas[equipe])*(Metas_Diarias[[#This Row],[data]]&gt;Metas[data_inicio])*(Metas_Diarias[[#This Row],[data]]&lt;Metas[data_fim])),Metas[meta_mensal],0)</f>
        <v>160000</v>
      </c>
      <c r="L71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11" spans="2:12" x14ac:dyDescent="0.3">
      <c r="B711" s="34">
        <v>46000</v>
      </c>
      <c r="C711" s="34" t="str">
        <f>TEXT(Metas_Diarias[[#This Row],[data]],"dddd")</f>
        <v>terça-feira</v>
      </c>
      <c r="D711" s="33">
        <v>1</v>
      </c>
      <c r="E711" s="33">
        <v>1</v>
      </c>
      <c r="F711" s="18"/>
      <c r="G711" s="35">
        <f>WEEKDAY(Metas_Diarias[[#This Row],[data]])</f>
        <v>3</v>
      </c>
      <c r="H711" s="35">
        <f>IF(Metas_Diarias[[#This Row],[dias_da_demana]]=1,"domingo",IF(Metas_Diarias[[#This Row],[dias_da_demana]]=7,0.5,1))</f>
        <v>1</v>
      </c>
      <c r="I711" s="35">
        <f>_xlfn.XLOOKUP(Metas_Diarias[[#This Row],[data]],Feriados[Data],Feriados[Feriado],1)</f>
        <v>1</v>
      </c>
      <c r="J711" s="33" cm="1">
        <f t="array" aca="1" ref="J711" ca="1">SUMPRODUCT(IF((NOT(ISERROR(MATCH(ROW(INDIRECT(DATE(YEAR(B711),MONTH(B711),1)&amp;":"&amp;DATE(YEAR(B711),MONTH(B711)+1,0))),Feriados[Data],0))))=FALSE,
IF(WEEKDAY(ROW(INDIRECT(DATE(YEAR(B711),MONTH(B711),1)&amp;":"&amp;DATE(YEAR(B711),MONTH(B711)+1,0))),2)&lt;=5,1,IF(WEEKDAY(ROW(INDIRECT(DATE(YEAR(B711),MONTH(B711),1)&amp;":"&amp;DATE(YEAR(B711),MONTH(B711)+1,0))),2)=6,0.5,0)),0))</f>
        <v>24</v>
      </c>
      <c r="K711" s="22" cm="1">
        <f t="array" ref="K711">_xlfn.XLOOKUP(1,((Metas_Diarias[[#This Row],[tipo_equipe_id]]=Metas[equipe])*(Metas_Diarias[[#This Row],[data]]&gt;Metas[data_inicio])*(Metas_Diarias[[#This Row],[data]]&lt;Metas[data_fim])),Metas[meta_mensal],0)</f>
        <v>160000</v>
      </c>
      <c r="L71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12" spans="2:12" x14ac:dyDescent="0.3">
      <c r="B712" s="34">
        <v>46001</v>
      </c>
      <c r="C712" s="34" t="str">
        <f>TEXT(Metas_Diarias[[#This Row],[data]],"dddd")</f>
        <v>quarta-feira</v>
      </c>
      <c r="D712" s="33">
        <v>1</v>
      </c>
      <c r="E712" s="33">
        <v>1</v>
      </c>
      <c r="F712" s="18"/>
      <c r="G712" s="35">
        <f>WEEKDAY(Metas_Diarias[[#This Row],[data]])</f>
        <v>4</v>
      </c>
      <c r="H712" s="35">
        <f>IF(Metas_Diarias[[#This Row],[dias_da_demana]]=1,"domingo",IF(Metas_Diarias[[#This Row],[dias_da_demana]]=7,0.5,1))</f>
        <v>1</v>
      </c>
      <c r="I712" s="35">
        <f>_xlfn.XLOOKUP(Metas_Diarias[[#This Row],[data]],Feriados[Data],Feriados[Feriado],1)</f>
        <v>1</v>
      </c>
      <c r="J712" s="33" cm="1">
        <f t="array" aca="1" ref="J712" ca="1">SUMPRODUCT(IF((NOT(ISERROR(MATCH(ROW(INDIRECT(DATE(YEAR(B712),MONTH(B712),1)&amp;":"&amp;DATE(YEAR(B712),MONTH(B712)+1,0))),Feriados[Data],0))))=FALSE,
IF(WEEKDAY(ROW(INDIRECT(DATE(YEAR(B712),MONTH(B712),1)&amp;":"&amp;DATE(YEAR(B712),MONTH(B712)+1,0))),2)&lt;=5,1,IF(WEEKDAY(ROW(INDIRECT(DATE(YEAR(B712),MONTH(B712),1)&amp;":"&amp;DATE(YEAR(B712),MONTH(B712)+1,0))),2)=6,0.5,0)),0))</f>
        <v>24</v>
      </c>
      <c r="K712" s="22" cm="1">
        <f t="array" ref="K712">_xlfn.XLOOKUP(1,((Metas_Diarias[[#This Row],[tipo_equipe_id]]=Metas[equipe])*(Metas_Diarias[[#This Row],[data]]&gt;Metas[data_inicio])*(Metas_Diarias[[#This Row],[data]]&lt;Metas[data_fim])),Metas[meta_mensal],0)</f>
        <v>160000</v>
      </c>
      <c r="L71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13" spans="2:12" x14ac:dyDescent="0.3">
      <c r="B713" s="34">
        <v>46002</v>
      </c>
      <c r="C713" s="34" t="str">
        <f>TEXT(Metas_Diarias[[#This Row],[data]],"dddd")</f>
        <v>quinta-feira</v>
      </c>
      <c r="D713" s="33">
        <v>1</v>
      </c>
      <c r="E713" s="33">
        <v>1</v>
      </c>
      <c r="F713" s="18"/>
      <c r="G713" s="35">
        <f>WEEKDAY(Metas_Diarias[[#This Row],[data]])</f>
        <v>5</v>
      </c>
      <c r="H713" s="35">
        <f>IF(Metas_Diarias[[#This Row],[dias_da_demana]]=1,"domingo",IF(Metas_Diarias[[#This Row],[dias_da_demana]]=7,0.5,1))</f>
        <v>1</v>
      </c>
      <c r="I713" s="35">
        <f>_xlfn.XLOOKUP(Metas_Diarias[[#This Row],[data]],Feriados[Data],Feriados[Feriado],1)</f>
        <v>1</v>
      </c>
      <c r="J713" s="33" cm="1">
        <f t="array" aca="1" ref="J713" ca="1">SUMPRODUCT(IF((NOT(ISERROR(MATCH(ROW(INDIRECT(DATE(YEAR(B713),MONTH(B713),1)&amp;":"&amp;DATE(YEAR(B713),MONTH(B713)+1,0))),Feriados[Data],0))))=FALSE,
IF(WEEKDAY(ROW(INDIRECT(DATE(YEAR(B713),MONTH(B713),1)&amp;":"&amp;DATE(YEAR(B713),MONTH(B713)+1,0))),2)&lt;=5,1,IF(WEEKDAY(ROW(INDIRECT(DATE(YEAR(B713),MONTH(B713),1)&amp;":"&amp;DATE(YEAR(B713),MONTH(B713)+1,0))),2)=6,0.5,0)),0))</f>
        <v>24</v>
      </c>
      <c r="K713" s="22" cm="1">
        <f t="array" ref="K713">_xlfn.XLOOKUP(1,((Metas_Diarias[[#This Row],[tipo_equipe_id]]=Metas[equipe])*(Metas_Diarias[[#This Row],[data]]&gt;Metas[data_inicio])*(Metas_Diarias[[#This Row],[data]]&lt;Metas[data_fim])),Metas[meta_mensal],0)</f>
        <v>160000</v>
      </c>
      <c r="L713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14" spans="2:12" x14ac:dyDescent="0.3">
      <c r="B714" s="34">
        <v>46003</v>
      </c>
      <c r="C714" s="34" t="str">
        <f>TEXT(Metas_Diarias[[#This Row],[data]],"dddd")</f>
        <v>sexta-feira</v>
      </c>
      <c r="D714" s="33">
        <v>1</v>
      </c>
      <c r="E714" s="33">
        <v>1</v>
      </c>
      <c r="F714" s="18"/>
      <c r="G714" s="35">
        <f>WEEKDAY(Metas_Diarias[[#This Row],[data]])</f>
        <v>6</v>
      </c>
      <c r="H714" s="35">
        <f>IF(Metas_Diarias[[#This Row],[dias_da_demana]]=1,"domingo",IF(Metas_Diarias[[#This Row],[dias_da_demana]]=7,0.5,1))</f>
        <v>1</v>
      </c>
      <c r="I714" s="35">
        <f>_xlfn.XLOOKUP(Metas_Diarias[[#This Row],[data]],Feriados[Data],Feriados[Feriado],1)</f>
        <v>1</v>
      </c>
      <c r="J714" s="33" cm="1">
        <f t="array" aca="1" ref="J714" ca="1">SUMPRODUCT(IF((NOT(ISERROR(MATCH(ROW(INDIRECT(DATE(YEAR(B714),MONTH(B714),1)&amp;":"&amp;DATE(YEAR(B714),MONTH(B714)+1,0))),Feriados[Data],0))))=FALSE,
IF(WEEKDAY(ROW(INDIRECT(DATE(YEAR(B714),MONTH(B714),1)&amp;":"&amp;DATE(YEAR(B714),MONTH(B714)+1,0))),2)&lt;=5,1,IF(WEEKDAY(ROW(INDIRECT(DATE(YEAR(B714),MONTH(B714),1)&amp;":"&amp;DATE(YEAR(B714),MONTH(B714)+1,0))),2)=6,0.5,0)),0))</f>
        <v>24</v>
      </c>
      <c r="K714" s="22" cm="1">
        <f t="array" ref="K714">_xlfn.XLOOKUP(1,((Metas_Diarias[[#This Row],[tipo_equipe_id]]=Metas[equipe])*(Metas_Diarias[[#This Row],[data]]&gt;Metas[data_inicio])*(Metas_Diarias[[#This Row],[data]]&lt;Metas[data_fim])),Metas[meta_mensal],0)</f>
        <v>160000</v>
      </c>
      <c r="L71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15" spans="2:12" x14ac:dyDescent="0.3">
      <c r="B715" s="34">
        <v>46004</v>
      </c>
      <c r="C715" s="34" t="str">
        <f>TEXT(Metas_Diarias[[#This Row],[data]],"dddd")</f>
        <v>sábado</v>
      </c>
      <c r="D715" s="33">
        <v>1</v>
      </c>
      <c r="E715" s="33">
        <v>1</v>
      </c>
      <c r="F715" s="18"/>
      <c r="G715" s="35">
        <f>WEEKDAY(Metas_Diarias[[#This Row],[data]])</f>
        <v>7</v>
      </c>
      <c r="H715" s="35">
        <f>IF(Metas_Diarias[[#This Row],[dias_da_demana]]=1,"domingo",IF(Metas_Diarias[[#This Row],[dias_da_demana]]=7,0.5,1))</f>
        <v>0.5</v>
      </c>
      <c r="I715" s="35">
        <f>_xlfn.XLOOKUP(Metas_Diarias[[#This Row],[data]],Feriados[Data],Feriados[Feriado],1)</f>
        <v>1</v>
      </c>
      <c r="J715" s="33" cm="1">
        <f t="array" aca="1" ref="J715" ca="1">SUMPRODUCT(IF((NOT(ISERROR(MATCH(ROW(INDIRECT(DATE(YEAR(B715),MONTH(B715),1)&amp;":"&amp;DATE(YEAR(B715),MONTH(B715)+1,0))),Feriados[Data],0))))=FALSE,
IF(WEEKDAY(ROW(INDIRECT(DATE(YEAR(B715),MONTH(B715),1)&amp;":"&amp;DATE(YEAR(B715),MONTH(B715)+1,0))),2)&lt;=5,1,IF(WEEKDAY(ROW(INDIRECT(DATE(YEAR(B715),MONTH(B715),1)&amp;":"&amp;DATE(YEAR(B715),MONTH(B715)+1,0))),2)=6,0.5,0)),0))</f>
        <v>24</v>
      </c>
      <c r="K715" s="22" cm="1">
        <f t="array" ref="K715">_xlfn.XLOOKUP(1,((Metas_Diarias[[#This Row],[tipo_equipe_id]]=Metas[equipe])*(Metas_Diarias[[#This Row],[data]]&gt;Metas[data_inicio])*(Metas_Diarias[[#This Row],[data]]&lt;Metas[data_fim])),Metas[meta_mensal],0)</f>
        <v>160000</v>
      </c>
      <c r="L715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716" spans="2:12" x14ac:dyDescent="0.3">
      <c r="B716" s="34">
        <v>46005</v>
      </c>
      <c r="C716" s="34" t="str">
        <f>TEXT(Metas_Diarias[[#This Row],[data]],"dddd")</f>
        <v>domingo</v>
      </c>
      <c r="D716" s="33">
        <v>1</v>
      </c>
      <c r="E716" s="33">
        <v>1</v>
      </c>
      <c r="F716" s="18"/>
      <c r="G716" s="35">
        <f>WEEKDAY(Metas_Diarias[[#This Row],[data]])</f>
        <v>1</v>
      </c>
      <c r="H716" s="35" t="str">
        <f>IF(Metas_Diarias[[#This Row],[dias_da_demana]]=1,"domingo",IF(Metas_Diarias[[#This Row],[dias_da_demana]]=7,0.5,1))</f>
        <v>domingo</v>
      </c>
      <c r="I716" s="35">
        <f>_xlfn.XLOOKUP(Metas_Diarias[[#This Row],[data]],Feriados[Data],Feriados[Feriado],1)</f>
        <v>1</v>
      </c>
      <c r="J716" s="33" cm="1">
        <f t="array" aca="1" ref="J716" ca="1">SUMPRODUCT(IF((NOT(ISERROR(MATCH(ROW(INDIRECT(DATE(YEAR(B716),MONTH(B716),1)&amp;":"&amp;DATE(YEAR(B716),MONTH(B716)+1,0))),Feriados[Data],0))))=FALSE,
IF(WEEKDAY(ROW(INDIRECT(DATE(YEAR(B716),MONTH(B716),1)&amp;":"&amp;DATE(YEAR(B716),MONTH(B716)+1,0))),2)&lt;=5,1,IF(WEEKDAY(ROW(INDIRECT(DATE(YEAR(B716),MONTH(B716),1)&amp;":"&amp;DATE(YEAR(B716),MONTH(B716)+1,0))),2)=6,0.5,0)),0))</f>
        <v>24</v>
      </c>
      <c r="K716" s="22" cm="1">
        <f t="array" ref="K716">_xlfn.XLOOKUP(1,((Metas_Diarias[[#This Row],[tipo_equipe_id]]=Metas[equipe])*(Metas_Diarias[[#This Row],[data]]&gt;Metas[data_inicio])*(Metas_Diarias[[#This Row],[data]]&lt;Metas[data_fim])),Metas[meta_mensal],0)</f>
        <v>160000</v>
      </c>
      <c r="L7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17" spans="2:12" x14ac:dyDescent="0.3">
      <c r="B717" s="34">
        <v>46006</v>
      </c>
      <c r="C717" s="34" t="str">
        <f>TEXT(Metas_Diarias[[#This Row],[data]],"dddd")</f>
        <v>segunda-feira</v>
      </c>
      <c r="D717" s="33">
        <v>1</v>
      </c>
      <c r="E717" s="33">
        <v>1</v>
      </c>
      <c r="F717" s="18"/>
      <c r="G717" s="35">
        <f>WEEKDAY(Metas_Diarias[[#This Row],[data]])</f>
        <v>2</v>
      </c>
      <c r="H717" s="35">
        <f>IF(Metas_Diarias[[#This Row],[dias_da_demana]]=1,"domingo",IF(Metas_Diarias[[#This Row],[dias_da_demana]]=7,0.5,1))</f>
        <v>1</v>
      </c>
      <c r="I717" s="35">
        <f>_xlfn.XLOOKUP(Metas_Diarias[[#This Row],[data]],Feriados[Data],Feriados[Feriado],1)</f>
        <v>1</v>
      </c>
      <c r="J717" s="33" cm="1">
        <f t="array" aca="1" ref="J717" ca="1">SUMPRODUCT(IF((NOT(ISERROR(MATCH(ROW(INDIRECT(DATE(YEAR(B717),MONTH(B717),1)&amp;":"&amp;DATE(YEAR(B717),MONTH(B717)+1,0))),Feriados[Data],0))))=FALSE,
IF(WEEKDAY(ROW(INDIRECT(DATE(YEAR(B717),MONTH(B717),1)&amp;":"&amp;DATE(YEAR(B717),MONTH(B717)+1,0))),2)&lt;=5,1,IF(WEEKDAY(ROW(INDIRECT(DATE(YEAR(B717),MONTH(B717),1)&amp;":"&amp;DATE(YEAR(B717),MONTH(B717)+1,0))),2)=6,0.5,0)),0))</f>
        <v>24</v>
      </c>
      <c r="K717" s="22" cm="1">
        <f t="array" ref="K717">_xlfn.XLOOKUP(1,((Metas_Diarias[[#This Row],[tipo_equipe_id]]=Metas[equipe])*(Metas_Diarias[[#This Row],[data]]&gt;Metas[data_inicio])*(Metas_Diarias[[#This Row],[data]]&lt;Metas[data_fim])),Metas[meta_mensal],0)</f>
        <v>160000</v>
      </c>
      <c r="L717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18" spans="2:12" x14ac:dyDescent="0.3">
      <c r="B718" s="34">
        <v>46007</v>
      </c>
      <c r="C718" s="34" t="str">
        <f>TEXT(Metas_Diarias[[#This Row],[data]],"dddd")</f>
        <v>terça-feira</v>
      </c>
      <c r="D718" s="33">
        <v>1</v>
      </c>
      <c r="E718" s="33">
        <v>1</v>
      </c>
      <c r="F718" s="18"/>
      <c r="G718" s="35">
        <f>WEEKDAY(Metas_Diarias[[#This Row],[data]])</f>
        <v>3</v>
      </c>
      <c r="H718" s="35">
        <f>IF(Metas_Diarias[[#This Row],[dias_da_demana]]=1,"domingo",IF(Metas_Diarias[[#This Row],[dias_da_demana]]=7,0.5,1))</f>
        <v>1</v>
      </c>
      <c r="I718" s="35">
        <f>_xlfn.XLOOKUP(Metas_Diarias[[#This Row],[data]],Feriados[Data],Feriados[Feriado],1)</f>
        <v>1</v>
      </c>
      <c r="J718" s="33" cm="1">
        <f t="array" aca="1" ref="J718" ca="1">SUMPRODUCT(IF((NOT(ISERROR(MATCH(ROW(INDIRECT(DATE(YEAR(B718),MONTH(B718),1)&amp;":"&amp;DATE(YEAR(B718),MONTH(B718)+1,0))),Feriados[Data],0))))=FALSE,
IF(WEEKDAY(ROW(INDIRECT(DATE(YEAR(B718),MONTH(B718),1)&amp;":"&amp;DATE(YEAR(B718),MONTH(B718)+1,0))),2)&lt;=5,1,IF(WEEKDAY(ROW(INDIRECT(DATE(YEAR(B718),MONTH(B718),1)&amp;":"&amp;DATE(YEAR(B718),MONTH(B718)+1,0))),2)=6,0.5,0)),0))</f>
        <v>24</v>
      </c>
      <c r="K718" s="22" cm="1">
        <f t="array" ref="K718">_xlfn.XLOOKUP(1,((Metas_Diarias[[#This Row],[tipo_equipe_id]]=Metas[equipe])*(Metas_Diarias[[#This Row],[data]]&gt;Metas[data_inicio])*(Metas_Diarias[[#This Row],[data]]&lt;Metas[data_fim])),Metas[meta_mensal],0)</f>
        <v>160000</v>
      </c>
      <c r="L71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19" spans="2:12" x14ac:dyDescent="0.3">
      <c r="B719" s="34">
        <v>46008</v>
      </c>
      <c r="C719" s="34" t="str">
        <f>TEXT(Metas_Diarias[[#This Row],[data]],"dddd")</f>
        <v>quarta-feira</v>
      </c>
      <c r="D719" s="33">
        <v>1</v>
      </c>
      <c r="E719" s="33">
        <v>1</v>
      </c>
      <c r="F719" s="18"/>
      <c r="G719" s="35">
        <f>WEEKDAY(Metas_Diarias[[#This Row],[data]])</f>
        <v>4</v>
      </c>
      <c r="H719" s="35">
        <f>IF(Metas_Diarias[[#This Row],[dias_da_demana]]=1,"domingo",IF(Metas_Diarias[[#This Row],[dias_da_demana]]=7,0.5,1))</f>
        <v>1</v>
      </c>
      <c r="I719" s="35">
        <f>_xlfn.XLOOKUP(Metas_Diarias[[#This Row],[data]],Feriados[Data],Feriados[Feriado],1)</f>
        <v>1</v>
      </c>
      <c r="J719" s="33" cm="1">
        <f t="array" aca="1" ref="J719" ca="1">SUMPRODUCT(IF((NOT(ISERROR(MATCH(ROW(INDIRECT(DATE(YEAR(B719),MONTH(B719),1)&amp;":"&amp;DATE(YEAR(B719),MONTH(B719)+1,0))),Feriados[Data],0))))=FALSE,
IF(WEEKDAY(ROW(INDIRECT(DATE(YEAR(B719),MONTH(B719),1)&amp;":"&amp;DATE(YEAR(B719),MONTH(B719)+1,0))),2)&lt;=5,1,IF(WEEKDAY(ROW(INDIRECT(DATE(YEAR(B719),MONTH(B719),1)&amp;":"&amp;DATE(YEAR(B719),MONTH(B719)+1,0))),2)=6,0.5,0)),0))</f>
        <v>24</v>
      </c>
      <c r="K719" s="22" cm="1">
        <f t="array" ref="K719">_xlfn.XLOOKUP(1,((Metas_Diarias[[#This Row],[tipo_equipe_id]]=Metas[equipe])*(Metas_Diarias[[#This Row],[data]]&gt;Metas[data_inicio])*(Metas_Diarias[[#This Row],[data]]&lt;Metas[data_fim])),Metas[meta_mensal],0)</f>
        <v>160000</v>
      </c>
      <c r="L719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20" spans="2:12" x14ac:dyDescent="0.3">
      <c r="B720" s="34">
        <v>46009</v>
      </c>
      <c r="C720" s="34" t="str">
        <f>TEXT(Metas_Diarias[[#This Row],[data]],"dddd")</f>
        <v>quinta-feira</v>
      </c>
      <c r="D720" s="33">
        <v>1</v>
      </c>
      <c r="E720" s="33">
        <v>1</v>
      </c>
      <c r="F720" s="18"/>
      <c r="G720" s="35">
        <f>WEEKDAY(Metas_Diarias[[#This Row],[data]])</f>
        <v>5</v>
      </c>
      <c r="H720" s="35">
        <f>IF(Metas_Diarias[[#This Row],[dias_da_demana]]=1,"domingo",IF(Metas_Diarias[[#This Row],[dias_da_demana]]=7,0.5,1))</f>
        <v>1</v>
      </c>
      <c r="I720" s="35">
        <f>_xlfn.XLOOKUP(Metas_Diarias[[#This Row],[data]],Feriados[Data],Feriados[Feriado],1)</f>
        <v>1</v>
      </c>
      <c r="J720" s="33" cm="1">
        <f t="array" aca="1" ref="J720" ca="1">SUMPRODUCT(IF((NOT(ISERROR(MATCH(ROW(INDIRECT(DATE(YEAR(B720),MONTH(B720),1)&amp;":"&amp;DATE(YEAR(B720),MONTH(B720)+1,0))),Feriados[Data],0))))=FALSE,
IF(WEEKDAY(ROW(INDIRECT(DATE(YEAR(B720),MONTH(B720),1)&amp;":"&amp;DATE(YEAR(B720),MONTH(B720)+1,0))),2)&lt;=5,1,IF(WEEKDAY(ROW(INDIRECT(DATE(YEAR(B720),MONTH(B720),1)&amp;":"&amp;DATE(YEAR(B720),MONTH(B720)+1,0))),2)=6,0.5,0)),0))</f>
        <v>24</v>
      </c>
      <c r="K720" s="22" cm="1">
        <f t="array" ref="K720">_xlfn.XLOOKUP(1,((Metas_Diarias[[#This Row],[tipo_equipe_id]]=Metas[equipe])*(Metas_Diarias[[#This Row],[data]]&gt;Metas[data_inicio])*(Metas_Diarias[[#This Row],[data]]&lt;Metas[data_fim])),Metas[meta_mensal],0)</f>
        <v>160000</v>
      </c>
      <c r="L720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21" spans="2:12" x14ac:dyDescent="0.3">
      <c r="B721" s="34">
        <v>46010</v>
      </c>
      <c r="C721" s="34" t="str">
        <f>TEXT(Metas_Diarias[[#This Row],[data]],"dddd")</f>
        <v>sexta-feira</v>
      </c>
      <c r="D721" s="33">
        <v>1</v>
      </c>
      <c r="E721" s="33">
        <v>1</v>
      </c>
      <c r="F721" s="18"/>
      <c r="G721" s="35">
        <f>WEEKDAY(Metas_Diarias[[#This Row],[data]])</f>
        <v>6</v>
      </c>
      <c r="H721" s="35">
        <f>IF(Metas_Diarias[[#This Row],[dias_da_demana]]=1,"domingo",IF(Metas_Diarias[[#This Row],[dias_da_demana]]=7,0.5,1))</f>
        <v>1</v>
      </c>
      <c r="I721" s="35">
        <f>_xlfn.XLOOKUP(Metas_Diarias[[#This Row],[data]],Feriados[Data],Feriados[Feriado],1)</f>
        <v>1</v>
      </c>
      <c r="J721" s="33" cm="1">
        <f t="array" aca="1" ref="J721" ca="1">SUMPRODUCT(IF((NOT(ISERROR(MATCH(ROW(INDIRECT(DATE(YEAR(B721),MONTH(B721),1)&amp;":"&amp;DATE(YEAR(B721),MONTH(B721)+1,0))),Feriados[Data],0))))=FALSE,
IF(WEEKDAY(ROW(INDIRECT(DATE(YEAR(B721),MONTH(B721),1)&amp;":"&amp;DATE(YEAR(B721),MONTH(B721)+1,0))),2)&lt;=5,1,IF(WEEKDAY(ROW(INDIRECT(DATE(YEAR(B721),MONTH(B721),1)&amp;":"&amp;DATE(YEAR(B721),MONTH(B721)+1,0))),2)=6,0.5,0)),0))</f>
        <v>24</v>
      </c>
      <c r="K721" s="22" cm="1">
        <f t="array" ref="K721">_xlfn.XLOOKUP(1,((Metas_Diarias[[#This Row],[tipo_equipe_id]]=Metas[equipe])*(Metas_Diarias[[#This Row],[data]]&gt;Metas[data_inicio])*(Metas_Diarias[[#This Row],[data]]&lt;Metas[data_fim])),Metas[meta_mensal],0)</f>
        <v>160000</v>
      </c>
      <c r="L72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22" spans="2:12" x14ac:dyDescent="0.3">
      <c r="B722" s="34">
        <v>46011</v>
      </c>
      <c r="C722" s="34" t="str">
        <f>TEXT(Metas_Diarias[[#This Row],[data]],"dddd")</f>
        <v>sábado</v>
      </c>
      <c r="D722" s="33">
        <v>1</v>
      </c>
      <c r="E722" s="33">
        <v>1</v>
      </c>
      <c r="F722" s="18"/>
      <c r="G722" s="35">
        <f>WEEKDAY(Metas_Diarias[[#This Row],[data]])</f>
        <v>7</v>
      </c>
      <c r="H722" s="35">
        <f>IF(Metas_Diarias[[#This Row],[dias_da_demana]]=1,"domingo",IF(Metas_Diarias[[#This Row],[dias_da_demana]]=7,0.5,1))</f>
        <v>0.5</v>
      </c>
      <c r="I722" s="35">
        <f>_xlfn.XLOOKUP(Metas_Diarias[[#This Row],[data]],Feriados[Data],Feriados[Feriado],1)</f>
        <v>1</v>
      </c>
      <c r="J722" s="33" cm="1">
        <f t="array" aca="1" ref="J722" ca="1">SUMPRODUCT(IF((NOT(ISERROR(MATCH(ROW(INDIRECT(DATE(YEAR(B722),MONTH(B722),1)&amp;":"&amp;DATE(YEAR(B722),MONTH(B722)+1,0))),Feriados[Data],0))))=FALSE,
IF(WEEKDAY(ROW(INDIRECT(DATE(YEAR(B722),MONTH(B722),1)&amp;":"&amp;DATE(YEAR(B722),MONTH(B722)+1,0))),2)&lt;=5,1,IF(WEEKDAY(ROW(INDIRECT(DATE(YEAR(B722),MONTH(B722),1)&amp;":"&amp;DATE(YEAR(B722),MONTH(B722)+1,0))),2)=6,0.5,0)),0))</f>
        <v>24</v>
      </c>
      <c r="K722" s="22" cm="1">
        <f t="array" ref="K722">_xlfn.XLOOKUP(1,((Metas_Diarias[[#This Row],[tipo_equipe_id]]=Metas[equipe])*(Metas_Diarias[[#This Row],[data]]&gt;Metas[data_inicio])*(Metas_Diarias[[#This Row],[data]]&lt;Metas[data_fim])),Metas[meta_mensal],0)</f>
        <v>160000</v>
      </c>
      <c r="L722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723" spans="2:12" x14ac:dyDescent="0.3">
      <c r="B723" s="34">
        <v>46012</v>
      </c>
      <c r="C723" s="34" t="str">
        <f>TEXT(Metas_Diarias[[#This Row],[data]],"dddd")</f>
        <v>domingo</v>
      </c>
      <c r="D723" s="33">
        <v>1</v>
      </c>
      <c r="E723" s="33">
        <v>1</v>
      </c>
      <c r="F723" s="18"/>
      <c r="G723" s="35">
        <f>WEEKDAY(Metas_Diarias[[#This Row],[data]])</f>
        <v>1</v>
      </c>
      <c r="H723" s="35" t="str">
        <f>IF(Metas_Diarias[[#This Row],[dias_da_demana]]=1,"domingo",IF(Metas_Diarias[[#This Row],[dias_da_demana]]=7,0.5,1))</f>
        <v>domingo</v>
      </c>
      <c r="I723" s="35">
        <f>_xlfn.XLOOKUP(Metas_Diarias[[#This Row],[data]],Feriados[Data],Feriados[Feriado],1)</f>
        <v>1</v>
      </c>
      <c r="J723" s="33" cm="1">
        <f t="array" aca="1" ref="J723" ca="1">SUMPRODUCT(IF((NOT(ISERROR(MATCH(ROW(INDIRECT(DATE(YEAR(B723),MONTH(B723),1)&amp;":"&amp;DATE(YEAR(B723),MONTH(B723)+1,0))),Feriados[Data],0))))=FALSE,
IF(WEEKDAY(ROW(INDIRECT(DATE(YEAR(B723),MONTH(B723),1)&amp;":"&amp;DATE(YEAR(B723),MONTH(B723)+1,0))),2)&lt;=5,1,IF(WEEKDAY(ROW(INDIRECT(DATE(YEAR(B723),MONTH(B723),1)&amp;":"&amp;DATE(YEAR(B723),MONTH(B723)+1,0))),2)=6,0.5,0)),0))</f>
        <v>24</v>
      </c>
      <c r="K723" s="22" cm="1">
        <f t="array" ref="K723">_xlfn.XLOOKUP(1,((Metas_Diarias[[#This Row],[tipo_equipe_id]]=Metas[equipe])*(Metas_Diarias[[#This Row],[data]]&gt;Metas[data_inicio])*(Metas_Diarias[[#This Row],[data]]&lt;Metas[data_fim])),Metas[meta_mensal],0)</f>
        <v>160000</v>
      </c>
      <c r="L72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24" spans="2:12" x14ac:dyDescent="0.3">
      <c r="B724" s="34">
        <v>46013</v>
      </c>
      <c r="C724" s="34" t="str">
        <f>TEXT(Metas_Diarias[[#This Row],[data]],"dddd")</f>
        <v>segunda-feira</v>
      </c>
      <c r="D724" s="33">
        <v>1</v>
      </c>
      <c r="E724" s="33">
        <v>1</v>
      </c>
      <c r="F724" s="18"/>
      <c r="G724" s="35">
        <f>WEEKDAY(Metas_Diarias[[#This Row],[data]])</f>
        <v>2</v>
      </c>
      <c r="H724" s="35">
        <f>IF(Metas_Diarias[[#This Row],[dias_da_demana]]=1,"domingo",IF(Metas_Diarias[[#This Row],[dias_da_demana]]=7,0.5,1))</f>
        <v>1</v>
      </c>
      <c r="I724" s="35">
        <f>_xlfn.XLOOKUP(Metas_Diarias[[#This Row],[data]],Feriados[Data],Feriados[Feriado],1)</f>
        <v>1</v>
      </c>
      <c r="J724" s="33" cm="1">
        <f t="array" aca="1" ref="J724" ca="1">SUMPRODUCT(IF((NOT(ISERROR(MATCH(ROW(INDIRECT(DATE(YEAR(B724),MONTH(B724),1)&amp;":"&amp;DATE(YEAR(B724),MONTH(B724)+1,0))),Feriados[Data],0))))=FALSE,
IF(WEEKDAY(ROW(INDIRECT(DATE(YEAR(B724),MONTH(B724),1)&amp;":"&amp;DATE(YEAR(B724),MONTH(B724)+1,0))),2)&lt;=5,1,IF(WEEKDAY(ROW(INDIRECT(DATE(YEAR(B724),MONTH(B724),1)&amp;":"&amp;DATE(YEAR(B724),MONTH(B724)+1,0))),2)=6,0.5,0)),0))</f>
        <v>24</v>
      </c>
      <c r="K724" s="22" cm="1">
        <f t="array" ref="K724">_xlfn.XLOOKUP(1,((Metas_Diarias[[#This Row],[tipo_equipe_id]]=Metas[equipe])*(Metas_Diarias[[#This Row],[data]]&gt;Metas[data_inicio])*(Metas_Diarias[[#This Row],[data]]&lt;Metas[data_fim])),Metas[meta_mensal],0)</f>
        <v>160000</v>
      </c>
      <c r="L724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25" spans="2:12" x14ac:dyDescent="0.3">
      <c r="B725" s="34">
        <v>46014</v>
      </c>
      <c r="C725" s="34" t="str">
        <f>TEXT(Metas_Diarias[[#This Row],[data]],"dddd")</f>
        <v>terça-feira</v>
      </c>
      <c r="D725" s="33">
        <v>1</v>
      </c>
      <c r="E725" s="33">
        <v>1</v>
      </c>
      <c r="F725" s="18"/>
      <c r="G725" s="35">
        <f>WEEKDAY(Metas_Diarias[[#This Row],[data]])</f>
        <v>3</v>
      </c>
      <c r="H725" s="35">
        <f>IF(Metas_Diarias[[#This Row],[dias_da_demana]]=1,"domingo",IF(Metas_Diarias[[#This Row],[dias_da_demana]]=7,0.5,1))</f>
        <v>1</v>
      </c>
      <c r="I725" s="35">
        <f>_xlfn.XLOOKUP(Metas_Diarias[[#This Row],[data]],Feriados[Data],Feriados[Feriado],1)</f>
        <v>1</v>
      </c>
      <c r="J725" s="33" cm="1">
        <f t="array" aca="1" ref="J725" ca="1">SUMPRODUCT(IF((NOT(ISERROR(MATCH(ROW(INDIRECT(DATE(YEAR(B725),MONTH(B725),1)&amp;":"&amp;DATE(YEAR(B725),MONTH(B725)+1,0))),Feriados[Data],0))))=FALSE,
IF(WEEKDAY(ROW(INDIRECT(DATE(YEAR(B725),MONTH(B725),1)&amp;":"&amp;DATE(YEAR(B725),MONTH(B725)+1,0))),2)&lt;=5,1,IF(WEEKDAY(ROW(INDIRECT(DATE(YEAR(B725),MONTH(B725),1)&amp;":"&amp;DATE(YEAR(B725),MONTH(B725)+1,0))),2)=6,0.5,0)),0))</f>
        <v>24</v>
      </c>
      <c r="K725" s="22" cm="1">
        <f t="array" ref="K725">_xlfn.XLOOKUP(1,((Metas_Diarias[[#This Row],[tipo_equipe_id]]=Metas[equipe])*(Metas_Diarias[[#This Row],[data]]&gt;Metas[data_inicio])*(Metas_Diarias[[#This Row],[data]]&lt;Metas[data_fim])),Metas[meta_mensal],0)</f>
        <v>160000</v>
      </c>
      <c r="L725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26" spans="2:12" x14ac:dyDescent="0.3">
      <c r="B726" s="34">
        <v>46015</v>
      </c>
      <c r="C726" s="34" t="str">
        <f>TEXT(Metas_Diarias[[#This Row],[data]],"dddd")</f>
        <v>quarta-feira</v>
      </c>
      <c r="D726" s="33">
        <v>1</v>
      </c>
      <c r="E726" s="33">
        <v>1</v>
      </c>
      <c r="F726" s="18"/>
      <c r="G726" s="35">
        <f>WEEKDAY(Metas_Diarias[[#This Row],[data]])</f>
        <v>4</v>
      </c>
      <c r="H726" s="35">
        <f>IF(Metas_Diarias[[#This Row],[dias_da_demana]]=1,"domingo",IF(Metas_Diarias[[#This Row],[dias_da_demana]]=7,0.5,1))</f>
        <v>1</v>
      </c>
      <c r="I726" s="35">
        <f>_xlfn.XLOOKUP(Metas_Diarias[[#This Row],[data]],Feriados[Data],Feriados[Feriado],1)</f>
        <v>1</v>
      </c>
      <c r="J726" s="33" cm="1">
        <f t="array" aca="1" ref="J726" ca="1">SUMPRODUCT(IF((NOT(ISERROR(MATCH(ROW(INDIRECT(DATE(YEAR(B726),MONTH(B726),1)&amp;":"&amp;DATE(YEAR(B726),MONTH(B726)+1,0))),Feriados[Data],0))))=FALSE,
IF(WEEKDAY(ROW(INDIRECT(DATE(YEAR(B726),MONTH(B726),1)&amp;":"&amp;DATE(YEAR(B726),MONTH(B726)+1,0))),2)&lt;=5,1,IF(WEEKDAY(ROW(INDIRECT(DATE(YEAR(B726),MONTH(B726),1)&amp;":"&amp;DATE(YEAR(B726),MONTH(B726)+1,0))),2)=6,0.5,0)),0))</f>
        <v>24</v>
      </c>
      <c r="K726" s="22" cm="1">
        <f t="array" ref="K726">_xlfn.XLOOKUP(1,((Metas_Diarias[[#This Row],[tipo_equipe_id]]=Metas[equipe])*(Metas_Diarias[[#This Row],[data]]&gt;Metas[data_inicio])*(Metas_Diarias[[#This Row],[data]]&lt;Metas[data_fim])),Metas[meta_mensal],0)</f>
        <v>160000</v>
      </c>
      <c r="L726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27" spans="2:12" x14ac:dyDescent="0.3">
      <c r="B727" s="34">
        <v>46016</v>
      </c>
      <c r="C727" s="34" t="str">
        <f>TEXT(Metas_Diarias[[#This Row],[data]],"dddd")</f>
        <v>quinta-feira</v>
      </c>
      <c r="D727" s="33">
        <v>1</v>
      </c>
      <c r="E727" s="33">
        <v>1</v>
      </c>
      <c r="F727" s="18"/>
      <c r="G727" s="35">
        <f>WEEKDAY(Metas_Diarias[[#This Row],[data]])</f>
        <v>5</v>
      </c>
      <c r="H727" s="35">
        <f>IF(Metas_Diarias[[#This Row],[dias_da_demana]]=1,"domingo",IF(Metas_Diarias[[#This Row],[dias_da_demana]]=7,0.5,1))</f>
        <v>1</v>
      </c>
      <c r="I727" s="35" t="str">
        <f>_xlfn.XLOOKUP(Metas_Diarias[[#This Row],[data]],Feriados[Data],Feriados[Feriado],1)</f>
        <v>Natal</v>
      </c>
      <c r="J727" s="33" cm="1">
        <f t="array" aca="1" ref="J727" ca="1">SUMPRODUCT(IF((NOT(ISERROR(MATCH(ROW(INDIRECT(DATE(YEAR(B727),MONTH(B727),1)&amp;":"&amp;DATE(YEAR(B727),MONTH(B727)+1,0))),Feriados[Data],0))))=FALSE,
IF(WEEKDAY(ROW(INDIRECT(DATE(YEAR(B727),MONTH(B727),1)&amp;":"&amp;DATE(YEAR(B727),MONTH(B727)+1,0))),2)&lt;=5,1,IF(WEEKDAY(ROW(INDIRECT(DATE(YEAR(B727),MONTH(B727),1)&amp;":"&amp;DATE(YEAR(B727),MONTH(B727)+1,0))),2)=6,0.5,0)),0))</f>
        <v>24</v>
      </c>
      <c r="K727" s="22" cm="1">
        <f t="array" ref="K727">_xlfn.XLOOKUP(1,((Metas_Diarias[[#This Row],[tipo_equipe_id]]=Metas[equipe])*(Metas_Diarias[[#This Row],[data]]&gt;Metas[data_inicio])*(Metas_Diarias[[#This Row],[data]]&lt;Metas[data_fim])),Metas[meta_mensal],0)</f>
        <v>160000</v>
      </c>
      <c r="L72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28" spans="2:12" x14ac:dyDescent="0.3">
      <c r="B728" s="34">
        <v>46017</v>
      </c>
      <c r="C728" s="34" t="str">
        <f>TEXT(Metas_Diarias[[#This Row],[data]],"dddd")</f>
        <v>sexta-feira</v>
      </c>
      <c r="D728" s="33">
        <v>1</v>
      </c>
      <c r="E728" s="33">
        <v>1</v>
      </c>
      <c r="F728" s="18"/>
      <c r="G728" s="35">
        <f>WEEKDAY(Metas_Diarias[[#This Row],[data]])</f>
        <v>6</v>
      </c>
      <c r="H728" s="35">
        <f>IF(Metas_Diarias[[#This Row],[dias_da_demana]]=1,"domingo",IF(Metas_Diarias[[#This Row],[dias_da_demana]]=7,0.5,1))</f>
        <v>1</v>
      </c>
      <c r="I728" s="35">
        <f>_xlfn.XLOOKUP(Metas_Diarias[[#This Row],[data]],Feriados[Data],Feriados[Feriado],1)</f>
        <v>1</v>
      </c>
      <c r="J728" s="33" cm="1">
        <f t="array" aca="1" ref="J728" ca="1">SUMPRODUCT(IF((NOT(ISERROR(MATCH(ROW(INDIRECT(DATE(YEAR(B728),MONTH(B728),1)&amp;":"&amp;DATE(YEAR(B728),MONTH(B728)+1,0))),Feriados[Data],0))))=FALSE,
IF(WEEKDAY(ROW(INDIRECT(DATE(YEAR(B728),MONTH(B728),1)&amp;":"&amp;DATE(YEAR(B728),MONTH(B728)+1,0))),2)&lt;=5,1,IF(WEEKDAY(ROW(INDIRECT(DATE(YEAR(B728),MONTH(B728),1)&amp;":"&amp;DATE(YEAR(B728),MONTH(B728)+1,0))),2)=6,0.5,0)),0))</f>
        <v>24</v>
      </c>
      <c r="K728" s="22" cm="1">
        <f t="array" ref="K728">_xlfn.XLOOKUP(1,((Metas_Diarias[[#This Row],[tipo_equipe_id]]=Metas[equipe])*(Metas_Diarias[[#This Row],[data]]&gt;Metas[data_inicio])*(Metas_Diarias[[#This Row],[data]]&lt;Metas[data_fim])),Metas[meta_mensal],0)</f>
        <v>160000</v>
      </c>
      <c r="L728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29" spans="2:12" x14ac:dyDescent="0.3">
      <c r="B729" s="34">
        <v>46018</v>
      </c>
      <c r="C729" s="34" t="str">
        <f>TEXT(Metas_Diarias[[#This Row],[data]],"dddd")</f>
        <v>sábado</v>
      </c>
      <c r="D729" s="33">
        <v>1</v>
      </c>
      <c r="E729" s="33">
        <v>1</v>
      </c>
      <c r="F729" s="18"/>
      <c r="G729" s="35">
        <f>WEEKDAY(Metas_Diarias[[#This Row],[data]])</f>
        <v>7</v>
      </c>
      <c r="H729" s="35">
        <f>IF(Metas_Diarias[[#This Row],[dias_da_demana]]=1,"domingo",IF(Metas_Diarias[[#This Row],[dias_da_demana]]=7,0.5,1))</f>
        <v>0.5</v>
      </c>
      <c r="I729" s="35">
        <f>_xlfn.XLOOKUP(Metas_Diarias[[#This Row],[data]],Feriados[Data],Feriados[Feriado],1)</f>
        <v>1</v>
      </c>
      <c r="J729" s="33" cm="1">
        <f t="array" aca="1" ref="J729" ca="1">SUMPRODUCT(IF((NOT(ISERROR(MATCH(ROW(INDIRECT(DATE(YEAR(B729),MONTH(B729),1)&amp;":"&amp;DATE(YEAR(B729),MONTH(B729)+1,0))),Feriados[Data],0))))=FALSE,
IF(WEEKDAY(ROW(INDIRECT(DATE(YEAR(B729),MONTH(B729),1)&amp;":"&amp;DATE(YEAR(B729),MONTH(B729)+1,0))),2)&lt;=5,1,IF(WEEKDAY(ROW(INDIRECT(DATE(YEAR(B729),MONTH(B729),1)&amp;":"&amp;DATE(YEAR(B729),MONTH(B729)+1,0))),2)=6,0.5,0)),0))</f>
        <v>24</v>
      </c>
      <c r="K729" s="22" cm="1">
        <f t="array" ref="K729">_xlfn.XLOOKUP(1,((Metas_Diarias[[#This Row],[tipo_equipe_id]]=Metas[equipe])*(Metas_Diarias[[#This Row],[data]]&gt;Metas[data_inicio])*(Metas_Diarias[[#This Row],[data]]&lt;Metas[data_fim])),Metas[meta_mensal],0)</f>
        <v>160000</v>
      </c>
      <c r="L729" s="24">
        <f ca="1">Metas_Diarias[[#This Row],[meta_mensal]]*IF(Metas_Diarias[[#This Row],[semana]]="domingo",0,Metas_Diarias[[#This Row],[semana]])*IF(Metas_Diarias[[#This Row],[feriado]]&lt;&gt;1,0,1)/Metas_Diarias[[#This Row],[dias_úteis_Mês]]</f>
        <v>3333.3333333333335</v>
      </c>
    </row>
    <row r="730" spans="2:12" x14ac:dyDescent="0.3">
      <c r="B730" s="34">
        <v>46019</v>
      </c>
      <c r="C730" s="34" t="str">
        <f>TEXT(Metas_Diarias[[#This Row],[data]],"dddd")</f>
        <v>domingo</v>
      </c>
      <c r="D730" s="33">
        <v>1</v>
      </c>
      <c r="E730" s="33">
        <v>1</v>
      </c>
      <c r="F730" s="18"/>
      <c r="G730" s="35">
        <f>WEEKDAY(Metas_Diarias[[#This Row],[data]])</f>
        <v>1</v>
      </c>
      <c r="H730" s="35" t="str">
        <f>IF(Metas_Diarias[[#This Row],[dias_da_demana]]=1,"domingo",IF(Metas_Diarias[[#This Row],[dias_da_demana]]=7,0.5,1))</f>
        <v>domingo</v>
      </c>
      <c r="I730" s="35">
        <f>_xlfn.XLOOKUP(Metas_Diarias[[#This Row],[data]],Feriados[Data],Feriados[Feriado],1)</f>
        <v>1</v>
      </c>
      <c r="J730" s="33" cm="1">
        <f t="array" aca="1" ref="J730" ca="1">SUMPRODUCT(IF((NOT(ISERROR(MATCH(ROW(INDIRECT(DATE(YEAR(B730),MONTH(B730),1)&amp;":"&amp;DATE(YEAR(B730),MONTH(B730)+1,0))),Feriados[Data],0))))=FALSE,
IF(WEEKDAY(ROW(INDIRECT(DATE(YEAR(B730),MONTH(B730),1)&amp;":"&amp;DATE(YEAR(B730),MONTH(B730)+1,0))),2)&lt;=5,1,IF(WEEKDAY(ROW(INDIRECT(DATE(YEAR(B730),MONTH(B730),1)&amp;":"&amp;DATE(YEAR(B730),MONTH(B730)+1,0))),2)=6,0.5,0)),0))</f>
        <v>24</v>
      </c>
      <c r="K730" s="22" cm="1">
        <f t="array" ref="K730">_xlfn.XLOOKUP(1,((Metas_Diarias[[#This Row],[tipo_equipe_id]]=Metas[equipe])*(Metas_Diarias[[#This Row],[data]]&gt;Metas[data_inicio])*(Metas_Diarias[[#This Row],[data]]&lt;Metas[data_fim])),Metas[meta_mensal],0)</f>
        <v>160000</v>
      </c>
      <c r="L73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31" spans="2:12" x14ac:dyDescent="0.3">
      <c r="B731" s="34">
        <v>46020</v>
      </c>
      <c r="C731" s="34" t="str">
        <f>TEXT(Metas_Diarias[[#This Row],[data]],"dddd")</f>
        <v>segunda-feira</v>
      </c>
      <c r="D731" s="33">
        <v>1</v>
      </c>
      <c r="E731" s="33">
        <v>1</v>
      </c>
      <c r="F731" s="18"/>
      <c r="G731" s="35">
        <f>WEEKDAY(Metas_Diarias[[#This Row],[data]])</f>
        <v>2</v>
      </c>
      <c r="H731" s="35">
        <f>IF(Metas_Diarias[[#This Row],[dias_da_demana]]=1,"domingo",IF(Metas_Diarias[[#This Row],[dias_da_demana]]=7,0.5,1))</f>
        <v>1</v>
      </c>
      <c r="I731" s="35">
        <f>_xlfn.XLOOKUP(Metas_Diarias[[#This Row],[data]],Feriados[Data],Feriados[Feriado],1)</f>
        <v>1</v>
      </c>
      <c r="J731" s="33" cm="1">
        <f t="array" aca="1" ref="J731" ca="1">SUMPRODUCT(IF((NOT(ISERROR(MATCH(ROW(INDIRECT(DATE(YEAR(B731),MONTH(B731),1)&amp;":"&amp;DATE(YEAR(B731),MONTH(B731)+1,0))),Feriados[Data],0))))=FALSE,
IF(WEEKDAY(ROW(INDIRECT(DATE(YEAR(B731),MONTH(B731),1)&amp;":"&amp;DATE(YEAR(B731),MONTH(B731)+1,0))),2)&lt;=5,1,IF(WEEKDAY(ROW(INDIRECT(DATE(YEAR(B731),MONTH(B731),1)&amp;":"&amp;DATE(YEAR(B731),MONTH(B731)+1,0))),2)=6,0.5,0)),0))</f>
        <v>24</v>
      </c>
      <c r="K731" s="22" cm="1">
        <f t="array" ref="K731">_xlfn.XLOOKUP(1,((Metas_Diarias[[#This Row],[tipo_equipe_id]]=Metas[equipe])*(Metas_Diarias[[#This Row],[data]]&gt;Metas[data_inicio])*(Metas_Diarias[[#This Row],[data]]&lt;Metas[data_fim])),Metas[meta_mensal],0)</f>
        <v>160000</v>
      </c>
      <c r="L731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32" spans="2:12" x14ac:dyDescent="0.3">
      <c r="B732" s="34">
        <v>46021</v>
      </c>
      <c r="C732" s="34" t="str">
        <f>TEXT(Metas_Diarias[[#This Row],[data]],"dddd")</f>
        <v>terça-feira</v>
      </c>
      <c r="D732" s="33">
        <v>1</v>
      </c>
      <c r="E732" s="33">
        <v>1</v>
      </c>
      <c r="F732" s="18"/>
      <c r="G732" s="35">
        <f>WEEKDAY(Metas_Diarias[[#This Row],[data]])</f>
        <v>3</v>
      </c>
      <c r="H732" s="35">
        <f>IF(Metas_Diarias[[#This Row],[dias_da_demana]]=1,"domingo",IF(Metas_Diarias[[#This Row],[dias_da_demana]]=7,0.5,1))</f>
        <v>1</v>
      </c>
      <c r="I732" s="35">
        <f>_xlfn.XLOOKUP(Metas_Diarias[[#This Row],[data]],Feriados[Data],Feriados[Feriado],1)</f>
        <v>1</v>
      </c>
      <c r="J732" s="33" cm="1">
        <f t="array" aca="1" ref="J732" ca="1">SUMPRODUCT(IF((NOT(ISERROR(MATCH(ROW(INDIRECT(DATE(YEAR(B732),MONTH(B732),1)&amp;":"&amp;DATE(YEAR(B732),MONTH(B732)+1,0))),Feriados[Data],0))))=FALSE,
IF(WEEKDAY(ROW(INDIRECT(DATE(YEAR(B732),MONTH(B732),1)&amp;":"&amp;DATE(YEAR(B732),MONTH(B732)+1,0))),2)&lt;=5,1,IF(WEEKDAY(ROW(INDIRECT(DATE(YEAR(B732),MONTH(B732),1)&amp;":"&amp;DATE(YEAR(B732),MONTH(B732)+1,0))),2)=6,0.5,0)),0))</f>
        <v>24</v>
      </c>
      <c r="K732" s="22" cm="1">
        <f t="array" ref="K732">_xlfn.XLOOKUP(1,((Metas_Diarias[[#This Row],[tipo_equipe_id]]=Metas[equipe])*(Metas_Diarias[[#This Row],[data]]&gt;Metas[data_inicio])*(Metas_Diarias[[#This Row],[data]]&lt;Metas[data_fim])),Metas[meta_mensal],0)</f>
        <v>160000</v>
      </c>
      <c r="L732" s="24">
        <f ca="1">Metas_Diarias[[#This Row],[meta_mensal]]*IF(Metas_Diarias[[#This Row],[semana]]="domingo",0,Metas_Diarias[[#This Row],[semana]])*IF(Metas_Diarias[[#This Row],[feriado]]&lt;&gt;1,0,1)/Metas_Diarias[[#This Row],[dias_úteis_Mês]]</f>
        <v>6666.666666666667</v>
      </c>
    </row>
    <row r="733" spans="2:12" x14ac:dyDescent="0.3">
      <c r="B733" s="34">
        <v>46022</v>
      </c>
      <c r="C733" s="34" t="str">
        <f>TEXT(Metas_Diarias[[#This Row],[data]],"dddd")</f>
        <v>quarta-feira</v>
      </c>
      <c r="D733" s="33">
        <v>1</v>
      </c>
      <c r="E733" s="33">
        <v>1</v>
      </c>
      <c r="F733" s="18"/>
      <c r="G733" s="35">
        <f>WEEKDAY(Metas_Diarias[[#This Row],[data]])</f>
        <v>4</v>
      </c>
      <c r="H733" s="35">
        <f>IF(Metas_Diarias[[#This Row],[dias_da_demana]]=1,"domingo",IF(Metas_Diarias[[#This Row],[dias_da_demana]]=7,0.5,1))</f>
        <v>1</v>
      </c>
      <c r="I733" s="35">
        <f>_xlfn.XLOOKUP(Metas_Diarias[[#This Row],[data]],Feriados[Data],Feriados[Feriado],1)</f>
        <v>1</v>
      </c>
      <c r="J733" s="33" cm="1">
        <f t="array" aca="1" ref="J733" ca="1">SUMPRODUCT(IF((NOT(ISERROR(MATCH(ROW(INDIRECT(DATE(YEAR(B733),MONTH(B733),1)&amp;":"&amp;DATE(YEAR(B733),MONTH(B733)+1,0))),Feriados[Data],0))))=FALSE,
IF(WEEKDAY(ROW(INDIRECT(DATE(YEAR(B733),MONTH(B733),1)&amp;":"&amp;DATE(YEAR(B733),MONTH(B733)+1,0))),2)&lt;=5,1,IF(WEEKDAY(ROW(INDIRECT(DATE(YEAR(B733),MONTH(B733),1)&amp;":"&amp;DATE(YEAR(B733),MONTH(B733)+1,0))),2)=6,0.5,0)),0))</f>
        <v>24</v>
      </c>
      <c r="K733" s="22" cm="1">
        <f t="array" ref="K733">_xlfn.XLOOKUP(1,((Metas_Diarias[[#This Row],[tipo_equipe_id]]=Metas[equipe])*(Metas_Diarias[[#This Row],[data]]&gt;Metas[data_inicio])*(Metas_Diarias[[#This Row],[data]]&lt;Metas[data_fim])),Metas[meta_mensal],0)</f>
        <v>0</v>
      </c>
      <c r="L7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34" spans="2:12" x14ac:dyDescent="0.3">
      <c r="B734" s="34">
        <v>45839</v>
      </c>
      <c r="C734" s="34" t="str">
        <f>TEXT(Metas_Diarias[[#This Row],[data]],"dddd")</f>
        <v>terça-feira</v>
      </c>
      <c r="D734" s="33">
        <v>2</v>
      </c>
      <c r="E734" s="33">
        <v>2</v>
      </c>
      <c r="F734" s="18"/>
      <c r="G734" s="35">
        <f>WEEKDAY(Metas_Diarias[[#This Row],[data]])</f>
        <v>3</v>
      </c>
      <c r="H734" s="35">
        <f>IF(Metas_Diarias[[#This Row],[dias_da_demana]]=1,"domingo",IF(Metas_Diarias[[#This Row],[dias_da_demana]]=7,0.5,1))</f>
        <v>1</v>
      </c>
      <c r="I734" s="35">
        <f>_xlfn.XLOOKUP(Metas_Diarias[[#This Row],[data]],Feriados[Data],Feriados[Feriado],1)</f>
        <v>1</v>
      </c>
      <c r="J734" s="33" cm="1">
        <f t="array" aca="1" ref="J734" ca="1">SUMPRODUCT(IF((NOT(ISERROR(MATCH(ROW(INDIRECT(DATE(YEAR(B734),MONTH(B734),1)&amp;":"&amp;DATE(YEAR(B734),MONTH(B734)+1,0))),Feriados[Data],0))))=FALSE,
IF(WEEKDAY(ROW(INDIRECT(DATE(YEAR(B734),MONTH(B734),1)&amp;":"&amp;DATE(YEAR(B734),MONTH(B734)+1,0))),2)&lt;=5,1,IF(WEEKDAY(ROW(INDIRECT(DATE(YEAR(B734),MONTH(B734),1)&amp;":"&amp;DATE(YEAR(B734),MONTH(B734)+1,0))),2)=6,0.5,0)),0))</f>
        <v>25</v>
      </c>
      <c r="K734" s="22" cm="1">
        <f t="array" ref="K734">_xlfn.XLOOKUP(1,((Metas_Diarias[[#This Row],[tipo_equipe_id]]=Metas[equipe])*(Metas_Diarias[[#This Row],[data]]&gt;Metas[data_inicio])*(Metas_Diarias[[#This Row],[data]]&lt;Metas[data_fim])),Metas[meta_mensal],0)</f>
        <v>0</v>
      </c>
      <c r="L73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35" spans="2:12" x14ac:dyDescent="0.3">
      <c r="B735" s="34">
        <v>45840</v>
      </c>
      <c r="C735" s="34" t="str">
        <f>TEXT(Metas_Diarias[[#This Row],[data]],"dddd")</f>
        <v>quarta-feira</v>
      </c>
      <c r="D735" s="33">
        <v>2</v>
      </c>
      <c r="E735" s="33">
        <v>2</v>
      </c>
      <c r="F735" s="18"/>
      <c r="G735" s="35">
        <f>WEEKDAY(Metas_Diarias[[#This Row],[data]])</f>
        <v>4</v>
      </c>
      <c r="H735" s="35">
        <f>IF(Metas_Diarias[[#This Row],[dias_da_demana]]=1,"domingo",IF(Metas_Diarias[[#This Row],[dias_da_demana]]=7,0.5,1))</f>
        <v>1</v>
      </c>
      <c r="I735" s="35">
        <f>_xlfn.XLOOKUP(Metas_Diarias[[#This Row],[data]],Feriados[Data],Feriados[Feriado],1)</f>
        <v>1</v>
      </c>
      <c r="J735" s="33" cm="1">
        <f t="array" aca="1" ref="J735" ca="1">SUMPRODUCT(IF((NOT(ISERROR(MATCH(ROW(INDIRECT(DATE(YEAR(B735),MONTH(B735),1)&amp;":"&amp;DATE(YEAR(B735),MONTH(B735)+1,0))),Feriados[Data],0))))=FALSE,
IF(WEEKDAY(ROW(INDIRECT(DATE(YEAR(B735),MONTH(B735),1)&amp;":"&amp;DATE(YEAR(B735),MONTH(B735)+1,0))),2)&lt;=5,1,IF(WEEKDAY(ROW(INDIRECT(DATE(YEAR(B735),MONTH(B735),1)&amp;":"&amp;DATE(YEAR(B735),MONTH(B735)+1,0))),2)=6,0.5,0)),0))</f>
        <v>25</v>
      </c>
      <c r="K735" s="22" cm="1">
        <f t="array" ref="K735">_xlfn.XLOOKUP(1,((Metas_Diarias[[#This Row],[tipo_equipe_id]]=Metas[equipe])*(Metas_Diarias[[#This Row],[data]]&gt;Metas[data_inicio])*(Metas_Diarias[[#This Row],[data]]&lt;Metas[data_fim])),Metas[meta_mensal],0)</f>
        <v>110000</v>
      </c>
      <c r="L735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36" spans="2:12" x14ac:dyDescent="0.3">
      <c r="B736" s="34">
        <v>45841</v>
      </c>
      <c r="C736" s="34" t="str">
        <f>TEXT(Metas_Diarias[[#This Row],[data]],"dddd")</f>
        <v>quinta-feira</v>
      </c>
      <c r="D736" s="33">
        <v>2</v>
      </c>
      <c r="E736" s="33">
        <v>2</v>
      </c>
      <c r="F736" s="18"/>
      <c r="G736" s="35">
        <f>WEEKDAY(Metas_Diarias[[#This Row],[data]])</f>
        <v>5</v>
      </c>
      <c r="H736" s="35">
        <f>IF(Metas_Diarias[[#This Row],[dias_da_demana]]=1,"domingo",IF(Metas_Diarias[[#This Row],[dias_da_demana]]=7,0.5,1))</f>
        <v>1</v>
      </c>
      <c r="I736" s="35">
        <f>_xlfn.XLOOKUP(Metas_Diarias[[#This Row],[data]],Feriados[Data],Feriados[Feriado],1)</f>
        <v>1</v>
      </c>
      <c r="J736" s="33" cm="1">
        <f t="array" aca="1" ref="J736" ca="1">SUMPRODUCT(IF((NOT(ISERROR(MATCH(ROW(INDIRECT(DATE(YEAR(B736),MONTH(B736),1)&amp;":"&amp;DATE(YEAR(B736),MONTH(B736)+1,0))),Feriados[Data],0))))=FALSE,
IF(WEEKDAY(ROW(INDIRECT(DATE(YEAR(B736),MONTH(B736),1)&amp;":"&amp;DATE(YEAR(B736),MONTH(B736)+1,0))),2)&lt;=5,1,IF(WEEKDAY(ROW(INDIRECT(DATE(YEAR(B736),MONTH(B736),1)&amp;":"&amp;DATE(YEAR(B736),MONTH(B736)+1,0))),2)=6,0.5,0)),0))</f>
        <v>25</v>
      </c>
      <c r="K736" s="22" cm="1">
        <f t="array" ref="K736">_xlfn.XLOOKUP(1,((Metas_Diarias[[#This Row],[tipo_equipe_id]]=Metas[equipe])*(Metas_Diarias[[#This Row],[data]]&gt;Metas[data_inicio])*(Metas_Diarias[[#This Row],[data]]&lt;Metas[data_fim])),Metas[meta_mensal],0)</f>
        <v>110000</v>
      </c>
      <c r="L736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37" spans="2:12" x14ac:dyDescent="0.3">
      <c r="B737" s="34">
        <v>45842</v>
      </c>
      <c r="C737" s="34" t="str">
        <f>TEXT(Metas_Diarias[[#This Row],[data]],"dddd")</f>
        <v>sexta-feira</v>
      </c>
      <c r="D737" s="33">
        <v>2</v>
      </c>
      <c r="E737" s="33">
        <v>2</v>
      </c>
      <c r="F737" s="18"/>
      <c r="G737" s="35">
        <f>WEEKDAY(Metas_Diarias[[#This Row],[data]])</f>
        <v>6</v>
      </c>
      <c r="H737" s="35">
        <f>IF(Metas_Diarias[[#This Row],[dias_da_demana]]=1,"domingo",IF(Metas_Diarias[[#This Row],[dias_da_demana]]=7,0.5,1))</f>
        <v>1</v>
      </c>
      <c r="I737" s="35">
        <f>_xlfn.XLOOKUP(Metas_Diarias[[#This Row],[data]],Feriados[Data],Feriados[Feriado],1)</f>
        <v>1</v>
      </c>
      <c r="J737" s="33" cm="1">
        <f t="array" aca="1" ref="J737" ca="1">SUMPRODUCT(IF((NOT(ISERROR(MATCH(ROW(INDIRECT(DATE(YEAR(B737),MONTH(B737),1)&amp;":"&amp;DATE(YEAR(B737),MONTH(B737)+1,0))),Feriados[Data],0))))=FALSE,
IF(WEEKDAY(ROW(INDIRECT(DATE(YEAR(B737),MONTH(B737),1)&amp;":"&amp;DATE(YEAR(B737),MONTH(B737)+1,0))),2)&lt;=5,1,IF(WEEKDAY(ROW(INDIRECT(DATE(YEAR(B737),MONTH(B737),1)&amp;":"&amp;DATE(YEAR(B737),MONTH(B737)+1,0))),2)=6,0.5,0)),0))</f>
        <v>25</v>
      </c>
      <c r="K737" s="22" cm="1">
        <f t="array" ref="K737">_xlfn.XLOOKUP(1,((Metas_Diarias[[#This Row],[tipo_equipe_id]]=Metas[equipe])*(Metas_Diarias[[#This Row],[data]]&gt;Metas[data_inicio])*(Metas_Diarias[[#This Row],[data]]&lt;Metas[data_fim])),Metas[meta_mensal],0)</f>
        <v>110000</v>
      </c>
      <c r="L737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38" spans="2:12" x14ac:dyDescent="0.3">
      <c r="B738" s="34">
        <v>45843</v>
      </c>
      <c r="C738" s="34" t="str">
        <f>TEXT(Metas_Diarias[[#This Row],[data]],"dddd")</f>
        <v>sábado</v>
      </c>
      <c r="D738" s="33">
        <v>2</v>
      </c>
      <c r="E738" s="33">
        <v>2</v>
      </c>
      <c r="F738" s="18"/>
      <c r="G738" s="35">
        <f>WEEKDAY(Metas_Diarias[[#This Row],[data]])</f>
        <v>7</v>
      </c>
      <c r="H738" s="35">
        <f>IF(Metas_Diarias[[#This Row],[dias_da_demana]]=1,"domingo",IF(Metas_Diarias[[#This Row],[dias_da_demana]]=7,0.5,1))</f>
        <v>0.5</v>
      </c>
      <c r="I738" s="35">
        <f>_xlfn.XLOOKUP(Metas_Diarias[[#This Row],[data]],Feriados[Data],Feriados[Feriado],1)</f>
        <v>1</v>
      </c>
      <c r="J738" s="33" cm="1">
        <f t="array" aca="1" ref="J738" ca="1">SUMPRODUCT(IF((NOT(ISERROR(MATCH(ROW(INDIRECT(DATE(YEAR(B738),MONTH(B738),1)&amp;":"&amp;DATE(YEAR(B738),MONTH(B738)+1,0))),Feriados[Data],0))))=FALSE,
IF(WEEKDAY(ROW(INDIRECT(DATE(YEAR(B738),MONTH(B738),1)&amp;":"&amp;DATE(YEAR(B738),MONTH(B738)+1,0))),2)&lt;=5,1,IF(WEEKDAY(ROW(INDIRECT(DATE(YEAR(B738),MONTH(B738),1)&amp;":"&amp;DATE(YEAR(B738),MONTH(B738)+1,0))),2)=6,0.5,0)),0))</f>
        <v>25</v>
      </c>
      <c r="K738" s="22" cm="1">
        <f t="array" ref="K738">_xlfn.XLOOKUP(1,((Metas_Diarias[[#This Row],[tipo_equipe_id]]=Metas[equipe])*(Metas_Diarias[[#This Row],[data]]&gt;Metas[data_inicio])*(Metas_Diarias[[#This Row],[data]]&lt;Metas[data_fim])),Metas[meta_mensal],0)</f>
        <v>110000</v>
      </c>
      <c r="L738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739" spans="2:12" x14ac:dyDescent="0.3">
      <c r="B739" s="34">
        <v>45844</v>
      </c>
      <c r="C739" s="34" t="str">
        <f>TEXT(Metas_Diarias[[#This Row],[data]],"dddd")</f>
        <v>domingo</v>
      </c>
      <c r="D739" s="33">
        <v>2</v>
      </c>
      <c r="E739" s="33">
        <v>2</v>
      </c>
      <c r="F739" s="18"/>
      <c r="G739" s="35">
        <f>WEEKDAY(Metas_Diarias[[#This Row],[data]])</f>
        <v>1</v>
      </c>
      <c r="H739" s="35" t="str">
        <f>IF(Metas_Diarias[[#This Row],[dias_da_demana]]=1,"domingo",IF(Metas_Diarias[[#This Row],[dias_da_demana]]=7,0.5,1))</f>
        <v>domingo</v>
      </c>
      <c r="I739" s="35">
        <f>_xlfn.XLOOKUP(Metas_Diarias[[#This Row],[data]],Feriados[Data],Feriados[Feriado],1)</f>
        <v>1</v>
      </c>
      <c r="J739" s="33" cm="1">
        <f t="array" aca="1" ref="J739" ca="1">SUMPRODUCT(IF((NOT(ISERROR(MATCH(ROW(INDIRECT(DATE(YEAR(B739),MONTH(B739),1)&amp;":"&amp;DATE(YEAR(B739),MONTH(B739)+1,0))),Feriados[Data],0))))=FALSE,
IF(WEEKDAY(ROW(INDIRECT(DATE(YEAR(B739),MONTH(B739),1)&amp;":"&amp;DATE(YEAR(B739),MONTH(B739)+1,0))),2)&lt;=5,1,IF(WEEKDAY(ROW(INDIRECT(DATE(YEAR(B739),MONTH(B739),1)&amp;":"&amp;DATE(YEAR(B739),MONTH(B739)+1,0))),2)=6,0.5,0)),0))</f>
        <v>25</v>
      </c>
      <c r="K739" s="22" cm="1">
        <f t="array" ref="K739">_xlfn.XLOOKUP(1,((Metas_Diarias[[#This Row],[tipo_equipe_id]]=Metas[equipe])*(Metas_Diarias[[#This Row],[data]]&gt;Metas[data_inicio])*(Metas_Diarias[[#This Row],[data]]&lt;Metas[data_fim])),Metas[meta_mensal],0)</f>
        <v>110000</v>
      </c>
      <c r="L73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40" spans="2:12" x14ac:dyDescent="0.3">
      <c r="B740" s="34">
        <v>45845</v>
      </c>
      <c r="C740" s="34" t="str">
        <f>TEXT(Metas_Diarias[[#This Row],[data]],"dddd")</f>
        <v>segunda-feira</v>
      </c>
      <c r="D740" s="33">
        <v>2</v>
      </c>
      <c r="E740" s="33">
        <v>2</v>
      </c>
      <c r="F740" s="18"/>
      <c r="G740" s="35">
        <f>WEEKDAY(Metas_Diarias[[#This Row],[data]])</f>
        <v>2</v>
      </c>
      <c r="H740" s="35">
        <f>IF(Metas_Diarias[[#This Row],[dias_da_demana]]=1,"domingo",IF(Metas_Diarias[[#This Row],[dias_da_demana]]=7,0.5,1))</f>
        <v>1</v>
      </c>
      <c r="I740" s="35">
        <f>_xlfn.XLOOKUP(Metas_Diarias[[#This Row],[data]],Feriados[Data],Feriados[Feriado],1)</f>
        <v>1</v>
      </c>
      <c r="J740" s="33" cm="1">
        <f t="array" aca="1" ref="J740" ca="1">SUMPRODUCT(IF((NOT(ISERROR(MATCH(ROW(INDIRECT(DATE(YEAR(B740),MONTH(B740),1)&amp;":"&amp;DATE(YEAR(B740),MONTH(B740)+1,0))),Feriados[Data],0))))=FALSE,
IF(WEEKDAY(ROW(INDIRECT(DATE(YEAR(B740),MONTH(B740),1)&amp;":"&amp;DATE(YEAR(B740),MONTH(B740)+1,0))),2)&lt;=5,1,IF(WEEKDAY(ROW(INDIRECT(DATE(YEAR(B740),MONTH(B740),1)&amp;":"&amp;DATE(YEAR(B740),MONTH(B740)+1,0))),2)=6,0.5,0)),0))</f>
        <v>25</v>
      </c>
      <c r="K740" s="22" cm="1">
        <f t="array" ref="K740">_xlfn.XLOOKUP(1,((Metas_Diarias[[#This Row],[tipo_equipe_id]]=Metas[equipe])*(Metas_Diarias[[#This Row],[data]]&gt;Metas[data_inicio])*(Metas_Diarias[[#This Row],[data]]&lt;Metas[data_fim])),Metas[meta_mensal],0)</f>
        <v>110000</v>
      </c>
      <c r="L740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41" spans="2:12" x14ac:dyDescent="0.3">
      <c r="B741" s="34">
        <v>45846</v>
      </c>
      <c r="C741" s="34" t="str">
        <f>TEXT(Metas_Diarias[[#This Row],[data]],"dddd")</f>
        <v>terça-feira</v>
      </c>
      <c r="D741" s="33">
        <v>2</v>
      </c>
      <c r="E741" s="33">
        <v>2</v>
      </c>
      <c r="F741" s="18"/>
      <c r="G741" s="35">
        <f>WEEKDAY(Metas_Diarias[[#This Row],[data]])</f>
        <v>3</v>
      </c>
      <c r="H741" s="35">
        <f>IF(Metas_Diarias[[#This Row],[dias_da_demana]]=1,"domingo",IF(Metas_Diarias[[#This Row],[dias_da_demana]]=7,0.5,1))</f>
        <v>1</v>
      </c>
      <c r="I741" s="35">
        <f>_xlfn.XLOOKUP(Metas_Diarias[[#This Row],[data]],Feriados[Data],Feriados[Feriado],1)</f>
        <v>1</v>
      </c>
      <c r="J741" s="33" cm="1">
        <f t="array" aca="1" ref="J741" ca="1">SUMPRODUCT(IF((NOT(ISERROR(MATCH(ROW(INDIRECT(DATE(YEAR(B741),MONTH(B741),1)&amp;":"&amp;DATE(YEAR(B741),MONTH(B741)+1,0))),Feriados[Data],0))))=FALSE,
IF(WEEKDAY(ROW(INDIRECT(DATE(YEAR(B741),MONTH(B741),1)&amp;":"&amp;DATE(YEAR(B741),MONTH(B741)+1,0))),2)&lt;=5,1,IF(WEEKDAY(ROW(INDIRECT(DATE(YEAR(B741),MONTH(B741),1)&amp;":"&amp;DATE(YEAR(B741),MONTH(B741)+1,0))),2)=6,0.5,0)),0))</f>
        <v>25</v>
      </c>
      <c r="K741" s="22" cm="1">
        <f t="array" ref="K741">_xlfn.XLOOKUP(1,((Metas_Diarias[[#This Row],[tipo_equipe_id]]=Metas[equipe])*(Metas_Diarias[[#This Row],[data]]&gt;Metas[data_inicio])*(Metas_Diarias[[#This Row],[data]]&lt;Metas[data_fim])),Metas[meta_mensal],0)</f>
        <v>110000</v>
      </c>
      <c r="L741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42" spans="2:12" x14ac:dyDescent="0.3">
      <c r="B742" s="34">
        <v>45847</v>
      </c>
      <c r="C742" s="34" t="str">
        <f>TEXT(Metas_Diarias[[#This Row],[data]],"dddd")</f>
        <v>quarta-feira</v>
      </c>
      <c r="D742" s="33">
        <v>2</v>
      </c>
      <c r="E742" s="33">
        <v>2</v>
      </c>
      <c r="F742" s="18"/>
      <c r="G742" s="35">
        <f>WEEKDAY(Metas_Diarias[[#This Row],[data]])</f>
        <v>4</v>
      </c>
      <c r="H742" s="35">
        <f>IF(Metas_Diarias[[#This Row],[dias_da_demana]]=1,"domingo",IF(Metas_Diarias[[#This Row],[dias_da_demana]]=7,0.5,1))</f>
        <v>1</v>
      </c>
      <c r="I742" s="35">
        <f>_xlfn.XLOOKUP(Metas_Diarias[[#This Row],[data]],Feriados[Data],Feriados[Feriado],1)</f>
        <v>1</v>
      </c>
      <c r="J742" s="33" cm="1">
        <f t="array" aca="1" ref="J742" ca="1">SUMPRODUCT(IF((NOT(ISERROR(MATCH(ROW(INDIRECT(DATE(YEAR(B742),MONTH(B742),1)&amp;":"&amp;DATE(YEAR(B742),MONTH(B742)+1,0))),Feriados[Data],0))))=FALSE,
IF(WEEKDAY(ROW(INDIRECT(DATE(YEAR(B742),MONTH(B742),1)&amp;":"&amp;DATE(YEAR(B742),MONTH(B742)+1,0))),2)&lt;=5,1,IF(WEEKDAY(ROW(INDIRECT(DATE(YEAR(B742),MONTH(B742),1)&amp;":"&amp;DATE(YEAR(B742),MONTH(B742)+1,0))),2)=6,0.5,0)),0))</f>
        <v>25</v>
      </c>
      <c r="K742" s="22" cm="1">
        <f t="array" ref="K742">_xlfn.XLOOKUP(1,((Metas_Diarias[[#This Row],[tipo_equipe_id]]=Metas[equipe])*(Metas_Diarias[[#This Row],[data]]&gt;Metas[data_inicio])*(Metas_Diarias[[#This Row],[data]]&lt;Metas[data_fim])),Metas[meta_mensal],0)</f>
        <v>110000</v>
      </c>
      <c r="L742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43" spans="2:12" x14ac:dyDescent="0.3">
      <c r="B743" s="34">
        <v>45848</v>
      </c>
      <c r="C743" s="34" t="str">
        <f>TEXT(Metas_Diarias[[#This Row],[data]],"dddd")</f>
        <v>quinta-feira</v>
      </c>
      <c r="D743" s="33">
        <v>2</v>
      </c>
      <c r="E743" s="33">
        <v>2</v>
      </c>
      <c r="F743" s="18"/>
      <c r="G743" s="35">
        <f>WEEKDAY(Metas_Diarias[[#This Row],[data]])</f>
        <v>5</v>
      </c>
      <c r="H743" s="35">
        <f>IF(Metas_Diarias[[#This Row],[dias_da_demana]]=1,"domingo",IF(Metas_Diarias[[#This Row],[dias_da_demana]]=7,0.5,1))</f>
        <v>1</v>
      </c>
      <c r="I743" s="35">
        <f>_xlfn.XLOOKUP(Metas_Diarias[[#This Row],[data]],Feriados[Data],Feriados[Feriado],1)</f>
        <v>1</v>
      </c>
      <c r="J743" s="33" cm="1">
        <f t="array" aca="1" ref="J743" ca="1">SUMPRODUCT(IF((NOT(ISERROR(MATCH(ROW(INDIRECT(DATE(YEAR(B743),MONTH(B743),1)&amp;":"&amp;DATE(YEAR(B743),MONTH(B743)+1,0))),Feriados[Data],0))))=FALSE,
IF(WEEKDAY(ROW(INDIRECT(DATE(YEAR(B743),MONTH(B743),1)&amp;":"&amp;DATE(YEAR(B743),MONTH(B743)+1,0))),2)&lt;=5,1,IF(WEEKDAY(ROW(INDIRECT(DATE(YEAR(B743),MONTH(B743),1)&amp;":"&amp;DATE(YEAR(B743),MONTH(B743)+1,0))),2)=6,0.5,0)),0))</f>
        <v>25</v>
      </c>
      <c r="K743" s="22" cm="1">
        <f t="array" ref="K743">_xlfn.XLOOKUP(1,((Metas_Diarias[[#This Row],[tipo_equipe_id]]=Metas[equipe])*(Metas_Diarias[[#This Row],[data]]&gt;Metas[data_inicio])*(Metas_Diarias[[#This Row],[data]]&lt;Metas[data_fim])),Metas[meta_mensal],0)</f>
        <v>110000</v>
      </c>
      <c r="L743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44" spans="2:12" x14ac:dyDescent="0.3">
      <c r="B744" s="34">
        <v>45849</v>
      </c>
      <c r="C744" s="34" t="str">
        <f>TEXT(Metas_Diarias[[#This Row],[data]],"dddd")</f>
        <v>sexta-feira</v>
      </c>
      <c r="D744" s="33">
        <v>2</v>
      </c>
      <c r="E744" s="33">
        <v>2</v>
      </c>
      <c r="F744" s="18"/>
      <c r="G744" s="35">
        <f>WEEKDAY(Metas_Diarias[[#This Row],[data]])</f>
        <v>6</v>
      </c>
      <c r="H744" s="35">
        <f>IF(Metas_Diarias[[#This Row],[dias_da_demana]]=1,"domingo",IF(Metas_Diarias[[#This Row],[dias_da_demana]]=7,0.5,1))</f>
        <v>1</v>
      </c>
      <c r="I744" s="35">
        <f>_xlfn.XLOOKUP(Metas_Diarias[[#This Row],[data]],Feriados[Data],Feriados[Feriado],1)</f>
        <v>1</v>
      </c>
      <c r="J744" s="33" cm="1">
        <f t="array" aca="1" ref="J744" ca="1">SUMPRODUCT(IF((NOT(ISERROR(MATCH(ROW(INDIRECT(DATE(YEAR(B744),MONTH(B744),1)&amp;":"&amp;DATE(YEAR(B744),MONTH(B744)+1,0))),Feriados[Data],0))))=FALSE,
IF(WEEKDAY(ROW(INDIRECT(DATE(YEAR(B744),MONTH(B744),1)&amp;":"&amp;DATE(YEAR(B744),MONTH(B744)+1,0))),2)&lt;=5,1,IF(WEEKDAY(ROW(INDIRECT(DATE(YEAR(B744),MONTH(B744),1)&amp;":"&amp;DATE(YEAR(B744),MONTH(B744)+1,0))),2)=6,0.5,0)),0))</f>
        <v>25</v>
      </c>
      <c r="K744" s="22" cm="1">
        <f t="array" ref="K744">_xlfn.XLOOKUP(1,((Metas_Diarias[[#This Row],[tipo_equipe_id]]=Metas[equipe])*(Metas_Diarias[[#This Row],[data]]&gt;Metas[data_inicio])*(Metas_Diarias[[#This Row],[data]]&lt;Metas[data_fim])),Metas[meta_mensal],0)</f>
        <v>110000</v>
      </c>
      <c r="L744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45" spans="2:12" x14ac:dyDescent="0.3">
      <c r="B745" s="34">
        <v>45850</v>
      </c>
      <c r="C745" s="34" t="str">
        <f>TEXT(Metas_Diarias[[#This Row],[data]],"dddd")</f>
        <v>sábado</v>
      </c>
      <c r="D745" s="33">
        <v>2</v>
      </c>
      <c r="E745" s="33">
        <v>2</v>
      </c>
      <c r="F745" s="18"/>
      <c r="G745" s="35">
        <f>WEEKDAY(Metas_Diarias[[#This Row],[data]])</f>
        <v>7</v>
      </c>
      <c r="H745" s="35">
        <f>IF(Metas_Diarias[[#This Row],[dias_da_demana]]=1,"domingo",IF(Metas_Diarias[[#This Row],[dias_da_demana]]=7,0.5,1))</f>
        <v>0.5</v>
      </c>
      <c r="I745" s="35">
        <f>_xlfn.XLOOKUP(Metas_Diarias[[#This Row],[data]],Feriados[Data],Feriados[Feriado],1)</f>
        <v>1</v>
      </c>
      <c r="J745" s="33" cm="1">
        <f t="array" aca="1" ref="J745" ca="1">SUMPRODUCT(IF((NOT(ISERROR(MATCH(ROW(INDIRECT(DATE(YEAR(B745),MONTH(B745),1)&amp;":"&amp;DATE(YEAR(B745),MONTH(B745)+1,0))),Feriados[Data],0))))=FALSE,
IF(WEEKDAY(ROW(INDIRECT(DATE(YEAR(B745),MONTH(B745),1)&amp;":"&amp;DATE(YEAR(B745),MONTH(B745)+1,0))),2)&lt;=5,1,IF(WEEKDAY(ROW(INDIRECT(DATE(YEAR(B745),MONTH(B745),1)&amp;":"&amp;DATE(YEAR(B745),MONTH(B745)+1,0))),2)=6,0.5,0)),0))</f>
        <v>25</v>
      </c>
      <c r="K745" s="22" cm="1">
        <f t="array" ref="K745">_xlfn.XLOOKUP(1,((Metas_Diarias[[#This Row],[tipo_equipe_id]]=Metas[equipe])*(Metas_Diarias[[#This Row],[data]]&gt;Metas[data_inicio])*(Metas_Diarias[[#This Row],[data]]&lt;Metas[data_fim])),Metas[meta_mensal],0)</f>
        <v>110000</v>
      </c>
      <c r="L745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746" spans="2:12" x14ac:dyDescent="0.3">
      <c r="B746" s="34">
        <v>45851</v>
      </c>
      <c r="C746" s="34" t="str">
        <f>TEXT(Metas_Diarias[[#This Row],[data]],"dddd")</f>
        <v>domingo</v>
      </c>
      <c r="D746" s="33">
        <v>2</v>
      </c>
      <c r="E746" s="33">
        <v>2</v>
      </c>
      <c r="F746" s="18"/>
      <c r="G746" s="35">
        <f>WEEKDAY(Metas_Diarias[[#This Row],[data]])</f>
        <v>1</v>
      </c>
      <c r="H746" s="35" t="str">
        <f>IF(Metas_Diarias[[#This Row],[dias_da_demana]]=1,"domingo",IF(Metas_Diarias[[#This Row],[dias_da_demana]]=7,0.5,1))</f>
        <v>domingo</v>
      </c>
      <c r="I746" s="35">
        <f>_xlfn.XLOOKUP(Metas_Diarias[[#This Row],[data]],Feriados[Data],Feriados[Feriado],1)</f>
        <v>1</v>
      </c>
      <c r="J746" s="33" cm="1">
        <f t="array" aca="1" ref="J746" ca="1">SUMPRODUCT(IF((NOT(ISERROR(MATCH(ROW(INDIRECT(DATE(YEAR(B746),MONTH(B746),1)&amp;":"&amp;DATE(YEAR(B746),MONTH(B746)+1,0))),Feriados[Data],0))))=FALSE,
IF(WEEKDAY(ROW(INDIRECT(DATE(YEAR(B746),MONTH(B746),1)&amp;":"&amp;DATE(YEAR(B746),MONTH(B746)+1,0))),2)&lt;=5,1,IF(WEEKDAY(ROW(INDIRECT(DATE(YEAR(B746),MONTH(B746),1)&amp;":"&amp;DATE(YEAR(B746),MONTH(B746)+1,0))),2)=6,0.5,0)),0))</f>
        <v>25</v>
      </c>
      <c r="K746" s="22" cm="1">
        <f t="array" ref="K746">_xlfn.XLOOKUP(1,((Metas_Diarias[[#This Row],[tipo_equipe_id]]=Metas[equipe])*(Metas_Diarias[[#This Row],[data]]&gt;Metas[data_inicio])*(Metas_Diarias[[#This Row],[data]]&lt;Metas[data_fim])),Metas[meta_mensal],0)</f>
        <v>110000</v>
      </c>
      <c r="L74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47" spans="2:12" x14ac:dyDescent="0.3">
      <c r="B747" s="34">
        <v>45852</v>
      </c>
      <c r="C747" s="34" t="str">
        <f>TEXT(Metas_Diarias[[#This Row],[data]],"dddd")</f>
        <v>segunda-feira</v>
      </c>
      <c r="D747" s="33">
        <v>2</v>
      </c>
      <c r="E747" s="33">
        <v>2</v>
      </c>
      <c r="F747" s="18"/>
      <c r="G747" s="35">
        <f>WEEKDAY(Metas_Diarias[[#This Row],[data]])</f>
        <v>2</v>
      </c>
      <c r="H747" s="35">
        <f>IF(Metas_Diarias[[#This Row],[dias_da_demana]]=1,"domingo",IF(Metas_Diarias[[#This Row],[dias_da_demana]]=7,0.5,1))</f>
        <v>1</v>
      </c>
      <c r="I747" s="35">
        <f>_xlfn.XLOOKUP(Metas_Diarias[[#This Row],[data]],Feriados[Data],Feriados[Feriado],1)</f>
        <v>1</v>
      </c>
      <c r="J747" s="33" cm="1">
        <f t="array" aca="1" ref="J747" ca="1">SUMPRODUCT(IF((NOT(ISERROR(MATCH(ROW(INDIRECT(DATE(YEAR(B747),MONTH(B747),1)&amp;":"&amp;DATE(YEAR(B747),MONTH(B747)+1,0))),Feriados[Data],0))))=FALSE,
IF(WEEKDAY(ROW(INDIRECT(DATE(YEAR(B747),MONTH(B747),1)&amp;":"&amp;DATE(YEAR(B747),MONTH(B747)+1,0))),2)&lt;=5,1,IF(WEEKDAY(ROW(INDIRECT(DATE(YEAR(B747),MONTH(B747),1)&amp;":"&amp;DATE(YEAR(B747),MONTH(B747)+1,0))),2)=6,0.5,0)),0))</f>
        <v>25</v>
      </c>
      <c r="K747" s="22" cm="1">
        <f t="array" ref="K747">_xlfn.XLOOKUP(1,((Metas_Diarias[[#This Row],[tipo_equipe_id]]=Metas[equipe])*(Metas_Diarias[[#This Row],[data]]&gt;Metas[data_inicio])*(Metas_Diarias[[#This Row],[data]]&lt;Metas[data_fim])),Metas[meta_mensal],0)</f>
        <v>110000</v>
      </c>
      <c r="L747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48" spans="2:12" x14ac:dyDescent="0.3">
      <c r="B748" s="34">
        <v>45853</v>
      </c>
      <c r="C748" s="34" t="str">
        <f>TEXT(Metas_Diarias[[#This Row],[data]],"dddd")</f>
        <v>terça-feira</v>
      </c>
      <c r="D748" s="33">
        <v>2</v>
      </c>
      <c r="E748" s="33">
        <v>2</v>
      </c>
      <c r="F748" s="18"/>
      <c r="G748" s="35">
        <f>WEEKDAY(Metas_Diarias[[#This Row],[data]])</f>
        <v>3</v>
      </c>
      <c r="H748" s="35">
        <f>IF(Metas_Diarias[[#This Row],[dias_da_demana]]=1,"domingo",IF(Metas_Diarias[[#This Row],[dias_da_demana]]=7,0.5,1))</f>
        <v>1</v>
      </c>
      <c r="I748" s="35">
        <f>_xlfn.XLOOKUP(Metas_Diarias[[#This Row],[data]],Feriados[Data],Feriados[Feriado],1)</f>
        <v>1</v>
      </c>
      <c r="J748" s="33" cm="1">
        <f t="array" aca="1" ref="J748" ca="1">SUMPRODUCT(IF((NOT(ISERROR(MATCH(ROW(INDIRECT(DATE(YEAR(B748),MONTH(B748),1)&amp;":"&amp;DATE(YEAR(B748),MONTH(B748)+1,0))),Feriados[Data],0))))=FALSE,
IF(WEEKDAY(ROW(INDIRECT(DATE(YEAR(B748),MONTH(B748),1)&amp;":"&amp;DATE(YEAR(B748),MONTH(B748)+1,0))),2)&lt;=5,1,IF(WEEKDAY(ROW(INDIRECT(DATE(YEAR(B748),MONTH(B748),1)&amp;":"&amp;DATE(YEAR(B748),MONTH(B748)+1,0))),2)=6,0.5,0)),0))</f>
        <v>25</v>
      </c>
      <c r="K748" s="22" cm="1">
        <f t="array" ref="K748">_xlfn.XLOOKUP(1,((Metas_Diarias[[#This Row],[tipo_equipe_id]]=Metas[equipe])*(Metas_Diarias[[#This Row],[data]]&gt;Metas[data_inicio])*(Metas_Diarias[[#This Row],[data]]&lt;Metas[data_fim])),Metas[meta_mensal],0)</f>
        <v>110000</v>
      </c>
      <c r="L748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49" spans="2:12" x14ac:dyDescent="0.3">
      <c r="B749" s="34">
        <v>45854</v>
      </c>
      <c r="C749" s="34" t="str">
        <f>TEXT(Metas_Diarias[[#This Row],[data]],"dddd")</f>
        <v>quarta-feira</v>
      </c>
      <c r="D749" s="33">
        <v>2</v>
      </c>
      <c r="E749" s="33">
        <v>2</v>
      </c>
      <c r="F749" s="18"/>
      <c r="G749" s="35">
        <f>WEEKDAY(Metas_Diarias[[#This Row],[data]])</f>
        <v>4</v>
      </c>
      <c r="H749" s="35">
        <f>IF(Metas_Diarias[[#This Row],[dias_da_demana]]=1,"domingo",IF(Metas_Diarias[[#This Row],[dias_da_demana]]=7,0.5,1))</f>
        <v>1</v>
      </c>
      <c r="I749" s="35">
        <f>_xlfn.XLOOKUP(Metas_Diarias[[#This Row],[data]],Feriados[Data],Feriados[Feriado],1)</f>
        <v>1</v>
      </c>
      <c r="J749" s="33" cm="1">
        <f t="array" aca="1" ref="J749" ca="1">SUMPRODUCT(IF((NOT(ISERROR(MATCH(ROW(INDIRECT(DATE(YEAR(B749),MONTH(B749),1)&amp;":"&amp;DATE(YEAR(B749),MONTH(B749)+1,0))),Feriados[Data],0))))=FALSE,
IF(WEEKDAY(ROW(INDIRECT(DATE(YEAR(B749),MONTH(B749),1)&amp;":"&amp;DATE(YEAR(B749),MONTH(B749)+1,0))),2)&lt;=5,1,IF(WEEKDAY(ROW(INDIRECT(DATE(YEAR(B749),MONTH(B749),1)&amp;":"&amp;DATE(YEAR(B749),MONTH(B749)+1,0))),2)=6,0.5,0)),0))</f>
        <v>25</v>
      </c>
      <c r="K749" s="22" cm="1">
        <f t="array" ref="K749">_xlfn.XLOOKUP(1,((Metas_Diarias[[#This Row],[tipo_equipe_id]]=Metas[equipe])*(Metas_Diarias[[#This Row],[data]]&gt;Metas[data_inicio])*(Metas_Diarias[[#This Row],[data]]&lt;Metas[data_fim])),Metas[meta_mensal],0)</f>
        <v>110000</v>
      </c>
      <c r="L749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50" spans="2:12" x14ac:dyDescent="0.3">
      <c r="B750" s="34">
        <v>45855</v>
      </c>
      <c r="C750" s="34" t="str">
        <f>TEXT(Metas_Diarias[[#This Row],[data]],"dddd")</f>
        <v>quinta-feira</v>
      </c>
      <c r="D750" s="33">
        <v>2</v>
      </c>
      <c r="E750" s="33">
        <v>2</v>
      </c>
      <c r="F750" s="18"/>
      <c r="G750" s="35">
        <f>WEEKDAY(Metas_Diarias[[#This Row],[data]])</f>
        <v>5</v>
      </c>
      <c r="H750" s="35">
        <f>IF(Metas_Diarias[[#This Row],[dias_da_demana]]=1,"domingo",IF(Metas_Diarias[[#This Row],[dias_da_demana]]=7,0.5,1))</f>
        <v>1</v>
      </c>
      <c r="I750" s="35">
        <f>_xlfn.XLOOKUP(Metas_Diarias[[#This Row],[data]],Feriados[Data],Feriados[Feriado],1)</f>
        <v>1</v>
      </c>
      <c r="J750" s="33" cm="1">
        <f t="array" aca="1" ref="J750" ca="1">SUMPRODUCT(IF((NOT(ISERROR(MATCH(ROW(INDIRECT(DATE(YEAR(B750),MONTH(B750),1)&amp;":"&amp;DATE(YEAR(B750),MONTH(B750)+1,0))),Feriados[Data],0))))=FALSE,
IF(WEEKDAY(ROW(INDIRECT(DATE(YEAR(B750),MONTH(B750),1)&amp;":"&amp;DATE(YEAR(B750),MONTH(B750)+1,0))),2)&lt;=5,1,IF(WEEKDAY(ROW(INDIRECT(DATE(YEAR(B750),MONTH(B750),1)&amp;":"&amp;DATE(YEAR(B750),MONTH(B750)+1,0))),2)=6,0.5,0)),0))</f>
        <v>25</v>
      </c>
      <c r="K750" s="22" cm="1">
        <f t="array" ref="K750">_xlfn.XLOOKUP(1,((Metas_Diarias[[#This Row],[tipo_equipe_id]]=Metas[equipe])*(Metas_Diarias[[#This Row],[data]]&gt;Metas[data_inicio])*(Metas_Diarias[[#This Row],[data]]&lt;Metas[data_fim])),Metas[meta_mensal],0)</f>
        <v>110000</v>
      </c>
      <c r="L750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51" spans="2:12" x14ac:dyDescent="0.3">
      <c r="B751" s="34">
        <v>45856</v>
      </c>
      <c r="C751" s="34" t="str">
        <f>TEXT(Metas_Diarias[[#This Row],[data]],"dddd")</f>
        <v>sexta-feira</v>
      </c>
      <c r="D751" s="33">
        <v>2</v>
      </c>
      <c r="E751" s="33">
        <v>2</v>
      </c>
      <c r="F751" s="18"/>
      <c r="G751" s="35">
        <f>WEEKDAY(Metas_Diarias[[#This Row],[data]])</f>
        <v>6</v>
      </c>
      <c r="H751" s="35">
        <f>IF(Metas_Diarias[[#This Row],[dias_da_demana]]=1,"domingo",IF(Metas_Diarias[[#This Row],[dias_da_demana]]=7,0.5,1))</f>
        <v>1</v>
      </c>
      <c r="I751" s="35">
        <f>_xlfn.XLOOKUP(Metas_Diarias[[#This Row],[data]],Feriados[Data],Feriados[Feriado],1)</f>
        <v>1</v>
      </c>
      <c r="J751" s="33" cm="1">
        <f t="array" aca="1" ref="J751" ca="1">SUMPRODUCT(IF((NOT(ISERROR(MATCH(ROW(INDIRECT(DATE(YEAR(B751),MONTH(B751),1)&amp;":"&amp;DATE(YEAR(B751),MONTH(B751)+1,0))),Feriados[Data],0))))=FALSE,
IF(WEEKDAY(ROW(INDIRECT(DATE(YEAR(B751),MONTH(B751),1)&amp;":"&amp;DATE(YEAR(B751),MONTH(B751)+1,0))),2)&lt;=5,1,IF(WEEKDAY(ROW(INDIRECT(DATE(YEAR(B751),MONTH(B751),1)&amp;":"&amp;DATE(YEAR(B751),MONTH(B751)+1,0))),2)=6,0.5,0)),0))</f>
        <v>25</v>
      </c>
      <c r="K751" s="22" cm="1">
        <f t="array" ref="K751">_xlfn.XLOOKUP(1,((Metas_Diarias[[#This Row],[tipo_equipe_id]]=Metas[equipe])*(Metas_Diarias[[#This Row],[data]]&gt;Metas[data_inicio])*(Metas_Diarias[[#This Row],[data]]&lt;Metas[data_fim])),Metas[meta_mensal],0)</f>
        <v>110000</v>
      </c>
      <c r="L751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52" spans="2:12" x14ac:dyDescent="0.3">
      <c r="B752" s="34">
        <v>45857</v>
      </c>
      <c r="C752" s="34" t="str">
        <f>TEXT(Metas_Diarias[[#This Row],[data]],"dddd")</f>
        <v>sábado</v>
      </c>
      <c r="D752" s="33">
        <v>2</v>
      </c>
      <c r="E752" s="33">
        <v>2</v>
      </c>
      <c r="F752" s="18"/>
      <c r="G752" s="35">
        <f>WEEKDAY(Metas_Diarias[[#This Row],[data]])</f>
        <v>7</v>
      </c>
      <c r="H752" s="35">
        <f>IF(Metas_Diarias[[#This Row],[dias_da_demana]]=1,"domingo",IF(Metas_Diarias[[#This Row],[dias_da_demana]]=7,0.5,1))</f>
        <v>0.5</v>
      </c>
      <c r="I752" s="35">
        <f>_xlfn.XLOOKUP(Metas_Diarias[[#This Row],[data]],Feriados[Data],Feriados[Feriado],1)</f>
        <v>1</v>
      </c>
      <c r="J752" s="33" cm="1">
        <f t="array" aca="1" ref="J752" ca="1">SUMPRODUCT(IF((NOT(ISERROR(MATCH(ROW(INDIRECT(DATE(YEAR(B752),MONTH(B752),1)&amp;":"&amp;DATE(YEAR(B752),MONTH(B752)+1,0))),Feriados[Data],0))))=FALSE,
IF(WEEKDAY(ROW(INDIRECT(DATE(YEAR(B752),MONTH(B752),1)&amp;":"&amp;DATE(YEAR(B752),MONTH(B752)+1,0))),2)&lt;=5,1,IF(WEEKDAY(ROW(INDIRECT(DATE(YEAR(B752),MONTH(B752),1)&amp;":"&amp;DATE(YEAR(B752),MONTH(B752)+1,0))),2)=6,0.5,0)),0))</f>
        <v>25</v>
      </c>
      <c r="K752" s="22" cm="1">
        <f t="array" ref="K752">_xlfn.XLOOKUP(1,((Metas_Diarias[[#This Row],[tipo_equipe_id]]=Metas[equipe])*(Metas_Diarias[[#This Row],[data]]&gt;Metas[data_inicio])*(Metas_Diarias[[#This Row],[data]]&lt;Metas[data_fim])),Metas[meta_mensal],0)</f>
        <v>110000</v>
      </c>
      <c r="L752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753" spans="2:12" x14ac:dyDescent="0.3">
      <c r="B753" s="34">
        <v>45858</v>
      </c>
      <c r="C753" s="34" t="str">
        <f>TEXT(Metas_Diarias[[#This Row],[data]],"dddd")</f>
        <v>domingo</v>
      </c>
      <c r="D753" s="33">
        <v>2</v>
      </c>
      <c r="E753" s="33">
        <v>2</v>
      </c>
      <c r="F753" s="18"/>
      <c r="G753" s="35">
        <f>WEEKDAY(Metas_Diarias[[#This Row],[data]])</f>
        <v>1</v>
      </c>
      <c r="H753" s="35" t="str">
        <f>IF(Metas_Diarias[[#This Row],[dias_da_demana]]=1,"domingo",IF(Metas_Diarias[[#This Row],[dias_da_demana]]=7,0.5,1))</f>
        <v>domingo</v>
      </c>
      <c r="I753" s="35">
        <f>_xlfn.XLOOKUP(Metas_Diarias[[#This Row],[data]],Feriados[Data],Feriados[Feriado],1)</f>
        <v>1</v>
      </c>
      <c r="J753" s="33" cm="1">
        <f t="array" aca="1" ref="J753" ca="1">SUMPRODUCT(IF((NOT(ISERROR(MATCH(ROW(INDIRECT(DATE(YEAR(B753),MONTH(B753),1)&amp;":"&amp;DATE(YEAR(B753),MONTH(B753)+1,0))),Feriados[Data],0))))=FALSE,
IF(WEEKDAY(ROW(INDIRECT(DATE(YEAR(B753),MONTH(B753),1)&amp;":"&amp;DATE(YEAR(B753),MONTH(B753)+1,0))),2)&lt;=5,1,IF(WEEKDAY(ROW(INDIRECT(DATE(YEAR(B753),MONTH(B753),1)&amp;":"&amp;DATE(YEAR(B753),MONTH(B753)+1,0))),2)=6,0.5,0)),0))</f>
        <v>25</v>
      </c>
      <c r="K753" s="22" cm="1">
        <f t="array" ref="K753">_xlfn.XLOOKUP(1,((Metas_Diarias[[#This Row],[tipo_equipe_id]]=Metas[equipe])*(Metas_Diarias[[#This Row],[data]]&gt;Metas[data_inicio])*(Metas_Diarias[[#This Row],[data]]&lt;Metas[data_fim])),Metas[meta_mensal],0)</f>
        <v>110000</v>
      </c>
      <c r="L75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54" spans="2:12" x14ac:dyDescent="0.3">
      <c r="B754" s="34">
        <v>45859</v>
      </c>
      <c r="C754" s="34" t="str">
        <f>TEXT(Metas_Diarias[[#This Row],[data]],"dddd")</f>
        <v>segunda-feira</v>
      </c>
      <c r="D754" s="33">
        <v>2</v>
      </c>
      <c r="E754" s="33">
        <v>2</v>
      </c>
      <c r="F754" s="18"/>
      <c r="G754" s="35">
        <f>WEEKDAY(Metas_Diarias[[#This Row],[data]])</f>
        <v>2</v>
      </c>
      <c r="H754" s="35">
        <f>IF(Metas_Diarias[[#This Row],[dias_da_demana]]=1,"domingo",IF(Metas_Diarias[[#This Row],[dias_da_demana]]=7,0.5,1))</f>
        <v>1</v>
      </c>
      <c r="I754" s="35">
        <f>_xlfn.XLOOKUP(Metas_Diarias[[#This Row],[data]],Feriados[Data],Feriados[Feriado],1)</f>
        <v>1</v>
      </c>
      <c r="J754" s="33" cm="1">
        <f t="array" aca="1" ref="J754" ca="1">SUMPRODUCT(IF((NOT(ISERROR(MATCH(ROW(INDIRECT(DATE(YEAR(B754),MONTH(B754),1)&amp;":"&amp;DATE(YEAR(B754),MONTH(B754)+1,0))),Feriados[Data],0))))=FALSE,
IF(WEEKDAY(ROW(INDIRECT(DATE(YEAR(B754),MONTH(B754),1)&amp;":"&amp;DATE(YEAR(B754),MONTH(B754)+1,0))),2)&lt;=5,1,IF(WEEKDAY(ROW(INDIRECT(DATE(YEAR(B754),MONTH(B754),1)&amp;":"&amp;DATE(YEAR(B754),MONTH(B754)+1,0))),2)=6,0.5,0)),0))</f>
        <v>25</v>
      </c>
      <c r="K754" s="22" cm="1">
        <f t="array" ref="K754">_xlfn.XLOOKUP(1,((Metas_Diarias[[#This Row],[tipo_equipe_id]]=Metas[equipe])*(Metas_Diarias[[#This Row],[data]]&gt;Metas[data_inicio])*(Metas_Diarias[[#This Row],[data]]&lt;Metas[data_fim])),Metas[meta_mensal],0)</f>
        <v>110000</v>
      </c>
      <c r="L754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55" spans="2:12" x14ac:dyDescent="0.3">
      <c r="B755" s="34">
        <v>45860</v>
      </c>
      <c r="C755" s="34" t="str">
        <f>TEXT(Metas_Diarias[[#This Row],[data]],"dddd")</f>
        <v>terça-feira</v>
      </c>
      <c r="D755" s="33">
        <v>2</v>
      </c>
      <c r="E755" s="33">
        <v>2</v>
      </c>
      <c r="F755" s="18"/>
      <c r="G755" s="35">
        <f>WEEKDAY(Metas_Diarias[[#This Row],[data]])</f>
        <v>3</v>
      </c>
      <c r="H755" s="35">
        <f>IF(Metas_Diarias[[#This Row],[dias_da_demana]]=1,"domingo",IF(Metas_Diarias[[#This Row],[dias_da_demana]]=7,0.5,1))</f>
        <v>1</v>
      </c>
      <c r="I755" s="35">
        <f>_xlfn.XLOOKUP(Metas_Diarias[[#This Row],[data]],Feriados[Data],Feriados[Feriado],1)</f>
        <v>1</v>
      </c>
      <c r="J755" s="33" cm="1">
        <f t="array" aca="1" ref="J755" ca="1">SUMPRODUCT(IF((NOT(ISERROR(MATCH(ROW(INDIRECT(DATE(YEAR(B755),MONTH(B755),1)&amp;":"&amp;DATE(YEAR(B755),MONTH(B755)+1,0))),Feriados[Data],0))))=FALSE,
IF(WEEKDAY(ROW(INDIRECT(DATE(YEAR(B755),MONTH(B755),1)&amp;":"&amp;DATE(YEAR(B755),MONTH(B755)+1,0))),2)&lt;=5,1,IF(WEEKDAY(ROW(INDIRECT(DATE(YEAR(B755),MONTH(B755),1)&amp;":"&amp;DATE(YEAR(B755),MONTH(B755)+1,0))),2)=6,0.5,0)),0))</f>
        <v>25</v>
      </c>
      <c r="K755" s="22" cm="1">
        <f t="array" ref="K755">_xlfn.XLOOKUP(1,((Metas_Diarias[[#This Row],[tipo_equipe_id]]=Metas[equipe])*(Metas_Diarias[[#This Row],[data]]&gt;Metas[data_inicio])*(Metas_Diarias[[#This Row],[data]]&lt;Metas[data_fim])),Metas[meta_mensal],0)</f>
        <v>110000</v>
      </c>
      <c r="L755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56" spans="2:12" x14ac:dyDescent="0.3">
      <c r="B756" s="34">
        <v>45861</v>
      </c>
      <c r="C756" s="34" t="str">
        <f>TEXT(Metas_Diarias[[#This Row],[data]],"dddd")</f>
        <v>quarta-feira</v>
      </c>
      <c r="D756" s="33">
        <v>2</v>
      </c>
      <c r="E756" s="33">
        <v>2</v>
      </c>
      <c r="F756" s="18"/>
      <c r="G756" s="35">
        <f>WEEKDAY(Metas_Diarias[[#This Row],[data]])</f>
        <v>4</v>
      </c>
      <c r="H756" s="35">
        <f>IF(Metas_Diarias[[#This Row],[dias_da_demana]]=1,"domingo",IF(Metas_Diarias[[#This Row],[dias_da_demana]]=7,0.5,1))</f>
        <v>1</v>
      </c>
      <c r="I756" s="35">
        <f>_xlfn.XLOOKUP(Metas_Diarias[[#This Row],[data]],Feriados[Data],Feriados[Feriado],1)</f>
        <v>1</v>
      </c>
      <c r="J756" s="33" cm="1">
        <f t="array" aca="1" ref="J756" ca="1">SUMPRODUCT(IF((NOT(ISERROR(MATCH(ROW(INDIRECT(DATE(YEAR(B756),MONTH(B756),1)&amp;":"&amp;DATE(YEAR(B756),MONTH(B756)+1,0))),Feriados[Data],0))))=FALSE,
IF(WEEKDAY(ROW(INDIRECT(DATE(YEAR(B756),MONTH(B756),1)&amp;":"&amp;DATE(YEAR(B756),MONTH(B756)+1,0))),2)&lt;=5,1,IF(WEEKDAY(ROW(INDIRECT(DATE(YEAR(B756),MONTH(B756),1)&amp;":"&amp;DATE(YEAR(B756),MONTH(B756)+1,0))),2)=6,0.5,0)),0))</f>
        <v>25</v>
      </c>
      <c r="K756" s="22" cm="1">
        <f t="array" ref="K756">_xlfn.XLOOKUP(1,((Metas_Diarias[[#This Row],[tipo_equipe_id]]=Metas[equipe])*(Metas_Diarias[[#This Row],[data]]&gt;Metas[data_inicio])*(Metas_Diarias[[#This Row],[data]]&lt;Metas[data_fim])),Metas[meta_mensal],0)</f>
        <v>110000</v>
      </c>
      <c r="L756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57" spans="2:12" x14ac:dyDescent="0.3">
      <c r="B757" s="34">
        <v>45862</v>
      </c>
      <c r="C757" s="34" t="str">
        <f>TEXT(Metas_Diarias[[#This Row],[data]],"dddd")</f>
        <v>quinta-feira</v>
      </c>
      <c r="D757" s="33">
        <v>2</v>
      </c>
      <c r="E757" s="33">
        <v>2</v>
      </c>
      <c r="F757" s="18"/>
      <c r="G757" s="35">
        <f>WEEKDAY(Metas_Diarias[[#This Row],[data]])</f>
        <v>5</v>
      </c>
      <c r="H757" s="35">
        <f>IF(Metas_Diarias[[#This Row],[dias_da_demana]]=1,"domingo",IF(Metas_Diarias[[#This Row],[dias_da_demana]]=7,0.5,1))</f>
        <v>1</v>
      </c>
      <c r="I757" s="35">
        <f>_xlfn.XLOOKUP(Metas_Diarias[[#This Row],[data]],Feriados[Data],Feriados[Feriado],1)</f>
        <v>1</v>
      </c>
      <c r="J757" s="33" cm="1">
        <f t="array" aca="1" ref="J757" ca="1">SUMPRODUCT(IF((NOT(ISERROR(MATCH(ROW(INDIRECT(DATE(YEAR(B757),MONTH(B757),1)&amp;":"&amp;DATE(YEAR(B757),MONTH(B757)+1,0))),Feriados[Data],0))))=FALSE,
IF(WEEKDAY(ROW(INDIRECT(DATE(YEAR(B757),MONTH(B757),1)&amp;":"&amp;DATE(YEAR(B757),MONTH(B757)+1,0))),2)&lt;=5,1,IF(WEEKDAY(ROW(INDIRECT(DATE(YEAR(B757),MONTH(B757),1)&amp;":"&amp;DATE(YEAR(B757),MONTH(B757)+1,0))),2)=6,0.5,0)),0))</f>
        <v>25</v>
      </c>
      <c r="K757" s="22" cm="1">
        <f t="array" ref="K757">_xlfn.XLOOKUP(1,((Metas_Diarias[[#This Row],[tipo_equipe_id]]=Metas[equipe])*(Metas_Diarias[[#This Row],[data]]&gt;Metas[data_inicio])*(Metas_Diarias[[#This Row],[data]]&lt;Metas[data_fim])),Metas[meta_mensal],0)</f>
        <v>110000</v>
      </c>
      <c r="L757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58" spans="2:12" x14ac:dyDescent="0.3">
      <c r="B758" s="34">
        <v>45863</v>
      </c>
      <c r="C758" s="34" t="str">
        <f>TEXT(Metas_Diarias[[#This Row],[data]],"dddd")</f>
        <v>sexta-feira</v>
      </c>
      <c r="D758" s="33">
        <v>2</v>
      </c>
      <c r="E758" s="33">
        <v>2</v>
      </c>
      <c r="F758" s="18"/>
      <c r="G758" s="35">
        <f>WEEKDAY(Metas_Diarias[[#This Row],[data]])</f>
        <v>6</v>
      </c>
      <c r="H758" s="35">
        <f>IF(Metas_Diarias[[#This Row],[dias_da_demana]]=1,"domingo",IF(Metas_Diarias[[#This Row],[dias_da_demana]]=7,0.5,1))</f>
        <v>1</v>
      </c>
      <c r="I758" s="35">
        <f>_xlfn.XLOOKUP(Metas_Diarias[[#This Row],[data]],Feriados[Data],Feriados[Feriado],1)</f>
        <v>1</v>
      </c>
      <c r="J758" s="33" cm="1">
        <f t="array" aca="1" ref="J758" ca="1">SUMPRODUCT(IF((NOT(ISERROR(MATCH(ROW(INDIRECT(DATE(YEAR(B758),MONTH(B758),1)&amp;":"&amp;DATE(YEAR(B758),MONTH(B758)+1,0))),Feriados[Data],0))))=FALSE,
IF(WEEKDAY(ROW(INDIRECT(DATE(YEAR(B758),MONTH(B758),1)&amp;":"&amp;DATE(YEAR(B758),MONTH(B758)+1,0))),2)&lt;=5,1,IF(WEEKDAY(ROW(INDIRECT(DATE(YEAR(B758),MONTH(B758),1)&amp;":"&amp;DATE(YEAR(B758),MONTH(B758)+1,0))),2)=6,0.5,0)),0))</f>
        <v>25</v>
      </c>
      <c r="K758" s="22" cm="1">
        <f t="array" ref="K758">_xlfn.XLOOKUP(1,((Metas_Diarias[[#This Row],[tipo_equipe_id]]=Metas[equipe])*(Metas_Diarias[[#This Row],[data]]&gt;Metas[data_inicio])*(Metas_Diarias[[#This Row],[data]]&lt;Metas[data_fim])),Metas[meta_mensal],0)</f>
        <v>110000</v>
      </c>
      <c r="L758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59" spans="2:12" x14ac:dyDescent="0.3">
      <c r="B759" s="34">
        <v>45864</v>
      </c>
      <c r="C759" s="34" t="str">
        <f>TEXT(Metas_Diarias[[#This Row],[data]],"dddd")</f>
        <v>sábado</v>
      </c>
      <c r="D759" s="33">
        <v>2</v>
      </c>
      <c r="E759" s="33">
        <v>2</v>
      </c>
      <c r="F759" s="18"/>
      <c r="G759" s="35">
        <f>WEEKDAY(Metas_Diarias[[#This Row],[data]])</f>
        <v>7</v>
      </c>
      <c r="H759" s="35">
        <f>IF(Metas_Diarias[[#This Row],[dias_da_demana]]=1,"domingo",IF(Metas_Diarias[[#This Row],[dias_da_demana]]=7,0.5,1))</f>
        <v>0.5</v>
      </c>
      <c r="I759" s="35">
        <f>_xlfn.XLOOKUP(Metas_Diarias[[#This Row],[data]],Feriados[Data],Feriados[Feriado],1)</f>
        <v>1</v>
      </c>
      <c r="J759" s="33" cm="1">
        <f t="array" aca="1" ref="J759" ca="1">SUMPRODUCT(IF((NOT(ISERROR(MATCH(ROW(INDIRECT(DATE(YEAR(B759),MONTH(B759),1)&amp;":"&amp;DATE(YEAR(B759),MONTH(B759)+1,0))),Feriados[Data],0))))=FALSE,
IF(WEEKDAY(ROW(INDIRECT(DATE(YEAR(B759),MONTH(B759),1)&amp;":"&amp;DATE(YEAR(B759),MONTH(B759)+1,0))),2)&lt;=5,1,IF(WEEKDAY(ROW(INDIRECT(DATE(YEAR(B759),MONTH(B759),1)&amp;":"&amp;DATE(YEAR(B759),MONTH(B759)+1,0))),2)=6,0.5,0)),0))</f>
        <v>25</v>
      </c>
      <c r="K759" s="22" cm="1">
        <f t="array" ref="K759">_xlfn.XLOOKUP(1,((Metas_Diarias[[#This Row],[tipo_equipe_id]]=Metas[equipe])*(Metas_Diarias[[#This Row],[data]]&gt;Metas[data_inicio])*(Metas_Diarias[[#This Row],[data]]&lt;Metas[data_fim])),Metas[meta_mensal],0)</f>
        <v>110000</v>
      </c>
      <c r="L759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760" spans="2:12" x14ac:dyDescent="0.3">
      <c r="B760" s="34">
        <v>45865</v>
      </c>
      <c r="C760" s="34" t="str">
        <f>TEXT(Metas_Diarias[[#This Row],[data]],"dddd")</f>
        <v>domingo</v>
      </c>
      <c r="D760" s="33">
        <v>2</v>
      </c>
      <c r="E760" s="33">
        <v>2</v>
      </c>
      <c r="F760" s="18"/>
      <c r="G760" s="35">
        <f>WEEKDAY(Metas_Diarias[[#This Row],[data]])</f>
        <v>1</v>
      </c>
      <c r="H760" s="35" t="str">
        <f>IF(Metas_Diarias[[#This Row],[dias_da_demana]]=1,"domingo",IF(Metas_Diarias[[#This Row],[dias_da_demana]]=7,0.5,1))</f>
        <v>domingo</v>
      </c>
      <c r="I760" s="35">
        <f>_xlfn.XLOOKUP(Metas_Diarias[[#This Row],[data]],Feriados[Data],Feriados[Feriado],1)</f>
        <v>1</v>
      </c>
      <c r="J760" s="33" cm="1">
        <f t="array" aca="1" ref="J760" ca="1">SUMPRODUCT(IF((NOT(ISERROR(MATCH(ROW(INDIRECT(DATE(YEAR(B760),MONTH(B760),1)&amp;":"&amp;DATE(YEAR(B760),MONTH(B760)+1,0))),Feriados[Data],0))))=FALSE,
IF(WEEKDAY(ROW(INDIRECT(DATE(YEAR(B760),MONTH(B760),1)&amp;":"&amp;DATE(YEAR(B760),MONTH(B760)+1,0))),2)&lt;=5,1,IF(WEEKDAY(ROW(INDIRECT(DATE(YEAR(B760),MONTH(B760),1)&amp;":"&amp;DATE(YEAR(B760),MONTH(B760)+1,0))),2)=6,0.5,0)),0))</f>
        <v>25</v>
      </c>
      <c r="K760" s="22" cm="1">
        <f t="array" ref="K760">_xlfn.XLOOKUP(1,((Metas_Diarias[[#This Row],[tipo_equipe_id]]=Metas[equipe])*(Metas_Diarias[[#This Row],[data]]&gt;Metas[data_inicio])*(Metas_Diarias[[#This Row],[data]]&lt;Metas[data_fim])),Metas[meta_mensal],0)</f>
        <v>110000</v>
      </c>
      <c r="L76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61" spans="2:12" x14ac:dyDescent="0.3">
      <c r="B761" s="34">
        <v>45866</v>
      </c>
      <c r="C761" s="34" t="str">
        <f>TEXT(Metas_Diarias[[#This Row],[data]],"dddd")</f>
        <v>segunda-feira</v>
      </c>
      <c r="D761" s="33">
        <v>2</v>
      </c>
      <c r="E761" s="33">
        <v>2</v>
      </c>
      <c r="F761" s="18"/>
      <c r="G761" s="35">
        <f>WEEKDAY(Metas_Diarias[[#This Row],[data]])</f>
        <v>2</v>
      </c>
      <c r="H761" s="35">
        <f>IF(Metas_Diarias[[#This Row],[dias_da_demana]]=1,"domingo",IF(Metas_Diarias[[#This Row],[dias_da_demana]]=7,0.5,1))</f>
        <v>1</v>
      </c>
      <c r="I761" s="35">
        <f>_xlfn.XLOOKUP(Metas_Diarias[[#This Row],[data]],Feriados[Data],Feriados[Feriado],1)</f>
        <v>1</v>
      </c>
      <c r="J761" s="33" cm="1">
        <f t="array" aca="1" ref="J761" ca="1">SUMPRODUCT(IF((NOT(ISERROR(MATCH(ROW(INDIRECT(DATE(YEAR(B761),MONTH(B761),1)&amp;":"&amp;DATE(YEAR(B761),MONTH(B761)+1,0))),Feriados[Data],0))))=FALSE,
IF(WEEKDAY(ROW(INDIRECT(DATE(YEAR(B761),MONTH(B761),1)&amp;":"&amp;DATE(YEAR(B761),MONTH(B761)+1,0))),2)&lt;=5,1,IF(WEEKDAY(ROW(INDIRECT(DATE(YEAR(B761),MONTH(B761),1)&amp;":"&amp;DATE(YEAR(B761),MONTH(B761)+1,0))),2)=6,0.5,0)),0))</f>
        <v>25</v>
      </c>
      <c r="K761" s="22" cm="1">
        <f t="array" ref="K761">_xlfn.XLOOKUP(1,((Metas_Diarias[[#This Row],[tipo_equipe_id]]=Metas[equipe])*(Metas_Diarias[[#This Row],[data]]&gt;Metas[data_inicio])*(Metas_Diarias[[#This Row],[data]]&lt;Metas[data_fim])),Metas[meta_mensal],0)</f>
        <v>110000</v>
      </c>
      <c r="L761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62" spans="2:12" x14ac:dyDescent="0.3">
      <c r="B762" s="34">
        <v>45867</v>
      </c>
      <c r="C762" s="34" t="str">
        <f>TEXT(Metas_Diarias[[#This Row],[data]],"dddd")</f>
        <v>terça-feira</v>
      </c>
      <c r="D762" s="33">
        <v>2</v>
      </c>
      <c r="E762" s="33">
        <v>2</v>
      </c>
      <c r="F762" s="18"/>
      <c r="G762" s="35">
        <f>WEEKDAY(Metas_Diarias[[#This Row],[data]])</f>
        <v>3</v>
      </c>
      <c r="H762" s="35">
        <f>IF(Metas_Diarias[[#This Row],[dias_da_demana]]=1,"domingo",IF(Metas_Diarias[[#This Row],[dias_da_demana]]=7,0.5,1))</f>
        <v>1</v>
      </c>
      <c r="I762" s="35">
        <f>_xlfn.XLOOKUP(Metas_Diarias[[#This Row],[data]],Feriados[Data],Feriados[Feriado],1)</f>
        <v>1</v>
      </c>
      <c r="J762" s="33" cm="1">
        <f t="array" aca="1" ref="J762" ca="1">SUMPRODUCT(IF((NOT(ISERROR(MATCH(ROW(INDIRECT(DATE(YEAR(B762),MONTH(B762),1)&amp;":"&amp;DATE(YEAR(B762),MONTH(B762)+1,0))),Feriados[Data],0))))=FALSE,
IF(WEEKDAY(ROW(INDIRECT(DATE(YEAR(B762),MONTH(B762),1)&amp;":"&amp;DATE(YEAR(B762),MONTH(B762)+1,0))),2)&lt;=5,1,IF(WEEKDAY(ROW(INDIRECT(DATE(YEAR(B762),MONTH(B762),1)&amp;":"&amp;DATE(YEAR(B762),MONTH(B762)+1,0))),2)=6,0.5,0)),0))</f>
        <v>25</v>
      </c>
      <c r="K762" s="22" cm="1">
        <f t="array" ref="K762">_xlfn.XLOOKUP(1,((Metas_Diarias[[#This Row],[tipo_equipe_id]]=Metas[equipe])*(Metas_Diarias[[#This Row],[data]]&gt;Metas[data_inicio])*(Metas_Diarias[[#This Row],[data]]&lt;Metas[data_fim])),Metas[meta_mensal],0)</f>
        <v>110000</v>
      </c>
      <c r="L762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63" spans="2:12" x14ac:dyDescent="0.3">
      <c r="B763" s="34">
        <v>45868</v>
      </c>
      <c r="C763" s="34" t="str">
        <f>TEXT(Metas_Diarias[[#This Row],[data]],"dddd")</f>
        <v>quarta-feira</v>
      </c>
      <c r="D763" s="33">
        <v>2</v>
      </c>
      <c r="E763" s="33">
        <v>2</v>
      </c>
      <c r="F763" s="18"/>
      <c r="G763" s="35">
        <f>WEEKDAY(Metas_Diarias[[#This Row],[data]])</f>
        <v>4</v>
      </c>
      <c r="H763" s="35">
        <f>IF(Metas_Diarias[[#This Row],[dias_da_demana]]=1,"domingo",IF(Metas_Diarias[[#This Row],[dias_da_demana]]=7,0.5,1))</f>
        <v>1</v>
      </c>
      <c r="I763" s="35">
        <f>_xlfn.XLOOKUP(Metas_Diarias[[#This Row],[data]],Feriados[Data],Feriados[Feriado],1)</f>
        <v>1</v>
      </c>
      <c r="J763" s="33" cm="1">
        <f t="array" aca="1" ref="J763" ca="1">SUMPRODUCT(IF((NOT(ISERROR(MATCH(ROW(INDIRECT(DATE(YEAR(B763),MONTH(B763),1)&amp;":"&amp;DATE(YEAR(B763),MONTH(B763)+1,0))),Feriados[Data],0))))=FALSE,
IF(WEEKDAY(ROW(INDIRECT(DATE(YEAR(B763),MONTH(B763),1)&amp;":"&amp;DATE(YEAR(B763),MONTH(B763)+1,0))),2)&lt;=5,1,IF(WEEKDAY(ROW(INDIRECT(DATE(YEAR(B763),MONTH(B763),1)&amp;":"&amp;DATE(YEAR(B763),MONTH(B763)+1,0))),2)=6,0.5,0)),0))</f>
        <v>25</v>
      </c>
      <c r="K763" s="22" cm="1">
        <f t="array" ref="K763">_xlfn.XLOOKUP(1,((Metas_Diarias[[#This Row],[tipo_equipe_id]]=Metas[equipe])*(Metas_Diarias[[#This Row],[data]]&gt;Metas[data_inicio])*(Metas_Diarias[[#This Row],[data]]&lt;Metas[data_fim])),Metas[meta_mensal],0)</f>
        <v>110000</v>
      </c>
      <c r="L763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64" spans="2:12" x14ac:dyDescent="0.3">
      <c r="B764" s="34">
        <v>45869</v>
      </c>
      <c r="C764" s="34" t="str">
        <f>TEXT(Metas_Diarias[[#This Row],[data]],"dddd")</f>
        <v>quinta-feira</v>
      </c>
      <c r="D764" s="33">
        <v>2</v>
      </c>
      <c r="E764" s="33">
        <v>2</v>
      </c>
      <c r="F764" s="18"/>
      <c r="G764" s="35">
        <f>WEEKDAY(Metas_Diarias[[#This Row],[data]])</f>
        <v>5</v>
      </c>
      <c r="H764" s="35">
        <f>IF(Metas_Diarias[[#This Row],[dias_da_demana]]=1,"domingo",IF(Metas_Diarias[[#This Row],[dias_da_demana]]=7,0.5,1))</f>
        <v>1</v>
      </c>
      <c r="I764" s="35">
        <f>_xlfn.XLOOKUP(Metas_Diarias[[#This Row],[data]],Feriados[Data],Feriados[Feriado],1)</f>
        <v>1</v>
      </c>
      <c r="J764" s="33" cm="1">
        <f t="array" aca="1" ref="J764" ca="1">SUMPRODUCT(IF((NOT(ISERROR(MATCH(ROW(INDIRECT(DATE(YEAR(B764),MONTH(B764),1)&amp;":"&amp;DATE(YEAR(B764),MONTH(B764)+1,0))),Feriados[Data],0))))=FALSE,
IF(WEEKDAY(ROW(INDIRECT(DATE(YEAR(B764),MONTH(B764),1)&amp;":"&amp;DATE(YEAR(B764),MONTH(B764)+1,0))),2)&lt;=5,1,IF(WEEKDAY(ROW(INDIRECT(DATE(YEAR(B764),MONTH(B764),1)&amp;":"&amp;DATE(YEAR(B764),MONTH(B764)+1,0))),2)=6,0.5,0)),0))</f>
        <v>25</v>
      </c>
      <c r="K764" s="22" cm="1">
        <f t="array" ref="K764">_xlfn.XLOOKUP(1,((Metas_Diarias[[#This Row],[tipo_equipe_id]]=Metas[equipe])*(Metas_Diarias[[#This Row],[data]]&gt;Metas[data_inicio])*(Metas_Diarias[[#This Row],[data]]&lt;Metas[data_fim])),Metas[meta_mensal],0)</f>
        <v>110000</v>
      </c>
      <c r="L764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765" spans="2:12" x14ac:dyDescent="0.3">
      <c r="B765" s="34">
        <v>45870</v>
      </c>
      <c r="C765" s="34" t="str">
        <f>TEXT(Metas_Diarias[[#This Row],[data]],"dddd")</f>
        <v>sexta-feira</v>
      </c>
      <c r="D765" s="33">
        <v>2</v>
      </c>
      <c r="E765" s="33">
        <v>2</v>
      </c>
      <c r="F765" s="18"/>
      <c r="G765" s="35">
        <f>WEEKDAY(Metas_Diarias[[#This Row],[data]])</f>
        <v>6</v>
      </c>
      <c r="H765" s="35">
        <f>IF(Metas_Diarias[[#This Row],[dias_da_demana]]=1,"domingo",IF(Metas_Diarias[[#This Row],[dias_da_demana]]=7,0.5,1))</f>
        <v>1</v>
      </c>
      <c r="I765" s="35">
        <f>_xlfn.XLOOKUP(Metas_Diarias[[#This Row],[data]],Feriados[Data],Feriados[Feriado],1)</f>
        <v>1</v>
      </c>
      <c r="J765" s="33" cm="1">
        <f t="array" aca="1" ref="J765" ca="1">SUMPRODUCT(IF((NOT(ISERROR(MATCH(ROW(INDIRECT(DATE(YEAR(B765),MONTH(B765),1)&amp;":"&amp;DATE(YEAR(B765),MONTH(B765)+1,0))),Feriados[Data],0))))=FALSE,
IF(WEEKDAY(ROW(INDIRECT(DATE(YEAR(B765),MONTH(B765),1)&amp;":"&amp;DATE(YEAR(B765),MONTH(B765)+1,0))),2)&lt;=5,1,IF(WEEKDAY(ROW(INDIRECT(DATE(YEAR(B765),MONTH(B765),1)&amp;":"&amp;DATE(YEAR(B765),MONTH(B765)+1,0))),2)=6,0.5,0)),0))</f>
        <v>23.5</v>
      </c>
      <c r="K765" s="22" cm="1">
        <f t="array" ref="K765">_xlfn.XLOOKUP(1,((Metas_Diarias[[#This Row],[tipo_equipe_id]]=Metas[equipe])*(Metas_Diarias[[#This Row],[data]]&gt;Metas[data_inicio])*(Metas_Diarias[[#This Row],[data]]&lt;Metas[data_fim])),Metas[meta_mensal],0)</f>
        <v>110000</v>
      </c>
      <c r="L76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66" spans="2:12" x14ac:dyDescent="0.3">
      <c r="B766" s="34">
        <v>45871</v>
      </c>
      <c r="C766" s="34" t="str">
        <f>TEXT(Metas_Diarias[[#This Row],[data]],"dddd")</f>
        <v>sábado</v>
      </c>
      <c r="D766" s="33">
        <v>2</v>
      </c>
      <c r="E766" s="33">
        <v>2</v>
      </c>
      <c r="F766" s="18"/>
      <c r="G766" s="35">
        <f>WEEKDAY(Metas_Diarias[[#This Row],[data]])</f>
        <v>7</v>
      </c>
      <c r="H766" s="35">
        <f>IF(Metas_Diarias[[#This Row],[dias_da_demana]]=1,"domingo",IF(Metas_Diarias[[#This Row],[dias_da_demana]]=7,0.5,1))</f>
        <v>0.5</v>
      </c>
      <c r="I766" s="35">
        <f>_xlfn.XLOOKUP(Metas_Diarias[[#This Row],[data]],Feriados[Data],Feriados[Feriado],1)</f>
        <v>1</v>
      </c>
      <c r="J766" s="33" cm="1">
        <f t="array" aca="1" ref="J766" ca="1">SUMPRODUCT(IF((NOT(ISERROR(MATCH(ROW(INDIRECT(DATE(YEAR(B766),MONTH(B766),1)&amp;":"&amp;DATE(YEAR(B766),MONTH(B766)+1,0))),Feriados[Data],0))))=FALSE,
IF(WEEKDAY(ROW(INDIRECT(DATE(YEAR(B766),MONTH(B766),1)&amp;":"&amp;DATE(YEAR(B766),MONTH(B766)+1,0))),2)&lt;=5,1,IF(WEEKDAY(ROW(INDIRECT(DATE(YEAR(B766),MONTH(B766),1)&amp;":"&amp;DATE(YEAR(B766),MONTH(B766)+1,0))),2)=6,0.5,0)),0))</f>
        <v>23.5</v>
      </c>
      <c r="K766" s="22" cm="1">
        <f t="array" ref="K766">_xlfn.XLOOKUP(1,((Metas_Diarias[[#This Row],[tipo_equipe_id]]=Metas[equipe])*(Metas_Diarias[[#This Row],[data]]&gt;Metas[data_inicio])*(Metas_Diarias[[#This Row],[data]]&lt;Metas[data_fim])),Metas[meta_mensal],0)</f>
        <v>110000</v>
      </c>
      <c r="L766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767" spans="2:12" x14ac:dyDescent="0.3">
      <c r="B767" s="34">
        <v>45872</v>
      </c>
      <c r="C767" s="34" t="str">
        <f>TEXT(Metas_Diarias[[#This Row],[data]],"dddd")</f>
        <v>domingo</v>
      </c>
      <c r="D767" s="33">
        <v>2</v>
      </c>
      <c r="E767" s="33">
        <v>2</v>
      </c>
      <c r="F767" s="18"/>
      <c r="G767" s="35">
        <f>WEEKDAY(Metas_Diarias[[#This Row],[data]])</f>
        <v>1</v>
      </c>
      <c r="H767" s="35" t="str">
        <f>IF(Metas_Diarias[[#This Row],[dias_da_demana]]=1,"domingo",IF(Metas_Diarias[[#This Row],[dias_da_demana]]=7,0.5,1))</f>
        <v>domingo</v>
      </c>
      <c r="I767" s="35">
        <f>_xlfn.XLOOKUP(Metas_Diarias[[#This Row],[data]],Feriados[Data],Feriados[Feriado],1)</f>
        <v>1</v>
      </c>
      <c r="J767" s="33" cm="1">
        <f t="array" aca="1" ref="J767" ca="1">SUMPRODUCT(IF((NOT(ISERROR(MATCH(ROW(INDIRECT(DATE(YEAR(B767),MONTH(B767),1)&amp;":"&amp;DATE(YEAR(B767),MONTH(B767)+1,0))),Feriados[Data],0))))=FALSE,
IF(WEEKDAY(ROW(INDIRECT(DATE(YEAR(B767),MONTH(B767),1)&amp;":"&amp;DATE(YEAR(B767),MONTH(B767)+1,0))),2)&lt;=5,1,IF(WEEKDAY(ROW(INDIRECT(DATE(YEAR(B767),MONTH(B767),1)&amp;":"&amp;DATE(YEAR(B767),MONTH(B767)+1,0))),2)=6,0.5,0)),0))</f>
        <v>23.5</v>
      </c>
      <c r="K767" s="22" cm="1">
        <f t="array" ref="K767">_xlfn.XLOOKUP(1,((Metas_Diarias[[#This Row],[tipo_equipe_id]]=Metas[equipe])*(Metas_Diarias[[#This Row],[data]]&gt;Metas[data_inicio])*(Metas_Diarias[[#This Row],[data]]&lt;Metas[data_fim])),Metas[meta_mensal],0)</f>
        <v>110000</v>
      </c>
      <c r="L76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68" spans="2:12" x14ac:dyDescent="0.3">
      <c r="B768" s="34">
        <v>45873</v>
      </c>
      <c r="C768" s="34" t="str">
        <f>TEXT(Metas_Diarias[[#This Row],[data]],"dddd")</f>
        <v>segunda-feira</v>
      </c>
      <c r="D768" s="33">
        <v>2</v>
      </c>
      <c r="E768" s="33">
        <v>2</v>
      </c>
      <c r="F768" s="18"/>
      <c r="G768" s="35">
        <f>WEEKDAY(Metas_Diarias[[#This Row],[data]])</f>
        <v>2</v>
      </c>
      <c r="H768" s="35">
        <f>IF(Metas_Diarias[[#This Row],[dias_da_demana]]=1,"domingo",IF(Metas_Diarias[[#This Row],[dias_da_demana]]=7,0.5,1))</f>
        <v>1</v>
      </c>
      <c r="I768" s="35">
        <f>_xlfn.XLOOKUP(Metas_Diarias[[#This Row],[data]],Feriados[Data],Feriados[Feriado],1)</f>
        <v>1</v>
      </c>
      <c r="J768" s="33" cm="1">
        <f t="array" aca="1" ref="J768" ca="1">SUMPRODUCT(IF((NOT(ISERROR(MATCH(ROW(INDIRECT(DATE(YEAR(B768),MONTH(B768),1)&amp;":"&amp;DATE(YEAR(B768),MONTH(B768)+1,0))),Feriados[Data],0))))=FALSE,
IF(WEEKDAY(ROW(INDIRECT(DATE(YEAR(B768),MONTH(B768),1)&amp;":"&amp;DATE(YEAR(B768),MONTH(B768)+1,0))),2)&lt;=5,1,IF(WEEKDAY(ROW(INDIRECT(DATE(YEAR(B768),MONTH(B768),1)&amp;":"&amp;DATE(YEAR(B768),MONTH(B768)+1,0))),2)=6,0.5,0)),0))</f>
        <v>23.5</v>
      </c>
      <c r="K768" s="22" cm="1">
        <f t="array" ref="K768">_xlfn.XLOOKUP(1,((Metas_Diarias[[#This Row],[tipo_equipe_id]]=Metas[equipe])*(Metas_Diarias[[#This Row],[data]]&gt;Metas[data_inicio])*(Metas_Diarias[[#This Row],[data]]&lt;Metas[data_fim])),Metas[meta_mensal],0)</f>
        <v>110000</v>
      </c>
      <c r="L76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69" spans="2:12" x14ac:dyDescent="0.3">
      <c r="B769" s="34">
        <v>45874</v>
      </c>
      <c r="C769" s="34" t="str">
        <f>TEXT(Metas_Diarias[[#This Row],[data]],"dddd")</f>
        <v>terça-feira</v>
      </c>
      <c r="D769" s="33">
        <v>2</v>
      </c>
      <c r="E769" s="33">
        <v>2</v>
      </c>
      <c r="F769" s="18"/>
      <c r="G769" s="35">
        <f>WEEKDAY(Metas_Diarias[[#This Row],[data]])</f>
        <v>3</v>
      </c>
      <c r="H769" s="35">
        <f>IF(Metas_Diarias[[#This Row],[dias_da_demana]]=1,"domingo",IF(Metas_Diarias[[#This Row],[dias_da_demana]]=7,0.5,1))</f>
        <v>1</v>
      </c>
      <c r="I769" s="35">
        <f>_xlfn.XLOOKUP(Metas_Diarias[[#This Row],[data]],Feriados[Data],Feriados[Feriado],1)</f>
        <v>1</v>
      </c>
      <c r="J769" s="33" cm="1">
        <f t="array" aca="1" ref="J769" ca="1">SUMPRODUCT(IF((NOT(ISERROR(MATCH(ROW(INDIRECT(DATE(YEAR(B769),MONTH(B769),1)&amp;":"&amp;DATE(YEAR(B769),MONTH(B769)+1,0))),Feriados[Data],0))))=FALSE,
IF(WEEKDAY(ROW(INDIRECT(DATE(YEAR(B769),MONTH(B769),1)&amp;":"&amp;DATE(YEAR(B769),MONTH(B769)+1,0))),2)&lt;=5,1,IF(WEEKDAY(ROW(INDIRECT(DATE(YEAR(B769),MONTH(B769),1)&amp;":"&amp;DATE(YEAR(B769),MONTH(B769)+1,0))),2)=6,0.5,0)),0))</f>
        <v>23.5</v>
      </c>
      <c r="K769" s="22" cm="1">
        <f t="array" ref="K769">_xlfn.XLOOKUP(1,((Metas_Diarias[[#This Row],[tipo_equipe_id]]=Metas[equipe])*(Metas_Diarias[[#This Row],[data]]&gt;Metas[data_inicio])*(Metas_Diarias[[#This Row],[data]]&lt;Metas[data_fim])),Metas[meta_mensal],0)</f>
        <v>110000</v>
      </c>
      <c r="L76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70" spans="2:12" x14ac:dyDescent="0.3">
      <c r="B770" s="34">
        <v>45875</v>
      </c>
      <c r="C770" s="34" t="str">
        <f>TEXT(Metas_Diarias[[#This Row],[data]],"dddd")</f>
        <v>quarta-feira</v>
      </c>
      <c r="D770" s="33">
        <v>2</v>
      </c>
      <c r="E770" s="33">
        <v>2</v>
      </c>
      <c r="F770" s="18"/>
      <c r="G770" s="35">
        <f>WEEKDAY(Metas_Diarias[[#This Row],[data]])</f>
        <v>4</v>
      </c>
      <c r="H770" s="35">
        <f>IF(Metas_Diarias[[#This Row],[dias_da_demana]]=1,"domingo",IF(Metas_Diarias[[#This Row],[dias_da_demana]]=7,0.5,1))</f>
        <v>1</v>
      </c>
      <c r="I770" s="35">
        <f>_xlfn.XLOOKUP(Metas_Diarias[[#This Row],[data]],Feriados[Data],Feriados[Feriado],1)</f>
        <v>1</v>
      </c>
      <c r="J770" s="33" cm="1">
        <f t="array" aca="1" ref="J770" ca="1">SUMPRODUCT(IF((NOT(ISERROR(MATCH(ROW(INDIRECT(DATE(YEAR(B770),MONTH(B770),1)&amp;":"&amp;DATE(YEAR(B770),MONTH(B770)+1,0))),Feriados[Data],0))))=FALSE,
IF(WEEKDAY(ROW(INDIRECT(DATE(YEAR(B770),MONTH(B770),1)&amp;":"&amp;DATE(YEAR(B770),MONTH(B770)+1,0))),2)&lt;=5,1,IF(WEEKDAY(ROW(INDIRECT(DATE(YEAR(B770),MONTH(B770),1)&amp;":"&amp;DATE(YEAR(B770),MONTH(B770)+1,0))),2)=6,0.5,0)),0))</f>
        <v>23.5</v>
      </c>
      <c r="K770" s="22" cm="1">
        <f t="array" ref="K770">_xlfn.XLOOKUP(1,((Metas_Diarias[[#This Row],[tipo_equipe_id]]=Metas[equipe])*(Metas_Diarias[[#This Row],[data]]&gt;Metas[data_inicio])*(Metas_Diarias[[#This Row],[data]]&lt;Metas[data_fim])),Metas[meta_mensal],0)</f>
        <v>110000</v>
      </c>
      <c r="L770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71" spans="2:12" x14ac:dyDescent="0.3">
      <c r="B771" s="34">
        <v>45876</v>
      </c>
      <c r="C771" s="34" t="str">
        <f>TEXT(Metas_Diarias[[#This Row],[data]],"dddd")</f>
        <v>quinta-feira</v>
      </c>
      <c r="D771" s="33">
        <v>2</v>
      </c>
      <c r="E771" s="33">
        <v>2</v>
      </c>
      <c r="F771" s="18"/>
      <c r="G771" s="35">
        <f>WEEKDAY(Metas_Diarias[[#This Row],[data]])</f>
        <v>5</v>
      </c>
      <c r="H771" s="35">
        <f>IF(Metas_Diarias[[#This Row],[dias_da_demana]]=1,"domingo",IF(Metas_Diarias[[#This Row],[dias_da_demana]]=7,0.5,1))</f>
        <v>1</v>
      </c>
      <c r="I771" s="35">
        <f>_xlfn.XLOOKUP(Metas_Diarias[[#This Row],[data]],Feriados[Data],Feriados[Feriado],1)</f>
        <v>1</v>
      </c>
      <c r="J771" s="33" cm="1">
        <f t="array" aca="1" ref="J771" ca="1">SUMPRODUCT(IF((NOT(ISERROR(MATCH(ROW(INDIRECT(DATE(YEAR(B771),MONTH(B771),1)&amp;":"&amp;DATE(YEAR(B771),MONTH(B771)+1,0))),Feriados[Data],0))))=FALSE,
IF(WEEKDAY(ROW(INDIRECT(DATE(YEAR(B771),MONTH(B771),1)&amp;":"&amp;DATE(YEAR(B771),MONTH(B771)+1,0))),2)&lt;=5,1,IF(WEEKDAY(ROW(INDIRECT(DATE(YEAR(B771),MONTH(B771),1)&amp;":"&amp;DATE(YEAR(B771),MONTH(B771)+1,0))),2)=6,0.5,0)),0))</f>
        <v>23.5</v>
      </c>
      <c r="K771" s="22" cm="1">
        <f t="array" ref="K771">_xlfn.XLOOKUP(1,((Metas_Diarias[[#This Row],[tipo_equipe_id]]=Metas[equipe])*(Metas_Diarias[[#This Row],[data]]&gt;Metas[data_inicio])*(Metas_Diarias[[#This Row],[data]]&lt;Metas[data_fim])),Metas[meta_mensal],0)</f>
        <v>110000</v>
      </c>
      <c r="L771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72" spans="2:12" x14ac:dyDescent="0.3">
      <c r="B772" s="34">
        <v>45877</v>
      </c>
      <c r="C772" s="34" t="str">
        <f>TEXT(Metas_Diarias[[#This Row],[data]],"dddd")</f>
        <v>sexta-feira</v>
      </c>
      <c r="D772" s="33">
        <v>2</v>
      </c>
      <c r="E772" s="33">
        <v>2</v>
      </c>
      <c r="F772" s="18"/>
      <c r="G772" s="35">
        <f>WEEKDAY(Metas_Diarias[[#This Row],[data]])</f>
        <v>6</v>
      </c>
      <c r="H772" s="35">
        <f>IF(Metas_Diarias[[#This Row],[dias_da_demana]]=1,"domingo",IF(Metas_Diarias[[#This Row],[dias_da_demana]]=7,0.5,1))</f>
        <v>1</v>
      </c>
      <c r="I772" s="35">
        <f>_xlfn.XLOOKUP(Metas_Diarias[[#This Row],[data]],Feriados[Data],Feriados[Feriado],1)</f>
        <v>1</v>
      </c>
      <c r="J772" s="33" cm="1">
        <f t="array" aca="1" ref="J772" ca="1">SUMPRODUCT(IF((NOT(ISERROR(MATCH(ROW(INDIRECT(DATE(YEAR(B772),MONTH(B772),1)&amp;":"&amp;DATE(YEAR(B772),MONTH(B772)+1,0))),Feriados[Data],0))))=FALSE,
IF(WEEKDAY(ROW(INDIRECT(DATE(YEAR(B772),MONTH(B772),1)&amp;":"&amp;DATE(YEAR(B772),MONTH(B772)+1,0))),2)&lt;=5,1,IF(WEEKDAY(ROW(INDIRECT(DATE(YEAR(B772),MONTH(B772),1)&amp;":"&amp;DATE(YEAR(B772),MONTH(B772)+1,0))),2)=6,0.5,0)),0))</f>
        <v>23.5</v>
      </c>
      <c r="K772" s="22" cm="1">
        <f t="array" ref="K772">_xlfn.XLOOKUP(1,((Metas_Diarias[[#This Row],[tipo_equipe_id]]=Metas[equipe])*(Metas_Diarias[[#This Row],[data]]&gt;Metas[data_inicio])*(Metas_Diarias[[#This Row],[data]]&lt;Metas[data_fim])),Metas[meta_mensal],0)</f>
        <v>110000</v>
      </c>
      <c r="L77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73" spans="2:12" x14ac:dyDescent="0.3">
      <c r="B773" s="34">
        <v>45878</v>
      </c>
      <c r="C773" s="34" t="str">
        <f>TEXT(Metas_Diarias[[#This Row],[data]],"dddd")</f>
        <v>sábado</v>
      </c>
      <c r="D773" s="33">
        <v>2</v>
      </c>
      <c r="E773" s="33">
        <v>2</v>
      </c>
      <c r="F773" s="18"/>
      <c r="G773" s="35">
        <f>WEEKDAY(Metas_Diarias[[#This Row],[data]])</f>
        <v>7</v>
      </c>
      <c r="H773" s="35">
        <f>IF(Metas_Diarias[[#This Row],[dias_da_demana]]=1,"domingo",IF(Metas_Diarias[[#This Row],[dias_da_demana]]=7,0.5,1))</f>
        <v>0.5</v>
      </c>
      <c r="I773" s="35">
        <f>_xlfn.XLOOKUP(Metas_Diarias[[#This Row],[data]],Feriados[Data],Feriados[Feriado],1)</f>
        <v>1</v>
      </c>
      <c r="J773" s="33" cm="1">
        <f t="array" aca="1" ref="J773" ca="1">SUMPRODUCT(IF((NOT(ISERROR(MATCH(ROW(INDIRECT(DATE(YEAR(B773),MONTH(B773),1)&amp;":"&amp;DATE(YEAR(B773),MONTH(B773)+1,0))),Feriados[Data],0))))=FALSE,
IF(WEEKDAY(ROW(INDIRECT(DATE(YEAR(B773),MONTH(B773),1)&amp;":"&amp;DATE(YEAR(B773),MONTH(B773)+1,0))),2)&lt;=5,1,IF(WEEKDAY(ROW(INDIRECT(DATE(YEAR(B773),MONTH(B773),1)&amp;":"&amp;DATE(YEAR(B773),MONTH(B773)+1,0))),2)=6,0.5,0)),0))</f>
        <v>23.5</v>
      </c>
      <c r="K773" s="22" cm="1">
        <f t="array" ref="K773">_xlfn.XLOOKUP(1,((Metas_Diarias[[#This Row],[tipo_equipe_id]]=Metas[equipe])*(Metas_Diarias[[#This Row],[data]]&gt;Metas[data_inicio])*(Metas_Diarias[[#This Row],[data]]&lt;Metas[data_fim])),Metas[meta_mensal],0)</f>
        <v>110000</v>
      </c>
      <c r="L773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774" spans="2:12" x14ac:dyDescent="0.3">
      <c r="B774" s="34">
        <v>45879</v>
      </c>
      <c r="C774" s="34" t="str">
        <f>TEXT(Metas_Diarias[[#This Row],[data]],"dddd")</f>
        <v>domingo</v>
      </c>
      <c r="D774" s="33">
        <v>2</v>
      </c>
      <c r="E774" s="33">
        <v>2</v>
      </c>
      <c r="F774" s="18"/>
      <c r="G774" s="35">
        <f>WEEKDAY(Metas_Diarias[[#This Row],[data]])</f>
        <v>1</v>
      </c>
      <c r="H774" s="35" t="str">
        <f>IF(Metas_Diarias[[#This Row],[dias_da_demana]]=1,"domingo",IF(Metas_Diarias[[#This Row],[dias_da_demana]]=7,0.5,1))</f>
        <v>domingo</v>
      </c>
      <c r="I774" s="35">
        <f>_xlfn.XLOOKUP(Metas_Diarias[[#This Row],[data]],Feriados[Data],Feriados[Feriado],1)</f>
        <v>1</v>
      </c>
      <c r="J774" s="33" cm="1">
        <f t="array" aca="1" ref="J774" ca="1">SUMPRODUCT(IF((NOT(ISERROR(MATCH(ROW(INDIRECT(DATE(YEAR(B774),MONTH(B774),1)&amp;":"&amp;DATE(YEAR(B774),MONTH(B774)+1,0))),Feriados[Data],0))))=FALSE,
IF(WEEKDAY(ROW(INDIRECT(DATE(YEAR(B774),MONTH(B774),1)&amp;":"&amp;DATE(YEAR(B774),MONTH(B774)+1,0))),2)&lt;=5,1,IF(WEEKDAY(ROW(INDIRECT(DATE(YEAR(B774),MONTH(B774),1)&amp;":"&amp;DATE(YEAR(B774),MONTH(B774)+1,0))),2)=6,0.5,0)),0))</f>
        <v>23.5</v>
      </c>
      <c r="K774" s="22" cm="1">
        <f t="array" ref="K774">_xlfn.XLOOKUP(1,((Metas_Diarias[[#This Row],[tipo_equipe_id]]=Metas[equipe])*(Metas_Diarias[[#This Row],[data]]&gt;Metas[data_inicio])*(Metas_Diarias[[#This Row],[data]]&lt;Metas[data_fim])),Metas[meta_mensal],0)</f>
        <v>110000</v>
      </c>
      <c r="L77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75" spans="2:12" x14ac:dyDescent="0.3">
      <c r="B775" s="34">
        <v>45880</v>
      </c>
      <c r="C775" s="34" t="str">
        <f>TEXT(Metas_Diarias[[#This Row],[data]],"dddd")</f>
        <v>segunda-feira</v>
      </c>
      <c r="D775" s="33">
        <v>2</v>
      </c>
      <c r="E775" s="33">
        <v>2</v>
      </c>
      <c r="F775" s="18"/>
      <c r="G775" s="35">
        <f>WEEKDAY(Metas_Diarias[[#This Row],[data]])</f>
        <v>2</v>
      </c>
      <c r="H775" s="35">
        <f>IF(Metas_Diarias[[#This Row],[dias_da_demana]]=1,"domingo",IF(Metas_Diarias[[#This Row],[dias_da_demana]]=7,0.5,1))</f>
        <v>1</v>
      </c>
      <c r="I775" s="35">
        <f>_xlfn.XLOOKUP(Metas_Diarias[[#This Row],[data]],Feriados[Data],Feriados[Feriado],1)</f>
        <v>1</v>
      </c>
      <c r="J775" s="33" cm="1">
        <f t="array" aca="1" ref="J775" ca="1">SUMPRODUCT(IF((NOT(ISERROR(MATCH(ROW(INDIRECT(DATE(YEAR(B775),MONTH(B775),1)&amp;":"&amp;DATE(YEAR(B775),MONTH(B775)+1,0))),Feriados[Data],0))))=FALSE,
IF(WEEKDAY(ROW(INDIRECT(DATE(YEAR(B775),MONTH(B775),1)&amp;":"&amp;DATE(YEAR(B775),MONTH(B775)+1,0))),2)&lt;=5,1,IF(WEEKDAY(ROW(INDIRECT(DATE(YEAR(B775),MONTH(B775),1)&amp;":"&amp;DATE(YEAR(B775),MONTH(B775)+1,0))),2)=6,0.5,0)),0))</f>
        <v>23.5</v>
      </c>
      <c r="K775" s="22" cm="1">
        <f t="array" ref="K775">_xlfn.XLOOKUP(1,((Metas_Diarias[[#This Row],[tipo_equipe_id]]=Metas[equipe])*(Metas_Diarias[[#This Row],[data]]&gt;Metas[data_inicio])*(Metas_Diarias[[#This Row],[data]]&lt;Metas[data_fim])),Metas[meta_mensal],0)</f>
        <v>110000</v>
      </c>
      <c r="L77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76" spans="2:12" x14ac:dyDescent="0.3">
      <c r="B776" s="34">
        <v>45881</v>
      </c>
      <c r="C776" s="34" t="str">
        <f>TEXT(Metas_Diarias[[#This Row],[data]],"dddd")</f>
        <v>terça-feira</v>
      </c>
      <c r="D776" s="33">
        <v>2</v>
      </c>
      <c r="E776" s="33">
        <v>2</v>
      </c>
      <c r="F776" s="18"/>
      <c r="G776" s="35">
        <f>WEEKDAY(Metas_Diarias[[#This Row],[data]])</f>
        <v>3</v>
      </c>
      <c r="H776" s="35">
        <f>IF(Metas_Diarias[[#This Row],[dias_da_demana]]=1,"domingo",IF(Metas_Diarias[[#This Row],[dias_da_demana]]=7,0.5,1))</f>
        <v>1</v>
      </c>
      <c r="I776" s="35">
        <f>_xlfn.XLOOKUP(Metas_Diarias[[#This Row],[data]],Feriados[Data],Feriados[Feriado],1)</f>
        <v>1</v>
      </c>
      <c r="J776" s="33" cm="1">
        <f t="array" aca="1" ref="J776" ca="1">SUMPRODUCT(IF((NOT(ISERROR(MATCH(ROW(INDIRECT(DATE(YEAR(B776),MONTH(B776),1)&amp;":"&amp;DATE(YEAR(B776),MONTH(B776)+1,0))),Feriados[Data],0))))=FALSE,
IF(WEEKDAY(ROW(INDIRECT(DATE(YEAR(B776),MONTH(B776),1)&amp;":"&amp;DATE(YEAR(B776),MONTH(B776)+1,0))),2)&lt;=5,1,IF(WEEKDAY(ROW(INDIRECT(DATE(YEAR(B776),MONTH(B776),1)&amp;":"&amp;DATE(YEAR(B776),MONTH(B776)+1,0))),2)=6,0.5,0)),0))</f>
        <v>23.5</v>
      </c>
      <c r="K776" s="22" cm="1">
        <f t="array" ref="K776">_xlfn.XLOOKUP(1,((Metas_Diarias[[#This Row],[tipo_equipe_id]]=Metas[equipe])*(Metas_Diarias[[#This Row],[data]]&gt;Metas[data_inicio])*(Metas_Diarias[[#This Row],[data]]&lt;Metas[data_fim])),Metas[meta_mensal],0)</f>
        <v>110000</v>
      </c>
      <c r="L776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77" spans="2:12" x14ac:dyDescent="0.3">
      <c r="B777" s="34">
        <v>45882</v>
      </c>
      <c r="C777" s="34" t="str">
        <f>TEXT(Metas_Diarias[[#This Row],[data]],"dddd")</f>
        <v>quarta-feira</v>
      </c>
      <c r="D777" s="33">
        <v>2</v>
      </c>
      <c r="E777" s="33">
        <v>2</v>
      </c>
      <c r="F777" s="18"/>
      <c r="G777" s="35">
        <f>WEEKDAY(Metas_Diarias[[#This Row],[data]])</f>
        <v>4</v>
      </c>
      <c r="H777" s="35">
        <f>IF(Metas_Diarias[[#This Row],[dias_da_demana]]=1,"domingo",IF(Metas_Diarias[[#This Row],[dias_da_demana]]=7,0.5,1))</f>
        <v>1</v>
      </c>
      <c r="I777" s="35">
        <f>_xlfn.XLOOKUP(Metas_Diarias[[#This Row],[data]],Feriados[Data],Feriados[Feriado],1)</f>
        <v>1</v>
      </c>
      <c r="J777" s="33" cm="1">
        <f t="array" aca="1" ref="J777" ca="1">SUMPRODUCT(IF((NOT(ISERROR(MATCH(ROW(INDIRECT(DATE(YEAR(B777),MONTH(B777),1)&amp;":"&amp;DATE(YEAR(B777),MONTH(B777)+1,0))),Feriados[Data],0))))=FALSE,
IF(WEEKDAY(ROW(INDIRECT(DATE(YEAR(B777),MONTH(B777),1)&amp;":"&amp;DATE(YEAR(B777),MONTH(B777)+1,0))),2)&lt;=5,1,IF(WEEKDAY(ROW(INDIRECT(DATE(YEAR(B777),MONTH(B777),1)&amp;":"&amp;DATE(YEAR(B777),MONTH(B777)+1,0))),2)=6,0.5,0)),0))</f>
        <v>23.5</v>
      </c>
      <c r="K777" s="22" cm="1">
        <f t="array" ref="K777">_xlfn.XLOOKUP(1,((Metas_Diarias[[#This Row],[tipo_equipe_id]]=Metas[equipe])*(Metas_Diarias[[#This Row],[data]]&gt;Metas[data_inicio])*(Metas_Diarias[[#This Row],[data]]&lt;Metas[data_fim])),Metas[meta_mensal],0)</f>
        <v>110000</v>
      </c>
      <c r="L777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78" spans="2:12" x14ac:dyDescent="0.3">
      <c r="B778" s="34">
        <v>45883</v>
      </c>
      <c r="C778" s="34" t="str">
        <f>TEXT(Metas_Diarias[[#This Row],[data]],"dddd")</f>
        <v>quinta-feira</v>
      </c>
      <c r="D778" s="33">
        <v>2</v>
      </c>
      <c r="E778" s="33">
        <v>2</v>
      </c>
      <c r="F778" s="18"/>
      <c r="G778" s="35">
        <f>WEEKDAY(Metas_Diarias[[#This Row],[data]])</f>
        <v>5</v>
      </c>
      <c r="H778" s="35">
        <f>IF(Metas_Diarias[[#This Row],[dias_da_demana]]=1,"domingo",IF(Metas_Diarias[[#This Row],[dias_da_demana]]=7,0.5,1))</f>
        <v>1</v>
      </c>
      <c r="I778" s="35">
        <f>_xlfn.XLOOKUP(Metas_Diarias[[#This Row],[data]],Feriados[Data],Feriados[Feriado],1)</f>
        <v>1</v>
      </c>
      <c r="J778" s="33" cm="1">
        <f t="array" aca="1" ref="J778" ca="1">SUMPRODUCT(IF((NOT(ISERROR(MATCH(ROW(INDIRECT(DATE(YEAR(B778),MONTH(B778),1)&amp;":"&amp;DATE(YEAR(B778),MONTH(B778)+1,0))),Feriados[Data],0))))=FALSE,
IF(WEEKDAY(ROW(INDIRECT(DATE(YEAR(B778),MONTH(B778),1)&amp;":"&amp;DATE(YEAR(B778),MONTH(B778)+1,0))),2)&lt;=5,1,IF(WEEKDAY(ROW(INDIRECT(DATE(YEAR(B778),MONTH(B778),1)&amp;":"&amp;DATE(YEAR(B778),MONTH(B778)+1,0))),2)=6,0.5,0)),0))</f>
        <v>23.5</v>
      </c>
      <c r="K778" s="22" cm="1">
        <f t="array" ref="K778">_xlfn.XLOOKUP(1,((Metas_Diarias[[#This Row],[tipo_equipe_id]]=Metas[equipe])*(Metas_Diarias[[#This Row],[data]]&gt;Metas[data_inicio])*(Metas_Diarias[[#This Row],[data]]&lt;Metas[data_fim])),Metas[meta_mensal],0)</f>
        <v>110000</v>
      </c>
      <c r="L77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79" spans="2:12" x14ac:dyDescent="0.3">
      <c r="B779" s="34">
        <v>45884</v>
      </c>
      <c r="C779" s="34" t="str">
        <f>TEXT(Metas_Diarias[[#This Row],[data]],"dddd")</f>
        <v>sexta-feira</v>
      </c>
      <c r="D779" s="33">
        <v>2</v>
      </c>
      <c r="E779" s="33">
        <v>2</v>
      </c>
      <c r="F779" s="18"/>
      <c r="G779" s="35">
        <f>WEEKDAY(Metas_Diarias[[#This Row],[data]])</f>
        <v>6</v>
      </c>
      <c r="H779" s="35">
        <f>IF(Metas_Diarias[[#This Row],[dias_da_demana]]=1,"domingo",IF(Metas_Diarias[[#This Row],[dias_da_demana]]=7,0.5,1))</f>
        <v>1</v>
      </c>
      <c r="I779" s="35">
        <f>_xlfn.XLOOKUP(Metas_Diarias[[#This Row],[data]],Feriados[Data],Feriados[Feriado],1)</f>
        <v>1</v>
      </c>
      <c r="J779" s="33" cm="1">
        <f t="array" aca="1" ref="J779" ca="1">SUMPRODUCT(IF((NOT(ISERROR(MATCH(ROW(INDIRECT(DATE(YEAR(B779),MONTH(B779),1)&amp;":"&amp;DATE(YEAR(B779),MONTH(B779)+1,0))),Feriados[Data],0))))=FALSE,
IF(WEEKDAY(ROW(INDIRECT(DATE(YEAR(B779),MONTH(B779),1)&amp;":"&amp;DATE(YEAR(B779),MONTH(B779)+1,0))),2)&lt;=5,1,IF(WEEKDAY(ROW(INDIRECT(DATE(YEAR(B779),MONTH(B779),1)&amp;":"&amp;DATE(YEAR(B779),MONTH(B779)+1,0))),2)=6,0.5,0)),0))</f>
        <v>23.5</v>
      </c>
      <c r="K779" s="22" cm="1">
        <f t="array" ref="K779">_xlfn.XLOOKUP(1,((Metas_Diarias[[#This Row],[tipo_equipe_id]]=Metas[equipe])*(Metas_Diarias[[#This Row],[data]]&gt;Metas[data_inicio])*(Metas_Diarias[[#This Row],[data]]&lt;Metas[data_fim])),Metas[meta_mensal],0)</f>
        <v>110000</v>
      </c>
      <c r="L77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80" spans="2:12" x14ac:dyDescent="0.3">
      <c r="B780" s="34">
        <v>45885</v>
      </c>
      <c r="C780" s="34" t="str">
        <f>TEXT(Metas_Diarias[[#This Row],[data]],"dddd")</f>
        <v>sábado</v>
      </c>
      <c r="D780" s="33">
        <v>2</v>
      </c>
      <c r="E780" s="33">
        <v>2</v>
      </c>
      <c r="F780" s="18"/>
      <c r="G780" s="35">
        <f>WEEKDAY(Metas_Diarias[[#This Row],[data]])</f>
        <v>7</v>
      </c>
      <c r="H780" s="35">
        <f>IF(Metas_Diarias[[#This Row],[dias_da_demana]]=1,"domingo",IF(Metas_Diarias[[#This Row],[dias_da_demana]]=7,0.5,1))</f>
        <v>0.5</v>
      </c>
      <c r="I780" s="35">
        <f>_xlfn.XLOOKUP(Metas_Diarias[[#This Row],[data]],Feriados[Data],Feriados[Feriado],1)</f>
        <v>1</v>
      </c>
      <c r="J780" s="33" cm="1">
        <f t="array" aca="1" ref="J780" ca="1">SUMPRODUCT(IF((NOT(ISERROR(MATCH(ROW(INDIRECT(DATE(YEAR(B780),MONTH(B780),1)&amp;":"&amp;DATE(YEAR(B780),MONTH(B780)+1,0))),Feriados[Data],0))))=FALSE,
IF(WEEKDAY(ROW(INDIRECT(DATE(YEAR(B780),MONTH(B780),1)&amp;":"&amp;DATE(YEAR(B780),MONTH(B780)+1,0))),2)&lt;=5,1,IF(WEEKDAY(ROW(INDIRECT(DATE(YEAR(B780),MONTH(B780),1)&amp;":"&amp;DATE(YEAR(B780),MONTH(B780)+1,0))),2)=6,0.5,0)),0))</f>
        <v>23.5</v>
      </c>
      <c r="K780" s="22" cm="1">
        <f t="array" ref="K780">_xlfn.XLOOKUP(1,((Metas_Diarias[[#This Row],[tipo_equipe_id]]=Metas[equipe])*(Metas_Diarias[[#This Row],[data]]&gt;Metas[data_inicio])*(Metas_Diarias[[#This Row],[data]]&lt;Metas[data_fim])),Metas[meta_mensal],0)</f>
        <v>110000</v>
      </c>
      <c r="L780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781" spans="2:12" x14ac:dyDescent="0.3">
      <c r="B781" s="34">
        <v>45886</v>
      </c>
      <c r="C781" s="34" t="str">
        <f>TEXT(Metas_Diarias[[#This Row],[data]],"dddd")</f>
        <v>domingo</v>
      </c>
      <c r="D781" s="33">
        <v>2</v>
      </c>
      <c r="E781" s="33">
        <v>2</v>
      </c>
      <c r="F781" s="18"/>
      <c r="G781" s="35">
        <f>WEEKDAY(Metas_Diarias[[#This Row],[data]])</f>
        <v>1</v>
      </c>
      <c r="H781" s="35" t="str">
        <f>IF(Metas_Diarias[[#This Row],[dias_da_demana]]=1,"domingo",IF(Metas_Diarias[[#This Row],[dias_da_demana]]=7,0.5,1))</f>
        <v>domingo</v>
      </c>
      <c r="I781" s="35">
        <f>_xlfn.XLOOKUP(Metas_Diarias[[#This Row],[data]],Feriados[Data],Feriados[Feriado],1)</f>
        <v>1</v>
      </c>
      <c r="J781" s="33" cm="1">
        <f t="array" aca="1" ref="J781" ca="1">SUMPRODUCT(IF((NOT(ISERROR(MATCH(ROW(INDIRECT(DATE(YEAR(B781),MONTH(B781),1)&amp;":"&amp;DATE(YEAR(B781),MONTH(B781)+1,0))),Feriados[Data],0))))=FALSE,
IF(WEEKDAY(ROW(INDIRECT(DATE(YEAR(B781),MONTH(B781),1)&amp;":"&amp;DATE(YEAR(B781),MONTH(B781)+1,0))),2)&lt;=5,1,IF(WEEKDAY(ROW(INDIRECT(DATE(YEAR(B781),MONTH(B781),1)&amp;":"&amp;DATE(YEAR(B781),MONTH(B781)+1,0))),2)=6,0.5,0)),0))</f>
        <v>23.5</v>
      </c>
      <c r="K781" s="22" cm="1">
        <f t="array" ref="K781">_xlfn.XLOOKUP(1,((Metas_Diarias[[#This Row],[tipo_equipe_id]]=Metas[equipe])*(Metas_Diarias[[#This Row],[data]]&gt;Metas[data_inicio])*(Metas_Diarias[[#This Row],[data]]&lt;Metas[data_fim])),Metas[meta_mensal],0)</f>
        <v>110000</v>
      </c>
      <c r="L78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82" spans="2:12" x14ac:dyDescent="0.3">
      <c r="B782" s="34">
        <v>45887</v>
      </c>
      <c r="C782" s="34" t="str">
        <f>TEXT(Metas_Diarias[[#This Row],[data]],"dddd")</f>
        <v>segunda-feira</v>
      </c>
      <c r="D782" s="33">
        <v>2</v>
      </c>
      <c r="E782" s="33">
        <v>2</v>
      </c>
      <c r="F782" s="18"/>
      <c r="G782" s="35">
        <f>WEEKDAY(Metas_Diarias[[#This Row],[data]])</f>
        <v>2</v>
      </c>
      <c r="H782" s="35">
        <f>IF(Metas_Diarias[[#This Row],[dias_da_demana]]=1,"domingo",IF(Metas_Diarias[[#This Row],[dias_da_demana]]=7,0.5,1))</f>
        <v>1</v>
      </c>
      <c r="I782" s="35">
        <f>_xlfn.XLOOKUP(Metas_Diarias[[#This Row],[data]],Feriados[Data],Feriados[Feriado],1)</f>
        <v>1</v>
      </c>
      <c r="J782" s="33" cm="1">
        <f t="array" aca="1" ref="J782" ca="1">SUMPRODUCT(IF((NOT(ISERROR(MATCH(ROW(INDIRECT(DATE(YEAR(B782),MONTH(B782),1)&amp;":"&amp;DATE(YEAR(B782),MONTH(B782)+1,0))),Feriados[Data],0))))=FALSE,
IF(WEEKDAY(ROW(INDIRECT(DATE(YEAR(B782),MONTH(B782),1)&amp;":"&amp;DATE(YEAR(B782),MONTH(B782)+1,0))),2)&lt;=5,1,IF(WEEKDAY(ROW(INDIRECT(DATE(YEAR(B782),MONTH(B782),1)&amp;":"&amp;DATE(YEAR(B782),MONTH(B782)+1,0))),2)=6,0.5,0)),0))</f>
        <v>23.5</v>
      </c>
      <c r="K782" s="22" cm="1">
        <f t="array" ref="K782">_xlfn.XLOOKUP(1,((Metas_Diarias[[#This Row],[tipo_equipe_id]]=Metas[equipe])*(Metas_Diarias[[#This Row],[data]]&gt;Metas[data_inicio])*(Metas_Diarias[[#This Row],[data]]&lt;Metas[data_fim])),Metas[meta_mensal],0)</f>
        <v>110000</v>
      </c>
      <c r="L78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83" spans="2:12" x14ac:dyDescent="0.3">
      <c r="B783" s="34">
        <v>45888</v>
      </c>
      <c r="C783" s="34" t="str">
        <f>TEXT(Metas_Diarias[[#This Row],[data]],"dddd")</f>
        <v>terça-feira</v>
      </c>
      <c r="D783" s="33">
        <v>2</v>
      </c>
      <c r="E783" s="33">
        <v>2</v>
      </c>
      <c r="F783" s="18"/>
      <c r="G783" s="35">
        <f>WEEKDAY(Metas_Diarias[[#This Row],[data]])</f>
        <v>3</v>
      </c>
      <c r="H783" s="35">
        <f>IF(Metas_Diarias[[#This Row],[dias_da_demana]]=1,"domingo",IF(Metas_Diarias[[#This Row],[dias_da_demana]]=7,0.5,1))</f>
        <v>1</v>
      </c>
      <c r="I783" s="35">
        <f>_xlfn.XLOOKUP(Metas_Diarias[[#This Row],[data]],Feriados[Data],Feriados[Feriado],1)</f>
        <v>1</v>
      </c>
      <c r="J783" s="33" cm="1">
        <f t="array" aca="1" ref="J783" ca="1">SUMPRODUCT(IF((NOT(ISERROR(MATCH(ROW(INDIRECT(DATE(YEAR(B783),MONTH(B783),1)&amp;":"&amp;DATE(YEAR(B783),MONTH(B783)+1,0))),Feriados[Data],0))))=FALSE,
IF(WEEKDAY(ROW(INDIRECT(DATE(YEAR(B783),MONTH(B783),1)&amp;":"&amp;DATE(YEAR(B783),MONTH(B783)+1,0))),2)&lt;=5,1,IF(WEEKDAY(ROW(INDIRECT(DATE(YEAR(B783),MONTH(B783),1)&amp;":"&amp;DATE(YEAR(B783),MONTH(B783)+1,0))),2)=6,0.5,0)),0))</f>
        <v>23.5</v>
      </c>
      <c r="K783" s="22" cm="1">
        <f t="array" ref="K783">_xlfn.XLOOKUP(1,((Metas_Diarias[[#This Row],[tipo_equipe_id]]=Metas[equipe])*(Metas_Diarias[[#This Row],[data]]&gt;Metas[data_inicio])*(Metas_Diarias[[#This Row],[data]]&lt;Metas[data_fim])),Metas[meta_mensal],0)</f>
        <v>110000</v>
      </c>
      <c r="L783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84" spans="2:12" x14ac:dyDescent="0.3">
      <c r="B784" s="34">
        <v>45889</v>
      </c>
      <c r="C784" s="34" t="str">
        <f>TEXT(Metas_Diarias[[#This Row],[data]],"dddd")</f>
        <v>quarta-feira</v>
      </c>
      <c r="D784" s="33">
        <v>2</v>
      </c>
      <c r="E784" s="33">
        <v>2</v>
      </c>
      <c r="F784" s="18"/>
      <c r="G784" s="35">
        <f>WEEKDAY(Metas_Diarias[[#This Row],[data]])</f>
        <v>4</v>
      </c>
      <c r="H784" s="35">
        <f>IF(Metas_Diarias[[#This Row],[dias_da_demana]]=1,"domingo",IF(Metas_Diarias[[#This Row],[dias_da_demana]]=7,0.5,1))</f>
        <v>1</v>
      </c>
      <c r="I784" s="35">
        <f>_xlfn.XLOOKUP(Metas_Diarias[[#This Row],[data]],Feriados[Data],Feriados[Feriado],1)</f>
        <v>1</v>
      </c>
      <c r="J784" s="33" cm="1">
        <f t="array" aca="1" ref="J784" ca="1">SUMPRODUCT(IF((NOT(ISERROR(MATCH(ROW(INDIRECT(DATE(YEAR(B784),MONTH(B784),1)&amp;":"&amp;DATE(YEAR(B784),MONTH(B784)+1,0))),Feriados[Data],0))))=FALSE,
IF(WEEKDAY(ROW(INDIRECT(DATE(YEAR(B784),MONTH(B784),1)&amp;":"&amp;DATE(YEAR(B784),MONTH(B784)+1,0))),2)&lt;=5,1,IF(WEEKDAY(ROW(INDIRECT(DATE(YEAR(B784),MONTH(B784),1)&amp;":"&amp;DATE(YEAR(B784),MONTH(B784)+1,0))),2)=6,0.5,0)),0))</f>
        <v>23.5</v>
      </c>
      <c r="K784" s="22" cm="1">
        <f t="array" ref="K784">_xlfn.XLOOKUP(1,((Metas_Diarias[[#This Row],[tipo_equipe_id]]=Metas[equipe])*(Metas_Diarias[[#This Row],[data]]&gt;Metas[data_inicio])*(Metas_Diarias[[#This Row],[data]]&lt;Metas[data_fim])),Metas[meta_mensal],0)</f>
        <v>110000</v>
      </c>
      <c r="L784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85" spans="2:12" x14ac:dyDescent="0.3">
      <c r="B785" s="34">
        <v>45890</v>
      </c>
      <c r="C785" s="34" t="str">
        <f>TEXT(Metas_Diarias[[#This Row],[data]],"dddd")</f>
        <v>quinta-feira</v>
      </c>
      <c r="D785" s="33">
        <v>2</v>
      </c>
      <c r="E785" s="33">
        <v>2</v>
      </c>
      <c r="F785" s="18"/>
      <c r="G785" s="35">
        <f>WEEKDAY(Metas_Diarias[[#This Row],[data]])</f>
        <v>5</v>
      </c>
      <c r="H785" s="35">
        <f>IF(Metas_Diarias[[#This Row],[dias_da_demana]]=1,"domingo",IF(Metas_Diarias[[#This Row],[dias_da_demana]]=7,0.5,1))</f>
        <v>1</v>
      </c>
      <c r="I785" s="35">
        <f>_xlfn.XLOOKUP(Metas_Diarias[[#This Row],[data]],Feriados[Data],Feriados[Feriado],1)</f>
        <v>1</v>
      </c>
      <c r="J785" s="33" cm="1">
        <f t="array" aca="1" ref="J785" ca="1">SUMPRODUCT(IF((NOT(ISERROR(MATCH(ROW(INDIRECT(DATE(YEAR(B785),MONTH(B785),1)&amp;":"&amp;DATE(YEAR(B785),MONTH(B785)+1,0))),Feriados[Data],0))))=FALSE,
IF(WEEKDAY(ROW(INDIRECT(DATE(YEAR(B785),MONTH(B785),1)&amp;":"&amp;DATE(YEAR(B785),MONTH(B785)+1,0))),2)&lt;=5,1,IF(WEEKDAY(ROW(INDIRECT(DATE(YEAR(B785),MONTH(B785),1)&amp;":"&amp;DATE(YEAR(B785),MONTH(B785)+1,0))),2)=6,0.5,0)),0))</f>
        <v>23.5</v>
      </c>
      <c r="K785" s="22" cm="1">
        <f t="array" ref="K785">_xlfn.XLOOKUP(1,((Metas_Diarias[[#This Row],[tipo_equipe_id]]=Metas[equipe])*(Metas_Diarias[[#This Row],[data]]&gt;Metas[data_inicio])*(Metas_Diarias[[#This Row],[data]]&lt;Metas[data_fim])),Metas[meta_mensal],0)</f>
        <v>110000</v>
      </c>
      <c r="L78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86" spans="2:12" x14ac:dyDescent="0.3">
      <c r="B786" s="34">
        <v>45891</v>
      </c>
      <c r="C786" s="34" t="str">
        <f>TEXT(Metas_Diarias[[#This Row],[data]],"dddd")</f>
        <v>sexta-feira</v>
      </c>
      <c r="D786" s="33">
        <v>2</v>
      </c>
      <c r="E786" s="33">
        <v>2</v>
      </c>
      <c r="F786" s="18"/>
      <c r="G786" s="35">
        <f>WEEKDAY(Metas_Diarias[[#This Row],[data]])</f>
        <v>6</v>
      </c>
      <c r="H786" s="35">
        <f>IF(Metas_Diarias[[#This Row],[dias_da_demana]]=1,"domingo",IF(Metas_Diarias[[#This Row],[dias_da_demana]]=7,0.5,1))</f>
        <v>1</v>
      </c>
      <c r="I786" s="35">
        <f>_xlfn.XLOOKUP(Metas_Diarias[[#This Row],[data]],Feriados[Data],Feriados[Feriado],1)</f>
        <v>1</v>
      </c>
      <c r="J786" s="33" cm="1">
        <f t="array" aca="1" ref="J786" ca="1">SUMPRODUCT(IF((NOT(ISERROR(MATCH(ROW(INDIRECT(DATE(YEAR(B786),MONTH(B786),1)&amp;":"&amp;DATE(YEAR(B786),MONTH(B786)+1,0))),Feriados[Data],0))))=FALSE,
IF(WEEKDAY(ROW(INDIRECT(DATE(YEAR(B786),MONTH(B786),1)&amp;":"&amp;DATE(YEAR(B786),MONTH(B786)+1,0))),2)&lt;=5,1,IF(WEEKDAY(ROW(INDIRECT(DATE(YEAR(B786),MONTH(B786),1)&amp;":"&amp;DATE(YEAR(B786),MONTH(B786)+1,0))),2)=6,0.5,0)),0))</f>
        <v>23.5</v>
      </c>
      <c r="K786" s="22" cm="1">
        <f t="array" ref="K786">_xlfn.XLOOKUP(1,((Metas_Diarias[[#This Row],[tipo_equipe_id]]=Metas[equipe])*(Metas_Diarias[[#This Row],[data]]&gt;Metas[data_inicio])*(Metas_Diarias[[#This Row],[data]]&lt;Metas[data_fim])),Metas[meta_mensal],0)</f>
        <v>110000</v>
      </c>
      <c r="L786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87" spans="2:12" x14ac:dyDescent="0.3">
      <c r="B787" s="34">
        <v>45892</v>
      </c>
      <c r="C787" s="34" t="str">
        <f>TEXT(Metas_Diarias[[#This Row],[data]],"dddd")</f>
        <v>sábado</v>
      </c>
      <c r="D787" s="33">
        <v>2</v>
      </c>
      <c r="E787" s="33">
        <v>2</v>
      </c>
      <c r="F787" s="18"/>
      <c r="G787" s="35">
        <f>WEEKDAY(Metas_Diarias[[#This Row],[data]])</f>
        <v>7</v>
      </c>
      <c r="H787" s="35">
        <f>IF(Metas_Diarias[[#This Row],[dias_da_demana]]=1,"domingo",IF(Metas_Diarias[[#This Row],[dias_da_demana]]=7,0.5,1))</f>
        <v>0.5</v>
      </c>
      <c r="I787" s="35">
        <f>_xlfn.XLOOKUP(Metas_Diarias[[#This Row],[data]],Feriados[Data],Feriados[Feriado],1)</f>
        <v>1</v>
      </c>
      <c r="J787" s="33" cm="1">
        <f t="array" aca="1" ref="J787" ca="1">SUMPRODUCT(IF((NOT(ISERROR(MATCH(ROW(INDIRECT(DATE(YEAR(B787),MONTH(B787),1)&amp;":"&amp;DATE(YEAR(B787),MONTH(B787)+1,0))),Feriados[Data],0))))=FALSE,
IF(WEEKDAY(ROW(INDIRECT(DATE(YEAR(B787),MONTH(B787),1)&amp;":"&amp;DATE(YEAR(B787),MONTH(B787)+1,0))),2)&lt;=5,1,IF(WEEKDAY(ROW(INDIRECT(DATE(YEAR(B787),MONTH(B787),1)&amp;":"&amp;DATE(YEAR(B787),MONTH(B787)+1,0))),2)=6,0.5,0)),0))</f>
        <v>23.5</v>
      </c>
      <c r="K787" s="22" cm="1">
        <f t="array" ref="K787">_xlfn.XLOOKUP(1,((Metas_Diarias[[#This Row],[tipo_equipe_id]]=Metas[equipe])*(Metas_Diarias[[#This Row],[data]]&gt;Metas[data_inicio])*(Metas_Diarias[[#This Row],[data]]&lt;Metas[data_fim])),Metas[meta_mensal],0)</f>
        <v>110000</v>
      </c>
      <c r="L787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788" spans="2:12" x14ac:dyDescent="0.3">
      <c r="B788" s="34">
        <v>45893</v>
      </c>
      <c r="C788" s="34" t="str">
        <f>TEXT(Metas_Diarias[[#This Row],[data]],"dddd")</f>
        <v>domingo</v>
      </c>
      <c r="D788" s="33">
        <v>2</v>
      </c>
      <c r="E788" s="33">
        <v>2</v>
      </c>
      <c r="F788" s="18"/>
      <c r="G788" s="35">
        <f>WEEKDAY(Metas_Diarias[[#This Row],[data]])</f>
        <v>1</v>
      </c>
      <c r="H788" s="35" t="str">
        <f>IF(Metas_Diarias[[#This Row],[dias_da_demana]]=1,"domingo",IF(Metas_Diarias[[#This Row],[dias_da_demana]]=7,0.5,1))</f>
        <v>domingo</v>
      </c>
      <c r="I788" s="35">
        <f>_xlfn.XLOOKUP(Metas_Diarias[[#This Row],[data]],Feriados[Data],Feriados[Feriado],1)</f>
        <v>1</v>
      </c>
      <c r="J788" s="33" cm="1">
        <f t="array" aca="1" ref="J788" ca="1">SUMPRODUCT(IF((NOT(ISERROR(MATCH(ROW(INDIRECT(DATE(YEAR(B788),MONTH(B788),1)&amp;":"&amp;DATE(YEAR(B788),MONTH(B788)+1,0))),Feriados[Data],0))))=FALSE,
IF(WEEKDAY(ROW(INDIRECT(DATE(YEAR(B788),MONTH(B788),1)&amp;":"&amp;DATE(YEAR(B788),MONTH(B788)+1,0))),2)&lt;=5,1,IF(WEEKDAY(ROW(INDIRECT(DATE(YEAR(B788),MONTH(B788),1)&amp;":"&amp;DATE(YEAR(B788),MONTH(B788)+1,0))),2)=6,0.5,0)),0))</f>
        <v>23.5</v>
      </c>
      <c r="K788" s="22" cm="1">
        <f t="array" ref="K788">_xlfn.XLOOKUP(1,((Metas_Diarias[[#This Row],[tipo_equipe_id]]=Metas[equipe])*(Metas_Diarias[[#This Row],[data]]&gt;Metas[data_inicio])*(Metas_Diarias[[#This Row],[data]]&lt;Metas[data_fim])),Metas[meta_mensal],0)</f>
        <v>110000</v>
      </c>
      <c r="L78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89" spans="2:12" x14ac:dyDescent="0.3">
      <c r="B789" s="34">
        <v>45894</v>
      </c>
      <c r="C789" s="34" t="str">
        <f>TEXT(Metas_Diarias[[#This Row],[data]],"dddd")</f>
        <v>segunda-feira</v>
      </c>
      <c r="D789" s="33">
        <v>2</v>
      </c>
      <c r="E789" s="33">
        <v>2</v>
      </c>
      <c r="F789" s="18"/>
      <c r="G789" s="35">
        <f>WEEKDAY(Metas_Diarias[[#This Row],[data]])</f>
        <v>2</v>
      </c>
      <c r="H789" s="35">
        <f>IF(Metas_Diarias[[#This Row],[dias_da_demana]]=1,"domingo",IF(Metas_Diarias[[#This Row],[dias_da_demana]]=7,0.5,1))</f>
        <v>1</v>
      </c>
      <c r="I789" s="35">
        <f>_xlfn.XLOOKUP(Metas_Diarias[[#This Row],[data]],Feriados[Data],Feriados[Feriado],1)</f>
        <v>1</v>
      </c>
      <c r="J789" s="33" cm="1">
        <f t="array" aca="1" ref="J789" ca="1">SUMPRODUCT(IF((NOT(ISERROR(MATCH(ROW(INDIRECT(DATE(YEAR(B789),MONTH(B789),1)&amp;":"&amp;DATE(YEAR(B789),MONTH(B789)+1,0))),Feriados[Data],0))))=FALSE,
IF(WEEKDAY(ROW(INDIRECT(DATE(YEAR(B789),MONTH(B789),1)&amp;":"&amp;DATE(YEAR(B789),MONTH(B789)+1,0))),2)&lt;=5,1,IF(WEEKDAY(ROW(INDIRECT(DATE(YEAR(B789),MONTH(B789),1)&amp;":"&amp;DATE(YEAR(B789),MONTH(B789)+1,0))),2)=6,0.5,0)),0))</f>
        <v>23.5</v>
      </c>
      <c r="K789" s="22" cm="1">
        <f t="array" ref="K789">_xlfn.XLOOKUP(1,((Metas_Diarias[[#This Row],[tipo_equipe_id]]=Metas[equipe])*(Metas_Diarias[[#This Row],[data]]&gt;Metas[data_inicio])*(Metas_Diarias[[#This Row],[data]]&lt;Metas[data_fim])),Metas[meta_mensal],0)</f>
        <v>110000</v>
      </c>
      <c r="L78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90" spans="2:12" x14ac:dyDescent="0.3">
      <c r="B790" s="34">
        <v>45895</v>
      </c>
      <c r="C790" s="34" t="str">
        <f>TEXT(Metas_Diarias[[#This Row],[data]],"dddd")</f>
        <v>terça-feira</v>
      </c>
      <c r="D790" s="33">
        <v>2</v>
      </c>
      <c r="E790" s="33">
        <v>2</v>
      </c>
      <c r="F790" s="18"/>
      <c r="G790" s="35">
        <f>WEEKDAY(Metas_Diarias[[#This Row],[data]])</f>
        <v>3</v>
      </c>
      <c r="H790" s="35">
        <f>IF(Metas_Diarias[[#This Row],[dias_da_demana]]=1,"domingo",IF(Metas_Diarias[[#This Row],[dias_da_demana]]=7,0.5,1))</f>
        <v>1</v>
      </c>
      <c r="I790" s="35">
        <f>_xlfn.XLOOKUP(Metas_Diarias[[#This Row],[data]],Feriados[Data],Feriados[Feriado],1)</f>
        <v>1</v>
      </c>
      <c r="J790" s="33" cm="1">
        <f t="array" aca="1" ref="J790" ca="1">SUMPRODUCT(IF((NOT(ISERROR(MATCH(ROW(INDIRECT(DATE(YEAR(B790),MONTH(B790),1)&amp;":"&amp;DATE(YEAR(B790),MONTH(B790)+1,0))),Feriados[Data],0))))=FALSE,
IF(WEEKDAY(ROW(INDIRECT(DATE(YEAR(B790),MONTH(B790),1)&amp;":"&amp;DATE(YEAR(B790),MONTH(B790)+1,0))),2)&lt;=5,1,IF(WEEKDAY(ROW(INDIRECT(DATE(YEAR(B790),MONTH(B790),1)&amp;":"&amp;DATE(YEAR(B790),MONTH(B790)+1,0))),2)=6,0.5,0)),0))</f>
        <v>23.5</v>
      </c>
      <c r="K790" s="22" cm="1">
        <f t="array" ref="K790">_xlfn.XLOOKUP(1,((Metas_Diarias[[#This Row],[tipo_equipe_id]]=Metas[equipe])*(Metas_Diarias[[#This Row],[data]]&gt;Metas[data_inicio])*(Metas_Diarias[[#This Row],[data]]&lt;Metas[data_fim])),Metas[meta_mensal],0)</f>
        <v>110000</v>
      </c>
      <c r="L790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91" spans="2:12" x14ac:dyDescent="0.3">
      <c r="B791" s="34">
        <v>45896</v>
      </c>
      <c r="C791" s="34" t="str">
        <f>TEXT(Metas_Diarias[[#This Row],[data]],"dddd")</f>
        <v>quarta-feira</v>
      </c>
      <c r="D791" s="33">
        <v>2</v>
      </c>
      <c r="E791" s="33">
        <v>2</v>
      </c>
      <c r="F791" s="18"/>
      <c r="G791" s="35">
        <f>WEEKDAY(Metas_Diarias[[#This Row],[data]])</f>
        <v>4</v>
      </c>
      <c r="H791" s="35">
        <f>IF(Metas_Diarias[[#This Row],[dias_da_demana]]=1,"domingo",IF(Metas_Diarias[[#This Row],[dias_da_demana]]=7,0.5,1))</f>
        <v>1</v>
      </c>
      <c r="I791" s="35">
        <f>_xlfn.XLOOKUP(Metas_Diarias[[#This Row],[data]],Feriados[Data],Feriados[Feriado],1)</f>
        <v>1</v>
      </c>
      <c r="J791" s="33" cm="1">
        <f t="array" aca="1" ref="J791" ca="1">SUMPRODUCT(IF((NOT(ISERROR(MATCH(ROW(INDIRECT(DATE(YEAR(B791),MONTH(B791),1)&amp;":"&amp;DATE(YEAR(B791),MONTH(B791)+1,0))),Feriados[Data],0))))=FALSE,
IF(WEEKDAY(ROW(INDIRECT(DATE(YEAR(B791),MONTH(B791),1)&amp;":"&amp;DATE(YEAR(B791),MONTH(B791)+1,0))),2)&lt;=5,1,IF(WEEKDAY(ROW(INDIRECT(DATE(YEAR(B791),MONTH(B791),1)&amp;":"&amp;DATE(YEAR(B791),MONTH(B791)+1,0))),2)=6,0.5,0)),0))</f>
        <v>23.5</v>
      </c>
      <c r="K791" s="22" cm="1">
        <f t="array" ref="K791">_xlfn.XLOOKUP(1,((Metas_Diarias[[#This Row],[tipo_equipe_id]]=Metas[equipe])*(Metas_Diarias[[#This Row],[data]]&gt;Metas[data_inicio])*(Metas_Diarias[[#This Row],[data]]&lt;Metas[data_fim])),Metas[meta_mensal],0)</f>
        <v>110000</v>
      </c>
      <c r="L791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92" spans="2:12" x14ac:dyDescent="0.3">
      <c r="B792" s="34">
        <v>45897</v>
      </c>
      <c r="C792" s="34" t="str">
        <f>TEXT(Metas_Diarias[[#This Row],[data]],"dddd")</f>
        <v>quinta-feira</v>
      </c>
      <c r="D792" s="33">
        <v>2</v>
      </c>
      <c r="E792" s="33">
        <v>2</v>
      </c>
      <c r="F792" s="18"/>
      <c r="G792" s="35">
        <f>WEEKDAY(Metas_Diarias[[#This Row],[data]])</f>
        <v>5</v>
      </c>
      <c r="H792" s="35">
        <f>IF(Metas_Diarias[[#This Row],[dias_da_demana]]=1,"domingo",IF(Metas_Diarias[[#This Row],[dias_da_demana]]=7,0.5,1))</f>
        <v>1</v>
      </c>
      <c r="I792" s="35">
        <f>_xlfn.XLOOKUP(Metas_Diarias[[#This Row],[data]],Feriados[Data],Feriados[Feriado],1)</f>
        <v>1</v>
      </c>
      <c r="J792" s="33" cm="1">
        <f t="array" aca="1" ref="J792" ca="1">SUMPRODUCT(IF((NOT(ISERROR(MATCH(ROW(INDIRECT(DATE(YEAR(B792),MONTH(B792),1)&amp;":"&amp;DATE(YEAR(B792),MONTH(B792)+1,0))),Feriados[Data],0))))=FALSE,
IF(WEEKDAY(ROW(INDIRECT(DATE(YEAR(B792),MONTH(B792),1)&amp;":"&amp;DATE(YEAR(B792),MONTH(B792)+1,0))),2)&lt;=5,1,IF(WEEKDAY(ROW(INDIRECT(DATE(YEAR(B792),MONTH(B792),1)&amp;":"&amp;DATE(YEAR(B792),MONTH(B792)+1,0))),2)=6,0.5,0)),0))</f>
        <v>23.5</v>
      </c>
      <c r="K792" s="22" cm="1">
        <f t="array" ref="K792">_xlfn.XLOOKUP(1,((Metas_Diarias[[#This Row],[tipo_equipe_id]]=Metas[equipe])*(Metas_Diarias[[#This Row],[data]]&gt;Metas[data_inicio])*(Metas_Diarias[[#This Row],[data]]&lt;Metas[data_fim])),Metas[meta_mensal],0)</f>
        <v>110000</v>
      </c>
      <c r="L79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93" spans="2:12" x14ac:dyDescent="0.3">
      <c r="B793" s="34">
        <v>45898</v>
      </c>
      <c r="C793" s="34" t="str">
        <f>TEXT(Metas_Diarias[[#This Row],[data]],"dddd")</f>
        <v>sexta-feira</v>
      </c>
      <c r="D793" s="33">
        <v>2</v>
      </c>
      <c r="E793" s="33">
        <v>2</v>
      </c>
      <c r="F793" s="18"/>
      <c r="G793" s="35">
        <f>WEEKDAY(Metas_Diarias[[#This Row],[data]])</f>
        <v>6</v>
      </c>
      <c r="H793" s="35">
        <f>IF(Metas_Diarias[[#This Row],[dias_da_demana]]=1,"domingo",IF(Metas_Diarias[[#This Row],[dias_da_demana]]=7,0.5,1))</f>
        <v>1</v>
      </c>
      <c r="I793" s="35">
        <f>_xlfn.XLOOKUP(Metas_Diarias[[#This Row],[data]],Feriados[Data],Feriados[Feriado],1)</f>
        <v>1</v>
      </c>
      <c r="J793" s="33" cm="1">
        <f t="array" aca="1" ref="J793" ca="1">SUMPRODUCT(IF((NOT(ISERROR(MATCH(ROW(INDIRECT(DATE(YEAR(B793),MONTH(B793),1)&amp;":"&amp;DATE(YEAR(B793),MONTH(B793)+1,0))),Feriados[Data],0))))=FALSE,
IF(WEEKDAY(ROW(INDIRECT(DATE(YEAR(B793),MONTH(B793),1)&amp;":"&amp;DATE(YEAR(B793),MONTH(B793)+1,0))),2)&lt;=5,1,IF(WEEKDAY(ROW(INDIRECT(DATE(YEAR(B793),MONTH(B793),1)&amp;":"&amp;DATE(YEAR(B793),MONTH(B793)+1,0))),2)=6,0.5,0)),0))</f>
        <v>23.5</v>
      </c>
      <c r="K793" s="22" cm="1">
        <f t="array" ref="K793">_xlfn.XLOOKUP(1,((Metas_Diarias[[#This Row],[tipo_equipe_id]]=Metas[equipe])*(Metas_Diarias[[#This Row],[data]]&gt;Metas[data_inicio])*(Metas_Diarias[[#This Row],[data]]&lt;Metas[data_fim])),Metas[meta_mensal],0)</f>
        <v>110000</v>
      </c>
      <c r="L793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794" spans="2:12" x14ac:dyDescent="0.3">
      <c r="B794" s="34">
        <v>45899</v>
      </c>
      <c r="C794" s="34" t="str">
        <f>TEXT(Metas_Diarias[[#This Row],[data]],"dddd")</f>
        <v>sábado</v>
      </c>
      <c r="D794" s="33">
        <v>2</v>
      </c>
      <c r="E794" s="33">
        <v>2</v>
      </c>
      <c r="F794" s="18"/>
      <c r="G794" s="35">
        <f>WEEKDAY(Metas_Diarias[[#This Row],[data]])</f>
        <v>7</v>
      </c>
      <c r="H794" s="35">
        <f>IF(Metas_Diarias[[#This Row],[dias_da_demana]]=1,"domingo",IF(Metas_Diarias[[#This Row],[dias_da_demana]]=7,0.5,1))</f>
        <v>0.5</v>
      </c>
      <c r="I794" s="35">
        <f>_xlfn.XLOOKUP(Metas_Diarias[[#This Row],[data]],Feriados[Data],Feriados[Feriado],1)</f>
        <v>1</v>
      </c>
      <c r="J794" s="33" cm="1">
        <f t="array" aca="1" ref="J794" ca="1">SUMPRODUCT(IF((NOT(ISERROR(MATCH(ROW(INDIRECT(DATE(YEAR(B794),MONTH(B794),1)&amp;":"&amp;DATE(YEAR(B794),MONTH(B794)+1,0))),Feriados[Data],0))))=FALSE,
IF(WEEKDAY(ROW(INDIRECT(DATE(YEAR(B794),MONTH(B794),1)&amp;":"&amp;DATE(YEAR(B794),MONTH(B794)+1,0))),2)&lt;=5,1,IF(WEEKDAY(ROW(INDIRECT(DATE(YEAR(B794),MONTH(B794),1)&amp;":"&amp;DATE(YEAR(B794),MONTH(B794)+1,0))),2)=6,0.5,0)),0))</f>
        <v>23.5</v>
      </c>
      <c r="K794" s="22" cm="1">
        <f t="array" ref="K794">_xlfn.XLOOKUP(1,((Metas_Diarias[[#This Row],[tipo_equipe_id]]=Metas[equipe])*(Metas_Diarias[[#This Row],[data]]&gt;Metas[data_inicio])*(Metas_Diarias[[#This Row],[data]]&lt;Metas[data_fim])),Metas[meta_mensal],0)</f>
        <v>110000</v>
      </c>
      <c r="L794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795" spans="2:12" x14ac:dyDescent="0.3">
      <c r="B795" s="34">
        <v>45900</v>
      </c>
      <c r="C795" s="34" t="str">
        <f>TEXT(Metas_Diarias[[#This Row],[data]],"dddd")</f>
        <v>domingo</v>
      </c>
      <c r="D795" s="33">
        <v>2</v>
      </c>
      <c r="E795" s="33">
        <v>2</v>
      </c>
      <c r="F795" s="18"/>
      <c r="G795" s="35">
        <f>WEEKDAY(Metas_Diarias[[#This Row],[data]])</f>
        <v>1</v>
      </c>
      <c r="H795" s="35" t="str">
        <f>IF(Metas_Diarias[[#This Row],[dias_da_demana]]=1,"domingo",IF(Metas_Diarias[[#This Row],[dias_da_demana]]=7,0.5,1))</f>
        <v>domingo</v>
      </c>
      <c r="I795" s="35">
        <f>_xlfn.XLOOKUP(Metas_Diarias[[#This Row],[data]],Feriados[Data],Feriados[Feriado],1)</f>
        <v>1</v>
      </c>
      <c r="J795" s="33" cm="1">
        <f t="array" aca="1" ref="J795" ca="1">SUMPRODUCT(IF((NOT(ISERROR(MATCH(ROW(INDIRECT(DATE(YEAR(B795),MONTH(B795),1)&amp;":"&amp;DATE(YEAR(B795),MONTH(B795)+1,0))),Feriados[Data],0))))=FALSE,
IF(WEEKDAY(ROW(INDIRECT(DATE(YEAR(B795),MONTH(B795),1)&amp;":"&amp;DATE(YEAR(B795),MONTH(B795)+1,0))),2)&lt;=5,1,IF(WEEKDAY(ROW(INDIRECT(DATE(YEAR(B795),MONTH(B795),1)&amp;":"&amp;DATE(YEAR(B795),MONTH(B795)+1,0))),2)=6,0.5,0)),0))</f>
        <v>23.5</v>
      </c>
      <c r="K795" s="22" cm="1">
        <f t="array" ref="K795">_xlfn.XLOOKUP(1,((Metas_Diarias[[#This Row],[tipo_equipe_id]]=Metas[equipe])*(Metas_Diarias[[#This Row],[data]]&gt;Metas[data_inicio])*(Metas_Diarias[[#This Row],[data]]&lt;Metas[data_fim])),Metas[meta_mensal],0)</f>
        <v>110000</v>
      </c>
      <c r="L79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796" spans="2:12" x14ac:dyDescent="0.3">
      <c r="B796" s="34">
        <v>45901</v>
      </c>
      <c r="C796" s="34" t="str">
        <f>TEXT(Metas_Diarias[[#This Row],[data]],"dddd")</f>
        <v>segunda-feira</v>
      </c>
      <c r="D796" s="33">
        <v>2</v>
      </c>
      <c r="E796" s="33">
        <v>2</v>
      </c>
      <c r="F796" s="18"/>
      <c r="G796" s="35">
        <f>WEEKDAY(Metas_Diarias[[#This Row],[data]])</f>
        <v>2</v>
      </c>
      <c r="H796" s="35">
        <f>IF(Metas_Diarias[[#This Row],[dias_da_demana]]=1,"domingo",IF(Metas_Diarias[[#This Row],[dias_da_demana]]=7,0.5,1))</f>
        <v>1</v>
      </c>
      <c r="I796" s="35">
        <f>_xlfn.XLOOKUP(Metas_Diarias[[#This Row],[data]],Feriados[Data],Feriados[Feriado],1)</f>
        <v>1</v>
      </c>
      <c r="J796" s="33" cm="1">
        <f t="array" aca="1" ref="J796" ca="1">SUMPRODUCT(IF((NOT(ISERROR(MATCH(ROW(INDIRECT(DATE(YEAR(B796),MONTH(B796),1)&amp;":"&amp;DATE(YEAR(B796),MONTH(B796)+1,0))),Feriados[Data],0))))=FALSE,
IF(WEEKDAY(ROW(INDIRECT(DATE(YEAR(B796),MONTH(B796),1)&amp;":"&amp;DATE(YEAR(B796),MONTH(B796)+1,0))),2)&lt;=5,1,IF(WEEKDAY(ROW(INDIRECT(DATE(YEAR(B796),MONTH(B796),1)&amp;":"&amp;DATE(YEAR(B796),MONTH(B796)+1,0))),2)=6,0.5,0)),0))</f>
        <v>24</v>
      </c>
      <c r="K796" s="22" cm="1">
        <f t="array" ref="K796">_xlfn.XLOOKUP(1,((Metas_Diarias[[#This Row],[tipo_equipe_id]]=Metas[equipe])*(Metas_Diarias[[#This Row],[data]]&gt;Metas[data_inicio])*(Metas_Diarias[[#This Row],[data]]&lt;Metas[data_fim])),Metas[meta_mensal],0)</f>
        <v>110000</v>
      </c>
      <c r="L796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797" spans="2:12" x14ac:dyDescent="0.3">
      <c r="B797" s="34">
        <v>45902</v>
      </c>
      <c r="C797" s="34" t="str">
        <f>TEXT(Metas_Diarias[[#This Row],[data]],"dddd")</f>
        <v>terça-feira</v>
      </c>
      <c r="D797" s="33">
        <v>2</v>
      </c>
      <c r="E797" s="33">
        <v>2</v>
      </c>
      <c r="F797" s="18"/>
      <c r="G797" s="35">
        <f>WEEKDAY(Metas_Diarias[[#This Row],[data]])</f>
        <v>3</v>
      </c>
      <c r="H797" s="35">
        <f>IF(Metas_Diarias[[#This Row],[dias_da_demana]]=1,"domingo",IF(Metas_Diarias[[#This Row],[dias_da_demana]]=7,0.5,1))</f>
        <v>1</v>
      </c>
      <c r="I797" s="35">
        <f>_xlfn.XLOOKUP(Metas_Diarias[[#This Row],[data]],Feriados[Data],Feriados[Feriado],1)</f>
        <v>1</v>
      </c>
      <c r="J797" s="33" cm="1">
        <f t="array" aca="1" ref="J797" ca="1">SUMPRODUCT(IF((NOT(ISERROR(MATCH(ROW(INDIRECT(DATE(YEAR(B797),MONTH(B797),1)&amp;":"&amp;DATE(YEAR(B797),MONTH(B797)+1,0))),Feriados[Data],0))))=FALSE,
IF(WEEKDAY(ROW(INDIRECT(DATE(YEAR(B797),MONTH(B797),1)&amp;":"&amp;DATE(YEAR(B797),MONTH(B797)+1,0))),2)&lt;=5,1,IF(WEEKDAY(ROW(INDIRECT(DATE(YEAR(B797),MONTH(B797),1)&amp;":"&amp;DATE(YEAR(B797),MONTH(B797)+1,0))),2)=6,0.5,0)),0))</f>
        <v>24</v>
      </c>
      <c r="K797" s="22" cm="1">
        <f t="array" ref="K797">_xlfn.XLOOKUP(1,((Metas_Diarias[[#This Row],[tipo_equipe_id]]=Metas[equipe])*(Metas_Diarias[[#This Row],[data]]&gt;Metas[data_inicio])*(Metas_Diarias[[#This Row],[data]]&lt;Metas[data_fim])),Metas[meta_mensal],0)</f>
        <v>110000</v>
      </c>
      <c r="L79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798" spans="2:12" x14ac:dyDescent="0.3">
      <c r="B798" s="34">
        <v>45903</v>
      </c>
      <c r="C798" s="34" t="str">
        <f>TEXT(Metas_Diarias[[#This Row],[data]],"dddd")</f>
        <v>quarta-feira</v>
      </c>
      <c r="D798" s="33">
        <v>2</v>
      </c>
      <c r="E798" s="33">
        <v>2</v>
      </c>
      <c r="F798" s="18"/>
      <c r="G798" s="35">
        <f>WEEKDAY(Metas_Diarias[[#This Row],[data]])</f>
        <v>4</v>
      </c>
      <c r="H798" s="35">
        <f>IF(Metas_Diarias[[#This Row],[dias_da_demana]]=1,"domingo",IF(Metas_Diarias[[#This Row],[dias_da_demana]]=7,0.5,1))</f>
        <v>1</v>
      </c>
      <c r="I798" s="35">
        <f>_xlfn.XLOOKUP(Metas_Diarias[[#This Row],[data]],Feriados[Data],Feriados[Feriado],1)</f>
        <v>1</v>
      </c>
      <c r="J798" s="33" cm="1">
        <f t="array" aca="1" ref="J798" ca="1">SUMPRODUCT(IF((NOT(ISERROR(MATCH(ROW(INDIRECT(DATE(YEAR(B798),MONTH(B798),1)&amp;":"&amp;DATE(YEAR(B798),MONTH(B798)+1,0))),Feriados[Data],0))))=FALSE,
IF(WEEKDAY(ROW(INDIRECT(DATE(YEAR(B798),MONTH(B798),1)&amp;":"&amp;DATE(YEAR(B798),MONTH(B798)+1,0))),2)&lt;=5,1,IF(WEEKDAY(ROW(INDIRECT(DATE(YEAR(B798),MONTH(B798),1)&amp;":"&amp;DATE(YEAR(B798),MONTH(B798)+1,0))),2)=6,0.5,0)),0))</f>
        <v>24</v>
      </c>
      <c r="K798" s="22" cm="1">
        <f t="array" ref="K798">_xlfn.XLOOKUP(1,((Metas_Diarias[[#This Row],[tipo_equipe_id]]=Metas[equipe])*(Metas_Diarias[[#This Row],[data]]&gt;Metas[data_inicio])*(Metas_Diarias[[#This Row],[data]]&lt;Metas[data_fim])),Metas[meta_mensal],0)</f>
        <v>110000</v>
      </c>
      <c r="L79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799" spans="2:12" x14ac:dyDescent="0.3">
      <c r="B799" s="34">
        <v>45904</v>
      </c>
      <c r="C799" s="34" t="str">
        <f>TEXT(Metas_Diarias[[#This Row],[data]],"dddd")</f>
        <v>quinta-feira</v>
      </c>
      <c r="D799" s="33">
        <v>2</v>
      </c>
      <c r="E799" s="33">
        <v>2</v>
      </c>
      <c r="F799" s="18"/>
      <c r="G799" s="35">
        <f>WEEKDAY(Metas_Diarias[[#This Row],[data]])</f>
        <v>5</v>
      </c>
      <c r="H799" s="35">
        <f>IF(Metas_Diarias[[#This Row],[dias_da_demana]]=1,"domingo",IF(Metas_Diarias[[#This Row],[dias_da_demana]]=7,0.5,1))</f>
        <v>1</v>
      </c>
      <c r="I799" s="35">
        <f>_xlfn.XLOOKUP(Metas_Diarias[[#This Row],[data]],Feriados[Data],Feriados[Feriado],1)</f>
        <v>1</v>
      </c>
      <c r="J799" s="33" cm="1">
        <f t="array" aca="1" ref="J799" ca="1">SUMPRODUCT(IF((NOT(ISERROR(MATCH(ROW(INDIRECT(DATE(YEAR(B799),MONTH(B799),1)&amp;":"&amp;DATE(YEAR(B799),MONTH(B799)+1,0))),Feriados[Data],0))))=FALSE,
IF(WEEKDAY(ROW(INDIRECT(DATE(YEAR(B799),MONTH(B799),1)&amp;":"&amp;DATE(YEAR(B799),MONTH(B799)+1,0))),2)&lt;=5,1,IF(WEEKDAY(ROW(INDIRECT(DATE(YEAR(B799),MONTH(B799),1)&amp;":"&amp;DATE(YEAR(B799),MONTH(B799)+1,0))),2)=6,0.5,0)),0))</f>
        <v>24</v>
      </c>
      <c r="K799" s="22" cm="1">
        <f t="array" ref="K799">_xlfn.XLOOKUP(1,((Metas_Diarias[[#This Row],[tipo_equipe_id]]=Metas[equipe])*(Metas_Diarias[[#This Row],[data]]&gt;Metas[data_inicio])*(Metas_Diarias[[#This Row],[data]]&lt;Metas[data_fim])),Metas[meta_mensal],0)</f>
        <v>110000</v>
      </c>
      <c r="L799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00" spans="2:12" x14ac:dyDescent="0.3">
      <c r="B800" s="34">
        <v>45905</v>
      </c>
      <c r="C800" s="34" t="str">
        <f>TEXT(Metas_Diarias[[#This Row],[data]],"dddd")</f>
        <v>sexta-feira</v>
      </c>
      <c r="D800" s="33">
        <v>2</v>
      </c>
      <c r="E800" s="33">
        <v>2</v>
      </c>
      <c r="F800" s="18"/>
      <c r="G800" s="35">
        <f>WEEKDAY(Metas_Diarias[[#This Row],[data]])</f>
        <v>6</v>
      </c>
      <c r="H800" s="35">
        <f>IF(Metas_Diarias[[#This Row],[dias_da_demana]]=1,"domingo",IF(Metas_Diarias[[#This Row],[dias_da_demana]]=7,0.5,1))</f>
        <v>1</v>
      </c>
      <c r="I800" s="35">
        <f>_xlfn.XLOOKUP(Metas_Diarias[[#This Row],[data]],Feriados[Data],Feriados[Feriado],1)</f>
        <v>1</v>
      </c>
      <c r="J800" s="33" cm="1">
        <f t="array" aca="1" ref="J800" ca="1">SUMPRODUCT(IF((NOT(ISERROR(MATCH(ROW(INDIRECT(DATE(YEAR(B800),MONTH(B800),1)&amp;":"&amp;DATE(YEAR(B800),MONTH(B800)+1,0))),Feriados[Data],0))))=FALSE,
IF(WEEKDAY(ROW(INDIRECT(DATE(YEAR(B800),MONTH(B800),1)&amp;":"&amp;DATE(YEAR(B800),MONTH(B800)+1,0))),2)&lt;=5,1,IF(WEEKDAY(ROW(INDIRECT(DATE(YEAR(B800),MONTH(B800),1)&amp;":"&amp;DATE(YEAR(B800),MONTH(B800)+1,0))),2)=6,0.5,0)),0))</f>
        <v>24</v>
      </c>
      <c r="K800" s="22" cm="1">
        <f t="array" ref="K800">_xlfn.XLOOKUP(1,((Metas_Diarias[[#This Row],[tipo_equipe_id]]=Metas[equipe])*(Metas_Diarias[[#This Row],[data]]&gt;Metas[data_inicio])*(Metas_Diarias[[#This Row],[data]]&lt;Metas[data_fim])),Metas[meta_mensal],0)</f>
        <v>110000</v>
      </c>
      <c r="L80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01" spans="2:12" x14ac:dyDescent="0.3">
      <c r="B801" s="34">
        <v>45906</v>
      </c>
      <c r="C801" s="34" t="str">
        <f>TEXT(Metas_Diarias[[#This Row],[data]],"dddd")</f>
        <v>sábado</v>
      </c>
      <c r="D801" s="33">
        <v>2</v>
      </c>
      <c r="E801" s="33">
        <v>2</v>
      </c>
      <c r="F801" s="18"/>
      <c r="G801" s="35">
        <f>WEEKDAY(Metas_Diarias[[#This Row],[data]])</f>
        <v>7</v>
      </c>
      <c r="H801" s="35">
        <f>IF(Metas_Diarias[[#This Row],[dias_da_demana]]=1,"domingo",IF(Metas_Diarias[[#This Row],[dias_da_demana]]=7,0.5,1))</f>
        <v>0.5</v>
      </c>
      <c r="I801" s="35">
        <f>_xlfn.XLOOKUP(Metas_Diarias[[#This Row],[data]],Feriados[Data],Feriados[Feriado],1)</f>
        <v>1</v>
      </c>
      <c r="J801" s="33" cm="1">
        <f t="array" aca="1" ref="J801" ca="1">SUMPRODUCT(IF((NOT(ISERROR(MATCH(ROW(INDIRECT(DATE(YEAR(B801),MONTH(B801),1)&amp;":"&amp;DATE(YEAR(B801),MONTH(B801)+1,0))),Feriados[Data],0))))=FALSE,
IF(WEEKDAY(ROW(INDIRECT(DATE(YEAR(B801),MONTH(B801),1)&amp;":"&amp;DATE(YEAR(B801),MONTH(B801)+1,0))),2)&lt;=5,1,IF(WEEKDAY(ROW(INDIRECT(DATE(YEAR(B801),MONTH(B801),1)&amp;":"&amp;DATE(YEAR(B801),MONTH(B801)+1,0))),2)=6,0.5,0)),0))</f>
        <v>24</v>
      </c>
      <c r="K801" s="22" cm="1">
        <f t="array" ref="K801">_xlfn.XLOOKUP(1,((Metas_Diarias[[#This Row],[tipo_equipe_id]]=Metas[equipe])*(Metas_Diarias[[#This Row],[data]]&gt;Metas[data_inicio])*(Metas_Diarias[[#This Row],[data]]&lt;Metas[data_fim])),Metas[meta_mensal],0)</f>
        <v>110000</v>
      </c>
      <c r="L801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802" spans="2:12" x14ac:dyDescent="0.3">
      <c r="B802" s="34">
        <v>45907</v>
      </c>
      <c r="C802" s="34" t="str">
        <f>TEXT(Metas_Diarias[[#This Row],[data]],"dddd")</f>
        <v>domingo</v>
      </c>
      <c r="D802" s="33">
        <v>2</v>
      </c>
      <c r="E802" s="33">
        <v>2</v>
      </c>
      <c r="F802" s="18"/>
      <c r="G802" s="35">
        <f>WEEKDAY(Metas_Diarias[[#This Row],[data]])</f>
        <v>1</v>
      </c>
      <c r="H802" s="35" t="str">
        <f>IF(Metas_Diarias[[#This Row],[dias_da_demana]]=1,"domingo",IF(Metas_Diarias[[#This Row],[dias_da_demana]]=7,0.5,1))</f>
        <v>domingo</v>
      </c>
      <c r="I802" s="35" t="str">
        <f>_xlfn.XLOOKUP(Metas_Diarias[[#This Row],[data]],Feriados[Data],Feriados[Feriado],1)</f>
        <v>Independência do Brasil</v>
      </c>
      <c r="J802" s="33" cm="1">
        <f t="array" aca="1" ref="J802" ca="1">SUMPRODUCT(IF((NOT(ISERROR(MATCH(ROW(INDIRECT(DATE(YEAR(B802),MONTH(B802),1)&amp;":"&amp;DATE(YEAR(B802),MONTH(B802)+1,0))),Feriados[Data],0))))=FALSE,
IF(WEEKDAY(ROW(INDIRECT(DATE(YEAR(B802),MONTH(B802),1)&amp;":"&amp;DATE(YEAR(B802),MONTH(B802)+1,0))),2)&lt;=5,1,IF(WEEKDAY(ROW(INDIRECT(DATE(YEAR(B802),MONTH(B802),1)&amp;":"&amp;DATE(YEAR(B802),MONTH(B802)+1,0))),2)=6,0.5,0)),0))</f>
        <v>24</v>
      </c>
      <c r="K802" s="22" cm="1">
        <f t="array" ref="K802">_xlfn.XLOOKUP(1,((Metas_Diarias[[#This Row],[tipo_equipe_id]]=Metas[equipe])*(Metas_Diarias[[#This Row],[data]]&gt;Metas[data_inicio])*(Metas_Diarias[[#This Row],[data]]&lt;Metas[data_fim])),Metas[meta_mensal],0)</f>
        <v>110000</v>
      </c>
      <c r="L80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03" spans="2:12" x14ac:dyDescent="0.3">
      <c r="B803" s="34">
        <v>45908</v>
      </c>
      <c r="C803" s="34" t="str">
        <f>TEXT(Metas_Diarias[[#This Row],[data]],"dddd")</f>
        <v>segunda-feira</v>
      </c>
      <c r="D803" s="33">
        <v>2</v>
      </c>
      <c r="E803" s="33">
        <v>2</v>
      </c>
      <c r="F803" s="18"/>
      <c r="G803" s="35">
        <f>WEEKDAY(Metas_Diarias[[#This Row],[data]])</f>
        <v>2</v>
      </c>
      <c r="H803" s="35">
        <f>IF(Metas_Diarias[[#This Row],[dias_da_demana]]=1,"domingo",IF(Metas_Diarias[[#This Row],[dias_da_demana]]=7,0.5,1))</f>
        <v>1</v>
      </c>
      <c r="I803" s="35">
        <f>_xlfn.XLOOKUP(Metas_Diarias[[#This Row],[data]],Feriados[Data],Feriados[Feriado],1)</f>
        <v>1</v>
      </c>
      <c r="J803" s="33" cm="1">
        <f t="array" aca="1" ref="J803" ca="1">SUMPRODUCT(IF((NOT(ISERROR(MATCH(ROW(INDIRECT(DATE(YEAR(B803),MONTH(B803),1)&amp;":"&amp;DATE(YEAR(B803),MONTH(B803)+1,0))),Feriados[Data],0))))=FALSE,
IF(WEEKDAY(ROW(INDIRECT(DATE(YEAR(B803),MONTH(B803),1)&amp;":"&amp;DATE(YEAR(B803),MONTH(B803)+1,0))),2)&lt;=5,1,IF(WEEKDAY(ROW(INDIRECT(DATE(YEAR(B803),MONTH(B803),1)&amp;":"&amp;DATE(YEAR(B803),MONTH(B803)+1,0))),2)=6,0.5,0)),0))</f>
        <v>24</v>
      </c>
      <c r="K803" s="22" cm="1">
        <f t="array" ref="K803">_xlfn.XLOOKUP(1,((Metas_Diarias[[#This Row],[tipo_equipe_id]]=Metas[equipe])*(Metas_Diarias[[#This Row],[data]]&gt;Metas[data_inicio])*(Metas_Diarias[[#This Row],[data]]&lt;Metas[data_fim])),Metas[meta_mensal],0)</f>
        <v>110000</v>
      </c>
      <c r="L803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04" spans="2:12" x14ac:dyDescent="0.3">
      <c r="B804" s="34">
        <v>45909</v>
      </c>
      <c r="C804" s="34" t="str">
        <f>TEXT(Metas_Diarias[[#This Row],[data]],"dddd")</f>
        <v>terça-feira</v>
      </c>
      <c r="D804" s="33">
        <v>2</v>
      </c>
      <c r="E804" s="33">
        <v>2</v>
      </c>
      <c r="F804" s="18"/>
      <c r="G804" s="35">
        <f>WEEKDAY(Metas_Diarias[[#This Row],[data]])</f>
        <v>3</v>
      </c>
      <c r="H804" s="35">
        <f>IF(Metas_Diarias[[#This Row],[dias_da_demana]]=1,"domingo",IF(Metas_Diarias[[#This Row],[dias_da_demana]]=7,0.5,1))</f>
        <v>1</v>
      </c>
      <c r="I804" s="35">
        <f>_xlfn.XLOOKUP(Metas_Diarias[[#This Row],[data]],Feriados[Data],Feriados[Feriado],1)</f>
        <v>1</v>
      </c>
      <c r="J804" s="33" cm="1">
        <f t="array" aca="1" ref="J804" ca="1">SUMPRODUCT(IF((NOT(ISERROR(MATCH(ROW(INDIRECT(DATE(YEAR(B804),MONTH(B804),1)&amp;":"&amp;DATE(YEAR(B804),MONTH(B804)+1,0))),Feriados[Data],0))))=FALSE,
IF(WEEKDAY(ROW(INDIRECT(DATE(YEAR(B804),MONTH(B804),1)&amp;":"&amp;DATE(YEAR(B804),MONTH(B804)+1,0))),2)&lt;=5,1,IF(WEEKDAY(ROW(INDIRECT(DATE(YEAR(B804),MONTH(B804),1)&amp;":"&amp;DATE(YEAR(B804),MONTH(B804)+1,0))),2)=6,0.5,0)),0))</f>
        <v>24</v>
      </c>
      <c r="K804" s="22" cm="1">
        <f t="array" ref="K804">_xlfn.XLOOKUP(1,((Metas_Diarias[[#This Row],[tipo_equipe_id]]=Metas[equipe])*(Metas_Diarias[[#This Row],[data]]&gt;Metas[data_inicio])*(Metas_Diarias[[#This Row],[data]]&lt;Metas[data_fim])),Metas[meta_mensal],0)</f>
        <v>110000</v>
      </c>
      <c r="L80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05" spans="2:12" x14ac:dyDescent="0.3">
      <c r="B805" s="34">
        <v>45910</v>
      </c>
      <c r="C805" s="34" t="str">
        <f>TEXT(Metas_Diarias[[#This Row],[data]],"dddd")</f>
        <v>quarta-feira</v>
      </c>
      <c r="D805" s="33">
        <v>2</v>
      </c>
      <c r="E805" s="33">
        <v>2</v>
      </c>
      <c r="F805" s="18"/>
      <c r="G805" s="35">
        <f>WEEKDAY(Metas_Diarias[[#This Row],[data]])</f>
        <v>4</v>
      </c>
      <c r="H805" s="35">
        <f>IF(Metas_Diarias[[#This Row],[dias_da_demana]]=1,"domingo",IF(Metas_Diarias[[#This Row],[dias_da_demana]]=7,0.5,1))</f>
        <v>1</v>
      </c>
      <c r="I805" s="35">
        <f>_xlfn.XLOOKUP(Metas_Diarias[[#This Row],[data]],Feriados[Data],Feriados[Feriado],1)</f>
        <v>1</v>
      </c>
      <c r="J805" s="33" cm="1">
        <f t="array" aca="1" ref="J805" ca="1">SUMPRODUCT(IF((NOT(ISERROR(MATCH(ROW(INDIRECT(DATE(YEAR(B805),MONTH(B805),1)&amp;":"&amp;DATE(YEAR(B805),MONTH(B805)+1,0))),Feriados[Data],0))))=FALSE,
IF(WEEKDAY(ROW(INDIRECT(DATE(YEAR(B805),MONTH(B805),1)&amp;":"&amp;DATE(YEAR(B805),MONTH(B805)+1,0))),2)&lt;=5,1,IF(WEEKDAY(ROW(INDIRECT(DATE(YEAR(B805),MONTH(B805),1)&amp;":"&amp;DATE(YEAR(B805),MONTH(B805)+1,0))),2)=6,0.5,0)),0))</f>
        <v>24</v>
      </c>
      <c r="K805" s="22" cm="1">
        <f t="array" ref="K805">_xlfn.XLOOKUP(1,((Metas_Diarias[[#This Row],[tipo_equipe_id]]=Metas[equipe])*(Metas_Diarias[[#This Row],[data]]&gt;Metas[data_inicio])*(Metas_Diarias[[#This Row],[data]]&lt;Metas[data_fim])),Metas[meta_mensal],0)</f>
        <v>110000</v>
      </c>
      <c r="L80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06" spans="2:12" x14ac:dyDescent="0.3">
      <c r="B806" s="34">
        <v>45911</v>
      </c>
      <c r="C806" s="34" t="str">
        <f>TEXT(Metas_Diarias[[#This Row],[data]],"dddd")</f>
        <v>quinta-feira</v>
      </c>
      <c r="D806" s="33">
        <v>2</v>
      </c>
      <c r="E806" s="33">
        <v>2</v>
      </c>
      <c r="F806" s="18"/>
      <c r="G806" s="35">
        <f>WEEKDAY(Metas_Diarias[[#This Row],[data]])</f>
        <v>5</v>
      </c>
      <c r="H806" s="35">
        <f>IF(Metas_Diarias[[#This Row],[dias_da_demana]]=1,"domingo",IF(Metas_Diarias[[#This Row],[dias_da_demana]]=7,0.5,1))</f>
        <v>1</v>
      </c>
      <c r="I806" s="35">
        <f>_xlfn.XLOOKUP(Metas_Diarias[[#This Row],[data]],Feriados[Data],Feriados[Feriado],1)</f>
        <v>1</v>
      </c>
      <c r="J806" s="33" cm="1">
        <f t="array" aca="1" ref="J806" ca="1">SUMPRODUCT(IF((NOT(ISERROR(MATCH(ROW(INDIRECT(DATE(YEAR(B806),MONTH(B806),1)&amp;":"&amp;DATE(YEAR(B806),MONTH(B806)+1,0))),Feriados[Data],0))))=FALSE,
IF(WEEKDAY(ROW(INDIRECT(DATE(YEAR(B806),MONTH(B806),1)&amp;":"&amp;DATE(YEAR(B806),MONTH(B806)+1,0))),2)&lt;=5,1,IF(WEEKDAY(ROW(INDIRECT(DATE(YEAR(B806),MONTH(B806),1)&amp;":"&amp;DATE(YEAR(B806),MONTH(B806)+1,0))),2)=6,0.5,0)),0))</f>
        <v>24</v>
      </c>
      <c r="K806" s="22" cm="1">
        <f t="array" ref="K806">_xlfn.XLOOKUP(1,((Metas_Diarias[[#This Row],[tipo_equipe_id]]=Metas[equipe])*(Metas_Diarias[[#This Row],[data]]&gt;Metas[data_inicio])*(Metas_Diarias[[#This Row],[data]]&lt;Metas[data_fim])),Metas[meta_mensal],0)</f>
        <v>110000</v>
      </c>
      <c r="L806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07" spans="2:12" x14ac:dyDescent="0.3">
      <c r="B807" s="34">
        <v>45912</v>
      </c>
      <c r="C807" s="34" t="str">
        <f>TEXT(Metas_Diarias[[#This Row],[data]],"dddd")</f>
        <v>sexta-feira</v>
      </c>
      <c r="D807" s="33">
        <v>2</v>
      </c>
      <c r="E807" s="33">
        <v>2</v>
      </c>
      <c r="F807" s="18"/>
      <c r="G807" s="35">
        <f>WEEKDAY(Metas_Diarias[[#This Row],[data]])</f>
        <v>6</v>
      </c>
      <c r="H807" s="35">
        <f>IF(Metas_Diarias[[#This Row],[dias_da_demana]]=1,"domingo",IF(Metas_Diarias[[#This Row],[dias_da_demana]]=7,0.5,1))</f>
        <v>1</v>
      </c>
      <c r="I807" s="35">
        <f>_xlfn.XLOOKUP(Metas_Diarias[[#This Row],[data]],Feriados[Data],Feriados[Feriado],1)</f>
        <v>1</v>
      </c>
      <c r="J807" s="33" cm="1">
        <f t="array" aca="1" ref="J807" ca="1">SUMPRODUCT(IF((NOT(ISERROR(MATCH(ROW(INDIRECT(DATE(YEAR(B807),MONTH(B807),1)&amp;":"&amp;DATE(YEAR(B807),MONTH(B807)+1,0))),Feriados[Data],0))))=FALSE,
IF(WEEKDAY(ROW(INDIRECT(DATE(YEAR(B807),MONTH(B807),1)&amp;":"&amp;DATE(YEAR(B807),MONTH(B807)+1,0))),2)&lt;=5,1,IF(WEEKDAY(ROW(INDIRECT(DATE(YEAR(B807),MONTH(B807),1)&amp;":"&amp;DATE(YEAR(B807),MONTH(B807)+1,0))),2)=6,0.5,0)),0))</f>
        <v>24</v>
      </c>
      <c r="K807" s="22" cm="1">
        <f t="array" ref="K807">_xlfn.XLOOKUP(1,((Metas_Diarias[[#This Row],[tipo_equipe_id]]=Metas[equipe])*(Metas_Diarias[[#This Row],[data]]&gt;Metas[data_inicio])*(Metas_Diarias[[#This Row],[data]]&lt;Metas[data_fim])),Metas[meta_mensal],0)</f>
        <v>110000</v>
      </c>
      <c r="L80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08" spans="2:12" x14ac:dyDescent="0.3">
      <c r="B808" s="34">
        <v>45913</v>
      </c>
      <c r="C808" s="34" t="str">
        <f>TEXT(Metas_Diarias[[#This Row],[data]],"dddd")</f>
        <v>sábado</v>
      </c>
      <c r="D808" s="33">
        <v>2</v>
      </c>
      <c r="E808" s="33">
        <v>2</v>
      </c>
      <c r="F808" s="18"/>
      <c r="G808" s="35">
        <f>WEEKDAY(Metas_Diarias[[#This Row],[data]])</f>
        <v>7</v>
      </c>
      <c r="H808" s="35">
        <f>IF(Metas_Diarias[[#This Row],[dias_da_demana]]=1,"domingo",IF(Metas_Diarias[[#This Row],[dias_da_demana]]=7,0.5,1))</f>
        <v>0.5</v>
      </c>
      <c r="I808" s="35">
        <f>_xlfn.XLOOKUP(Metas_Diarias[[#This Row],[data]],Feriados[Data],Feriados[Feriado],1)</f>
        <v>1</v>
      </c>
      <c r="J808" s="33" cm="1">
        <f t="array" aca="1" ref="J808" ca="1">SUMPRODUCT(IF((NOT(ISERROR(MATCH(ROW(INDIRECT(DATE(YEAR(B808),MONTH(B808),1)&amp;":"&amp;DATE(YEAR(B808),MONTH(B808)+1,0))),Feriados[Data],0))))=FALSE,
IF(WEEKDAY(ROW(INDIRECT(DATE(YEAR(B808),MONTH(B808),1)&amp;":"&amp;DATE(YEAR(B808),MONTH(B808)+1,0))),2)&lt;=5,1,IF(WEEKDAY(ROW(INDIRECT(DATE(YEAR(B808),MONTH(B808),1)&amp;":"&amp;DATE(YEAR(B808),MONTH(B808)+1,0))),2)=6,0.5,0)),0))</f>
        <v>24</v>
      </c>
      <c r="K808" s="22" cm="1">
        <f t="array" ref="K808">_xlfn.XLOOKUP(1,((Metas_Diarias[[#This Row],[tipo_equipe_id]]=Metas[equipe])*(Metas_Diarias[[#This Row],[data]]&gt;Metas[data_inicio])*(Metas_Diarias[[#This Row],[data]]&lt;Metas[data_fim])),Metas[meta_mensal],0)</f>
        <v>110000</v>
      </c>
      <c r="L808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809" spans="2:12" x14ac:dyDescent="0.3">
      <c r="B809" s="34">
        <v>45914</v>
      </c>
      <c r="C809" s="34" t="str">
        <f>TEXT(Metas_Diarias[[#This Row],[data]],"dddd")</f>
        <v>domingo</v>
      </c>
      <c r="D809" s="33">
        <v>2</v>
      </c>
      <c r="E809" s="33">
        <v>2</v>
      </c>
      <c r="F809" s="18"/>
      <c r="G809" s="35">
        <f>WEEKDAY(Metas_Diarias[[#This Row],[data]])</f>
        <v>1</v>
      </c>
      <c r="H809" s="35" t="str">
        <f>IF(Metas_Diarias[[#This Row],[dias_da_demana]]=1,"domingo",IF(Metas_Diarias[[#This Row],[dias_da_demana]]=7,0.5,1))</f>
        <v>domingo</v>
      </c>
      <c r="I809" s="35">
        <f>_xlfn.XLOOKUP(Metas_Diarias[[#This Row],[data]],Feriados[Data],Feriados[Feriado],1)</f>
        <v>1</v>
      </c>
      <c r="J809" s="33" cm="1">
        <f t="array" aca="1" ref="J809" ca="1">SUMPRODUCT(IF((NOT(ISERROR(MATCH(ROW(INDIRECT(DATE(YEAR(B809),MONTH(B809),1)&amp;":"&amp;DATE(YEAR(B809),MONTH(B809)+1,0))),Feriados[Data],0))))=FALSE,
IF(WEEKDAY(ROW(INDIRECT(DATE(YEAR(B809),MONTH(B809),1)&amp;":"&amp;DATE(YEAR(B809),MONTH(B809)+1,0))),2)&lt;=5,1,IF(WEEKDAY(ROW(INDIRECT(DATE(YEAR(B809),MONTH(B809),1)&amp;":"&amp;DATE(YEAR(B809),MONTH(B809)+1,0))),2)=6,0.5,0)),0))</f>
        <v>24</v>
      </c>
      <c r="K809" s="22" cm="1">
        <f t="array" ref="K809">_xlfn.XLOOKUP(1,((Metas_Diarias[[#This Row],[tipo_equipe_id]]=Metas[equipe])*(Metas_Diarias[[#This Row],[data]]&gt;Metas[data_inicio])*(Metas_Diarias[[#This Row],[data]]&lt;Metas[data_fim])),Metas[meta_mensal],0)</f>
        <v>110000</v>
      </c>
      <c r="L80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10" spans="2:12" x14ac:dyDescent="0.3">
      <c r="B810" s="34">
        <v>45915</v>
      </c>
      <c r="C810" s="34" t="str">
        <f>TEXT(Metas_Diarias[[#This Row],[data]],"dddd")</f>
        <v>segunda-feira</v>
      </c>
      <c r="D810" s="33">
        <v>2</v>
      </c>
      <c r="E810" s="33">
        <v>2</v>
      </c>
      <c r="F810" s="18"/>
      <c r="G810" s="35">
        <f>WEEKDAY(Metas_Diarias[[#This Row],[data]])</f>
        <v>2</v>
      </c>
      <c r="H810" s="35">
        <f>IF(Metas_Diarias[[#This Row],[dias_da_demana]]=1,"domingo",IF(Metas_Diarias[[#This Row],[dias_da_demana]]=7,0.5,1))</f>
        <v>1</v>
      </c>
      <c r="I810" s="35">
        <f>_xlfn.XLOOKUP(Metas_Diarias[[#This Row],[data]],Feriados[Data],Feriados[Feriado],1)</f>
        <v>1</v>
      </c>
      <c r="J810" s="33" cm="1">
        <f t="array" aca="1" ref="J810" ca="1">SUMPRODUCT(IF((NOT(ISERROR(MATCH(ROW(INDIRECT(DATE(YEAR(B810),MONTH(B810),1)&amp;":"&amp;DATE(YEAR(B810),MONTH(B810)+1,0))),Feriados[Data],0))))=FALSE,
IF(WEEKDAY(ROW(INDIRECT(DATE(YEAR(B810),MONTH(B810),1)&amp;":"&amp;DATE(YEAR(B810),MONTH(B810)+1,0))),2)&lt;=5,1,IF(WEEKDAY(ROW(INDIRECT(DATE(YEAR(B810),MONTH(B810),1)&amp;":"&amp;DATE(YEAR(B810),MONTH(B810)+1,0))),2)=6,0.5,0)),0))</f>
        <v>24</v>
      </c>
      <c r="K810" s="22" cm="1">
        <f t="array" ref="K810">_xlfn.XLOOKUP(1,((Metas_Diarias[[#This Row],[tipo_equipe_id]]=Metas[equipe])*(Metas_Diarias[[#This Row],[data]]&gt;Metas[data_inicio])*(Metas_Diarias[[#This Row],[data]]&lt;Metas[data_fim])),Metas[meta_mensal],0)</f>
        <v>110000</v>
      </c>
      <c r="L81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11" spans="2:12" x14ac:dyDescent="0.3">
      <c r="B811" s="34">
        <v>45916</v>
      </c>
      <c r="C811" s="34" t="str">
        <f>TEXT(Metas_Diarias[[#This Row],[data]],"dddd")</f>
        <v>terça-feira</v>
      </c>
      <c r="D811" s="33">
        <v>2</v>
      </c>
      <c r="E811" s="33">
        <v>2</v>
      </c>
      <c r="F811" s="18"/>
      <c r="G811" s="35">
        <f>WEEKDAY(Metas_Diarias[[#This Row],[data]])</f>
        <v>3</v>
      </c>
      <c r="H811" s="35">
        <f>IF(Metas_Diarias[[#This Row],[dias_da_demana]]=1,"domingo",IF(Metas_Diarias[[#This Row],[dias_da_demana]]=7,0.5,1))</f>
        <v>1</v>
      </c>
      <c r="I811" s="35">
        <f>_xlfn.XLOOKUP(Metas_Diarias[[#This Row],[data]],Feriados[Data],Feriados[Feriado],1)</f>
        <v>1</v>
      </c>
      <c r="J811" s="33" cm="1">
        <f t="array" aca="1" ref="J811" ca="1">SUMPRODUCT(IF((NOT(ISERROR(MATCH(ROW(INDIRECT(DATE(YEAR(B811),MONTH(B811),1)&amp;":"&amp;DATE(YEAR(B811),MONTH(B811)+1,0))),Feriados[Data],0))))=FALSE,
IF(WEEKDAY(ROW(INDIRECT(DATE(YEAR(B811),MONTH(B811),1)&amp;":"&amp;DATE(YEAR(B811),MONTH(B811)+1,0))),2)&lt;=5,1,IF(WEEKDAY(ROW(INDIRECT(DATE(YEAR(B811),MONTH(B811),1)&amp;":"&amp;DATE(YEAR(B811),MONTH(B811)+1,0))),2)=6,0.5,0)),0))</f>
        <v>24</v>
      </c>
      <c r="K811" s="22" cm="1">
        <f t="array" ref="K811">_xlfn.XLOOKUP(1,((Metas_Diarias[[#This Row],[tipo_equipe_id]]=Metas[equipe])*(Metas_Diarias[[#This Row],[data]]&gt;Metas[data_inicio])*(Metas_Diarias[[#This Row],[data]]&lt;Metas[data_fim])),Metas[meta_mensal],0)</f>
        <v>110000</v>
      </c>
      <c r="L81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12" spans="2:12" x14ac:dyDescent="0.3">
      <c r="B812" s="34">
        <v>45917</v>
      </c>
      <c r="C812" s="34" t="str">
        <f>TEXT(Metas_Diarias[[#This Row],[data]],"dddd")</f>
        <v>quarta-feira</v>
      </c>
      <c r="D812" s="33">
        <v>2</v>
      </c>
      <c r="E812" s="33">
        <v>2</v>
      </c>
      <c r="F812" s="18"/>
      <c r="G812" s="35">
        <f>WEEKDAY(Metas_Diarias[[#This Row],[data]])</f>
        <v>4</v>
      </c>
      <c r="H812" s="35">
        <f>IF(Metas_Diarias[[#This Row],[dias_da_demana]]=1,"domingo",IF(Metas_Diarias[[#This Row],[dias_da_demana]]=7,0.5,1))</f>
        <v>1</v>
      </c>
      <c r="I812" s="35">
        <f>_xlfn.XLOOKUP(Metas_Diarias[[#This Row],[data]],Feriados[Data],Feriados[Feriado],1)</f>
        <v>1</v>
      </c>
      <c r="J812" s="33" cm="1">
        <f t="array" aca="1" ref="J812" ca="1">SUMPRODUCT(IF((NOT(ISERROR(MATCH(ROW(INDIRECT(DATE(YEAR(B812),MONTH(B812),1)&amp;":"&amp;DATE(YEAR(B812),MONTH(B812)+1,0))),Feriados[Data],0))))=FALSE,
IF(WEEKDAY(ROW(INDIRECT(DATE(YEAR(B812),MONTH(B812),1)&amp;":"&amp;DATE(YEAR(B812),MONTH(B812)+1,0))),2)&lt;=5,1,IF(WEEKDAY(ROW(INDIRECT(DATE(YEAR(B812),MONTH(B812),1)&amp;":"&amp;DATE(YEAR(B812),MONTH(B812)+1,0))),2)=6,0.5,0)),0))</f>
        <v>24</v>
      </c>
      <c r="K812" s="22" cm="1">
        <f t="array" ref="K812">_xlfn.XLOOKUP(1,((Metas_Diarias[[#This Row],[tipo_equipe_id]]=Metas[equipe])*(Metas_Diarias[[#This Row],[data]]&gt;Metas[data_inicio])*(Metas_Diarias[[#This Row],[data]]&lt;Metas[data_fim])),Metas[meta_mensal],0)</f>
        <v>110000</v>
      </c>
      <c r="L812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13" spans="2:12" x14ac:dyDescent="0.3">
      <c r="B813" s="34">
        <v>45918</v>
      </c>
      <c r="C813" s="34" t="str">
        <f>TEXT(Metas_Diarias[[#This Row],[data]],"dddd")</f>
        <v>quinta-feira</v>
      </c>
      <c r="D813" s="33">
        <v>2</v>
      </c>
      <c r="E813" s="33">
        <v>2</v>
      </c>
      <c r="F813" s="18"/>
      <c r="G813" s="35">
        <f>WEEKDAY(Metas_Diarias[[#This Row],[data]])</f>
        <v>5</v>
      </c>
      <c r="H813" s="35">
        <f>IF(Metas_Diarias[[#This Row],[dias_da_demana]]=1,"domingo",IF(Metas_Diarias[[#This Row],[dias_da_demana]]=7,0.5,1))</f>
        <v>1</v>
      </c>
      <c r="I813" s="35">
        <f>_xlfn.XLOOKUP(Metas_Diarias[[#This Row],[data]],Feriados[Data],Feriados[Feriado],1)</f>
        <v>1</v>
      </c>
      <c r="J813" s="33" cm="1">
        <f t="array" aca="1" ref="J813" ca="1">SUMPRODUCT(IF((NOT(ISERROR(MATCH(ROW(INDIRECT(DATE(YEAR(B813),MONTH(B813),1)&amp;":"&amp;DATE(YEAR(B813),MONTH(B813)+1,0))),Feriados[Data],0))))=FALSE,
IF(WEEKDAY(ROW(INDIRECT(DATE(YEAR(B813),MONTH(B813),1)&amp;":"&amp;DATE(YEAR(B813),MONTH(B813)+1,0))),2)&lt;=5,1,IF(WEEKDAY(ROW(INDIRECT(DATE(YEAR(B813),MONTH(B813),1)&amp;":"&amp;DATE(YEAR(B813),MONTH(B813)+1,0))),2)=6,0.5,0)),0))</f>
        <v>24</v>
      </c>
      <c r="K813" s="22" cm="1">
        <f t="array" ref="K813">_xlfn.XLOOKUP(1,((Metas_Diarias[[#This Row],[tipo_equipe_id]]=Metas[equipe])*(Metas_Diarias[[#This Row],[data]]&gt;Metas[data_inicio])*(Metas_Diarias[[#This Row],[data]]&lt;Metas[data_fim])),Metas[meta_mensal],0)</f>
        <v>110000</v>
      </c>
      <c r="L813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14" spans="2:12" x14ac:dyDescent="0.3">
      <c r="B814" s="34">
        <v>45919</v>
      </c>
      <c r="C814" s="34" t="str">
        <f>TEXT(Metas_Diarias[[#This Row],[data]],"dddd")</f>
        <v>sexta-feira</v>
      </c>
      <c r="D814" s="33">
        <v>2</v>
      </c>
      <c r="E814" s="33">
        <v>2</v>
      </c>
      <c r="F814" s="18"/>
      <c r="G814" s="35">
        <f>WEEKDAY(Metas_Diarias[[#This Row],[data]])</f>
        <v>6</v>
      </c>
      <c r="H814" s="35">
        <f>IF(Metas_Diarias[[#This Row],[dias_da_demana]]=1,"domingo",IF(Metas_Diarias[[#This Row],[dias_da_demana]]=7,0.5,1))</f>
        <v>1</v>
      </c>
      <c r="I814" s="35">
        <f>_xlfn.XLOOKUP(Metas_Diarias[[#This Row],[data]],Feriados[Data],Feriados[Feriado],1)</f>
        <v>1</v>
      </c>
      <c r="J814" s="33" cm="1">
        <f t="array" aca="1" ref="J814" ca="1">SUMPRODUCT(IF((NOT(ISERROR(MATCH(ROW(INDIRECT(DATE(YEAR(B814),MONTH(B814),1)&amp;":"&amp;DATE(YEAR(B814),MONTH(B814)+1,0))),Feriados[Data],0))))=FALSE,
IF(WEEKDAY(ROW(INDIRECT(DATE(YEAR(B814),MONTH(B814),1)&amp;":"&amp;DATE(YEAR(B814),MONTH(B814)+1,0))),2)&lt;=5,1,IF(WEEKDAY(ROW(INDIRECT(DATE(YEAR(B814),MONTH(B814),1)&amp;":"&amp;DATE(YEAR(B814),MONTH(B814)+1,0))),2)=6,0.5,0)),0))</f>
        <v>24</v>
      </c>
      <c r="K814" s="22" cm="1">
        <f t="array" ref="K814">_xlfn.XLOOKUP(1,((Metas_Diarias[[#This Row],[tipo_equipe_id]]=Metas[equipe])*(Metas_Diarias[[#This Row],[data]]&gt;Metas[data_inicio])*(Metas_Diarias[[#This Row],[data]]&lt;Metas[data_fim])),Metas[meta_mensal],0)</f>
        <v>110000</v>
      </c>
      <c r="L81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15" spans="2:12" x14ac:dyDescent="0.3">
      <c r="B815" s="34">
        <v>45920</v>
      </c>
      <c r="C815" s="34" t="str">
        <f>TEXT(Metas_Diarias[[#This Row],[data]],"dddd")</f>
        <v>sábado</v>
      </c>
      <c r="D815" s="33">
        <v>2</v>
      </c>
      <c r="E815" s="33">
        <v>2</v>
      </c>
      <c r="F815" s="18"/>
      <c r="G815" s="35">
        <f>WEEKDAY(Metas_Diarias[[#This Row],[data]])</f>
        <v>7</v>
      </c>
      <c r="H815" s="35">
        <f>IF(Metas_Diarias[[#This Row],[dias_da_demana]]=1,"domingo",IF(Metas_Diarias[[#This Row],[dias_da_demana]]=7,0.5,1))</f>
        <v>0.5</v>
      </c>
      <c r="I815" s="35">
        <f>_xlfn.XLOOKUP(Metas_Diarias[[#This Row],[data]],Feriados[Data],Feriados[Feriado],1)</f>
        <v>1</v>
      </c>
      <c r="J815" s="33" cm="1">
        <f t="array" aca="1" ref="J815" ca="1">SUMPRODUCT(IF((NOT(ISERROR(MATCH(ROW(INDIRECT(DATE(YEAR(B815),MONTH(B815),1)&amp;":"&amp;DATE(YEAR(B815),MONTH(B815)+1,0))),Feriados[Data],0))))=FALSE,
IF(WEEKDAY(ROW(INDIRECT(DATE(YEAR(B815),MONTH(B815),1)&amp;":"&amp;DATE(YEAR(B815),MONTH(B815)+1,0))),2)&lt;=5,1,IF(WEEKDAY(ROW(INDIRECT(DATE(YEAR(B815),MONTH(B815),1)&amp;":"&amp;DATE(YEAR(B815),MONTH(B815)+1,0))),2)=6,0.5,0)),0))</f>
        <v>24</v>
      </c>
      <c r="K815" s="22" cm="1">
        <f t="array" ref="K815">_xlfn.XLOOKUP(1,((Metas_Diarias[[#This Row],[tipo_equipe_id]]=Metas[equipe])*(Metas_Diarias[[#This Row],[data]]&gt;Metas[data_inicio])*(Metas_Diarias[[#This Row],[data]]&lt;Metas[data_fim])),Metas[meta_mensal],0)</f>
        <v>110000</v>
      </c>
      <c r="L815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816" spans="2:12" x14ac:dyDescent="0.3">
      <c r="B816" s="34">
        <v>45921</v>
      </c>
      <c r="C816" s="34" t="str">
        <f>TEXT(Metas_Diarias[[#This Row],[data]],"dddd")</f>
        <v>domingo</v>
      </c>
      <c r="D816" s="33">
        <v>2</v>
      </c>
      <c r="E816" s="33">
        <v>2</v>
      </c>
      <c r="F816" s="18"/>
      <c r="G816" s="35">
        <f>WEEKDAY(Metas_Diarias[[#This Row],[data]])</f>
        <v>1</v>
      </c>
      <c r="H816" s="35" t="str">
        <f>IF(Metas_Diarias[[#This Row],[dias_da_demana]]=1,"domingo",IF(Metas_Diarias[[#This Row],[dias_da_demana]]=7,0.5,1))</f>
        <v>domingo</v>
      </c>
      <c r="I816" s="35">
        <f>_xlfn.XLOOKUP(Metas_Diarias[[#This Row],[data]],Feriados[Data],Feriados[Feriado],1)</f>
        <v>1</v>
      </c>
      <c r="J816" s="33" cm="1">
        <f t="array" aca="1" ref="J816" ca="1">SUMPRODUCT(IF((NOT(ISERROR(MATCH(ROW(INDIRECT(DATE(YEAR(B816),MONTH(B816),1)&amp;":"&amp;DATE(YEAR(B816),MONTH(B816)+1,0))),Feriados[Data],0))))=FALSE,
IF(WEEKDAY(ROW(INDIRECT(DATE(YEAR(B816),MONTH(B816),1)&amp;":"&amp;DATE(YEAR(B816),MONTH(B816)+1,0))),2)&lt;=5,1,IF(WEEKDAY(ROW(INDIRECT(DATE(YEAR(B816),MONTH(B816),1)&amp;":"&amp;DATE(YEAR(B816),MONTH(B816)+1,0))),2)=6,0.5,0)),0))</f>
        <v>24</v>
      </c>
      <c r="K816" s="22" cm="1">
        <f t="array" ref="K816">_xlfn.XLOOKUP(1,((Metas_Diarias[[#This Row],[tipo_equipe_id]]=Metas[equipe])*(Metas_Diarias[[#This Row],[data]]&gt;Metas[data_inicio])*(Metas_Diarias[[#This Row],[data]]&lt;Metas[data_fim])),Metas[meta_mensal],0)</f>
        <v>110000</v>
      </c>
      <c r="L8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17" spans="2:12" x14ac:dyDescent="0.3">
      <c r="B817" s="34">
        <v>45922</v>
      </c>
      <c r="C817" s="34" t="str">
        <f>TEXT(Metas_Diarias[[#This Row],[data]],"dddd")</f>
        <v>segunda-feira</v>
      </c>
      <c r="D817" s="33">
        <v>2</v>
      </c>
      <c r="E817" s="33">
        <v>2</v>
      </c>
      <c r="F817" s="18"/>
      <c r="G817" s="35">
        <f>WEEKDAY(Metas_Diarias[[#This Row],[data]])</f>
        <v>2</v>
      </c>
      <c r="H817" s="35">
        <f>IF(Metas_Diarias[[#This Row],[dias_da_demana]]=1,"domingo",IF(Metas_Diarias[[#This Row],[dias_da_demana]]=7,0.5,1))</f>
        <v>1</v>
      </c>
      <c r="I817" s="35">
        <f>_xlfn.XLOOKUP(Metas_Diarias[[#This Row],[data]],Feriados[Data],Feriados[Feriado],1)</f>
        <v>1</v>
      </c>
      <c r="J817" s="33" cm="1">
        <f t="array" aca="1" ref="J817" ca="1">SUMPRODUCT(IF((NOT(ISERROR(MATCH(ROW(INDIRECT(DATE(YEAR(B817),MONTH(B817),1)&amp;":"&amp;DATE(YEAR(B817),MONTH(B817)+1,0))),Feriados[Data],0))))=FALSE,
IF(WEEKDAY(ROW(INDIRECT(DATE(YEAR(B817),MONTH(B817),1)&amp;":"&amp;DATE(YEAR(B817),MONTH(B817)+1,0))),2)&lt;=5,1,IF(WEEKDAY(ROW(INDIRECT(DATE(YEAR(B817),MONTH(B817),1)&amp;":"&amp;DATE(YEAR(B817),MONTH(B817)+1,0))),2)=6,0.5,0)),0))</f>
        <v>24</v>
      </c>
      <c r="K817" s="22" cm="1">
        <f t="array" ref="K817">_xlfn.XLOOKUP(1,((Metas_Diarias[[#This Row],[tipo_equipe_id]]=Metas[equipe])*(Metas_Diarias[[#This Row],[data]]&gt;Metas[data_inicio])*(Metas_Diarias[[#This Row],[data]]&lt;Metas[data_fim])),Metas[meta_mensal],0)</f>
        <v>110000</v>
      </c>
      <c r="L81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18" spans="2:12" x14ac:dyDescent="0.3">
      <c r="B818" s="34">
        <v>45923</v>
      </c>
      <c r="C818" s="34" t="str">
        <f>TEXT(Metas_Diarias[[#This Row],[data]],"dddd")</f>
        <v>terça-feira</v>
      </c>
      <c r="D818" s="33">
        <v>2</v>
      </c>
      <c r="E818" s="33">
        <v>2</v>
      </c>
      <c r="F818" s="18"/>
      <c r="G818" s="35">
        <f>WEEKDAY(Metas_Diarias[[#This Row],[data]])</f>
        <v>3</v>
      </c>
      <c r="H818" s="35">
        <f>IF(Metas_Diarias[[#This Row],[dias_da_demana]]=1,"domingo",IF(Metas_Diarias[[#This Row],[dias_da_demana]]=7,0.5,1))</f>
        <v>1</v>
      </c>
      <c r="I818" s="35">
        <f>_xlfn.XLOOKUP(Metas_Diarias[[#This Row],[data]],Feriados[Data],Feriados[Feriado],1)</f>
        <v>1</v>
      </c>
      <c r="J818" s="33" cm="1">
        <f t="array" aca="1" ref="J818" ca="1">SUMPRODUCT(IF((NOT(ISERROR(MATCH(ROW(INDIRECT(DATE(YEAR(B818),MONTH(B818),1)&amp;":"&amp;DATE(YEAR(B818),MONTH(B818)+1,0))),Feriados[Data],0))))=FALSE,
IF(WEEKDAY(ROW(INDIRECT(DATE(YEAR(B818),MONTH(B818),1)&amp;":"&amp;DATE(YEAR(B818),MONTH(B818)+1,0))),2)&lt;=5,1,IF(WEEKDAY(ROW(INDIRECT(DATE(YEAR(B818),MONTH(B818),1)&amp;":"&amp;DATE(YEAR(B818),MONTH(B818)+1,0))),2)=6,0.5,0)),0))</f>
        <v>24</v>
      </c>
      <c r="K818" s="22" cm="1">
        <f t="array" ref="K818">_xlfn.XLOOKUP(1,((Metas_Diarias[[#This Row],[tipo_equipe_id]]=Metas[equipe])*(Metas_Diarias[[#This Row],[data]]&gt;Metas[data_inicio])*(Metas_Diarias[[#This Row],[data]]&lt;Metas[data_fim])),Metas[meta_mensal],0)</f>
        <v>110000</v>
      </c>
      <c r="L81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19" spans="2:12" x14ac:dyDescent="0.3">
      <c r="B819" s="34">
        <v>45924</v>
      </c>
      <c r="C819" s="34" t="str">
        <f>TEXT(Metas_Diarias[[#This Row],[data]],"dddd")</f>
        <v>quarta-feira</v>
      </c>
      <c r="D819" s="33">
        <v>2</v>
      </c>
      <c r="E819" s="33">
        <v>2</v>
      </c>
      <c r="F819" s="18"/>
      <c r="G819" s="35">
        <f>WEEKDAY(Metas_Diarias[[#This Row],[data]])</f>
        <v>4</v>
      </c>
      <c r="H819" s="35">
        <f>IF(Metas_Diarias[[#This Row],[dias_da_demana]]=1,"domingo",IF(Metas_Diarias[[#This Row],[dias_da_demana]]=7,0.5,1))</f>
        <v>1</v>
      </c>
      <c r="I819" s="35">
        <f>_xlfn.XLOOKUP(Metas_Diarias[[#This Row],[data]],Feriados[Data],Feriados[Feriado],1)</f>
        <v>1</v>
      </c>
      <c r="J819" s="33" cm="1">
        <f t="array" aca="1" ref="J819" ca="1">SUMPRODUCT(IF((NOT(ISERROR(MATCH(ROW(INDIRECT(DATE(YEAR(B819),MONTH(B819),1)&amp;":"&amp;DATE(YEAR(B819),MONTH(B819)+1,0))),Feriados[Data],0))))=FALSE,
IF(WEEKDAY(ROW(INDIRECT(DATE(YEAR(B819),MONTH(B819),1)&amp;":"&amp;DATE(YEAR(B819),MONTH(B819)+1,0))),2)&lt;=5,1,IF(WEEKDAY(ROW(INDIRECT(DATE(YEAR(B819),MONTH(B819),1)&amp;":"&amp;DATE(YEAR(B819),MONTH(B819)+1,0))),2)=6,0.5,0)),0))</f>
        <v>24</v>
      </c>
      <c r="K819" s="22" cm="1">
        <f t="array" ref="K819">_xlfn.XLOOKUP(1,((Metas_Diarias[[#This Row],[tipo_equipe_id]]=Metas[equipe])*(Metas_Diarias[[#This Row],[data]]&gt;Metas[data_inicio])*(Metas_Diarias[[#This Row],[data]]&lt;Metas[data_fim])),Metas[meta_mensal],0)</f>
        <v>110000</v>
      </c>
      <c r="L819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20" spans="2:12" x14ac:dyDescent="0.3">
      <c r="B820" s="34">
        <v>45925</v>
      </c>
      <c r="C820" s="34" t="str">
        <f>TEXT(Metas_Diarias[[#This Row],[data]],"dddd")</f>
        <v>quinta-feira</v>
      </c>
      <c r="D820" s="33">
        <v>2</v>
      </c>
      <c r="E820" s="33">
        <v>2</v>
      </c>
      <c r="F820" s="18"/>
      <c r="G820" s="35">
        <f>WEEKDAY(Metas_Diarias[[#This Row],[data]])</f>
        <v>5</v>
      </c>
      <c r="H820" s="35">
        <f>IF(Metas_Diarias[[#This Row],[dias_da_demana]]=1,"domingo",IF(Metas_Diarias[[#This Row],[dias_da_demana]]=7,0.5,1))</f>
        <v>1</v>
      </c>
      <c r="I820" s="35">
        <f>_xlfn.XLOOKUP(Metas_Diarias[[#This Row],[data]],Feriados[Data],Feriados[Feriado],1)</f>
        <v>1</v>
      </c>
      <c r="J820" s="33" cm="1">
        <f t="array" aca="1" ref="J820" ca="1">SUMPRODUCT(IF((NOT(ISERROR(MATCH(ROW(INDIRECT(DATE(YEAR(B820),MONTH(B820),1)&amp;":"&amp;DATE(YEAR(B820),MONTH(B820)+1,0))),Feriados[Data],0))))=FALSE,
IF(WEEKDAY(ROW(INDIRECT(DATE(YEAR(B820),MONTH(B820),1)&amp;":"&amp;DATE(YEAR(B820),MONTH(B820)+1,0))),2)&lt;=5,1,IF(WEEKDAY(ROW(INDIRECT(DATE(YEAR(B820),MONTH(B820),1)&amp;":"&amp;DATE(YEAR(B820),MONTH(B820)+1,0))),2)=6,0.5,0)),0))</f>
        <v>24</v>
      </c>
      <c r="K820" s="22" cm="1">
        <f t="array" ref="K820">_xlfn.XLOOKUP(1,((Metas_Diarias[[#This Row],[tipo_equipe_id]]=Metas[equipe])*(Metas_Diarias[[#This Row],[data]]&gt;Metas[data_inicio])*(Metas_Diarias[[#This Row],[data]]&lt;Metas[data_fim])),Metas[meta_mensal],0)</f>
        <v>110000</v>
      </c>
      <c r="L82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21" spans="2:12" x14ac:dyDescent="0.3">
      <c r="B821" s="34">
        <v>45926</v>
      </c>
      <c r="C821" s="34" t="str">
        <f>TEXT(Metas_Diarias[[#This Row],[data]],"dddd")</f>
        <v>sexta-feira</v>
      </c>
      <c r="D821" s="33">
        <v>2</v>
      </c>
      <c r="E821" s="33">
        <v>2</v>
      </c>
      <c r="F821" s="18"/>
      <c r="G821" s="35">
        <f>WEEKDAY(Metas_Diarias[[#This Row],[data]])</f>
        <v>6</v>
      </c>
      <c r="H821" s="35">
        <f>IF(Metas_Diarias[[#This Row],[dias_da_demana]]=1,"domingo",IF(Metas_Diarias[[#This Row],[dias_da_demana]]=7,0.5,1))</f>
        <v>1</v>
      </c>
      <c r="I821" s="35">
        <f>_xlfn.XLOOKUP(Metas_Diarias[[#This Row],[data]],Feriados[Data],Feriados[Feriado],1)</f>
        <v>1</v>
      </c>
      <c r="J821" s="33" cm="1">
        <f t="array" aca="1" ref="J821" ca="1">SUMPRODUCT(IF((NOT(ISERROR(MATCH(ROW(INDIRECT(DATE(YEAR(B821),MONTH(B821),1)&amp;":"&amp;DATE(YEAR(B821),MONTH(B821)+1,0))),Feriados[Data],0))))=FALSE,
IF(WEEKDAY(ROW(INDIRECT(DATE(YEAR(B821),MONTH(B821),1)&amp;":"&amp;DATE(YEAR(B821),MONTH(B821)+1,0))),2)&lt;=5,1,IF(WEEKDAY(ROW(INDIRECT(DATE(YEAR(B821),MONTH(B821),1)&amp;":"&amp;DATE(YEAR(B821),MONTH(B821)+1,0))),2)=6,0.5,0)),0))</f>
        <v>24</v>
      </c>
      <c r="K821" s="22" cm="1">
        <f t="array" ref="K821">_xlfn.XLOOKUP(1,((Metas_Diarias[[#This Row],[tipo_equipe_id]]=Metas[equipe])*(Metas_Diarias[[#This Row],[data]]&gt;Metas[data_inicio])*(Metas_Diarias[[#This Row],[data]]&lt;Metas[data_fim])),Metas[meta_mensal],0)</f>
        <v>110000</v>
      </c>
      <c r="L82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22" spans="2:12" x14ac:dyDescent="0.3">
      <c r="B822" s="34">
        <v>45927</v>
      </c>
      <c r="C822" s="34" t="str">
        <f>TEXT(Metas_Diarias[[#This Row],[data]],"dddd")</f>
        <v>sábado</v>
      </c>
      <c r="D822" s="33">
        <v>2</v>
      </c>
      <c r="E822" s="33">
        <v>2</v>
      </c>
      <c r="F822" s="18"/>
      <c r="G822" s="35">
        <f>WEEKDAY(Metas_Diarias[[#This Row],[data]])</f>
        <v>7</v>
      </c>
      <c r="H822" s="35">
        <f>IF(Metas_Diarias[[#This Row],[dias_da_demana]]=1,"domingo",IF(Metas_Diarias[[#This Row],[dias_da_demana]]=7,0.5,1))</f>
        <v>0.5</v>
      </c>
      <c r="I822" s="35">
        <f>_xlfn.XLOOKUP(Metas_Diarias[[#This Row],[data]],Feriados[Data],Feriados[Feriado],1)</f>
        <v>1</v>
      </c>
      <c r="J822" s="33" cm="1">
        <f t="array" aca="1" ref="J822" ca="1">SUMPRODUCT(IF((NOT(ISERROR(MATCH(ROW(INDIRECT(DATE(YEAR(B822),MONTH(B822),1)&amp;":"&amp;DATE(YEAR(B822),MONTH(B822)+1,0))),Feriados[Data],0))))=FALSE,
IF(WEEKDAY(ROW(INDIRECT(DATE(YEAR(B822),MONTH(B822),1)&amp;":"&amp;DATE(YEAR(B822),MONTH(B822)+1,0))),2)&lt;=5,1,IF(WEEKDAY(ROW(INDIRECT(DATE(YEAR(B822),MONTH(B822),1)&amp;":"&amp;DATE(YEAR(B822),MONTH(B822)+1,0))),2)=6,0.5,0)),0))</f>
        <v>24</v>
      </c>
      <c r="K822" s="22" cm="1">
        <f t="array" ref="K822">_xlfn.XLOOKUP(1,((Metas_Diarias[[#This Row],[tipo_equipe_id]]=Metas[equipe])*(Metas_Diarias[[#This Row],[data]]&gt;Metas[data_inicio])*(Metas_Diarias[[#This Row],[data]]&lt;Metas[data_fim])),Metas[meta_mensal],0)</f>
        <v>110000</v>
      </c>
      <c r="L822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823" spans="2:12" x14ac:dyDescent="0.3">
      <c r="B823" s="34">
        <v>45928</v>
      </c>
      <c r="C823" s="34" t="str">
        <f>TEXT(Metas_Diarias[[#This Row],[data]],"dddd")</f>
        <v>domingo</v>
      </c>
      <c r="D823" s="33">
        <v>2</v>
      </c>
      <c r="E823" s="33">
        <v>2</v>
      </c>
      <c r="F823" s="18"/>
      <c r="G823" s="35">
        <f>WEEKDAY(Metas_Diarias[[#This Row],[data]])</f>
        <v>1</v>
      </c>
      <c r="H823" s="35" t="str">
        <f>IF(Metas_Diarias[[#This Row],[dias_da_demana]]=1,"domingo",IF(Metas_Diarias[[#This Row],[dias_da_demana]]=7,0.5,1))</f>
        <v>domingo</v>
      </c>
      <c r="I823" s="35">
        <f>_xlfn.XLOOKUP(Metas_Diarias[[#This Row],[data]],Feriados[Data],Feriados[Feriado],1)</f>
        <v>1</v>
      </c>
      <c r="J823" s="33" cm="1">
        <f t="array" aca="1" ref="J823" ca="1">SUMPRODUCT(IF((NOT(ISERROR(MATCH(ROW(INDIRECT(DATE(YEAR(B823),MONTH(B823),1)&amp;":"&amp;DATE(YEAR(B823),MONTH(B823)+1,0))),Feriados[Data],0))))=FALSE,
IF(WEEKDAY(ROW(INDIRECT(DATE(YEAR(B823),MONTH(B823),1)&amp;":"&amp;DATE(YEAR(B823),MONTH(B823)+1,0))),2)&lt;=5,1,IF(WEEKDAY(ROW(INDIRECT(DATE(YEAR(B823),MONTH(B823),1)&amp;":"&amp;DATE(YEAR(B823),MONTH(B823)+1,0))),2)=6,0.5,0)),0))</f>
        <v>24</v>
      </c>
      <c r="K823" s="22" cm="1">
        <f t="array" ref="K823">_xlfn.XLOOKUP(1,((Metas_Diarias[[#This Row],[tipo_equipe_id]]=Metas[equipe])*(Metas_Diarias[[#This Row],[data]]&gt;Metas[data_inicio])*(Metas_Diarias[[#This Row],[data]]&lt;Metas[data_fim])),Metas[meta_mensal],0)</f>
        <v>110000</v>
      </c>
      <c r="L82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24" spans="2:12" x14ac:dyDescent="0.3">
      <c r="B824" s="34">
        <v>45929</v>
      </c>
      <c r="C824" s="34" t="str">
        <f>TEXT(Metas_Diarias[[#This Row],[data]],"dddd")</f>
        <v>segunda-feira</v>
      </c>
      <c r="D824" s="33">
        <v>2</v>
      </c>
      <c r="E824" s="33">
        <v>2</v>
      </c>
      <c r="F824" s="18"/>
      <c r="G824" s="35">
        <f>WEEKDAY(Metas_Diarias[[#This Row],[data]])</f>
        <v>2</v>
      </c>
      <c r="H824" s="35">
        <f>IF(Metas_Diarias[[#This Row],[dias_da_demana]]=1,"domingo",IF(Metas_Diarias[[#This Row],[dias_da_demana]]=7,0.5,1))</f>
        <v>1</v>
      </c>
      <c r="I824" s="35">
        <f>_xlfn.XLOOKUP(Metas_Diarias[[#This Row],[data]],Feriados[Data],Feriados[Feriado],1)</f>
        <v>1</v>
      </c>
      <c r="J824" s="33" cm="1">
        <f t="array" aca="1" ref="J824" ca="1">SUMPRODUCT(IF((NOT(ISERROR(MATCH(ROW(INDIRECT(DATE(YEAR(B824),MONTH(B824),1)&amp;":"&amp;DATE(YEAR(B824),MONTH(B824)+1,0))),Feriados[Data],0))))=FALSE,
IF(WEEKDAY(ROW(INDIRECT(DATE(YEAR(B824),MONTH(B824),1)&amp;":"&amp;DATE(YEAR(B824),MONTH(B824)+1,0))),2)&lt;=5,1,IF(WEEKDAY(ROW(INDIRECT(DATE(YEAR(B824),MONTH(B824),1)&amp;":"&amp;DATE(YEAR(B824),MONTH(B824)+1,0))),2)=6,0.5,0)),0))</f>
        <v>24</v>
      </c>
      <c r="K824" s="22" cm="1">
        <f t="array" ref="K824">_xlfn.XLOOKUP(1,((Metas_Diarias[[#This Row],[tipo_equipe_id]]=Metas[equipe])*(Metas_Diarias[[#This Row],[data]]&gt;Metas[data_inicio])*(Metas_Diarias[[#This Row],[data]]&lt;Metas[data_fim])),Metas[meta_mensal],0)</f>
        <v>110000</v>
      </c>
      <c r="L82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25" spans="2:12" x14ac:dyDescent="0.3">
      <c r="B825" s="34">
        <v>45930</v>
      </c>
      <c r="C825" s="34" t="str">
        <f>TEXT(Metas_Diarias[[#This Row],[data]],"dddd")</f>
        <v>terça-feira</v>
      </c>
      <c r="D825" s="33">
        <v>2</v>
      </c>
      <c r="E825" s="33">
        <v>2</v>
      </c>
      <c r="F825" s="18"/>
      <c r="G825" s="35">
        <f>WEEKDAY(Metas_Diarias[[#This Row],[data]])</f>
        <v>3</v>
      </c>
      <c r="H825" s="35">
        <f>IF(Metas_Diarias[[#This Row],[dias_da_demana]]=1,"domingo",IF(Metas_Diarias[[#This Row],[dias_da_demana]]=7,0.5,1))</f>
        <v>1</v>
      </c>
      <c r="I825" s="35">
        <f>_xlfn.XLOOKUP(Metas_Diarias[[#This Row],[data]],Feriados[Data],Feriados[Feriado],1)</f>
        <v>1</v>
      </c>
      <c r="J825" s="33" cm="1">
        <f t="array" aca="1" ref="J825" ca="1">SUMPRODUCT(IF((NOT(ISERROR(MATCH(ROW(INDIRECT(DATE(YEAR(B825),MONTH(B825),1)&amp;":"&amp;DATE(YEAR(B825),MONTH(B825)+1,0))),Feriados[Data],0))))=FALSE,
IF(WEEKDAY(ROW(INDIRECT(DATE(YEAR(B825),MONTH(B825),1)&amp;":"&amp;DATE(YEAR(B825),MONTH(B825)+1,0))),2)&lt;=5,1,IF(WEEKDAY(ROW(INDIRECT(DATE(YEAR(B825),MONTH(B825),1)&amp;":"&amp;DATE(YEAR(B825),MONTH(B825)+1,0))),2)=6,0.5,0)),0))</f>
        <v>24</v>
      </c>
      <c r="K825" s="22" cm="1">
        <f t="array" ref="K825">_xlfn.XLOOKUP(1,((Metas_Diarias[[#This Row],[tipo_equipe_id]]=Metas[equipe])*(Metas_Diarias[[#This Row],[data]]&gt;Metas[data_inicio])*(Metas_Diarias[[#This Row],[data]]&lt;Metas[data_fim])),Metas[meta_mensal],0)</f>
        <v>110000</v>
      </c>
      <c r="L82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26" spans="2:12" x14ac:dyDescent="0.3">
      <c r="B826" s="34">
        <v>45931</v>
      </c>
      <c r="C826" s="34" t="str">
        <f>TEXT(Metas_Diarias[[#This Row],[data]],"dddd")</f>
        <v>quarta-feira</v>
      </c>
      <c r="D826" s="33">
        <v>2</v>
      </c>
      <c r="E826" s="33">
        <v>2</v>
      </c>
      <c r="F826" s="18"/>
      <c r="G826" s="35">
        <f>WEEKDAY(Metas_Diarias[[#This Row],[data]])</f>
        <v>4</v>
      </c>
      <c r="H826" s="35">
        <f>IF(Metas_Diarias[[#This Row],[dias_da_demana]]=1,"domingo",IF(Metas_Diarias[[#This Row],[dias_da_demana]]=7,0.5,1))</f>
        <v>1</v>
      </c>
      <c r="I826" s="35">
        <f>_xlfn.XLOOKUP(Metas_Diarias[[#This Row],[data]],Feriados[Data],Feriados[Feriado],1)</f>
        <v>1</v>
      </c>
      <c r="J826" s="33" cm="1">
        <f t="array" aca="1" ref="J826" ca="1">SUMPRODUCT(IF((NOT(ISERROR(MATCH(ROW(INDIRECT(DATE(YEAR(B826),MONTH(B826),1)&amp;":"&amp;DATE(YEAR(B826),MONTH(B826)+1,0))),Feriados[Data],0))))=FALSE,
IF(WEEKDAY(ROW(INDIRECT(DATE(YEAR(B826),MONTH(B826),1)&amp;":"&amp;DATE(YEAR(B826),MONTH(B826)+1,0))),2)&lt;=5,1,IF(WEEKDAY(ROW(INDIRECT(DATE(YEAR(B826),MONTH(B826),1)&amp;":"&amp;DATE(YEAR(B826),MONTH(B826)+1,0))),2)=6,0.5,0)),0))</f>
        <v>25</v>
      </c>
      <c r="K826" s="22" cm="1">
        <f t="array" ref="K826">_xlfn.XLOOKUP(1,((Metas_Diarias[[#This Row],[tipo_equipe_id]]=Metas[equipe])*(Metas_Diarias[[#This Row],[data]]&gt;Metas[data_inicio])*(Metas_Diarias[[#This Row],[data]]&lt;Metas[data_fim])),Metas[meta_mensal],0)</f>
        <v>110000</v>
      </c>
      <c r="L826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27" spans="2:12" x14ac:dyDescent="0.3">
      <c r="B827" s="34">
        <v>45932</v>
      </c>
      <c r="C827" s="34" t="str">
        <f>TEXT(Metas_Diarias[[#This Row],[data]],"dddd")</f>
        <v>quinta-feira</v>
      </c>
      <c r="D827" s="33">
        <v>2</v>
      </c>
      <c r="E827" s="33">
        <v>2</v>
      </c>
      <c r="F827" s="18"/>
      <c r="G827" s="35">
        <f>WEEKDAY(Metas_Diarias[[#This Row],[data]])</f>
        <v>5</v>
      </c>
      <c r="H827" s="35">
        <f>IF(Metas_Diarias[[#This Row],[dias_da_demana]]=1,"domingo",IF(Metas_Diarias[[#This Row],[dias_da_demana]]=7,0.5,1))</f>
        <v>1</v>
      </c>
      <c r="I827" s="35">
        <f>_xlfn.XLOOKUP(Metas_Diarias[[#This Row],[data]],Feriados[Data],Feriados[Feriado],1)</f>
        <v>1</v>
      </c>
      <c r="J827" s="33" cm="1">
        <f t="array" aca="1" ref="J827" ca="1">SUMPRODUCT(IF((NOT(ISERROR(MATCH(ROW(INDIRECT(DATE(YEAR(B827),MONTH(B827),1)&amp;":"&amp;DATE(YEAR(B827),MONTH(B827)+1,0))),Feriados[Data],0))))=FALSE,
IF(WEEKDAY(ROW(INDIRECT(DATE(YEAR(B827),MONTH(B827),1)&amp;":"&amp;DATE(YEAR(B827),MONTH(B827)+1,0))),2)&lt;=5,1,IF(WEEKDAY(ROW(INDIRECT(DATE(YEAR(B827),MONTH(B827),1)&amp;":"&amp;DATE(YEAR(B827),MONTH(B827)+1,0))),2)=6,0.5,0)),0))</f>
        <v>25</v>
      </c>
      <c r="K827" s="22" cm="1">
        <f t="array" ref="K827">_xlfn.XLOOKUP(1,((Metas_Diarias[[#This Row],[tipo_equipe_id]]=Metas[equipe])*(Metas_Diarias[[#This Row],[data]]&gt;Metas[data_inicio])*(Metas_Diarias[[#This Row],[data]]&lt;Metas[data_fim])),Metas[meta_mensal],0)</f>
        <v>110000</v>
      </c>
      <c r="L827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28" spans="2:12" x14ac:dyDescent="0.3">
      <c r="B828" s="34">
        <v>45933</v>
      </c>
      <c r="C828" s="34" t="str">
        <f>TEXT(Metas_Diarias[[#This Row],[data]],"dddd")</f>
        <v>sexta-feira</v>
      </c>
      <c r="D828" s="33">
        <v>2</v>
      </c>
      <c r="E828" s="33">
        <v>2</v>
      </c>
      <c r="F828" s="18"/>
      <c r="G828" s="35">
        <f>WEEKDAY(Metas_Diarias[[#This Row],[data]])</f>
        <v>6</v>
      </c>
      <c r="H828" s="35">
        <f>IF(Metas_Diarias[[#This Row],[dias_da_demana]]=1,"domingo",IF(Metas_Diarias[[#This Row],[dias_da_demana]]=7,0.5,1))</f>
        <v>1</v>
      </c>
      <c r="I828" s="35">
        <f>_xlfn.XLOOKUP(Metas_Diarias[[#This Row],[data]],Feriados[Data],Feriados[Feriado],1)</f>
        <v>1</v>
      </c>
      <c r="J828" s="33" cm="1">
        <f t="array" aca="1" ref="J828" ca="1">SUMPRODUCT(IF((NOT(ISERROR(MATCH(ROW(INDIRECT(DATE(YEAR(B828),MONTH(B828),1)&amp;":"&amp;DATE(YEAR(B828),MONTH(B828)+1,0))),Feriados[Data],0))))=FALSE,
IF(WEEKDAY(ROW(INDIRECT(DATE(YEAR(B828),MONTH(B828),1)&amp;":"&amp;DATE(YEAR(B828),MONTH(B828)+1,0))),2)&lt;=5,1,IF(WEEKDAY(ROW(INDIRECT(DATE(YEAR(B828),MONTH(B828),1)&amp;":"&amp;DATE(YEAR(B828),MONTH(B828)+1,0))),2)=6,0.5,0)),0))</f>
        <v>25</v>
      </c>
      <c r="K828" s="22" cm="1">
        <f t="array" ref="K828">_xlfn.XLOOKUP(1,((Metas_Diarias[[#This Row],[tipo_equipe_id]]=Metas[equipe])*(Metas_Diarias[[#This Row],[data]]&gt;Metas[data_inicio])*(Metas_Diarias[[#This Row],[data]]&lt;Metas[data_fim])),Metas[meta_mensal],0)</f>
        <v>110000</v>
      </c>
      <c r="L828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29" spans="2:12" x14ac:dyDescent="0.3">
      <c r="B829" s="34">
        <v>45934</v>
      </c>
      <c r="C829" s="34" t="str">
        <f>TEXT(Metas_Diarias[[#This Row],[data]],"dddd")</f>
        <v>sábado</v>
      </c>
      <c r="D829" s="33">
        <v>2</v>
      </c>
      <c r="E829" s="33">
        <v>2</v>
      </c>
      <c r="F829" s="18"/>
      <c r="G829" s="35">
        <f>WEEKDAY(Metas_Diarias[[#This Row],[data]])</f>
        <v>7</v>
      </c>
      <c r="H829" s="35">
        <f>IF(Metas_Diarias[[#This Row],[dias_da_demana]]=1,"domingo",IF(Metas_Diarias[[#This Row],[dias_da_demana]]=7,0.5,1))</f>
        <v>0.5</v>
      </c>
      <c r="I829" s="35">
        <f>_xlfn.XLOOKUP(Metas_Diarias[[#This Row],[data]],Feriados[Data],Feriados[Feriado],1)</f>
        <v>1</v>
      </c>
      <c r="J829" s="33" cm="1">
        <f t="array" aca="1" ref="J829" ca="1">SUMPRODUCT(IF((NOT(ISERROR(MATCH(ROW(INDIRECT(DATE(YEAR(B829),MONTH(B829),1)&amp;":"&amp;DATE(YEAR(B829),MONTH(B829)+1,0))),Feriados[Data],0))))=FALSE,
IF(WEEKDAY(ROW(INDIRECT(DATE(YEAR(B829),MONTH(B829),1)&amp;":"&amp;DATE(YEAR(B829),MONTH(B829)+1,0))),2)&lt;=5,1,IF(WEEKDAY(ROW(INDIRECT(DATE(YEAR(B829),MONTH(B829),1)&amp;":"&amp;DATE(YEAR(B829),MONTH(B829)+1,0))),2)=6,0.5,0)),0))</f>
        <v>25</v>
      </c>
      <c r="K829" s="22" cm="1">
        <f t="array" ref="K829">_xlfn.XLOOKUP(1,((Metas_Diarias[[#This Row],[tipo_equipe_id]]=Metas[equipe])*(Metas_Diarias[[#This Row],[data]]&gt;Metas[data_inicio])*(Metas_Diarias[[#This Row],[data]]&lt;Metas[data_fim])),Metas[meta_mensal],0)</f>
        <v>110000</v>
      </c>
      <c r="L829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830" spans="2:12" x14ac:dyDescent="0.3">
      <c r="B830" s="34">
        <v>45935</v>
      </c>
      <c r="C830" s="34" t="str">
        <f>TEXT(Metas_Diarias[[#This Row],[data]],"dddd")</f>
        <v>domingo</v>
      </c>
      <c r="D830" s="33">
        <v>2</v>
      </c>
      <c r="E830" s="33">
        <v>2</v>
      </c>
      <c r="F830" s="18"/>
      <c r="G830" s="35">
        <f>WEEKDAY(Metas_Diarias[[#This Row],[data]])</f>
        <v>1</v>
      </c>
      <c r="H830" s="35" t="str">
        <f>IF(Metas_Diarias[[#This Row],[dias_da_demana]]=1,"domingo",IF(Metas_Diarias[[#This Row],[dias_da_demana]]=7,0.5,1))</f>
        <v>domingo</v>
      </c>
      <c r="I830" s="35">
        <f>_xlfn.XLOOKUP(Metas_Diarias[[#This Row],[data]],Feriados[Data],Feriados[Feriado],1)</f>
        <v>1</v>
      </c>
      <c r="J830" s="33" cm="1">
        <f t="array" aca="1" ref="J830" ca="1">SUMPRODUCT(IF((NOT(ISERROR(MATCH(ROW(INDIRECT(DATE(YEAR(B830),MONTH(B830),1)&amp;":"&amp;DATE(YEAR(B830),MONTH(B830)+1,0))),Feriados[Data],0))))=FALSE,
IF(WEEKDAY(ROW(INDIRECT(DATE(YEAR(B830),MONTH(B830),1)&amp;":"&amp;DATE(YEAR(B830),MONTH(B830)+1,0))),2)&lt;=5,1,IF(WEEKDAY(ROW(INDIRECT(DATE(YEAR(B830),MONTH(B830),1)&amp;":"&amp;DATE(YEAR(B830),MONTH(B830)+1,0))),2)=6,0.5,0)),0))</f>
        <v>25</v>
      </c>
      <c r="K830" s="22" cm="1">
        <f t="array" ref="K830">_xlfn.XLOOKUP(1,((Metas_Diarias[[#This Row],[tipo_equipe_id]]=Metas[equipe])*(Metas_Diarias[[#This Row],[data]]&gt;Metas[data_inicio])*(Metas_Diarias[[#This Row],[data]]&lt;Metas[data_fim])),Metas[meta_mensal],0)</f>
        <v>110000</v>
      </c>
      <c r="L83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31" spans="2:12" x14ac:dyDescent="0.3">
      <c r="B831" s="34">
        <v>45936</v>
      </c>
      <c r="C831" s="34" t="str">
        <f>TEXT(Metas_Diarias[[#This Row],[data]],"dddd")</f>
        <v>segunda-feira</v>
      </c>
      <c r="D831" s="33">
        <v>2</v>
      </c>
      <c r="E831" s="33">
        <v>2</v>
      </c>
      <c r="F831" s="18"/>
      <c r="G831" s="35">
        <f>WEEKDAY(Metas_Diarias[[#This Row],[data]])</f>
        <v>2</v>
      </c>
      <c r="H831" s="35">
        <f>IF(Metas_Diarias[[#This Row],[dias_da_demana]]=1,"domingo",IF(Metas_Diarias[[#This Row],[dias_da_demana]]=7,0.5,1))</f>
        <v>1</v>
      </c>
      <c r="I831" s="35">
        <f>_xlfn.XLOOKUP(Metas_Diarias[[#This Row],[data]],Feriados[Data],Feriados[Feriado],1)</f>
        <v>1</v>
      </c>
      <c r="J831" s="33" cm="1">
        <f t="array" aca="1" ref="J831" ca="1">SUMPRODUCT(IF((NOT(ISERROR(MATCH(ROW(INDIRECT(DATE(YEAR(B831),MONTH(B831),1)&amp;":"&amp;DATE(YEAR(B831),MONTH(B831)+1,0))),Feriados[Data],0))))=FALSE,
IF(WEEKDAY(ROW(INDIRECT(DATE(YEAR(B831),MONTH(B831),1)&amp;":"&amp;DATE(YEAR(B831),MONTH(B831)+1,0))),2)&lt;=5,1,IF(WEEKDAY(ROW(INDIRECT(DATE(YEAR(B831),MONTH(B831),1)&amp;":"&amp;DATE(YEAR(B831),MONTH(B831)+1,0))),2)=6,0.5,0)),0))</f>
        <v>25</v>
      </c>
      <c r="K831" s="22" cm="1">
        <f t="array" ref="K831">_xlfn.XLOOKUP(1,((Metas_Diarias[[#This Row],[tipo_equipe_id]]=Metas[equipe])*(Metas_Diarias[[#This Row],[data]]&gt;Metas[data_inicio])*(Metas_Diarias[[#This Row],[data]]&lt;Metas[data_fim])),Metas[meta_mensal],0)</f>
        <v>110000</v>
      </c>
      <c r="L831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32" spans="2:12" x14ac:dyDescent="0.3">
      <c r="B832" s="34">
        <v>45937</v>
      </c>
      <c r="C832" s="34" t="str">
        <f>TEXT(Metas_Diarias[[#This Row],[data]],"dddd")</f>
        <v>terça-feira</v>
      </c>
      <c r="D832" s="33">
        <v>2</v>
      </c>
      <c r="E832" s="33">
        <v>2</v>
      </c>
      <c r="F832" s="18"/>
      <c r="G832" s="35">
        <f>WEEKDAY(Metas_Diarias[[#This Row],[data]])</f>
        <v>3</v>
      </c>
      <c r="H832" s="35">
        <f>IF(Metas_Diarias[[#This Row],[dias_da_demana]]=1,"domingo",IF(Metas_Diarias[[#This Row],[dias_da_demana]]=7,0.5,1))</f>
        <v>1</v>
      </c>
      <c r="I832" s="35">
        <f>_xlfn.XLOOKUP(Metas_Diarias[[#This Row],[data]],Feriados[Data],Feriados[Feriado],1)</f>
        <v>1</v>
      </c>
      <c r="J832" s="33" cm="1">
        <f t="array" aca="1" ref="J832" ca="1">SUMPRODUCT(IF((NOT(ISERROR(MATCH(ROW(INDIRECT(DATE(YEAR(B832),MONTH(B832),1)&amp;":"&amp;DATE(YEAR(B832),MONTH(B832)+1,0))),Feriados[Data],0))))=FALSE,
IF(WEEKDAY(ROW(INDIRECT(DATE(YEAR(B832),MONTH(B832),1)&amp;":"&amp;DATE(YEAR(B832),MONTH(B832)+1,0))),2)&lt;=5,1,IF(WEEKDAY(ROW(INDIRECT(DATE(YEAR(B832),MONTH(B832),1)&amp;":"&amp;DATE(YEAR(B832),MONTH(B832)+1,0))),2)=6,0.5,0)),0))</f>
        <v>25</v>
      </c>
      <c r="K832" s="22" cm="1">
        <f t="array" ref="K832">_xlfn.XLOOKUP(1,((Metas_Diarias[[#This Row],[tipo_equipe_id]]=Metas[equipe])*(Metas_Diarias[[#This Row],[data]]&gt;Metas[data_inicio])*(Metas_Diarias[[#This Row],[data]]&lt;Metas[data_fim])),Metas[meta_mensal],0)</f>
        <v>110000</v>
      </c>
      <c r="L832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33" spans="2:12" x14ac:dyDescent="0.3">
      <c r="B833" s="34">
        <v>45938</v>
      </c>
      <c r="C833" s="34" t="str">
        <f>TEXT(Metas_Diarias[[#This Row],[data]],"dddd")</f>
        <v>quarta-feira</v>
      </c>
      <c r="D833" s="33">
        <v>2</v>
      </c>
      <c r="E833" s="33">
        <v>2</v>
      </c>
      <c r="F833" s="18"/>
      <c r="G833" s="35">
        <f>WEEKDAY(Metas_Diarias[[#This Row],[data]])</f>
        <v>4</v>
      </c>
      <c r="H833" s="35">
        <f>IF(Metas_Diarias[[#This Row],[dias_da_demana]]=1,"domingo",IF(Metas_Diarias[[#This Row],[dias_da_demana]]=7,0.5,1))</f>
        <v>1</v>
      </c>
      <c r="I833" s="35">
        <f>_xlfn.XLOOKUP(Metas_Diarias[[#This Row],[data]],Feriados[Data],Feriados[Feriado],1)</f>
        <v>1</v>
      </c>
      <c r="J833" s="33" cm="1">
        <f t="array" aca="1" ref="J833" ca="1">SUMPRODUCT(IF((NOT(ISERROR(MATCH(ROW(INDIRECT(DATE(YEAR(B833),MONTH(B833),1)&amp;":"&amp;DATE(YEAR(B833),MONTH(B833)+1,0))),Feriados[Data],0))))=FALSE,
IF(WEEKDAY(ROW(INDIRECT(DATE(YEAR(B833),MONTH(B833),1)&amp;":"&amp;DATE(YEAR(B833),MONTH(B833)+1,0))),2)&lt;=5,1,IF(WEEKDAY(ROW(INDIRECT(DATE(YEAR(B833),MONTH(B833),1)&amp;":"&amp;DATE(YEAR(B833),MONTH(B833)+1,0))),2)=6,0.5,0)),0))</f>
        <v>25</v>
      </c>
      <c r="K833" s="22" cm="1">
        <f t="array" ref="K833">_xlfn.XLOOKUP(1,((Metas_Diarias[[#This Row],[tipo_equipe_id]]=Metas[equipe])*(Metas_Diarias[[#This Row],[data]]&gt;Metas[data_inicio])*(Metas_Diarias[[#This Row],[data]]&lt;Metas[data_fim])),Metas[meta_mensal],0)</f>
        <v>110000</v>
      </c>
      <c r="L833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34" spans="2:12" x14ac:dyDescent="0.3">
      <c r="B834" s="34">
        <v>45939</v>
      </c>
      <c r="C834" s="34" t="str">
        <f>TEXT(Metas_Diarias[[#This Row],[data]],"dddd")</f>
        <v>quinta-feira</v>
      </c>
      <c r="D834" s="33">
        <v>2</v>
      </c>
      <c r="E834" s="33">
        <v>2</v>
      </c>
      <c r="F834" s="18"/>
      <c r="G834" s="35">
        <f>WEEKDAY(Metas_Diarias[[#This Row],[data]])</f>
        <v>5</v>
      </c>
      <c r="H834" s="35">
        <f>IF(Metas_Diarias[[#This Row],[dias_da_demana]]=1,"domingo",IF(Metas_Diarias[[#This Row],[dias_da_demana]]=7,0.5,1))</f>
        <v>1</v>
      </c>
      <c r="I834" s="35">
        <f>_xlfn.XLOOKUP(Metas_Diarias[[#This Row],[data]],Feriados[Data],Feriados[Feriado],1)</f>
        <v>1</v>
      </c>
      <c r="J834" s="33" cm="1">
        <f t="array" aca="1" ref="J834" ca="1">SUMPRODUCT(IF((NOT(ISERROR(MATCH(ROW(INDIRECT(DATE(YEAR(B834),MONTH(B834),1)&amp;":"&amp;DATE(YEAR(B834),MONTH(B834)+1,0))),Feriados[Data],0))))=FALSE,
IF(WEEKDAY(ROW(INDIRECT(DATE(YEAR(B834),MONTH(B834),1)&amp;":"&amp;DATE(YEAR(B834),MONTH(B834)+1,0))),2)&lt;=5,1,IF(WEEKDAY(ROW(INDIRECT(DATE(YEAR(B834),MONTH(B834),1)&amp;":"&amp;DATE(YEAR(B834),MONTH(B834)+1,0))),2)=6,0.5,0)),0))</f>
        <v>25</v>
      </c>
      <c r="K834" s="22" cm="1">
        <f t="array" ref="K834">_xlfn.XLOOKUP(1,((Metas_Diarias[[#This Row],[tipo_equipe_id]]=Metas[equipe])*(Metas_Diarias[[#This Row],[data]]&gt;Metas[data_inicio])*(Metas_Diarias[[#This Row],[data]]&lt;Metas[data_fim])),Metas[meta_mensal],0)</f>
        <v>110000</v>
      </c>
      <c r="L834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35" spans="2:12" x14ac:dyDescent="0.3">
      <c r="B835" s="34">
        <v>45940</v>
      </c>
      <c r="C835" s="34" t="str">
        <f>TEXT(Metas_Diarias[[#This Row],[data]],"dddd")</f>
        <v>sexta-feira</v>
      </c>
      <c r="D835" s="33">
        <v>2</v>
      </c>
      <c r="E835" s="33">
        <v>2</v>
      </c>
      <c r="F835" s="18"/>
      <c r="G835" s="35">
        <f>WEEKDAY(Metas_Diarias[[#This Row],[data]])</f>
        <v>6</v>
      </c>
      <c r="H835" s="35">
        <f>IF(Metas_Diarias[[#This Row],[dias_da_demana]]=1,"domingo",IF(Metas_Diarias[[#This Row],[dias_da_demana]]=7,0.5,1))</f>
        <v>1</v>
      </c>
      <c r="I835" s="35">
        <f>_xlfn.XLOOKUP(Metas_Diarias[[#This Row],[data]],Feriados[Data],Feriados[Feriado],1)</f>
        <v>1</v>
      </c>
      <c r="J835" s="33" cm="1">
        <f t="array" aca="1" ref="J835" ca="1">SUMPRODUCT(IF((NOT(ISERROR(MATCH(ROW(INDIRECT(DATE(YEAR(B835),MONTH(B835),1)&amp;":"&amp;DATE(YEAR(B835),MONTH(B835)+1,0))),Feriados[Data],0))))=FALSE,
IF(WEEKDAY(ROW(INDIRECT(DATE(YEAR(B835),MONTH(B835),1)&amp;":"&amp;DATE(YEAR(B835),MONTH(B835)+1,0))),2)&lt;=5,1,IF(WEEKDAY(ROW(INDIRECT(DATE(YEAR(B835),MONTH(B835),1)&amp;":"&amp;DATE(YEAR(B835),MONTH(B835)+1,0))),2)=6,0.5,0)),0))</f>
        <v>25</v>
      </c>
      <c r="K835" s="22" cm="1">
        <f t="array" ref="K835">_xlfn.XLOOKUP(1,((Metas_Diarias[[#This Row],[tipo_equipe_id]]=Metas[equipe])*(Metas_Diarias[[#This Row],[data]]&gt;Metas[data_inicio])*(Metas_Diarias[[#This Row],[data]]&lt;Metas[data_fim])),Metas[meta_mensal],0)</f>
        <v>110000</v>
      </c>
      <c r="L835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36" spans="2:12" x14ac:dyDescent="0.3">
      <c r="B836" s="34">
        <v>45941</v>
      </c>
      <c r="C836" s="34" t="str">
        <f>TEXT(Metas_Diarias[[#This Row],[data]],"dddd")</f>
        <v>sábado</v>
      </c>
      <c r="D836" s="33">
        <v>2</v>
      </c>
      <c r="E836" s="33">
        <v>2</v>
      </c>
      <c r="F836" s="18"/>
      <c r="G836" s="35">
        <f>WEEKDAY(Metas_Diarias[[#This Row],[data]])</f>
        <v>7</v>
      </c>
      <c r="H836" s="35">
        <f>IF(Metas_Diarias[[#This Row],[dias_da_demana]]=1,"domingo",IF(Metas_Diarias[[#This Row],[dias_da_demana]]=7,0.5,1))</f>
        <v>0.5</v>
      </c>
      <c r="I836" s="35">
        <f>_xlfn.XLOOKUP(Metas_Diarias[[#This Row],[data]],Feriados[Data],Feriados[Feriado],1)</f>
        <v>1</v>
      </c>
      <c r="J836" s="33" cm="1">
        <f t="array" aca="1" ref="J836" ca="1">SUMPRODUCT(IF((NOT(ISERROR(MATCH(ROW(INDIRECT(DATE(YEAR(B836),MONTH(B836),1)&amp;":"&amp;DATE(YEAR(B836),MONTH(B836)+1,0))),Feriados[Data],0))))=FALSE,
IF(WEEKDAY(ROW(INDIRECT(DATE(YEAR(B836),MONTH(B836),1)&amp;":"&amp;DATE(YEAR(B836),MONTH(B836)+1,0))),2)&lt;=5,1,IF(WEEKDAY(ROW(INDIRECT(DATE(YEAR(B836),MONTH(B836),1)&amp;":"&amp;DATE(YEAR(B836),MONTH(B836)+1,0))),2)=6,0.5,0)),0))</f>
        <v>25</v>
      </c>
      <c r="K836" s="22" cm="1">
        <f t="array" ref="K836">_xlfn.XLOOKUP(1,((Metas_Diarias[[#This Row],[tipo_equipe_id]]=Metas[equipe])*(Metas_Diarias[[#This Row],[data]]&gt;Metas[data_inicio])*(Metas_Diarias[[#This Row],[data]]&lt;Metas[data_fim])),Metas[meta_mensal],0)</f>
        <v>110000</v>
      </c>
      <c r="L836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837" spans="2:12" x14ac:dyDescent="0.3">
      <c r="B837" s="34">
        <v>45942</v>
      </c>
      <c r="C837" s="34" t="str">
        <f>TEXT(Metas_Diarias[[#This Row],[data]],"dddd")</f>
        <v>domingo</v>
      </c>
      <c r="D837" s="33">
        <v>2</v>
      </c>
      <c r="E837" s="33">
        <v>2</v>
      </c>
      <c r="F837" s="18"/>
      <c r="G837" s="35">
        <f>WEEKDAY(Metas_Diarias[[#This Row],[data]])</f>
        <v>1</v>
      </c>
      <c r="H837" s="35" t="str">
        <f>IF(Metas_Diarias[[#This Row],[dias_da_demana]]=1,"domingo",IF(Metas_Diarias[[#This Row],[dias_da_demana]]=7,0.5,1))</f>
        <v>domingo</v>
      </c>
      <c r="I837" s="35" t="str">
        <f>_xlfn.XLOOKUP(Metas_Diarias[[#This Row],[data]],Feriados[Data],Feriados[Feriado],1)</f>
        <v>Nossa Sr.a Aparecida - Padroeira do Brasil</v>
      </c>
      <c r="J837" s="33" cm="1">
        <f t="array" aca="1" ref="J837" ca="1">SUMPRODUCT(IF((NOT(ISERROR(MATCH(ROW(INDIRECT(DATE(YEAR(B837),MONTH(B837),1)&amp;":"&amp;DATE(YEAR(B837),MONTH(B837)+1,0))),Feriados[Data],0))))=FALSE,
IF(WEEKDAY(ROW(INDIRECT(DATE(YEAR(B837),MONTH(B837),1)&amp;":"&amp;DATE(YEAR(B837),MONTH(B837)+1,0))),2)&lt;=5,1,IF(WEEKDAY(ROW(INDIRECT(DATE(YEAR(B837),MONTH(B837),1)&amp;":"&amp;DATE(YEAR(B837),MONTH(B837)+1,0))),2)=6,0.5,0)),0))</f>
        <v>25</v>
      </c>
      <c r="K837" s="22" cm="1">
        <f t="array" ref="K837">_xlfn.XLOOKUP(1,((Metas_Diarias[[#This Row],[tipo_equipe_id]]=Metas[equipe])*(Metas_Diarias[[#This Row],[data]]&gt;Metas[data_inicio])*(Metas_Diarias[[#This Row],[data]]&lt;Metas[data_fim])),Metas[meta_mensal],0)</f>
        <v>110000</v>
      </c>
      <c r="L83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38" spans="2:12" x14ac:dyDescent="0.3">
      <c r="B838" s="34">
        <v>45943</v>
      </c>
      <c r="C838" s="34" t="str">
        <f>TEXT(Metas_Diarias[[#This Row],[data]],"dddd")</f>
        <v>segunda-feira</v>
      </c>
      <c r="D838" s="33">
        <v>2</v>
      </c>
      <c r="E838" s="33">
        <v>2</v>
      </c>
      <c r="F838" s="18"/>
      <c r="G838" s="35">
        <f>WEEKDAY(Metas_Diarias[[#This Row],[data]])</f>
        <v>2</v>
      </c>
      <c r="H838" s="35">
        <f>IF(Metas_Diarias[[#This Row],[dias_da_demana]]=1,"domingo",IF(Metas_Diarias[[#This Row],[dias_da_demana]]=7,0.5,1))</f>
        <v>1</v>
      </c>
      <c r="I838" s="35">
        <f>_xlfn.XLOOKUP(Metas_Diarias[[#This Row],[data]],Feriados[Data],Feriados[Feriado],1)</f>
        <v>1</v>
      </c>
      <c r="J838" s="33" cm="1">
        <f t="array" aca="1" ref="J838" ca="1">SUMPRODUCT(IF((NOT(ISERROR(MATCH(ROW(INDIRECT(DATE(YEAR(B838),MONTH(B838),1)&amp;":"&amp;DATE(YEAR(B838),MONTH(B838)+1,0))),Feriados[Data],0))))=FALSE,
IF(WEEKDAY(ROW(INDIRECT(DATE(YEAR(B838),MONTH(B838),1)&amp;":"&amp;DATE(YEAR(B838),MONTH(B838)+1,0))),2)&lt;=5,1,IF(WEEKDAY(ROW(INDIRECT(DATE(YEAR(B838),MONTH(B838),1)&amp;":"&amp;DATE(YEAR(B838),MONTH(B838)+1,0))),2)=6,0.5,0)),0))</f>
        <v>25</v>
      </c>
      <c r="K838" s="22" cm="1">
        <f t="array" ref="K838">_xlfn.XLOOKUP(1,((Metas_Diarias[[#This Row],[tipo_equipe_id]]=Metas[equipe])*(Metas_Diarias[[#This Row],[data]]&gt;Metas[data_inicio])*(Metas_Diarias[[#This Row],[data]]&lt;Metas[data_fim])),Metas[meta_mensal],0)</f>
        <v>110000</v>
      </c>
      <c r="L838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39" spans="2:12" x14ac:dyDescent="0.3">
      <c r="B839" s="34">
        <v>45944</v>
      </c>
      <c r="C839" s="34" t="str">
        <f>TEXT(Metas_Diarias[[#This Row],[data]],"dddd")</f>
        <v>terça-feira</v>
      </c>
      <c r="D839" s="33">
        <v>2</v>
      </c>
      <c r="E839" s="33">
        <v>2</v>
      </c>
      <c r="F839" s="18"/>
      <c r="G839" s="35">
        <f>WEEKDAY(Metas_Diarias[[#This Row],[data]])</f>
        <v>3</v>
      </c>
      <c r="H839" s="35">
        <f>IF(Metas_Diarias[[#This Row],[dias_da_demana]]=1,"domingo",IF(Metas_Diarias[[#This Row],[dias_da_demana]]=7,0.5,1))</f>
        <v>1</v>
      </c>
      <c r="I839" s="35">
        <f>_xlfn.XLOOKUP(Metas_Diarias[[#This Row],[data]],Feriados[Data],Feriados[Feriado],1)</f>
        <v>1</v>
      </c>
      <c r="J839" s="33" cm="1">
        <f t="array" aca="1" ref="J839" ca="1">SUMPRODUCT(IF((NOT(ISERROR(MATCH(ROW(INDIRECT(DATE(YEAR(B839),MONTH(B839),1)&amp;":"&amp;DATE(YEAR(B839),MONTH(B839)+1,0))),Feriados[Data],0))))=FALSE,
IF(WEEKDAY(ROW(INDIRECT(DATE(YEAR(B839),MONTH(B839),1)&amp;":"&amp;DATE(YEAR(B839),MONTH(B839)+1,0))),2)&lt;=5,1,IF(WEEKDAY(ROW(INDIRECT(DATE(YEAR(B839),MONTH(B839),1)&amp;":"&amp;DATE(YEAR(B839),MONTH(B839)+1,0))),2)=6,0.5,0)),0))</f>
        <v>25</v>
      </c>
      <c r="K839" s="22" cm="1">
        <f t="array" ref="K839">_xlfn.XLOOKUP(1,((Metas_Diarias[[#This Row],[tipo_equipe_id]]=Metas[equipe])*(Metas_Diarias[[#This Row],[data]]&gt;Metas[data_inicio])*(Metas_Diarias[[#This Row],[data]]&lt;Metas[data_fim])),Metas[meta_mensal],0)</f>
        <v>110000</v>
      </c>
      <c r="L839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40" spans="2:12" x14ac:dyDescent="0.3">
      <c r="B840" s="34">
        <v>45945</v>
      </c>
      <c r="C840" s="34" t="str">
        <f>TEXT(Metas_Diarias[[#This Row],[data]],"dddd")</f>
        <v>quarta-feira</v>
      </c>
      <c r="D840" s="33">
        <v>2</v>
      </c>
      <c r="E840" s="33">
        <v>2</v>
      </c>
      <c r="F840" s="18"/>
      <c r="G840" s="35">
        <f>WEEKDAY(Metas_Diarias[[#This Row],[data]])</f>
        <v>4</v>
      </c>
      <c r="H840" s="35">
        <f>IF(Metas_Diarias[[#This Row],[dias_da_demana]]=1,"domingo",IF(Metas_Diarias[[#This Row],[dias_da_demana]]=7,0.5,1))</f>
        <v>1</v>
      </c>
      <c r="I840" s="35">
        <f>_xlfn.XLOOKUP(Metas_Diarias[[#This Row],[data]],Feriados[Data],Feriados[Feriado],1)</f>
        <v>1</v>
      </c>
      <c r="J840" s="33" cm="1">
        <f t="array" aca="1" ref="J840" ca="1">SUMPRODUCT(IF((NOT(ISERROR(MATCH(ROW(INDIRECT(DATE(YEAR(B840),MONTH(B840),1)&amp;":"&amp;DATE(YEAR(B840),MONTH(B840)+1,0))),Feriados[Data],0))))=FALSE,
IF(WEEKDAY(ROW(INDIRECT(DATE(YEAR(B840),MONTH(B840),1)&amp;":"&amp;DATE(YEAR(B840),MONTH(B840)+1,0))),2)&lt;=5,1,IF(WEEKDAY(ROW(INDIRECT(DATE(YEAR(B840),MONTH(B840),1)&amp;":"&amp;DATE(YEAR(B840),MONTH(B840)+1,0))),2)=6,0.5,0)),0))</f>
        <v>25</v>
      </c>
      <c r="K840" s="22" cm="1">
        <f t="array" ref="K840">_xlfn.XLOOKUP(1,((Metas_Diarias[[#This Row],[tipo_equipe_id]]=Metas[equipe])*(Metas_Diarias[[#This Row],[data]]&gt;Metas[data_inicio])*(Metas_Diarias[[#This Row],[data]]&lt;Metas[data_fim])),Metas[meta_mensal],0)</f>
        <v>110000</v>
      </c>
      <c r="L840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41" spans="2:12" x14ac:dyDescent="0.3">
      <c r="B841" s="34">
        <v>45946</v>
      </c>
      <c r="C841" s="34" t="str">
        <f>TEXT(Metas_Diarias[[#This Row],[data]],"dddd")</f>
        <v>quinta-feira</v>
      </c>
      <c r="D841" s="33">
        <v>2</v>
      </c>
      <c r="E841" s="33">
        <v>2</v>
      </c>
      <c r="F841" s="18"/>
      <c r="G841" s="35">
        <f>WEEKDAY(Metas_Diarias[[#This Row],[data]])</f>
        <v>5</v>
      </c>
      <c r="H841" s="35">
        <f>IF(Metas_Diarias[[#This Row],[dias_da_demana]]=1,"domingo",IF(Metas_Diarias[[#This Row],[dias_da_demana]]=7,0.5,1))</f>
        <v>1</v>
      </c>
      <c r="I841" s="35">
        <f>_xlfn.XLOOKUP(Metas_Diarias[[#This Row],[data]],Feriados[Data],Feriados[Feriado],1)</f>
        <v>1</v>
      </c>
      <c r="J841" s="33" cm="1">
        <f t="array" aca="1" ref="J841" ca="1">SUMPRODUCT(IF((NOT(ISERROR(MATCH(ROW(INDIRECT(DATE(YEAR(B841),MONTH(B841),1)&amp;":"&amp;DATE(YEAR(B841),MONTH(B841)+1,0))),Feriados[Data],0))))=FALSE,
IF(WEEKDAY(ROW(INDIRECT(DATE(YEAR(B841),MONTH(B841),1)&amp;":"&amp;DATE(YEAR(B841),MONTH(B841)+1,0))),2)&lt;=5,1,IF(WEEKDAY(ROW(INDIRECT(DATE(YEAR(B841),MONTH(B841),1)&amp;":"&amp;DATE(YEAR(B841),MONTH(B841)+1,0))),2)=6,0.5,0)),0))</f>
        <v>25</v>
      </c>
      <c r="K841" s="22" cm="1">
        <f t="array" ref="K841">_xlfn.XLOOKUP(1,((Metas_Diarias[[#This Row],[tipo_equipe_id]]=Metas[equipe])*(Metas_Diarias[[#This Row],[data]]&gt;Metas[data_inicio])*(Metas_Diarias[[#This Row],[data]]&lt;Metas[data_fim])),Metas[meta_mensal],0)</f>
        <v>110000</v>
      </c>
      <c r="L841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42" spans="2:12" x14ac:dyDescent="0.3">
      <c r="B842" s="34">
        <v>45947</v>
      </c>
      <c r="C842" s="34" t="str">
        <f>TEXT(Metas_Diarias[[#This Row],[data]],"dddd")</f>
        <v>sexta-feira</v>
      </c>
      <c r="D842" s="33">
        <v>2</v>
      </c>
      <c r="E842" s="33">
        <v>2</v>
      </c>
      <c r="F842" s="18"/>
      <c r="G842" s="35">
        <f>WEEKDAY(Metas_Diarias[[#This Row],[data]])</f>
        <v>6</v>
      </c>
      <c r="H842" s="35">
        <f>IF(Metas_Diarias[[#This Row],[dias_da_demana]]=1,"domingo",IF(Metas_Diarias[[#This Row],[dias_da_demana]]=7,0.5,1))</f>
        <v>1</v>
      </c>
      <c r="I842" s="35">
        <f>_xlfn.XLOOKUP(Metas_Diarias[[#This Row],[data]],Feriados[Data],Feriados[Feriado],1)</f>
        <v>1</v>
      </c>
      <c r="J842" s="33" cm="1">
        <f t="array" aca="1" ref="J842" ca="1">SUMPRODUCT(IF((NOT(ISERROR(MATCH(ROW(INDIRECT(DATE(YEAR(B842),MONTH(B842),1)&amp;":"&amp;DATE(YEAR(B842),MONTH(B842)+1,0))),Feriados[Data],0))))=FALSE,
IF(WEEKDAY(ROW(INDIRECT(DATE(YEAR(B842),MONTH(B842),1)&amp;":"&amp;DATE(YEAR(B842),MONTH(B842)+1,0))),2)&lt;=5,1,IF(WEEKDAY(ROW(INDIRECT(DATE(YEAR(B842),MONTH(B842),1)&amp;":"&amp;DATE(YEAR(B842),MONTH(B842)+1,0))),2)=6,0.5,0)),0))</f>
        <v>25</v>
      </c>
      <c r="K842" s="22" cm="1">
        <f t="array" ref="K842">_xlfn.XLOOKUP(1,((Metas_Diarias[[#This Row],[tipo_equipe_id]]=Metas[equipe])*(Metas_Diarias[[#This Row],[data]]&gt;Metas[data_inicio])*(Metas_Diarias[[#This Row],[data]]&lt;Metas[data_fim])),Metas[meta_mensal],0)</f>
        <v>110000</v>
      </c>
      <c r="L842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43" spans="2:12" x14ac:dyDescent="0.3">
      <c r="B843" s="34">
        <v>45948</v>
      </c>
      <c r="C843" s="34" t="str">
        <f>TEXT(Metas_Diarias[[#This Row],[data]],"dddd")</f>
        <v>sábado</v>
      </c>
      <c r="D843" s="33">
        <v>2</v>
      </c>
      <c r="E843" s="33">
        <v>2</v>
      </c>
      <c r="F843" s="18"/>
      <c r="G843" s="35">
        <f>WEEKDAY(Metas_Diarias[[#This Row],[data]])</f>
        <v>7</v>
      </c>
      <c r="H843" s="35">
        <f>IF(Metas_Diarias[[#This Row],[dias_da_demana]]=1,"domingo",IF(Metas_Diarias[[#This Row],[dias_da_demana]]=7,0.5,1))</f>
        <v>0.5</v>
      </c>
      <c r="I843" s="35">
        <f>_xlfn.XLOOKUP(Metas_Diarias[[#This Row],[data]],Feriados[Data],Feriados[Feriado],1)</f>
        <v>1</v>
      </c>
      <c r="J843" s="33" cm="1">
        <f t="array" aca="1" ref="J843" ca="1">SUMPRODUCT(IF((NOT(ISERROR(MATCH(ROW(INDIRECT(DATE(YEAR(B843),MONTH(B843),1)&amp;":"&amp;DATE(YEAR(B843),MONTH(B843)+1,0))),Feriados[Data],0))))=FALSE,
IF(WEEKDAY(ROW(INDIRECT(DATE(YEAR(B843),MONTH(B843),1)&amp;":"&amp;DATE(YEAR(B843),MONTH(B843)+1,0))),2)&lt;=5,1,IF(WEEKDAY(ROW(INDIRECT(DATE(YEAR(B843),MONTH(B843),1)&amp;":"&amp;DATE(YEAR(B843),MONTH(B843)+1,0))),2)=6,0.5,0)),0))</f>
        <v>25</v>
      </c>
      <c r="K843" s="22" cm="1">
        <f t="array" ref="K843">_xlfn.XLOOKUP(1,((Metas_Diarias[[#This Row],[tipo_equipe_id]]=Metas[equipe])*(Metas_Diarias[[#This Row],[data]]&gt;Metas[data_inicio])*(Metas_Diarias[[#This Row],[data]]&lt;Metas[data_fim])),Metas[meta_mensal],0)</f>
        <v>110000</v>
      </c>
      <c r="L843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844" spans="2:12" x14ac:dyDescent="0.3">
      <c r="B844" s="34">
        <v>45949</v>
      </c>
      <c r="C844" s="34" t="str">
        <f>TEXT(Metas_Diarias[[#This Row],[data]],"dddd")</f>
        <v>domingo</v>
      </c>
      <c r="D844" s="33">
        <v>2</v>
      </c>
      <c r="E844" s="33">
        <v>2</v>
      </c>
      <c r="F844" s="18"/>
      <c r="G844" s="35">
        <f>WEEKDAY(Metas_Diarias[[#This Row],[data]])</f>
        <v>1</v>
      </c>
      <c r="H844" s="35" t="str">
        <f>IF(Metas_Diarias[[#This Row],[dias_da_demana]]=1,"domingo",IF(Metas_Diarias[[#This Row],[dias_da_demana]]=7,0.5,1))</f>
        <v>domingo</v>
      </c>
      <c r="I844" s="35">
        <f>_xlfn.XLOOKUP(Metas_Diarias[[#This Row],[data]],Feriados[Data],Feriados[Feriado],1)</f>
        <v>1</v>
      </c>
      <c r="J844" s="33" cm="1">
        <f t="array" aca="1" ref="J844" ca="1">SUMPRODUCT(IF((NOT(ISERROR(MATCH(ROW(INDIRECT(DATE(YEAR(B844),MONTH(B844),1)&amp;":"&amp;DATE(YEAR(B844),MONTH(B844)+1,0))),Feriados[Data],0))))=FALSE,
IF(WEEKDAY(ROW(INDIRECT(DATE(YEAR(B844),MONTH(B844),1)&amp;":"&amp;DATE(YEAR(B844),MONTH(B844)+1,0))),2)&lt;=5,1,IF(WEEKDAY(ROW(INDIRECT(DATE(YEAR(B844),MONTH(B844),1)&amp;":"&amp;DATE(YEAR(B844),MONTH(B844)+1,0))),2)=6,0.5,0)),0))</f>
        <v>25</v>
      </c>
      <c r="K844" s="22" cm="1">
        <f t="array" ref="K844">_xlfn.XLOOKUP(1,((Metas_Diarias[[#This Row],[tipo_equipe_id]]=Metas[equipe])*(Metas_Diarias[[#This Row],[data]]&gt;Metas[data_inicio])*(Metas_Diarias[[#This Row],[data]]&lt;Metas[data_fim])),Metas[meta_mensal],0)</f>
        <v>110000</v>
      </c>
      <c r="L84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45" spans="2:12" x14ac:dyDescent="0.3">
      <c r="B845" s="34">
        <v>45950</v>
      </c>
      <c r="C845" s="34" t="str">
        <f>TEXT(Metas_Diarias[[#This Row],[data]],"dddd")</f>
        <v>segunda-feira</v>
      </c>
      <c r="D845" s="33">
        <v>2</v>
      </c>
      <c r="E845" s="33">
        <v>2</v>
      </c>
      <c r="F845" s="18"/>
      <c r="G845" s="35">
        <f>WEEKDAY(Metas_Diarias[[#This Row],[data]])</f>
        <v>2</v>
      </c>
      <c r="H845" s="35">
        <f>IF(Metas_Diarias[[#This Row],[dias_da_demana]]=1,"domingo",IF(Metas_Diarias[[#This Row],[dias_da_demana]]=7,0.5,1))</f>
        <v>1</v>
      </c>
      <c r="I845" s="35">
        <f>_xlfn.XLOOKUP(Metas_Diarias[[#This Row],[data]],Feriados[Data],Feriados[Feriado],1)</f>
        <v>1</v>
      </c>
      <c r="J845" s="33" cm="1">
        <f t="array" aca="1" ref="J845" ca="1">SUMPRODUCT(IF((NOT(ISERROR(MATCH(ROW(INDIRECT(DATE(YEAR(B845),MONTH(B845),1)&amp;":"&amp;DATE(YEAR(B845),MONTH(B845)+1,0))),Feriados[Data],0))))=FALSE,
IF(WEEKDAY(ROW(INDIRECT(DATE(YEAR(B845),MONTH(B845),1)&amp;":"&amp;DATE(YEAR(B845),MONTH(B845)+1,0))),2)&lt;=5,1,IF(WEEKDAY(ROW(INDIRECT(DATE(YEAR(B845),MONTH(B845),1)&amp;":"&amp;DATE(YEAR(B845),MONTH(B845)+1,0))),2)=6,0.5,0)),0))</f>
        <v>25</v>
      </c>
      <c r="K845" s="22" cm="1">
        <f t="array" ref="K845">_xlfn.XLOOKUP(1,((Metas_Diarias[[#This Row],[tipo_equipe_id]]=Metas[equipe])*(Metas_Diarias[[#This Row],[data]]&gt;Metas[data_inicio])*(Metas_Diarias[[#This Row],[data]]&lt;Metas[data_fim])),Metas[meta_mensal],0)</f>
        <v>110000</v>
      </c>
      <c r="L845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46" spans="2:12" x14ac:dyDescent="0.3">
      <c r="B846" s="34">
        <v>45951</v>
      </c>
      <c r="C846" s="34" t="str">
        <f>TEXT(Metas_Diarias[[#This Row],[data]],"dddd")</f>
        <v>terça-feira</v>
      </c>
      <c r="D846" s="33">
        <v>2</v>
      </c>
      <c r="E846" s="33">
        <v>2</v>
      </c>
      <c r="F846" s="18"/>
      <c r="G846" s="35">
        <f>WEEKDAY(Metas_Diarias[[#This Row],[data]])</f>
        <v>3</v>
      </c>
      <c r="H846" s="35">
        <f>IF(Metas_Diarias[[#This Row],[dias_da_demana]]=1,"domingo",IF(Metas_Diarias[[#This Row],[dias_da_demana]]=7,0.5,1))</f>
        <v>1</v>
      </c>
      <c r="I846" s="35">
        <f>_xlfn.XLOOKUP(Metas_Diarias[[#This Row],[data]],Feriados[Data],Feriados[Feriado],1)</f>
        <v>1</v>
      </c>
      <c r="J846" s="33" cm="1">
        <f t="array" aca="1" ref="J846" ca="1">SUMPRODUCT(IF((NOT(ISERROR(MATCH(ROW(INDIRECT(DATE(YEAR(B846),MONTH(B846),1)&amp;":"&amp;DATE(YEAR(B846),MONTH(B846)+1,0))),Feriados[Data],0))))=FALSE,
IF(WEEKDAY(ROW(INDIRECT(DATE(YEAR(B846),MONTH(B846),1)&amp;":"&amp;DATE(YEAR(B846),MONTH(B846)+1,0))),2)&lt;=5,1,IF(WEEKDAY(ROW(INDIRECT(DATE(YEAR(B846),MONTH(B846),1)&amp;":"&amp;DATE(YEAR(B846),MONTH(B846)+1,0))),2)=6,0.5,0)),0))</f>
        <v>25</v>
      </c>
      <c r="K846" s="22" cm="1">
        <f t="array" ref="K846">_xlfn.XLOOKUP(1,((Metas_Diarias[[#This Row],[tipo_equipe_id]]=Metas[equipe])*(Metas_Diarias[[#This Row],[data]]&gt;Metas[data_inicio])*(Metas_Diarias[[#This Row],[data]]&lt;Metas[data_fim])),Metas[meta_mensal],0)</f>
        <v>110000</v>
      </c>
      <c r="L846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47" spans="2:12" x14ac:dyDescent="0.3">
      <c r="B847" s="34">
        <v>45952</v>
      </c>
      <c r="C847" s="34" t="str">
        <f>TEXT(Metas_Diarias[[#This Row],[data]],"dddd")</f>
        <v>quarta-feira</v>
      </c>
      <c r="D847" s="33">
        <v>2</v>
      </c>
      <c r="E847" s="33">
        <v>2</v>
      </c>
      <c r="F847" s="18"/>
      <c r="G847" s="35">
        <f>WEEKDAY(Metas_Diarias[[#This Row],[data]])</f>
        <v>4</v>
      </c>
      <c r="H847" s="35">
        <f>IF(Metas_Diarias[[#This Row],[dias_da_demana]]=1,"domingo",IF(Metas_Diarias[[#This Row],[dias_da_demana]]=7,0.5,1))</f>
        <v>1</v>
      </c>
      <c r="I847" s="35">
        <f>_xlfn.XLOOKUP(Metas_Diarias[[#This Row],[data]],Feriados[Data],Feriados[Feriado],1)</f>
        <v>1</v>
      </c>
      <c r="J847" s="33" cm="1">
        <f t="array" aca="1" ref="J847" ca="1">SUMPRODUCT(IF((NOT(ISERROR(MATCH(ROW(INDIRECT(DATE(YEAR(B847),MONTH(B847),1)&amp;":"&amp;DATE(YEAR(B847),MONTH(B847)+1,0))),Feriados[Data],0))))=FALSE,
IF(WEEKDAY(ROW(INDIRECT(DATE(YEAR(B847),MONTH(B847),1)&amp;":"&amp;DATE(YEAR(B847),MONTH(B847)+1,0))),2)&lt;=5,1,IF(WEEKDAY(ROW(INDIRECT(DATE(YEAR(B847),MONTH(B847),1)&amp;":"&amp;DATE(YEAR(B847),MONTH(B847)+1,0))),2)=6,0.5,0)),0))</f>
        <v>25</v>
      </c>
      <c r="K847" s="22" cm="1">
        <f t="array" ref="K847">_xlfn.XLOOKUP(1,((Metas_Diarias[[#This Row],[tipo_equipe_id]]=Metas[equipe])*(Metas_Diarias[[#This Row],[data]]&gt;Metas[data_inicio])*(Metas_Diarias[[#This Row],[data]]&lt;Metas[data_fim])),Metas[meta_mensal],0)</f>
        <v>110000</v>
      </c>
      <c r="L847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48" spans="2:12" x14ac:dyDescent="0.3">
      <c r="B848" s="34">
        <v>45953</v>
      </c>
      <c r="C848" s="34" t="str">
        <f>TEXT(Metas_Diarias[[#This Row],[data]],"dddd")</f>
        <v>quinta-feira</v>
      </c>
      <c r="D848" s="33">
        <v>2</v>
      </c>
      <c r="E848" s="33">
        <v>2</v>
      </c>
      <c r="F848" s="18"/>
      <c r="G848" s="35">
        <f>WEEKDAY(Metas_Diarias[[#This Row],[data]])</f>
        <v>5</v>
      </c>
      <c r="H848" s="35">
        <f>IF(Metas_Diarias[[#This Row],[dias_da_demana]]=1,"domingo",IF(Metas_Diarias[[#This Row],[dias_da_demana]]=7,0.5,1))</f>
        <v>1</v>
      </c>
      <c r="I848" s="35">
        <f>_xlfn.XLOOKUP(Metas_Diarias[[#This Row],[data]],Feriados[Data],Feriados[Feriado],1)</f>
        <v>1</v>
      </c>
      <c r="J848" s="33" cm="1">
        <f t="array" aca="1" ref="J848" ca="1">SUMPRODUCT(IF((NOT(ISERROR(MATCH(ROW(INDIRECT(DATE(YEAR(B848),MONTH(B848),1)&amp;":"&amp;DATE(YEAR(B848),MONTH(B848)+1,0))),Feriados[Data],0))))=FALSE,
IF(WEEKDAY(ROW(INDIRECT(DATE(YEAR(B848),MONTH(B848),1)&amp;":"&amp;DATE(YEAR(B848),MONTH(B848)+1,0))),2)&lt;=5,1,IF(WEEKDAY(ROW(INDIRECT(DATE(YEAR(B848),MONTH(B848),1)&amp;":"&amp;DATE(YEAR(B848),MONTH(B848)+1,0))),2)=6,0.5,0)),0))</f>
        <v>25</v>
      </c>
      <c r="K848" s="22" cm="1">
        <f t="array" ref="K848">_xlfn.XLOOKUP(1,((Metas_Diarias[[#This Row],[tipo_equipe_id]]=Metas[equipe])*(Metas_Diarias[[#This Row],[data]]&gt;Metas[data_inicio])*(Metas_Diarias[[#This Row],[data]]&lt;Metas[data_fim])),Metas[meta_mensal],0)</f>
        <v>110000</v>
      </c>
      <c r="L848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49" spans="2:12" x14ac:dyDescent="0.3">
      <c r="B849" s="34">
        <v>45954</v>
      </c>
      <c r="C849" s="34" t="str">
        <f>TEXT(Metas_Diarias[[#This Row],[data]],"dddd")</f>
        <v>sexta-feira</v>
      </c>
      <c r="D849" s="33">
        <v>2</v>
      </c>
      <c r="E849" s="33">
        <v>2</v>
      </c>
      <c r="F849" s="18"/>
      <c r="G849" s="35">
        <f>WEEKDAY(Metas_Diarias[[#This Row],[data]])</f>
        <v>6</v>
      </c>
      <c r="H849" s="35">
        <f>IF(Metas_Diarias[[#This Row],[dias_da_demana]]=1,"domingo",IF(Metas_Diarias[[#This Row],[dias_da_demana]]=7,0.5,1))</f>
        <v>1</v>
      </c>
      <c r="I849" s="35">
        <f>_xlfn.XLOOKUP(Metas_Diarias[[#This Row],[data]],Feriados[Data],Feriados[Feriado],1)</f>
        <v>1</v>
      </c>
      <c r="J849" s="33" cm="1">
        <f t="array" aca="1" ref="J849" ca="1">SUMPRODUCT(IF((NOT(ISERROR(MATCH(ROW(INDIRECT(DATE(YEAR(B849),MONTH(B849),1)&amp;":"&amp;DATE(YEAR(B849),MONTH(B849)+1,0))),Feriados[Data],0))))=FALSE,
IF(WEEKDAY(ROW(INDIRECT(DATE(YEAR(B849),MONTH(B849),1)&amp;":"&amp;DATE(YEAR(B849),MONTH(B849)+1,0))),2)&lt;=5,1,IF(WEEKDAY(ROW(INDIRECT(DATE(YEAR(B849),MONTH(B849),1)&amp;":"&amp;DATE(YEAR(B849),MONTH(B849)+1,0))),2)=6,0.5,0)),0))</f>
        <v>25</v>
      </c>
      <c r="K849" s="22" cm="1">
        <f t="array" ref="K849">_xlfn.XLOOKUP(1,((Metas_Diarias[[#This Row],[tipo_equipe_id]]=Metas[equipe])*(Metas_Diarias[[#This Row],[data]]&gt;Metas[data_inicio])*(Metas_Diarias[[#This Row],[data]]&lt;Metas[data_fim])),Metas[meta_mensal],0)</f>
        <v>110000</v>
      </c>
      <c r="L849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50" spans="2:12" x14ac:dyDescent="0.3">
      <c r="B850" s="34">
        <v>45955</v>
      </c>
      <c r="C850" s="34" t="str">
        <f>TEXT(Metas_Diarias[[#This Row],[data]],"dddd")</f>
        <v>sábado</v>
      </c>
      <c r="D850" s="33">
        <v>2</v>
      </c>
      <c r="E850" s="33">
        <v>2</v>
      </c>
      <c r="F850" s="18"/>
      <c r="G850" s="35">
        <f>WEEKDAY(Metas_Diarias[[#This Row],[data]])</f>
        <v>7</v>
      </c>
      <c r="H850" s="35">
        <f>IF(Metas_Diarias[[#This Row],[dias_da_demana]]=1,"domingo",IF(Metas_Diarias[[#This Row],[dias_da_demana]]=7,0.5,1))</f>
        <v>0.5</v>
      </c>
      <c r="I850" s="35">
        <f>_xlfn.XLOOKUP(Metas_Diarias[[#This Row],[data]],Feriados[Data],Feriados[Feriado],1)</f>
        <v>1</v>
      </c>
      <c r="J850" s="33" cm="1">
        <f t="array" aca="1" ref="J850" ca="1">SUMPRODUCT(IF((NOT(ISERROR(MATCH(ROW(INDIRECT(DATE(YEAR(B850),MONTH(B850),1)&amp;":"&amp;DATE(YEAR(B850),MONTH(B850)+1,0))),Feriados[Data],0))))=FALSE,
IF(WEEKDAY(ROW(INDIRECT(DATE(YEAR(B850),MONTH(B850),1)&amp;":"&amp;DATE(YEAR(B850),MONTH(B850)+1,0))),2)&lt;=5,1,IF(WEEKDAY(ROW(INDIRECT(DATE(YEAR(B850),MONTH(B850),1)&amp;":"&amp;DATE(YEAR(B850),MONTH(B850)+1,0))),2)=6,0.5,0)),0))</f>
        <v>25</v>
      </c>
      <c r="K850" s="22" cm="1">
        <f t="array" ref="K850">_xlfn.XLOOKUP(1,((Metas_Diarias[[#This Row],[tipo_equipe_id]]=Metas[equipe])*(Metas_Diarias[[#This Row],[data]]&gt;Metas[data_inicio])*(Metas_Diarias[[#This Row],[data]]&lt;Metas[data_fim])),Metas[meta_mensal],0)</f>
        <v>110000</v>
      </c>
      <c r="L850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851" spans="2:12" x14ac:dyDescent="0.3">
      <c r="B851" s="34">
        <v>45956</v>
      </c>
      <c r="C851" s="34" t="str">
        <f>TEXT(Metas_Diarias[[#This Row],[data]],"dddd")</f>
        <v>domingo</v>
      </c>
      <c r="D851" s="33">
        <v>2</v>
      </c>
      <c r="E851" s="33">
        <v>2</v>
      </c>
      <c r="F851" s="18"/>
      <c r="G851" s="35">
        <f>WEEKDAY(Metas_Diarias[[#This Row],[data]])</f>
        <v>1</v>
      </c>
      <c r="H851" s="35" t="str">
        <f>IF(Metas_Diarias[[#This Row],[dias_da_demana]]=1,"domingo",IF(Metas_Diarias[[#This Row],[dias_da_demana]]=7,0.5,1))</f>
        <v>domingo</v>
      </c>
      <c r="I851" s="35">
        <f>_xlfn.XLOOKUP(Metas_Diarias[[#This Row],[data]],Feriados[Data],Feriados[Feriado],1)</f>
        <v>1</v>
      </c>
      <c r="J851" s="33" cm="1">
        <f t="array" aca="1" ref="J851" ca="1">SUMPRODUCT(IF((NOT(ISERROR(MATCH(ROW(INDIRECT(DATE(YEAR(B851),MONTH(B851),1)&amp;":"&amp;DATE(YEAR(B851),MONTH(B851)+1,0))),Feriados[Data],0))))=FALSE,
IF(WEEKDAY(ROW(INDIRECT(DATE(YEAR(B851),MONTH(B851),1)&amp;":"&amp;DATE(YEAR(B851),MONTH(B851)+1,0))),2)&lt;=5,1,IF(WEEKDAY(ROW(INDIRECT(DATE(YEAR(B851),MONTH(B851),1)&amp;":"&amp;DATE(YEAR(B851),MONTH(B851)+1,0))),2)=6,0.5,0)),0))</f>
        <v>25</v>
      </c>
      <c r="K851" s="22" cm="1">
        <f t="array" ref="K851">_xlfn.XLOOKUP(1,((Metas_Diarias[[#This Row],[tipo_equipe_id]]=Metas[equipe])*(Metas_Diarias[[#This Row],[data]]&gt;Metas[data_inicio])*(Metas_Diarias[[#This Row],[data]]&lt;Metas[data_fim])),Metas[meta_mensal],0)</f>
        <v>110000</v>
      </c>
      <c r="L8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52" spans="2:12" x14ac:dyDescent="0.3">
      <c r="B852" s="34">
        <v>45957</v>
      </c>
      <c r="C852" s="34" t="str">
        <f>TEXT(Metas_Diarias[[#This Row],[data]],"dddd")</f>
        <v>segunda-feira</v>
      </c>
      <c r="D852" s="33">
        <v>2</v>
      </c>
      <c r="E852" s="33">
        <v>2</v>
      </c>
      <c r="F852" s="18"/>
      <c r="G852" s="35">
        <f>WEEKDAY(Metas_Diarias[[#This Row],[data]])</f>
        <v>2</v>
      </c>
      <c r="H852" s="35">
        <f>IF(Metas_Diarias[[#This Row],[dias_da_demana]]=1,"domingo",IF(Metas_Diarias[[#This Row],[dias_da_demana]]=7,0.5,1))</f>
        <v>1</v>
      </c>
      <c r="I852" s="35">
        <f>_xlfn.XLOOKUP(Metas_Diarias[[#This Row],[data]],Feriados[Data],Feriados[Feriado],1)</f>
        <v>1</v>
      </c>
      <c r="J852" s="33" cm="1">
        <f t="array" aca="1" ref="J852" ca="1">SUMPRODUCT(IF((NOT(ISERROR(MATCH(ROW(INDIRECT(DATE(YEAR(B852),MONTH(B852),1)&amp;":"&amp;DATE(YEAR(B852),MONTH(B852)+1,0))),Feriados[Data],0))))=FALSE,
IF(WEEKDAY(ROW(INDIRECT(DATE(YEAR(B852),MONTH(B852),1)&amp;":"&amp;DATE(YEAR(B852),MONTH(B852)+1,0))),2)&lt;=5,1,IF(WEEKDAY(ROW(INDIRECT(DATE(YEAR(B852),MONTH(B852),1)&amp;":"&amp;DATE(YEAR(B852),MONTH(B852)+1,0))),2)=6,0.5,0)),0))</f>
        <v>25</v>
      </c>
      <c r="K852" s="22" cm="1">
        <f t="array" ref="K852">_xlfn.XLOOKUP(1,((Metas_Diarias[[#This Row],[tipo_equipe_id]]=Metas[equipe])*(Metas_Diarias[[#This Row],[data]]&gt;Metas[data_inicio])*(Metas_Diarias[[#This Row],[data]]&lt;Metas[data_fim])),Metas[meta_mensal],0)</f>
        <v>110000</v>
      </c>
      <c r="L852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53" spans="2:12" x14ac:dyDescent="0.3">
      <c r="B853" s="34">
        <v>45958</v>
      </c>
      <c r="C853" s="34" t="str">
        <f>TEXT(Metas_Diarias[[#This Row],[data]],"dddd")</f>
        <v>terça-feira</v>
      </c>
      <c r="D853" s="33">
        <v>2</v>
      </c>
      <c r="E853" s="33">
        <v>2</v>
      </c>
      <c r="F853" s="18"/>
      <c r="G853" s="35">
        <f>WEEKDAY(Metas_Diarias[[#This Row],[data]])</f>
        <v>3</v>
      </c>
      <c r="H853" s="35">
        <f>IF(Metas_Diarias[[#This Row],[dias_da_demana]]=1,"domingo",IF(Metas_Diarias[[#This Row],[dias_da_demana]]=7,0.5,1))</f>
        <v>1</v>
      </c>
      <c r="I853" s="35">
        <f>_xlfn.XLOOKUP(Metas_Diarias[[#This Row],[data]],Feriados[Data],Feriados[Feriado],1)</f>
        <v>1</v>
      </c>
      <c r="J853" s="33" cm="1">
        <f t="array" aca="1" ref="J853" ca="1">SUMPRODUCT(IF((NOT(ISERROR(MATCH(ROW(INDIRECT(DATE(YEAR(B853),MONTH(B853),1)&amp;":"&amp;DATE(YEAR(B853),MONTH(B853)+1,0))),Feriados[Data],0))))=FALSE,
IF(WEEKDAY(ROW(INDIRECT(DATE(YEAR(B853),MONTH(B853),1)&amp;":"&amp;DATE(YEAR(B853),MONTH(B853)+1,0))),2)&lt;=5,1,IF(WEEKDAY(ROW(INDIRECT(DATE(YEAR(B853),MONTH(B853),1)&amp;":"&amp;DATE(YEAR(B853),MONTH(B853)+1,0))),2)=6,0.5,0)),0))</f>
        <v>25</v>
      </c>
      <c r="K853" s="22" cm="1">
        <f t="array" ref="K853">_xlfn.XLOOKUP(1,((Metas_Diarias[[#This Row],[tipo_equipe_id]]=Metas[equipe])*(Metas_Diarias[[#This Row],[data]]&gt;Metas[data_inicio])*(Metas_Diarias[[#This Row],[data]]&lt;Metas[data_fim])),Metas[meta_mensal],0)</f>
        <v>110000</v>
      </c>
      <c r="L853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54" spans="2:12" x14ac:dyDescent="0.3">
      <c r="B854" s="34">
        <v>45959</v>
      </c>
      <c r="C854" s="34" t="str">
        <f>TEXT(Metas_Diarias[[#This Row],[data]],"dddd")</f>
        <v>quarta-feira</v>
      </c>
      <c r="D854" s="33">
        <v>2</v>
      </c>
      <c r="E854" s="33">
        <v>2</v>
      </c>
      <c r="F854" s="18"/>
      <c r="G854" s="35">
        <f>WEEKDAY(Metas_Diarias[[#This Row],[data]])</f>
        <v>4</v>
      </c>
      <c r="H854" s="35">
        <f>IF(Metas_Diarias[[#This Row],[dias_da_demana]]=1,"domingo",IF(Metas_Diarias[[#This Row],[dias_da_demana]]=7,0.5,1))</f>
        <v>1</v>
      </c>
      <c r="I854" s="35">
        <f>_xlfn.XLOOKUP(Metas_Diarias[[#This Row],[data]],Feriados[Data],Feriados[Feriado],1)</f>
        <v>1</v>
      </c>
      <c r="J854" s="33" cm="1">
        <f t="array" aca="1" ref="J854" ca="1">SUMPRODUCT(IF((NOT(ISERROR(MATCH(ROW(INDIRECT(DATE(YEAR(B854),MONTH(B854),1)&amp;":"&amp;DATE(YEAR(B854),MONTH(B854)+1,0))),Feriados[Data],0))))=FALSE,
IF(WEEKDAY(ROW(INDIRECT(DATE(YEAR(B854),MONTH(B854),1)&amp;":"&amp;DATE(YEAR(B854),MONTH(B854)+1,0))),2)&lt;=5,1,IF(WEEKDAY(ROW(INDIRECT(DATE(YEAR(B854),MONTH(B854),1)&amp;":"&amp;DATE(YEAR(B854),MONTH(B854)+1,0))),2)=6,0.5,0)),0))</f>
        <v>25</v>
      </c>
      <c r="K854" s="22" cm="1">
        <f t="array" ref="K854">_xlfn.XLOOKUP(1,((Metas_Diarias[[#This Row],[tipo_equipe_id]]=Metas[equipe])*(Metas_Diarias[[#This Row],[data]]&gt;Metas[data_inicio])*(Metas_Diarias[[#This Row],[data]]&lt;Metas[data_fim])),Metas[meta_mensal],0)</f>
        <v>110000</v>
      </c>
      <c r="L854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55" spans="2:12" x14ac:dyDescent="0.3">
      <c r="B855" s="34">
        <v>45960</v>
      </c>
      <c r="C855" s="34" t="str">
        <f>TEXT(Metas_Diarias[[#This Row],[data]],"dddd")</f>
        <v>quinta-feira</v>
      </c>
      <c r="D855" s="33">
        <v>2</v>
      </c>
      <c r="E855" s="33">
        <v>2</v>
      </c>
      <c r="F855" s="18"/>
      <c r="G855" s="35">
        <f>WEEKDAY(Metas_Diarias[[#This Row],[data]])</f>
        <v>5</v>
      </c>
      <c r="H855" s="35">
        <f>IF(Metas_Diarias[[#This Row],[dias_da_demana]]=1,"domingo",IF(Metas_Diarias[[#This Row],[dias_da_demana]]=7,0.5,1))</f>
        <v>1</v>
      </c>
      <c r="I855" s="35">
        <f>_xlfn.XLOOKUP(Metas_Diarias[[#This Row],[data]],Feriados[Data],Feriados[Feriado],1)</f>
        <v>1</v>
      </c>
      <c r="J855" s="33" cm="1">
        <f t="array" aca="1" ref="J855" ca="1">SUMPRODUCT(IF((NOT(ISERROR(MATCH(ROW(INDIRECT(DATE(YEAR(B855),MONTH(B855),1)&amp;":"&amp;DATE(YEAR(B855),MONTH(B855)+1,0))),Feriados[Data],0))))=FALSE,
IF(WEEKDAY(ROW(INDIRECT(DATE(YEAR(B855),MONTH(B855),1)&amp;":"&amp;DATE(YEAR(B855),MONTH(B855)+1,0))),2)&lt;=5,1,IF(WEEKDAY(ROW(INDIRECT(DATE(YEAR(B855),MONTH(B855),1)&amp;":"&amp;DATE(YEAR(B855),MONTH(B855)+1,0))),2)=6,0.5,0)),0))</f>
        <v>25</v>
      </c>
      <c r="K855" s="22" cm="1">
        <f t="array" ref="K855">_xlfn.XLOOKUP(1,((Metas_Diarias[[#This Row],[tipo_equipe_id]]=Metas[equipe])*(Metas_Diarias[[#This Row],[data]]&gt;Metas[data_inicio])*(Metas_Diarias[[#This Row],[data]]&lt;Metas[data_fim])),Metas[meta_mensal],0)</f>
        <v>110000</v>
      </c>
      <c r="L855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56" spans="2:12" x14ac:dyDescent="0.3">
      <c r="B856" s="34">
        <v>45961</v>
      </c>
      <c r="C856" s="34" t="str">
        <f>TEXT(Metas_Diarias[[#This Row],[data]],"dddd")</f>
        <v>sexta-feira</v>
      </c>
      <c r="D856" s="33">
        <v>2</v>
      </c>
      <c r="E856" s="33">
        <v>2</v>
      </c>
      <c r="F856" s="18"/>
      <c r="G856" s="35">
        <f>WEEKDAY(Metas_Diarias[[#This Row],[data]])</f>
        <v>6</v>
      </c>
      <c r="H856" s="35">
        <f>IF(Metas_Diarias[[#This Row],[dias_da_demana]]=1,"domingo",IF(Metas_Diarias[[#This Row],[dias_da_demana]]=7,0.5,1))</f>
        <v>1</v>
      </c>
      <c r="I856" s="35">
        <f>_xlfn.XLOOKUP(Metas_Diarias[[#This Row],[data]],Feriados[Data],Feriados[Feriado],1)</f>
        <v>1</v>
      </c>
      <c r="J856" s="33" cm="1">
        <f t="array" aca="1" ref="J856" ca="1">SUMPRODUCT(IF((NOT(ISERROR(MATCH(ROW(INDIRECT(DATE(YEAR(B856),MONTH(B856),1)&amp;":"&amp;DATE(YEAR(B856),MONTH(B856)+1,0))),Feriados[Data],0))))=FALSE,
IF(WEEKDAY(ROW(INDIRECT(DATE(YEAR(B856),MONTH(B856),1)&amp;":"&amp;DATE(YEAR(B856),MONTH(B856)+1,0))),2)&lt;=5,1,IF(WEEKDAY(ROW(INDIRECT(DATE(YEAR(B856),MONTH(B856),1)&amp;":"&amp;DATE(YEAR(B856),MONTH(B856)+1,0))),2)=6,0.5,0)),0))</f>
        <v>25</v>
      </c>
      <c r="K856" s="22" cm="1">
        <f t="array" ref="K856">_xlfn.XLOOKUP(1,((Metas_Diarias[[#This Row],[tipo_equipe_id]]=Metas[equipe])*(Metas_Diarias[[#This Row],[data]]&gt;Metas[data_inicio])*(Metas_Diarias[[#This Row],[data]]&lt;Metas[data_fim])),Metas[meta_mensal],0)</f>
        <v>110000</v>
      </c>
      <c r="L856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857" spans="2:12" x14ac:dyDescent="0.3">
      <c r="B857" s="34">
        <v>45962</v>
      </c>
      <c r="C857" s="34" t="str">
        <f>TEXT(Metas_Diarias[[#This Row],[data]],"dddd")</f>
        <v>sábado</v>
      </c>
      <c r="D857" s="33">
        <v>2</v>
      </c>
      <c r="E857" s="33">
        <v>2</v>
      </c>
      <c r="F857" s="18"/>
      <c r="G857" s="35">
        <f>WEEKDAY(Metas_Diarias[[#This Row],[data]])</f>
        <v>7</v>
      </c>
      <c r="H857" s="35">
        <f>IF(Metas_Diarias[[#This Row],[dias_da_demana]]=1,"domingo",IF(Metas_Diarias[[#This Row],[dias_da_demana]]=7,0.5,1))</f>
        <v>0.5</v>
      </c>
      <c r="I857" s="35">
        <f>_xlfn.XLOOKUP(Metas_Diarias[[#This Row],[data]],Feriados[Data],Feriados[Feriado],1)</f>
        <v>1</v>
      </c>
      <c r="J857" s="33" cm="1">
        <f t="array" aca="1" ref="J857" ca="1">SUMPRODUCT(IF((NOT(ISERROR(MATCH(ROW(INDIRECT(DATE(YEAR(B857),MONTH(B857),1)&amp;":"&amp;DATE(YEAR(B857),MONTH(B857)+1,0))),Feriados[Data],0))))=FALSE,
IF(WEEKDAY(ROW(INDIRECT(DATE(YEAR(B857),MONTH(B857),1)&amp;":"&amp;DATE(YEAR(B857),MONTH(B857)+1,0))),2)&lt;=5,1,IF(WEEKDAY(ROW(INDIRECT(DATE(YEAR(B857),MONTH(B857),1)&amp;":"&amp;DATE(YEAR(B857),MONTH(B857)+1,0))),2)=6,0.5,0)),0))</f>
        <v>22</v>
      </c>
      <c r="K857" s="22" cm="1">
        <f t="array" ref="K857">_xlfn.XLOOKUP(1,((Metas_Diarias[[#This Row],[tipo_equipe_id]]=Metas[equipe])*(Metas_Diarias[[#This Row],[data]]&gt;Metas[data_inicio])*(Metas_Diarias[[#This Row],[data]]&lt;Metas[data_fim])),Metas[meta_mensal],0)</f>
        <v>110000</v>
      </c>
      <c r="L857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858" spans="2:12" x14ac:dyDescent="0.3">
      <c r="B858" s="34">
        <v>45963</v>
      </c>
      <c r="C858" s="34" t="str">
        <f>TEXT(Metas_Diarias[[#This Row],[data]],"dddd")</f>
        <v>domingo</v>
      </c>
      <c r="D858" s="33">
        <v>2</v>
      </c>
      <c r="E858" s="33">
        <v>2</v>
      </c>
      <c r="F858" s="18"/>
      <c r="G858" s="35">
        <f>WEEKDAY(Metas_Diarias[[#This Row],[data]])</f>
        <v>1</v>
      </c>
      <c r="H858" s="35" t="str">
        <f>IF(Metas_Diarias[[#This Row],[dias_da_demana]]=1,"domingo",IF(Metas_Diarias[[#This Row],[dias_da_demana]]=7,0.5,1))</f>
        <v>domingo</v>
      </c>
      <c r="I858" s="35" t="str">
        <f>_xlfn.XLOOKUP(Metas_Diarias[[#This Row],[data]],Feriados[Data],Feriados[Feriado],1)</f>
        <v>Finados</v>
      </c>
      <c r="J858" s="33" cm="1">
        <f t="array" aca="1" ref="J858" ca="1">SUMPRODUCT(IF((NOT(ISERROR(MATCH(ROW(INDIRECT(DATE(YEAR(B858),MONTH(B858),1)&amp;":"&amp;DATE(YEAR(B858),MONTH(B858)+1,0))),Feriados[Data],0))))=FALSE,
IF(WEEKDAY(ROW(INDIRECT(DATE(YEAR(B858),MONTH(B858),1)&amp;":"&amp;DATE(YEAR(B858),MONTH(B858)+1,0))),2)&lt;=5,1,IF(WEEKDAY(ROW(INDIRECT(DATE(YEAR(B858),MONTH(B858),1)&amp;":"&amp;DATE(YEAR(B858),MONTH(B858)+1,0))),2)=6,0.5,0)),0))</f>
        <v>22</v>
      </c>
      <c r="K858" s="22" cm="1">
        <f t="array" ref="K858">_xlfn.XLOOKUP(1,((Metas_Diarias[[#This Row],[tipo_equipe_id]]=Metas[equipe])*(Metas_Diarias[[#This Row],[data]]&gt;Metas[data_inicio])*(Metas_Diarias[[#This Row],[data]]&lt;Metas[data_fim])),Metas[meta_mensal],0)</f>
        <v>110000</v>
      </c>
      <c r="L85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59" spans="2:12" x14ac:dyDescent="0.3">
      <c r="B859" s="34">
        <v>45964</v>
      </c>
      <c r="C859" s="34" t="str">
        <f>TEXT(Metas_Diarias[[#This Row],[data]],"dddd")</f>
        <v>segunda-feira</v>
      </c>
      <c r="D859" s="33">
        <v>2</v>
      </c>
      <c r="E859" s="33">
        <v>2</v>
      </c>
      <c r="F859" s="18"/>
      <c r="G859" s="35">
        <f>WEEKDAY(Metas_Diarias[[#This Row],[data]])</f>
        <v>2</v>
      </c>
      <c r="H859" s="35">
        <f>IF(Metas_Diarias[[#This Row],[dias_da_demana]]=1,"domingo",IF(Metas_Diarias[[#This Row],[dias_da_demana]]=7,0.5,1))</f>
        <v>1</v>
      </c>
      <c r="I859" s="35">
        <f>_xlfn.XLOOKUP(Metas_Diarias[[#This Row],[data]],Feriados[Data],Feriados[Feriado],1)</f>
        <v>1</v>
      </c>
      <c r="J859" s="33" cm="1">
        <f t="array" aca="1" ref="J859" ca="1">SUMPRODUCT(IF((NOT(ISERROR(MATCH(ROW(INDIRECT(DATE(YEAR(B859),MONTH(B859),1)&amp;":"&amp;DATE(YEAR(B859),MONTH(B859)+1,0))),Feriados[Data],0))))=FALSE,
IF(WEEKDAY(ROW(INDIRECT(DATE(YEAR(B859),MONTH(B859),1)&amp;":"&amp;DATE(YEAR(B859),MONTH(B859)+1,0))),2)&lt;=5,1,IF(WEEKDAY(ROW(INDIRECT(DATE(YEAR(B859),MONTH(B859),1)&amp;":"&amp;DATE(YEAR(B859),MONTH(B859)+1,0))),2)=6,0.5,0)),0))</f>
        <v>22</v>
      </c>
      <c r="K859" s="22" cm="1">
        <f t="array" ref="K859">_xlfn.XLOOKUP(1,((Metas_Diarias[[#This Row],[tipo_equipe_id]]=Metas[equipe])*(Metas_Diarias[[#This Row],[data]]&gt;Metas[data_inicio])*(Metas_Diarias[[#This Row],[data]]&lt;Metas[data_fim])),Metas[meta_mensal],0)</f>
        <v>110000</v>
      </c>
      <c r="L859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60" spans="2:12" x14ac:dyDescent="0.3">
      <c r="B860" s="34">
        <v>45965</v>
      </c>
      <c r="C860" s="34" t="str">
        <f>TEXT(Metas_Diarias[[#This Row],[data]],"dddd")</f>
        <v>terça-feira</v>
      </c>
      <c r="D860" s="33">
        <v>2</v>
      </c>
      <c r="E860" s="33">
        <v>2</v>
      </c>
      <c r="F860" s="18"/>
      <c r="G860" s="35">
        <f>WEEKDAY(Metas_Diarias[[#This Row],[data]])</f>
        <v>3</v>
      </c>
      <c r="H860" s="35">
        <f>IF(Metas_Diarias[[#This Row],[dias_da_demana]]=1,"domingo",IF(Metas_Diarias[[#This Row],[dias_da_demana]]=7,0.5,1))</f>
        <v>1</v>
      </c>
      <c r="I860" s="35">
        <f>_xlfn.XLOOKUP(Metas_Diarias[[#This Row],[data]],Feriados[Data],Feriados[Feriado],1)</f>
        <v>1</v>
      </c>
      <c r="J860" s="33" cm="1">
        <f t="array" aca="1" ref="J860" ca="1">SUMPRODUCT(IF((NOT(ISERROR(MATCH(ROW(INDIRECT(DATE(YEAR(B860),MONTH(B860),1)&amp;":"&amp;DATE(YEAR(B860),MONTH(B860)+1,0))),Feriados[Data],0))))=FALSE,
IF(WEEKDAY(ROW(INDIRECT(DATE(YEAR(B860),MONTH(B860),1)&amp;":"&amp;DATE(YEAR(B860),MONTH(B860)+1,0))),2)&lt;=5,1,IF(WEEKDAY(ROW(INDIRECT(DATE(YEAR(B860),MONTH(B860),1)&amp;":"&amp;DATE(YEAR(B860),MONTH(B860)+1,0))),2)=6,0.5,0)),0))</f>
        <v>22</v>
      </c>
      <c r="K860" s="22" cm="1">
        <f t="array" ref="K860">_xlfn.XLOOKUP(1,((Metas_Diarias[[#This Row],[tipo_equipe_id]]=Metas[equipe])*(Metas_Diarias[[#This Row],[data]]&gt;Metas[data_inicio])*(Metas_Diarias[[#This Row],[data]]&lt;Metas[data_fim])),Metas[meta_mensal],0)</f>
        <v>110000</v>
      </c>
      <c r="L860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61" spans="2:12" x14ac:dyDescent="0.3">
      <c r="B861" s="34">
        <v>45966</v>
      </c>
      <c r="C861" s="34" t="str">
        <f>TEXT(Metas_Diarias[[#This Row],[data]],"dddd")</f>
        <v>quarta-feira</v>
      </c>
      <c r="D861" s="33">
        <v>2</v>
      </c>
      <c r="E861" s="33">
        <v>2</v>
      </c>
      <c r="F861" s="18"/>
      <c r="G861" s="35">
        <f>WEEKDAY(Metas_Diarias[[#This Row],[data]])</f>
        <v>4</v>
      </c>
      <c r="H861" s="35">
        <f>IF(Metas_Diarias[[#This Row],[dias_da_demana]]=1,"domingo",IF(Metas_Diarias[[#This Row],[dias_da_demana]]=7,0.5,1))</f>
        <v>1</v>
      </c>
      <c r="I861" s="35">
        <f>_xlfn.XLOOKUP(Metas_Diarias[[#This Row],[data]],Feriados[Data],Feriados[Feriado],1)</f>
        <v>1</v>
      </c>
      <c r="J861" s="33" cm="1">
        <f t="array" aca="1" ref="J861" ca="1">SUMPRODUCT(IF((NOT(ISERROR(MATCH(ROW(INDIRECT(DATE(YEAR(B861),MONTH(B861),1)&amp;":"&amp;DATE(YEAR(B861),MONTH(B861)+1,0))),Feriados[Data],0))))=FALSE,
IF(WEEKDAY(ROW(INDIRECT(DATE(YEAR(B861),MONTH(B861),1)&amp;":"&amp;DATE(YEAR(B861),MONTH(B861)+1,0))),2)&lt;=5,1,IF(WEEKDAY(ROW(INDIRECT(DATE(YEAR(B861),MONTH(B861),1)&amp;":"&amp;DATE(YEAR(B861),MONTH(B861)+1,0))),2)=6,0.5,0)),0))</f>
        <v>22</v>
      </c>
      <c r="K861" s="22" cm="1">
        <f t="array" ref="K861">_xlfn.XLOOKUP(1,((Metas_Diarias[[#This Row],[tipo_equipe_id]]=Metas[equipe])*(Metas_Diarias[[#This Row],[data]]&gt;Metas[data_inicio])*(Metas_Diarias[[#This Row],[data]]&lt;Metas[data_fim])),Metas[meta_mensal],0)</f>
        <v>110000</v>
      </c>
      <c r="L861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62" spans="2:12" x14ac:dyDescent="0.3">
      <c r="B862" s="34">
        <v>45967</v>
      </c>
      <c r="C862" s="34" t="str">
        <f>TEXT(Metas_Diarias[[#This Row],[data]],"dddd")</f>
        <v>quinta-feira</v>
      </c>
      <c r="D862" s="33">
        <v>2</v>
      </c>
      <c r="E862" s="33">
        <v>2</v>
      </c>
      <c r="F862" s="18"/>
      <c r="G862" s="35">
        <f>WEEKDAY(Metas_Diarias[[#This Row],[data]])</f>
        <v>5</v>
      </c>
      <c r="H862" s="35">
        <f>IF(Metas_Diarias[[#This Row],[dias_da_demana]]=1,"domingo",IF(Metas_Diarias[[#This Row],[dias_da_demana]]=7,0.5,1))</f>
        <v>1</v>
      </c>
      <c r="I862" s="35">
        <f>_xlfn.XLOOKUP(Metas_Diarias[[#This Row],[data]],Feriados[Data],Feriados[Feriado],1)</f>
        <v>1</v>
      </c>
      <c r="J862" s="33" cm="1">
        <f t="array" aca="1" ref="J862" ca="1">SUMPRODUCT(IF((NOT(ISERROR(MATCH(ROW(INDIRECT(DATE(YEAR(B862),MONTH(B862),1)&amp;":"&amp;DATE(YEAR(B862),MONTH(B862)+1,0))),Feriados[Data],0))))=FALSE,
IF(WEEKDAY(ROW(INDIRECT(DATE(YEAR(B862),MONTH(B862),1)&amp;":"&amp;DATE(YEAR(B862),MONTH(B862)+1,0))),2)&lt;=5,1,IF(WEEKDAY(ROW(INDIRECT(DATE(YEAR(B862),MONTH(B862),1)&amp;":"&amp;DATE(YEAR(B862),MONTH(B862)+1,0))),2)=6,0.5,0)),0))</f>
        <v>22</v>
      </c>
      <c r="K862" s="22" cm="1">
        <f t="array" ref="K862">_xlfn.XLOOKUP(1,((Metas_Diarias[[#This Row],[tipo_equipe_id]]=Metas[equipe])*(Metas_Diarias[[#This Row],[data]]&gt;Metas[data_inicio])*(Metas_Diarias[[#This Row],[data]]&lt;Metas[data_fim])),Metas[meta_mensal],0)</f>
        <v>110000</v>
      </c>
      <c r="L862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63" spans="2:12" x14ac:dyDescent="0.3">
      <c r="B863" s="34">
        <v>45968</v>
      </c>
      <c r="C863" s="34" t="str">
        <f>TEXT(Metas_Diarias[[#This Row],[data]],"dddd")</f>
        <v>sexta-feira</v>
      </c>
      <c r="D863" s="33">
        <v>2</v>
      </c>
      <c r="E863" s="33">
        <v>2</v>
      </c>
      <c r="F863" s="18"/>
      <c r="G863" s="35">
        <f>WEEKDAY(Metas_Diarias[[#This Row],[data]])</f>
        <v>6</v>
      </c>
      <c r="H863" s="35">
        <f>IF(Metas_Diarias[[#This Row],[dias_da_demana]]=1,"domingo",IF(Metas_Diarias[[#This Row],[dias_da_demana]]=7,0.5,1))</f>
        <v>1</v>
      </c>
      <c r="I863" s="35">
        <f>_xlfn.XLOOKUP(Metas_Diarias[[#This Row],[data]],Feriados[Data],Feriados[Feriado],1)</f>
        <v>1</v>
      </c>
      <c r="J863" s="33" cm="1">
        <f t="array" aca="1" ref="J863" ca="1">SUMPRODUCT(IF((NOT(ISERROR(MATCH(ROW(INDIRECT(DATE(YEAR(B863),MONTH(B863),1)&amp;":"&amp;DATE(YEAR(B863),MONTH(B863)+1,0))),Feriados[Data],0))))=FALSE,
IF(WEEKDAY(ROW(INDIRECT(DATE(YEAR(B863),MONTH(B863),1)&amp;":"&amp;DATE(YEAR(B863),MONTH(B863)+1,0))),2)&lt;=5,1,IF(WEEKDAY(ROW(INDIRECT(DATE(YEAR(B863),MONTH(B863),1)&amp;":"&amp;DATE(YEAR(B863),MONTH(B863)+1,0))),2)=6,0.5,0)),0))</f>
        <v>22</v>
      </c>
      <c r="K863" s="22" cm="1">
        <f t="array" ref="K863">_xlfn.XLOOKUP(1,((Metas_Diarias[[#This Row],[tipo_equipe_id]]=Metas[equipe])*(Metas_Diarias[[#This Row],[data]]&gt;Metas[data_inicio])*(Metas_Diarias[[#This Row],[data]]&lt;Metas[data_fim])),Metas[meta_mensal],0)</f>
        <v>110000</v>
      </c>
      <c r="L86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64" spans="2:12" x14ac:dyDescent="0.3">
      <c r="B864" s="34">
        <v>45969</v>
      </c>
      <c r="C864" s="34" t="str">
        <f>TEXT(Metas_Diarias[[#This Row],[data]],"dddd")</f>
        <v>sábado</v>
      </c>
      <c r="D864" s="33">
        <v>2</v>
      </c>
      <c r="E864" s="33">
        <v>2</v>
      </c>
      <c r="F864" s="18"/>
      <c r="G864" s="35">
        <f>WEEKDAY(Metas_Diarias[[#This Row],[data]])</f>
        <v>7</v>
      </c>
      <c r="H864" s="35">
        <f>IF(Metas_Diarias[[#This Row],[dias_da_demana]]=1,"domingo",IF(Metas_Diarias[[#This Row],[dias_da_demana]]=7,0.5,1))</f>
        <v>0.5</v>
      </c>
      <c r="I864" s="35">
        <f>_xlfn.XLOOKUP(Metas_Diarias[[#This Row],[data]],Feriados[Data],Feriados[Feriado],1)</f>
        <v>1</v>
      </c>
      <c r="J864" s="33" cm="1">
        <f t="array" aca="1" ref="J864" ca="1">SUMPRODUCT(IF((NOT(ISERROR(MATCH(ROW(INDIRECT(DATE(YEAR(B864),MONTH(B864),1)&amp;":"&amp;DATE(YEAR(B864),MONTH(B864)+1,0))),Feriados[Data],0))))=FALSE,
IF(WEEKDAY(ROW(INDIRECT(DATE(YEAR(B864),MONTH(B864),1)&amp;":"&amp;DATE(YEAR(B864),MONTH(B864)+1,0))),2)&lt;=5,1,IF(WEEKDAY(ROW(INDIRECT(DATE(YEAR(B864),MONTH(B864),1)&amp;":"&amp;DATE(YEAR(B864),MONTH(B864)+1,0))),2)=6,0.5,0)),0))</f>
        <v>22</v>
      </c>
      <c r="K864" s="22" cm="1">
        <f t="array" ref="K864">_xlfn.XLOOKUP(1,((Metas_Diarias[[#This Row],[tipo_equipe_id]]=Metas[equipe])*(Metas_Diarias[[#This Row],[data]]&gt;Metas[data_inicio])*(Metas_Diarias[[#This Row],[data]]&lt;Metas[data_fim])),Metas[meta_mensal],0)</f>
        <v>110000</v>
      </c>
      <c r="L864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865" spans="2:12" x14ac:dyDescent="0.3">
      <c r="B865" s="34">
        <v>45970</v>
      </c>
      <c r="C865" s="34" t="str">
        <f>TEXT(Metas_Diarias[[#This Row],[data]],"dddd")</f>
        <v>domingo</v>
      </c>
      <c r="D865" s="33">
        <v>2</v>
      </c>
      <c r="E865" s="33">
        <v>2</v>
      </c>
      <c r="F865" s="18"/>
      <c r="G865" s="35">
        <f>WEEKDAY(Metas_Diarias[[#This Row],[data]])</f>
        <v>1</v>
      </c>
      <c r="H865" s="35" t="str">
        <f>IF(Metas_Diarias[[#This Row],[dias_da_demana]]=1,"domingo",IF(Metas_Diarias[[#This Row],[dias_da_demana]]=7,0.5,1))</f>
        <v>domingo</v>
      </c>
      <c r="I865" s="35">
        <f>_xlfn.XLOOKUP(Metas_Diarias[[#This Row],[data]],Feriados[Data],Feriados[Feriado],1)</f>
        <v>1</v>
      </c>
      <c r="J865" s="33" cm="1">
        <f t="array" aca="1" ref="J865" ca="1">SUMPRODUCT(IF((NOT(ISERROR(MATCH(ROW(INDIRECT(DATE(YEAR(B865),MONTH(B865),1)&amp;":"&amp;DATE(YEAR(B865),MONTH(B865)+1,0))),Feriados[Data],0))))=FALSE,
IF(WEEKDAY(ROW(INDIRECT(DATE(YEAR(B865),MONTH(B865),1)&amp;":"&amp;DATE(YEAR(B865),MONTH(B865)+1,0))),2)&lt;=5,1,IF(WEEKDAY(ROW(INDIRECT(DATE(YEAR(B865),MONTH(B865),1)&amp;":"&amp;DATE(YEAR(B865),MONTH(B865)+1,0))),2)=6,0.5,0)),0))</f>
        <v>22</v>
      </c>
      <c r="K865" s="22" cm="1">
        <f t="array" ref="K865">_xlfn.XLOOKUP(1,((Metas_Diarias[[#This Row],[tipo_equipe_id]]=Metas[equipe])*(Metas_Diarias[[#This Row],[data]]&gt;Metas[data_inicio])*(Metas_Diarias[[#This Row],[data]]&lt;Metas[data_fim])),Metas[meta_mensal],0)</f>
        <v>110000</v>
      </c>
      <c r="L86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66" spans="2:12" x14ac:dyDescent="0.3">
      <c r="B866" s="34">
        <v>45971</v>
      </c>
      <c r="C866" s="34" t="str">
        <f>TEXT(Metas_Diarias[[#This Row],[data]],"dddd")</f>
        <v>segunda-feira</v>
      </c>
      <c r="D866" s="33">
        <v>2</v>
      </c>
      <c r="E866" s="33">
        <v>2</v>
      </c>
      <c r="F866" s="18"/>
      <c r="G866" s="35">
        <f>WEEKDAY(Metas_Diarias[[#This Row],[data]])</f>
        <v>2</v>
      </c>
      <c r="H866" s="35">
        <f>IF(Metas_Diarias[[#This Row],[dias_da_demana]]=1,"domingo",IF(Metas_Diarias[[#This Row],[dias_da_demana]]=7,0.5,1))</f>
        <v>1</v>
      </c>
      <c r="I866" s="35">
        <f>_xlfn.XLOOKUP(Metas_Diarias[[#This Row],[data]],Feriados[Data],Feriados[Feriado],1)</f>
        <v>1</v>
      </c>
      <c r="J866" s="33" cm="1">
        <f t="array" aca="1" ref="J866" ca="1">SUMPRODUCT(IF((NOT(ISERROR(MATCH(ROW(INDIRECT(DATE(YEAR(B866),MONTH(B866),1)&amp;":"&amp;DATE(YEAR(B866),MONTH(B866)+1,0))),Feriados[Data],0))))=FALSE,
IF(WEEKDAY(ROW(INDIRECT(DATE(YEAR(B866),MONTH(B866),1)&amp;":"&amp;DATE(YEAR(B866),MONTH(B866)+1,0))),2)&lt;=5,1,IF(WEEKDAY(ROW(INDIRECT(DATE(YEAR(B866),MONTH(B866),1)&amp;":"&amp;DATE(YEAR(B866),MONTH(B866)+1,0))),2)=6,0.5,0)),0))</f>
        <v>22</v>
      </c>
      <c r="K866" s="22" cm="1">
        <f t="array" ref="K866">_xlfn.XLOOKUP(1,((Metas_Diarias[[#This Row],[tipo_equipe_id]]=Metas[equipe])*(Metas_Diarias[[#This Row],[data]]&gt;Metas[data_inicio])*(Metas_Diarias[[#This Row],[data]]&lt;Metas[data_fim])),Metas[meta_mensal],0)</f>
        <v>110000</v>
      </c>
      <c r="L866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67" spans="2:12" x14ac:dyDescent="0.3">
      <c r="B867" s="34">
        <v>45972</v>
      </c>
      <c r="C867" s="34" t="str">
        <f>TEXT(Metas_Diarias[[#This Row],[data]],"dddd")</f>
        <v>terça-feira</v>
      </c>
      <c r="D867" s="33">
        <v>2</v>
      </c>
      <c r="E867" s="33">
        <v>2</v>
      </c>
      <c r="F867" s="18"/>
      <c r="G867" s="35">
        <f>WEEKDAY(Metas_Diarias[[#This Row],[data]])</f>
        <v>3</v>
      </c>
      <c r="H867" s="35">
        <f>IF(Metas_Diarias[[#This Row],[dias_da_demana]]=1,"domingo",IF(Metas_Diarias[[#This Row],[dias_da_demana]]=7,0.5,1))</f>
        <v>1</v>
      </c>
      <c r="I867" s="35">
        <f>_xlfn.XLOOKUP(Metas_Diarias[[#This Row],[data]],Feriados[Data],Feriados[Feriado],1)</f>
        <v>1</v>
      </c>
      <c r="J867" s="33" cm="1">
        <f t="array" aca="1" ref="J867" ca="1">SUMPRODUCT(IF((NOT(ISERROR(MATCH(ROW(INDIRECT(DATE(YEAR(B867),MONTH(B867),1)&amp;":"&amp;DATE(YEAR(B867),MONTH(B867)+1,0))),Feriados[Data],0))))=FALSE,
IF(WEEKDAY(ROW(INDIRECT(DATE(YEAR(B867),MONTH(B867),1)&amp;":"&amp;DATE(YEAR(B867),MONTH(B867)+1,0))),2)&lt;=5,1,IF(WEEKDAY(ROW(INDIRECT(DATE(YEAR(B867),MONTH(B867),1)&amp;":"&amp;DATE(YEAR(B867),MONTH(B867)+1,0))),2)=6,0.5,0)),0))</f>
        <v>22</v>
      </c>
      <c r="K867" s="22" cm="1">
        <f t="array" ref="K867">_xlfn.XLOOKUP(1,((Metas_Diarias[[#This Row],[tipo_equipe_id]]=Metas[equipe])*(Metas_Diarias[[#This Row],[data]]&gt;Metas[data_inicio])*(Metas_Diarias[[#This Row],[data]]&lt;Metas[data_fim])),Metas[meta_mensal],0)</f>
        <v>110000</v>
      </c>
      <c r="L867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68" spans="2:12" x14ac:dyDescent="0.3">
      <c r="B868" s="34">
        <v>45973</v>
      </c>
      <c r="C868" s="34" t="str">
        <f>TEXT(Metas_Diarias[[#This Row],[data]],"dddd")</f>
        <v>quarta-feira</v>
      </c>
      <c r="D868" s="33">
        <v>2</v>
      </c>
      <c r="E868" s="33">
        <v>2</v>
      </c>
      <c r="F868" s="18"/>
      <c r="G868" s="35">
        <f>WEEKDAY(Metas_Diarias[[#This Row],[data]])</f>
        <v>4</v>
      </c>
      <c r="H868" s="35">
        <f>IF(Metas_Diarias[[#This Row],[dias_da_demana]]=1,"domingo",IF(Metas_Diarias[[#This Row],[dias_da_demana]]=7,0.5,1))</f>
        <v>1</v>
      </c>
      <c r="I868" s="35">
        <f>_xlfn.XLOOKUP(Metas_Diarias[[#This Row],[data]],Feriados[Data],Feriados[Feriado],1)</f>
        <v>1</v>
      </c>
      <c r="J868" s="33" cm="1">
        <f t="array" aca="1" ref="J868" ca="1">SUMPRODUCT(IF((NOT(ISERROR(MATCH(ROW(INDIRECT(DATE(YEAR(B868),MONTH(B868),1)&amp;":"&amp;DATE(YEAR(B868),MONTH(B868)+1,0))),Feriados[Data],0))))=FALSE,
IF(WEEKDAY(ROW(INDIRECT(DATE(YEAR(B868),MONTH(B868),1)&amp;":"&amp;DATE(YEAR(B868),MONTH(B868)+1,0))),2)&lt;=5,1,IF(WEEKDAY(ROW(INDIRECT(DATE(YEAR(B868),MONTH(B868),1)&amp;":"&amp;DATE(YEAR(B868),MONTH(B868)+1,0))),2)=6,0.5,0)),0))</f>
        <v>22</v>
      </c>
      <c r="K868" s="22" cm="1">
        <f t="array" ref="K868">_xlfn.XLOOKUP(1,((Metas_Diarias[[#This Row],[tipo_equipe_id]]=Metas[equipe])*(Metas_Diarias[[#This Row],[data]]&gt;Metas[data_inicio])*(Metas_Diarias[[#This Row],[data]]&lt;Metas[data_fim])),Metas[meta_mensal],0)</f>
        <v>110000</v>
      </c>
      <c r="L868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69" spans="2:12" x14ac:dyDescent="0.3">
      <c r="B869" s="34">
        <v>45974</v>
      </c>
      <c r="C869" s="34" t="str">
        <f>TEXT(Metas_Diarias[[#This Row],[data]],"dddd")</f>
        <v>quinta-feira</v>
      </c>
      <c r="D869" s="33">
        <v>2</v>
      </c>
      <c r="E869" s="33">
        <v>2</v>
      </c>
      <c r="F869" s="18"/>
      <c r="G869" s="35">
        <f>WEEKDAY(Metas_Diarias[[#This Row],[data]])</f>
        <v>5</v>
      </c>
      <c r="H869" s="35">
        <f>IF(Metas_Diarias[[#This Row],[dias_da_demana]]=1,"domingo",IF(Metas_Diarias[[#This Row],[dias_da_demana]]=7,0.5,1))</f>
        <v>1</v>
      </c>
      <c r="I869" s="35">
        <f>_xlfn.XLOOKUP(Metas_Diarias[[#This Row],[data]],Feriados[Data],Feriados[Feriado],1)</f>
        <v>1</v>
      </c>
      <c r="J869" s="33" cm="1">
        <f t="array" aca="1" ref="J869" ca="1">SUMPRODUCT(IF((NOT(ISERROR(MATCH(ROW(INDIRECT(DATE(YEAR(B869),MONTH(B869),1)&amp;":"&amp;DATE(YEAR(B869),MONTH(B869)+1,0))),Feriados[Data],0))))=FALSE,
IF(WEEKDAY(ROW(INDIRECT(DATE(YEAR(B869),MONTH(B869),1)&amp;":"&amp;DATE(YEAR(B869),MONTH(B869)+1,0))),2)&lt;=5,1,IF(WEEKDAY(ROW(INDIRECT(DATE(YEAR(B869),MONTH(B869),1)&amp;":"&amp;DATE(YEAR(B869),MONTH(B869)+1,0))),2)=6,0.5,0)),0))</f>
        <v>22</v>
      </c>
      <c r="K869" s="22" cm="1">
        <f t="array" ref="K869">_xlfn.XLOOKUP(1,((Metas_Diarias[[#This Row],[tipo_equipe_id]]=Metas[equipe])*(Metas_Diarias[[#This Row],[data]]&gt;Metas[data_inicio])*(Metas_Diarias[[#This Row],[data]]&lt;Metas[data_fim])),Metas[meta_mensal],0)</f>
        <v>110000</v>
      </c>
      <c r="L869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70" spans="2:12" x14ac:dyDescent="0.3">
      <c r="B870" s="34">
        <v>45975</v>
      </c>
      <c r="C870" s="34" t="str">
        <f>TEXT(Metas_Diarias[[#This Row],[data]],"dddd")</f>
        <v>sexta-feira</v>
      </c>
      <c r="D870" s="33">
        <v>2</v>
      </c>
      <c r="E870" s="33">
        <v>2</v>
      </c>
      <c r="F870" s="18"/>
      <c r="G870" s="35">
        <f>WEEKDAY(Metas_Diarias[[#This Row],[data]])</f>
        <v>6</v>
      </c>
      <c r="H870" s="35">
        <f>IF(Metas_Diarias[[#This Row],[dias_da_demana]]=1,"domingo",IF(Metas_Diarias[[#This Row],[dias_da_demana]]=7,0.5,1))</f>
        <v>1</v>
      </c>
      <c r="I870" s="35">
        <f>_xlfn.XLOOKUP(Metas_Diarias[[#This Row],[data]],Feriados[Data],Feriados[Feriado],1)</f>
        <v>1</v>
      </c>
      <c r="J870" s="33" cm="1">
        <f t="array" aca="1" ref="J870" ca="1">SUMPRODUCT(IF((NOT(ISERROR(MATCH(ROW(INDIRECT(DATE(YEAR(B870),MONTH(B870),1)&amp;":"&amp;DATE(YEAR(B870),MONTH(B870)+1,0))),Feriados[Data],0))))=FALSE,
IF(WEEKDAY(ROW(INDIRECT(DATE(YEAR(B870),MONTH(B870),1)&amp;":"&amp;DATE(YEAR(B870),MONTH(B870)+1,0))),2)&lt;=5,1,IF(WEEKDAY(ROW(INDIRECT(DATE(YEAR(B870),MONTH(B870),1)&amp;":"&amp;DATE(YEAR(B870),MONTH(B870)+1,0))),2)=6,0.5,0)),0))</f>
        <v>22</v>
      </c>
      <c r="K870" s="22" cm="1">
        <f t="array" ref="K870">_xlfn.XLOOKUP(1,((Metas_Diarias[[#This Row],[tipo_equipe_id]]=Metas[equipe])*(Metas_Diarias[[#This Row],[data]]&gt;Metas[data_inicio])*(Metas_Diarias[[#This Row],[data]]&lt;Metas[data_fim])),Metas[meta_mensal],0)</f>
        <v>110000</v>
      </c>
      <c r="L870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71" spans="2:12" x14ac:dyDescent="0.3">
      <c r="B871" s="34">
        <v>45976</v>
      </c>
      <c r="C871" s="34" t="str">
        <f>TEXT(Metas_Diarias[[#This Row],[data]],"dddd")</f>
        <v>sábado</v>
      </c>
      <c r="D871" s="33">
        <v>2</v>
      </c>
      <c r="E871" s="33">
        <v>2</v>
      </c>
      <c r="F871" s="18"/>
      <c r="G871" s="35">
        <f>WEEKDAY(Metas_Diarias[[#This Row],[data]])</f>
        <v>7</v>
      </c>
      <c r="H871" s="35">
        <f>IF(Metas_Diarias[[#This Row],[dias_da_demana]]=1,"domingo",IF(Metas_Diarias[[#This Row],[dias_da_demana]]=7,0.5,1))</f>
        <v>0.5</v>
      </c>
      <c r="I871" s="35" t="str">
        <f>_xlfn.XLOOKUP(Metas_Diarias[[#This Row],[data]],Feriados[Data],Feriados[Feriado],1)</f>
        <v>Proclamação da República</v>
      </c>
      <c r="J871" s="33" cm="1">
        <f t="array" aca="1" ref="J871" ca="1">SUMPRODUCT(IF((NOT(ISERROR(MATCH(ROW(INDIRECT(DATE(YEAR(B871),MONTH(B871),1)&amp;":"&amp;DATE(YEAR(B871),MONTH(B871)+1,0))),Feriados[Data],0))))=FALSE,
IF(WEEKDAY(ROW(INDIRECT(DATE(YEAR(B871),MONTH(B871),1)&amp;":"&amp;DATE(YEAR(B871),MONTH(B871)+1,0))),2)&lt;=5,1,IF(WEEKDAY(ROW(INDIRECT(DATE(YEAR(B871),MONTH(B871),1)&amp;":"&amp;DATE(YEAR(B871),MONTH(B871)+1,0))),2)=6,0.5,0)),0))</f>
        <v>22</v>
      </c>
      <c r="K871" s="22" cm="1">
        <f t="array" ref="K871">_xlfn.XLOOKUP(1,((Metas_Diarias[[#This Row],[tipo_equipe_id]]=Metas[equipe])*(Metas_Diarias[[#This Row],[data]]&gt;Metas[data_inicio])*(Metas_Diarias[[#This Row],[data]]&lt;Metas[data_fim])),Metas[meta_mensal],0)</f>
        <v>110000</v>
      </c>
      <c r="L8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72" spans="2:12" x14ac:dyDescent="0.3">
      <c r="B872" s="34">
        <v>45977</v>
      </c>
      <c r="C872" s="34" t="str">
        <f>TEXT(Metas_Diarias[[#This Row],[data]],"dddd")</f>
        <v>domingo</v>
      </c>
      <c r="D872" s="33">
        <v>2</v>
      </c>
      <c r="E872" s="33">
        <v>2</v>
      </c>
      <c r="F872" s="18"/>
      <c r="G872" s="35">
        <f>WEEKDAY(Metas_Diarias[[#This Row],[data]])</f>
        <v>1</v>
      </c>
      <c r="H872" s="35" t="str">
        <f>IF(Metas_Diarias[[#This Row],[dias_da_demana]]=1,"domingo",IF(Metas_Diarias[[#This Row],[dias_da_demana]]=7,0.5,1))</f>
        <v>domingo</v>
      </c>
      <c r="I872" s="35">
        <f>_xlfn.XLOOKUP(Metas_Diarias[[#This Row],[data]],Feriados[Data],Feriados[Feriado],1)</f>
        <v>1</v>
      </c>
      <c r="J872" s="33" cm="1">
        <f t="array" aca="1" ref="J872" ca="1">SUMPRODUCT(IF((NOT(ISERROR(MATCH(ROW(INDIRECT(DATE(YEAR(B872),MONTH(B872),1)&amp;":"&amp;DATE(YEAR(B872),MONTH(B872)+1,0))),Feriados[Data],0))))=FALSE,
IF(WEEKDAY(ROW(INDIRECT(DATE(YEAR(B872),MONTH(B872),1)&amp;":"&amp;DATE(YEAR(B872),MONTH(B872)+1,0))),2)&lt;=5,1,IF(WEEKDAY(ROW(INDIRECT(DATE(YEAR(B872),MONTH(B872),1)&amp;":"&amp;DATE(YEAR(B872),MONTH(B872)+1,0))),2)=6,0.5,0)),0))</f>
        <v>22</v>
      </c>
      <c r="K872" s="22" cm="1">
        <f t="array" ref="K872">_xlfn.XLOOKUP(1,((Metas_Diarias[[#This Row],[tipo_equipe_id]]=Metas[equipe])*(Metas_Diarias[[#This Row],[data]]&gt;Metas[data_inicio])*(Metas_Diarias[[#This Row],[data]]&lt;Metas[data_fim])),Metas[meta_mensal],0)</f>
        <v>110000</v>
      </c>
      <c r="L87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73" spans="2:12" x14ac:dyDescent="0.3">
      <c r="B873" s="34">
        <v>45978</v>
      </c>
      <c r="C873" s="34" t="str">
        <f>TEXT(Metas_Diarias[[#This Row],[data]],"dddd")</f>
        <v>segunda-feira</v>
      </c>
      <c r="D873" s="33">
        <v>2</v>
      </c>
      <c r="E873" s="33">
        <v>2</v>
      </c>
      <c r="F873" s="18"/>
      <c r="G873" s="35">
        <f>WEEKDAY(Metas_Diarias[[#This Row],[data]])</f>
        <v>2</v>
      </c>
      <c r="H873" s="35">
        <f>IF(Metas_Diarias[[#This Row],[dias_da_demana]]=1,"domingo",IF(Metas_Diarias[[#This Row],[dias_da_demana]]=7,0.5,1))</f>
        <v>1</v>
      </c>
      <c r="I873" s="35">
        <f>_xlfn.XLOOKUP(Metas_Diarias[[#This Row],[data]],Feriados[Data],Feriados[Feriado],1)</f>
        <v>1</v>
      </c>
      <c r="J873" s="33" cm="1">
        <f t="array" aca="1" ref="J873" ca="1">SUMPRODUCT(IF((NOT(ISERROR(MATCH(ROW(INDIRECT(DATE(YEAR(B873),MONTH(B873),1)&amp;":"&amp;DATE(YEAR(B873),MONTH(B873)+1,0))),Feriados[Data],0))))=FALSE,
IF(WEEKDAY(ROW(INDIRECT(DATE(YEAR(B873),MONTH(B873),1)&amp;":"&amp;DATE(YEAR(B873),MONTH(B873)+1,0))),2)&lt;=5,1,IF(WEEKDAY(ROW(INDIRECT(DATE(YEAR(B873),MONTH(B873),1)&amp;":"&amp;DATE(YEAR(B873),MONTH(B873)+1,0))),2)=6,0.5,0)),0))</f>
        <v>22</v>
      </c>
      <c r="K873" s="22" cm="1">
        <f t="array" ref="K873">_xlfn.XLOOKUP(1,((Metas_Diarias[[#This Row],[tipo_equipe_id]]=Metas[equipe])*(Metas_Diarias[[#This Row],[data]]&gt;Metas[data_inicio])*(Metas_Diarias[[#This Row],[data]]&lt;Metas[data_fim])),Metas[meta_mensal],0)</f>
        <v>110000</v>
      </c>
      <c r="L87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74" spans="2:12" x14ac:dyDescent="0.3">
      <c r="B874" s="34">
        <v>45979</v>
      </c>
      <c r="C874" s="34" t="str">
        <f>TEXT(Metas_Diarias[[#This Row],[data]],"dddd")</f>
        <v>terça-feira</v>
      </c>
      <c r="D874" s="33">
        <v>2</v>
      </c>
      <c r="E874" s="33">
        <v>2</v>
      </c>
      <c r="F874" s="18"/>
      <c r="G874" s="35">
        <f>WEEKDAY(Metas_Diarias[[#This Row],[data]])</f>
        <v>3</v>
      </c>
      <c r="H874" s="35">
        <f>IF(Metas_Diarias[[#This Row],[dias_da_demana]]=1,"domingo",IF(Metas_Diarias[[#This Row],[dias_da_demana]]=7,0.5,1))</f>
        <v>1</v>
      </c>
      <c r="I874" s="35">
        <f>_xlfn.XLOOKUP(Metas_Diarias[[#This Row],[data]],Feriados[Data],Feriados[Feriado],1)</f>
        <v>1</v>
      </c>
      <c r="J874" s="33" cm="1">
        <f t="array" aca="1" ref="J874" ca="1">SUMPRODUCT(IF((NOT(ISERROR(MATCH(ROW(INDIRECT(DATE(YEAR(B874),MONTH(B874),1)&amp;":"&amp;DATE(YEAR(B874),MONTH(B874)+1,0))),Feriados[Data],0))))=FALSE,
IF(WEEKDAY(ROW(INDIRECT(DATE(YEAR(B874),MONTH(B874),1)&amp;":"&amp;DATE(YEAR(B874),MONTH(B874)+1,0))),2)&lt;=5,1,IF(WEEKDAY(ROW(INDIRECT(DATE(YEAR(B874),MONTH(B874),1)&amp;":"&amp;DATE(YEAR(B874),MONTH(B874)+1,0))),2)=6,0.5,0)),0))</f>
        <v>22</v>
      </c>
      <c r="K874" s="22" cm="1">
        <f t="array" ref="K874">_xlfn.XLOOKUP(1,((Metas_Diarias[[#This Row],[tipo_equipe_id]]=Metas[equipe])*(Metas_Diarias[[#This Row],[data]]&gt;Metas[data_inicio])*(Metas_Diarias[[#This Row],[data]]&lt;Metas[data_fim])),Metas[meta_mensal],0)</f>
        <v>110000</v>
      </c>
      <c r="L874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75" spans="2:12" x14ac:dyDescent="0.3">
      <c r="B875" s="34">
        <v>45980</v>
      </c>
      <c r="C875" s="34" t="str">
        <f>TEXT(Metas_Diarias[[#This Row],[data]],"dddd")</f>
        <v>quarta-feira</v>
      </c>
      <c r="D875" s="33">
        <v>2</v>
      </c>
      <c r="E875" s="33">
        <v>2</v>
      </c>
      <c r="F875" s="18"/>
      <c r="G875" s="35">
        <f>WEEKDAY(Metas_Diarias[[#This Row],[data]])</f>
        <v>4</v>
      </c>
      <c r="H875" s="35">
        <f>IF(Metas_Diarias[[#This Row],[dias_da_demana]]=1,"domingo",IF(Metas_Diarias[[#This Row],[dias_da_demana]]=7,0.5,1))</f>
        <v>1</v>
      </c>
      <c r="I875" s="35">
        <f>_xlfn.XLOOKUP(Metas_Diarias[[#This Row],[data]],Feriados[Data],Feriados[Feriado],1)</f>
        <v>1</v>
      </c>
      <c r="J875" s="33" cm="1">
        <f t="array" aca="1" ref="J875" ca="1">SUMPRODUCT(IF((NOT(ISERROR(MATCH(ROW(INDIRECT(DATE(YEAR(B875),MONTH(B875),1)&amp;":"&amp;DATE(YEAR(B875),MONTH(B875)+1,0))),Feriados[Data],0))))=FALSE,
IF(WEEKDAY(ROW(INDIRECT(DATE(YEAR(B875),MONTH(B875),1)&amp;":"&amp;DATE(YEAR(B875),MONTH(B875)+1,0))),2)&lt;=5,1,IF(WEEKDAY(ROW(INDIRECT(DATE(YEAR(B875),MONTH(B875),1)&amp;":"&amp;DATE(YEAR(B875),MONTH(B875)+1,0))),2)=6,0.5,0)),0))</f>
        <v>22</v>
      </c>
      <c r="K875" s="22" cm="1">
        <f t="array" ref="K875">_xlfn.XLOOKUP(1,((Metas_Diarias[[#This Row],[tipo_equipe_id]]=Metas[equipe])*(Metas_Diarias[[#This Row],[data]]&gt;Metas[data_inicio])*(Metas_Diarias[[#This Row],[data]]&lt;Metas[data_fim])),Metas[meta_mensal],0)</f>
        <v>110000</v>
      </c>
      <c r="L875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76" spans="2:12" x14ac:dyDescent="0.3">
      <c r="B876" s="34">
        <v>45981</v>
      </c>
      <c r="C876" s="34" t="str">
        <f>TEXT(Metas_Diarias[[#This Row],[data]],"dddd")</f>
        <v>quinta-feira</v>
      </c>
      <c r="D876" s="33">
        <v>2</v>
      </c>
      <c r="E876" s="33">
        <v>2</v>
      </c>
      <c r="F876" s="18"/>
      <c r="G876" s="35">
        <f>WEEKDAY(Metas_Diarias[[#This Row],[data]])</f>
        <v>5</v>
      </c>
      <c r="H876" s="35">
        <f>IF(Metas_Diarias[[#This Row],[dias_da_demana]]=1,"domingo",IF(Metas_Diarias[[#This Row],[dias_da_demana]]=7,0.5,1))</f>
        <v>1</v>
      </c>
      <c r="I876" s="35">
        <f>_xlfn.XLOOKUP(Metas_Diarias[[#This Row],[data]],Feriados[Data],Feriados[Feriado],1)</f>
        <v>1</v>
      </c>
      <c r="J876" s="33" cm="1">
        <f t="array" aca="1" ref="J876" ca="1">SUMPRODUCT(IF((NOT(ISERROR(MATCH(ROW(INDIRECT(DATE(YEAR(B876),MONTH(B876),1)&amp;":"&amp;DATE(YEAR(B876),MONTH(B876)+1,0))),Feriados[Data],0))))=FALSE,
IF(WEEKDAY(ROW(INDIRECT(DATE(YEAR(B876),MONTH(B876),1)&amp;":"&amp;DATE(YEAR(B876),MONTH(B876)+1,0))),2)&lt;=5,1,IF(WEEKDAY(ROW(INDIRECT(DATE(YEAR(B876),MONTH(B876),1)&amp;":"&amp;DATE(YEAR(B876),MONTH(B876)+1,0))),2)=6,0.5,0)),0))</f>
        <v>22</v>
      </c>
      <c r="K876" s="22" cm="1">
        <f t="array" ref="K876">_xlfn.XLOOKUP(1,((Metas_Diarias[[#This Row],[tipo_equipe_id]]=Metas[equipe])*(Metas_Diarias[[#This Row],[data]]&gt;Metas[data_inicio])*(Metas_Diarias[[#This Row],[data]]&lt;Metas[data_fim])),Metas[meta_mensal],0)</f>
        <v>110000</v>
      </c>
      <c r="L876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77" spans="2:12" x14ac:dyDescent="0.3">
      <c r="B877" s="34">
        <v>45982</v>
      </c>
      <c r="C877" s="34" t="str">
        <f>TEXT(Metas_Diarias[[#This Row],[data]],"dddd")</f>
        <v>sexta-feira</v>
      </c>
      <c r="D877" s="33">
        <v>2</v>
      </c>
      <c r="E877" s="33">
        <v>2</v>
      </c>
      <c r="F877" s="18"/>
      <c r="G877" s="35">
        <f>WEEKDAY(Metas_Diarias[[#This Row],[data]])</f>
        <v>6</v>
      </c>
      <c r="H877" s="35">
        <f>IF(Metas_Diarias[[#This Row],[dias_da_demana]]=1,"domingo",IF(Metas_Diarias[[#This Row],[dias_da_demana]]=7,0.5,1))</f>
        <v>1</v>
      </c>
      <c r="I877" s="35">
        <f>_xlfn.XLOOKUP(Metas_Diarias[[#This Row],[data]],Feriados[Data],Feriados[Feriado],1)</f>
        <v>1</v>
      </c>
      <c r="J877" s="33" cm="1">
        <f t="array" aca="1" ref="J877" ca="1">SUMPRODUCT(IF((NOT(ISERROR(MATCH(ROW(INDIRECT(DATE(YEAR(B877),MONTH(B877),1)&amp;":"&amp;DATE(YEAR(B877),MONTH(B877)+1,0))),Feriados[Data],0))))=FALSE,
IF(WEEKDAY(ROW(INDIRECT(DATE(YEAR(B877),MONTH(B877),1)&amp;":"&amp;DATE(YEAR(B877),MONTH(B877)+1,0))),2)&lt;=5,1,IF(WEEKDAY(ROW(INDIRECT(DATE(YEAR(B877),MONTH(B877),1)&amp;":"&amp;DATE(YEAR(B877),MONTH(B877)+1,0))),2)=6,0.5,0)),0))</f>
        <v>22</v>
      </c>
      <c r="K877" s="22" cm="1">
        <f t="array" ref="K877">_xlfn.XLOOKUP(1,((Metas_Diarias[[#This Row],[tipo_equipe_id]]=Metas[equipe])*(Metas_Diarias[[#This Row],[data]]&gt;Metas[data_inicio])*(Metas_Diarias[[#This Row],[data]]&lt;Metas[data_fim])),Metas[meta_mensal],0)</f>
        <v>110000</v>
      </c>
      <c r="L877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78" spans="2:12" x14ac:dyDescent="0.3">
      <c r="B878" s="34">
        <v>45983</v>
      </c>
      <c r="C878" s="34" t="str">
        <f>TEXT(Metas_Diarias[[#This Row],[data]],"dddd")</f>
        <v>sábado</v>
      </c>
      <c r="D878" s="33">
        <v>2</v>
      </c>
      <c r="E878" s="33">
        <v>2</v>
      </c>
      <c r="F878" s="18"/>
      <c r="G878" s="35">
        <f>WEEKDAY(Metas_Diarias[[#This Row],[data]])</f>
        <v>7</v>
      </c>
      <c r="H878" s="35">
        <f>IF(Metas_Diarias[[#This Row],[dias_da_demana]]=1,"domingo",IF(Metas_Diarias[[#This Row],[dias_da_demana]]=7,0.5,1))</f>
        <v>0.5</v>
      </c>
      <c r="I878" s="35">
        <f>_xlfn.XLOOKUP(Metas_Diarias[[#This Row],[data]],Feriados[Data],Feriados[Feriado],1)</f>
        <v>1</v>
      </c>
      <c r="J878" s="33" cm="1">
        <f t="array" aca="1" ref="J878" ca="1">SUMPRODUCT(IF((NOT(ISERROR(MATCH(ROW(INDIRECT(DATE(YEAR(B878),MONTH(B878),1)&amp;":"&amp;DATE(YEAR(B878),MONTH(B878)+1,0))),Feriados[Data],0))))=FALSE,
IF(WEEKDAY(ROW(INDIRECT(DATE(YEAR(B878),MONTH(B878),1)&amp;":"&amp;DATE(YEAR(B878),MONTH(B878)+1,0))),2)&lt;=5,1,IF(WEEKDAY(ROW(INDIRECT(DATE(YEAR(B878),MONTH(B878),1)&amp;":"&amp;DATE(YEAR(B878),MONTH(B878)+1,0))),2)=6,0.5,0)),0))</f>
        <v>22</v>
      </c>
      <c r="K878" s="22" cm="1">
        <f t="array" ref="K878">_xlfn.XLOOKUP(1,((Metas_Diarias[[#This Row],[tipo_equipe_id]]=Metas[equipe])*(Metas_Diarias[[#This Row],[data]]&gt;Metas[data_inicio])*(Metas_Diarias[[#This Row],[data]]&lt;Metas[data_fim])),Metas[meta_mensal],0)</f>
        <v>110000</v>
      </c>
      <c r="L878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879" spans="2:12" x14ac:dyDescent="0.3">
      <c r="B879" s="34">
        <v>45984</v>
      </c>
      <c r="C879" s="34" t="str">
        <f>TEXT(Metas_Diarias[[#This Row],[data]],"dddd")</f>
        <v>domingo</v>
      </c>
      <c r="D879" s="33">
        <v>2</v>
      </c>
      <c r="E879" s="33">
        <v>2</v>
      </c>
      <c r="F879" s="18"/>
      <c r="G879" s="35">
        <f>WEEKDAY(Metas_Diarias[[#This Row],[data]])</f>
        <v>1</v>
      </c>
      <c r="H879" s="35" t="str">
        <f>IF(Metas_Diarias[[#This Row],[dias_da_demana]]=1,"domingo",IF(Metas_Diarias[[#This Row],[dias_da_demana]]=7,0.5,1))</f>
        <v>domingo</v>
      </c>
      <c r="I879" s="35">
        <f>_xlfn.XLOOKUP(Metas_Diarias[[#This Row],[data]],Feriados[Data],Feriados[Feriado],1)</f>
        <v>1</v>
      </c>
      <c r="J879" s="33" cm="1">
        <f t="array" aca="1" ref="J879" ca="1">SUMPRODUCT(IF((NOT(ISERROR(MATCH(ROW(INDIRECT(DATE(YEAR(B879),MONTH(B879),1)&amp;":"&amp;DATE(YEAR(B879),MONTH(B879)+1,0))),Feriados[Data],0))))=FALSE,
IF(WEEKDAY(ROW(INDIRECT(DATE(YEAR(B879),MONTH(B879),1)&amp;":"&amp;DATE(YEAR(B879),MONTH(B879)+1,0))),2)&lt;=5,1,IF(WEEKDAY(ROW(INDIRECT(DATE(YEAR(B879),MONTH(B879),1)&amp;":"&amp;DATE(YEAR(B879),MONTH(B879)+1,0))),2)=6,0.5,0)),0))</f>
        <v>22</v>
      </c>
      <c r="K879" s="22" cm="1">
        <f t="array" ref="K879">_xlfn.XLOOKUP(1,((Metas_Diarias[[#This Row],[tipo_equipe_id]]=Metas[equipe])*(Metas_Diarias[[#This Row],[data]]&gt;Metas[data_inicio])*(Metas_Diarias[[#This Row],[data]]&lt;Metas[data_fim])),Metas[meta_mensal],0)</f>
        <v>110000</v>
      </c>
      <c r="L8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80" spans="2:12" x14ac:dyDescent="0.3">
      <c r="B880" s="34">
        <v>45985</v>
      </c>
      <c r="C880" s="34" t="str">
        <f>TEXT(Metas_Diarias[[#This Row],[data]],"dddd")</f>
        <v>segunda-feira</v>
      </c>
      <c r="D880" s="33">
        <v>2</v>
      </c>
      <c r="E880" s="33">
        <v>2</v>
      </c>
      <c r="F880" s="18"/>
      <c r="G880" s="35">
        <f>WEEKDAY(Metas_Diarias[[#This Row],[data]])</f>
        <v>2</v>
      </c>
      <c r="H880" s="35">
        <f>IF(Metas_Diarias[[#This Row],[dias_da_demana]]=1,"domingo",IF(Metas_Diarias[[#This Row],[dias_da_demana]]=7,0.5,1))</f>
        <v>1</v>
      </c>
      <c r="I880" s="35">
        <f>_xlfn.XLOOKUP(Metas_Diarias[[#This Row],[data]],Feriados[Data],Feriados[Feriado],1)</f>
        <v>1</v>
      </c>
      <c r="J880" s="33" cm="1">
        <f t="array" aca="1" ref="J880" ca="1">SUMPRODUCT(IF((NOT(ISERROR(MATCH(ROW(INDIRECT(DATE(YEAR(B880),MONTH(B880),1)&amp;":"&amp;DATE(YEAR(B880),MONTH(B880)+1,0))),Feriados[Data],0))))=FALSE,
IF(WEEKDAY(ROW(INDIRECT(DATE(YEAR(B880),MONTH(B880),1)&amp;":"&amp;DATE(YEAR(B880),MONTH(B880)+1,0))),2)&lt;=5,1,IF(WEEKDAY(ROW(INDIRECT(DATE(YEAR(B880),MONTH(B880),1)&amp;":"&amp;DATE(YEAR(B880),MONTH(B880)+1,0))),2)=6,0.5,0)),0))</f>
        <v>22</v>
      </c>
      <c r="K880" s="22" cm="1">
        <f t="array" ref="K880">_xlfn.XLOOKUP(1,((Metas_Diarias[[#This Row],[tipo_equipe_id]]=Metas[equipe])*(Metas_Diarias[[#This Row],[data]]&gt;Metas[data_inicio])*(Metas_Diarias[[#This Row],[data]]&lt;Metas[data_fim])),Metas[meta_mensal],0)</f>
        <v>110000</v>
      </c>
      <c r="L880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81" spans="2:12" x14ac:dyDescent="0.3">
      <c r="B881" s="34">
        <v>45986</v>
      </c>
      <c r="C881" s="34" t="str">
        <f>TEXT(Metas_Diarias[[#This Row],[data]],"dddd")</f>
        <v>terça-feira</v>
      </c>
      <c r="D881" s="33">
        <v>2</v>
      </c>
      <c r="E881" s="33">
        <v>2</v>
      </c>
      <c r="F881" s="18"/>
      <c r="G881" s="35">
        <f>WEEKDAY(Metas_Diarias[[#This Row],[data]])</f>
        <v>3</v>
      </c>
      <c r="H881" s="35">
        <f>IF(Metas_Diarias[[#This Row],[dias_da_demana]]=1,"domingo",IF(Metas_Diarias[[#This Row],[dias_da_demana]]=7,0.5,1))</f>
        <v>1</v>
      </c>
      <c r="I881" s="35">
        <f>_xlfn.XLOOKUP(Metas_Diarias[[#This Row],[data]],Feriados[Data],Feriados[Feriado],1)</f>
        <v>1</v>
      </c>
      <c r="J881" s="33" cm="1">
        <f t="array" aca="1" ref="J881" ca="1">SUMPRODUCT(IF((NOT(ISERROR(MATCH(ROW(INDIRECT(DATE(YEAR(B881),MONTH(B881),1)&amp;":"&amp;DATE(YEAR(B881),MONTH(B881)+1,0))),Feriados[Data],0))))=FALSE,
IF(WEEKDAY(ROW(INDIRECT(DATE(YEAR(B881),MONTH(B881),1)&amp;":"&amp;DATE(YEAR(B881),MONTH(B881)+1,0))),2)&lt;=5,1,IF(WEEKDAY(ROW(INDIRECT(DATE(YEAR(B881),MONTH(B881),1)&amp;":"&amp;DATE(YEAR(B881),MONTH(B881)+1,0))),2)=6,0.5,0)),0))</f>
        <v>22</v>
      </c>
      <c r="K881" s="22" cm="1">
        <f t="array" ref="K881">_xlfn.XLOOKUP(1,((Metas_Diarias[[#This Row],[tipo_equipe_id]]=Metas[equipe])*(Metas_Diarias[[#This Row],[data]]&gt;Metas[data_inicio])*(Metas_Diarias[[#This Row],[data]]&lt;Metas[data_fim])),Metas[meta_mensal],0)</f>
        <v>110000</v>
      </c>
      <c r="L881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82" spans="2:12" x14ac:dyDescent="0.3">
      <c r="B882" s="34">
        <v>45987</v>
      </c>
      <c r="C882" s="34" t="str">
        <f>TEXT(Metas_Diarias[[#This Row],[data]],"dddd")</f>
        <v>quarta-feira</v>
      </c>
      <c r="D882" s="33">
        <v>2</v>
      </c>
      <c r="E882" s="33">
        <v>2</v>
      </c>
      <c r="F882" s="18"/>
      <c r="G882" s="35">
        <f>WEEKDAY(Metas_Diarias[[#This Row],[data]])</f>
        <v>4</v>
      </c>
      <c r="H882" s="35">
        <f>IF(Metas_Diarias[[#This Row],[dias_da_demana]]=1,"domingo",IF(Metas_Diarias[[#This Row],[dias_da_demana]]=7,0.5,1))</f>
        <v>1</v>
      </c>
      <c r="I882" s="35">
        <f>_xlfn.XLOOKUP(Metas_Diarias[[#This Row],[data]],Feriados[Data],Feriados[Feriado],1)</f>
        <v>1</v>
      </c>
      <c r="J882" s="33" cm="1">
        <f t="array" aca="1" ref="J882" ca="1">SUMPRODUCT(IF((NOT(ISERROR(MATCH(ROW(INDIRECT(DATE(YEAR(B882),MONTH(B882),1)&amp;":"&amp;DATE(YEAR(B882),MONTH(B882)+1,0))),Feriados[Data],0))))=FALSE,
IF(WEEKDAY(ROW(INDIRECT(DATE(YEAR(B882),MONTH(B882),1)&amp;":"&amp;DATE(YEAR(B882),MONTH(B882)+1,0))),2)&lt;=5,1,IF(WEEKDAY(ROW(INDIRECT(DATE(YEAR(B882),MONTH(B882),1)&amp;":"&amp;DATE(YEAR(B882),MONTH(B882)+1,0))),2)=6,0.5,0)),0))</f>
        <v>22</v>
      </c>
      <c r="K882" s="22" cm="1">
        <f t="array" ref="K882">_xlfn.XLOOKUP(1,((Metas_Diarias[[#This Row],[tipo_equipe_id]]=Metas[equipe])*(Metas_Diarias[[#This Row],[data]]&gt;Metas[data_inicio])*(Metas_Diarias[[#This Row],[data]]&lt;Metas[data_fim])),Metas[meta_mensal],0)</f>
        <v>110000</v>
      </c>
      <c r="L882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83" spans="2:12" x14ac:dyDescent="0.3">
      <c r="B883" s="34">
        <v>45988</v>
      </c>
      <c r="C883" s="34" t="str">
        <f>TEXT(Metas_Diarias[[#This Row],[data]],"dddd")</f>
        <v>quinta-feira</v>
      </c>
      <c r="D883" s="33">
        <v>2</v>
      </c>
      <c r="E883" s="33">
        <v>2</v>
      </c>
      <c r="F883" s="18"/>
      <c r="G883" s="35">
        <f>WEEKDAY(Metas_Diarias[[#This Row],[data]])</f>
        <v>5</v>
      </c>
      <c r="H883" s="35">
        <f>IF(Metas_Diarias[[#This Row],[dias_da_demana]]=1,"domingo",IF(Metas_Diarias[[#This Row],[dias_da_demana]]=7,0.5,1))</f>
        <v>1</v>
      </c>
      <c r="I883" s="35">
        <f>_xlfn.XLOOKUP(Metas_Diarias[[#This Row],[data]],Feriados[Data],Feriados[Feriado],1)</f>
        <v>1</v>
      </c>
      <c r="J883" s="33" cm="1">
        <f t="array" aca="1" ref="J883" ca="1">SUMPRODUCT(IF((NOT(ISERROR(MATCH(ROW(INDIRECT(DATE(YEAR(B883),MONTH(B883),1)&amp;":"&amp;DATE(YEAR(B883),MONTH(B883)+1,0))),Feriados[Data],0))))=FALSE,
IF(WEEKDAY(ROW(INDIRECT(DATE(YEAR(B883),MONTH(B883),1)&amp;":"&amp;DATE(YEAR(B883),MONTH(B883)+1,0))),2)&lt;=5,1,IF(WEEKDAY(ROW(INDIRECT(DATE(YEAR(B883),MONTH(B883),1)&amp;":"&amp;DATE(YEAR(B883),MONTH(B883)+1,0))),2)=6,0.5,0)),0))</f>
        <v>22</v>
      </c>
      <c r="K883" s="22" cm="1">
        <f t="array" ref="K883">_xlfn.XLOOKUP(1,((Metas_Diarias[[#This Row],[tipo_equipe_id]]=Metas[equipe])*(Metas_Diarias[[#This Row],[data]]&gt;Metas[data_inicio])*(Metas_Diarias[[#This Row],[data]]&lt;Metas[data_fim])),Metas[meta_mensal],0)</f>
        <v>110000</v>
      </c>
      <c r="L88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84" spans="2:12" x14ac:dyDescent="0.3">
      <c r="B884" s="34">
        <v>45989</v>
      </c>
      <c r="C884" s="34" t="str">
        <f>TEXT(Metas_Diarias[[#This Row],[data]],"dddd")</f>
        <v>sexta-feira</v>
      </c>
      <c r="D884" s="33">
        <v>2</v>
      </c>
      <c r="E884" s="33">
        <v>2</v>
      </c>
      <c r="F884" s="18"/>
      <c r="G884" s="35">
        <f>WEEKDAY(Metas_Diarias[[#This Row],[data]])</f>
        <v>6</v>
      </c>
      <c r="H884" s="35">
        <f>IF(Metas_Diarias[[#This Row],[dias_da_demana]]=1,"domingo",IF(Metas_Diarias[[#This Row],[dias_da_demana]]=7,0.5,1))</f>
        <v>1</v>
      </c>
      <c r="I884" s="35">
        <f>_xlfn.XLOOKUP(Metas_Diarias[[#This Row],[data]],Feriados[Data],Feriados[Feriado],1)</f>
        <v>1</v>
      </c>
      <c r="J884" s="33" cm="1">
        <f t="array" aca="1" ref="J884" ca="1">SUMPRODUCT(IF((NOT(ISERROR(MATCH(ROW(INDIRECT(DATE(YEAR(B884),MONTH(B884),1)&amp;":"&amp;DATE(YEAR(B884),MONTH(B884)+1,0))),Feriados[Data],0))))=FALSE,
IF(WEEKDAY(ROW(INDIRECT(DATE(YEAR(B884),MONTH(B884),1)&amp;":"&amp;DATE(YEAR(B884),MONTH(B884)+1,0))),2)&lt;=5,1,IF(WEEKDAY(ROW(INDIRECT(DATE(YEAR(B884),MONTH(B884),1)&amp;":"&amp;DATE(YEAR(B884),MONTH(B884)+1,0))),2)=6,0.5,0)),0))</f>
        <v>22</v>
      </c>
      <c r="K884" s="22" cm="1">
        <f t="array" ref="K884">_xlfn.XLOOKUP(1,((Metas_Diarias[[#This Row],[tipo_equipe_id]]=Metas[equipe])*(Metas_Diarias[[#This Row],[data]]&gt;Metas[data_inicio])*(Metas_Diarias[[#This Row],[data]]&lt;Metas[data_fim])),Metas[meta_mensal],0)</f>
        <v>110000</v>
      </c>
      <c r="L884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885" spans="2:12" x14ac:dyDescent="0.3">
      <c r="B885" s="34">
        <v>45990</v>
      </c>
      <c r="C885" s="34" t="str">
        <f>TEXT(Metas_Diarias[[#This Row],[data]],"dddd")</f>
        <v>sábado</v>
      </c>
      <c r="D885" s="33">
        <v>2</v>
      </c>
      <c r="E885" s="33">
        <v>2</v>
      </c>
      <c r="F885" s="18"/>
      <c r="G885" s="35">
        <f>WEEKDAY(Metas_Diarias[[#This Row],[data]])</f>
        <v>7</v>
      </c>
      <c r="H885" s="35">
        <f>IF(Metas_Diarias[[#This Row],[dias_da_demana]]=1,"domingo",IF(Metas_Diarias[[#This Row],[dias_da_demana]]=7,0.5,1))</f>
        <v>0.5</v>
      </c>
      <c r="I885" s="35">
        <f>_xlfn.XLOOKUP(Metas_Diarias[[#This Row],[data]],Feriados[Data],Feriados[Feriado],1)</f>
        <v>1</v>
      </c>
      <c r="J885" s="33" cm="1">
        <f t="array" aca="1" ref="J885" ca="1">SUMPRODUCT(IF((NOT(ISERROR(MATCH(ROW(INDIRECT(DATE(YEAR(B885),MONTH(B885),1)&amp;":"&amp;DATE(YEAR(B885),MONTH(B885)+1,0))),Feriados[Data],0))))=FALSE,
IF(WEEKDAY(ROW(INDIRECT(DATE(YEAR(B885),MONTH(B885),1)&amp;":"&amp;DATE(YEAR(B885),MONTH(B885)+1,0))),2)&lt;=5,1,IF(WEEKDAY(ROW(INDIRECT(DATE(YEAR(B885),MONTH(B885),1)&amp;":"&amp;DATE(YEAR(B885),MONTH(B885)+1,0))),2)=6,0.5,0)),0))</f>
        <v>22</v>
      </c>
      <c r="K885" s="22" cm="1">
        <f t="array" ref="K885">_xlfn.XLOOKUP(1,((Metas_Diarias[[#This Row],[tipo_equipe_id]]=Metas[equipe])*(Metas_Diarias[[#This Row],[data]]&gt;Metas[data_inicio])*(Metas_Diarias[[#This Row],[data]]&lt;Metas[data_fim])),Metas[meta_mensal],0)</f>
        <v>110000</v>
      </c>
      <c r="L885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886" spans="2:12" x14ac:dyDescent="0.3">
      <c r="B886" s="34">
        <v>45991</v>
      </c>
      <c r="C886" s="34" t="str">
        <f>TEXT(Metas_Diarias[[#This Row],[data]],"dddd")</f>
        <v>domingo</v>
      </c>
      <c r="D886" s="33">
        <v>2</v>
      </c>
      <c r="E886" s="33">
        <v>2</v>
      </c>
      <c r="F886" s="18"/>
      <c r="G886" s="35">
        <f>WEEKDAY(Metas_Diarias[[#This Row],[data]])</f>
        <v>1</v>
      </c>
      <c r="H886" s="35" t="str">
        <f>IF(Metas_Diarias[[#This Row],[dias_da_demana]]=1,"domingo",IF(Metas_Diarias[[#This Row],[dias_da_demana]]=7,0.5,1))</f>
        <v>domingo</v>
      </c>
      <c r="I886" s="35">
        <f>_xlfn.XLOOKUP(Metas_Diarias[[#This Row],[data]],Feriados[Data],Feriados[Feriado],1)</f>
        <v>1</v>
      </c>
      <c r="J886" s="33" cm="1">
        <f t="array" aca="1" ref="J886" ca="1">SUMPRODUCT(IF((NOT(ISERROR(MATCH(ROW(INDIRECT(DATE(YEAR(B886),MONTH(B886),1)&amp;":"&amp;DATE(YEAR(B886),MONTH(B886)+1,0))),Feriados[Data],0))))=FALSE,
IF(WEEKDAY(ROW(INDIRECT(DATE(YEAR(B886),MONTH(B886),1)&amp;":"&amp;DATE(YEAR(B886),MONTH(B886)+1,0))),2)&lt;=5,1,IF(WEEKDAY(ROW(INDIRECT(DATE(YEAR(B886),MONTH(B886),1)&amp;":"&amp;DATE(YEAR(B886),MONTH(B886)+1,0))),2)=6,0.5,0)),0))</f>
        <v>22</v>
      </c>
      <c r="K886" s="22" cm="1">
        <f t="array" ref="K886">_xlfn.XLOOKUP(1,((Metas_Diarias[[#This Row],[tipo_equipe_id]]=Metas[equipe])*(Metas_Diarias[[#This Row],[data]]&gt;Metas[data_inicio])*(Metas_Diarias[[#This Row],[data]]&lt;Metas[data_fim])),Metas[meta_mensal],0)</f>
        <v>110000</v>
      </c>
      <c r="L8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87" spans="2:12" x14ac:dyDescent="0.3">
      <c r="B887" s="34">
        <v>45992</v>
      </c>
      <c r="C887" s="34" t="str">
        <f>TEXT(Metas_Diarias[[#This Row],[data]],"dddd")</f>
        <v>segunda-feira</v>
      </c>
      <c r="D887" s="33">
        <v>2</v>
      </c>
      <c r="E887" s="33">
        <v>2</v>
      </c>
      <c r="F887" s="18"/>
      <c r="G887" s="35">
        <f>WEEKDAY(Metas_Diarias[[#This Row],[data]])</f>
        <v>2</v>
      </c>
      <c r="H887" s="35">
        <f>IF(Metas_Diarias[[#This Row],[dias_da_demana]]=1,"domingo",IF(Metas_Diarias[[#This Row],[dias_da_demana]]=7,0.5,1))</f>
        <v>1</v>
      </c>
      <c r="I887" s="35">
        <f>_xlfn.XLOOKUP(Metas_Diarias[[#This Row],[data]],Feriados[Data],Feriados[Feriado],1)</f>
        <v>1</v>
      </c>
      <c r="J887" s="33" cm="1">
        <f t="array" aca="1" ref="J887" ca="1">SUMPRODUCT(IF((NOT(ISERROR(MATCH(ROW(INDIRECT(DATE(YEAR(B887),MONTH(B887),1)&amp;":"&amp;DATE(YEAR(B887),MONTH(B887)+1,0))),Feriados[Data],0))))=FALSE,
IF(WEEKDAY(ROW(INDIRECT(DATE(YEAR(B887),MONTH(B887),1)&amp;":"&amp;DATE(YEAR(B887),MONTH(B887)+1,0))),2)&lt;=5,1,IF(WEEKDAY(ROW(INDIRECT(DATE(YEAR(B887),MONTH(B887),1)&amp;":"&amp;DATE(YEAR(B887),MONTH(B887)+1,0))),2)=6,0.5,0)),0))</f>
        <v>24</v>
      </c>
      <c r="K887" s="22" cm="1">
        <f t="array" ref="K887">_xlfn.XLOOKUP(1,((Metas_Diarias[[#This Row],[tipo_equipe_id]]=Metas[equipe])*(Metas_Diarias[[#This Row],[data]]&gt;Metas[data_inicio])*(Metas_Diarias[[#This Row],[data]]&lt;Metas[data_fim])),Metas[meta_mensal],0)</f>
        <v>110000</v>
      </c>
      <c r="L88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88" spans="2:12" x14ac:dyDescent="0.3">
      <c r="B888" s="34">
        <v>45993</v>
      </c>
      <c r="C888" s="34" t="str">
        <f>TEXT(Metas_Diarias[[#This Row],[data]],"dddd")</f>
        <v>terça-feira</v>
      </c>
      <c r="D888" s="33">
        <v>2</v>
      </c>
      <c r="E888" s="33">
        <v>2</v>
      </c>
      <c r="F888" s="18"/>
      <c r="G888" s="35">
        <f>WEEKDAY(Metas_Diarias[[#This Row],[data]])</f>
        <v>3</v>
      </c>
      <c r="H888" s="35">
        <f>IF(Metas_Diarias[[#This Row],[dias_da_demana]]=1,"domingo",IF(Metas_Diarias[[#This Row],[dias_da_demana]]=7,0.5,1))</f>
        <v>1</v>
      </c>
      <c r="I888" s="35">
        <f>_xlfn.XLOOKUP(Metas_Diarias[[#This Row],[data]],Feriados[Data],Feriados[Feriado],1)</f>
        <v>1</v>
      </c>
      <c r="J888" s="33" cm="1">
        <f t="array" aca="1" ref="J888" ca="1">SUMPRODUCT(IF((NOT(ISERROR(MATCH(ROW(INDIRECT(DATE(YEAR(B888),MONTH(B888),1)&amp;":"&amp;DATE(YEAR(B888),MONTH(B888)+1,0))),Feriados[Data],0))))=FALSE,
IF(WEEKDAY(ROW(INDIRECT(DATE(YEAR(B888),MONTH(B888),1)&amp;":"&amp;DATE(YEAR(B888),MONTH(B888)+1,0))),2)&lt;=5,1,IF(WEEKDAY(ROW(INDIRECT(DATE(YEAR(B888),MONTH(B888),1)&amp;":"&amp;DATE(YEAR(B888),MONTH(B888)+1,0))),2)=6,0.5,0)),0))</f>
        <v>24</v>
      </c>
      <c r="K888" s="22" cm="1">
        <f t="array" ref="K888">_xlfn.XLOOKUP(1,((Metas_Diarias[[#This Row],[tipo_equipe_id]]=Metas[equipe])*(Metas_Diarias[[#This Row],[data]]&gt;Metas[data_inicio])*(Metas_Diarias[[#This Row],[data]]&lt;Metas[data_fim])),Metas[meta_mensal],0)</f>
        <v>110000</v>
      </c>
      <c r="L88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89" spans="2:12" x14ac:dyDescent="0.3">
      <c r="B889" s="34">
        <v>45994</v>
      </c>
      <c r="C889" s="34" t="str">
        <f>TEXT(Metas_Diarias[[#This Row],[data]],"dddd")</f>
        <v>quarta-feira</v>
      </c>
      <c r="D889" s="33">
        <v>2</v>
      </c>
      <c r="E889" s="33">
        <v>2</v>
      </c>
      <c r="F889" s="18"/>
      <c r="G889" s="35">
        <f>WEEKDAY(Metas_Diarias[[#This Row],[data]])</f>
        <v>4</v>
      </c>
      <c r="H889" s="35">
        <f>IF(Metas_Diarias[[#This Row],[dias_da_demana]]=1,"domingo",IF(Metas_Diarias[[#This Row],[dias_da_demana]]=7,0.5,1))</f>
        <v>1</v>
      </c>
      <c r="I889" s="35">
        <f>_xlfn.XLOOKUP(Metas_Diarias[[#This Row],[data]],Feriados[Data],Feriados[Feriado],1)</f>
        <v>1</v>
      </c>
      <c r="J889" s="33" cm="1">
        <f t="array" aca="1" ref="J889" ca="1">SUMPRODUCT(IF((NOT(ISERROR(MATCH(ROW(INDIRECT(DATE(YEAR(B889),MONTH(B889),1)&amp;":"&amp;DATE(YEAR(B889),MONTH(B889)+1,0))),Feriados[Data],0))))=FALSE,
IF(WEEKDAY(ROW(INDIRECT(DATE(YEAR(B889),MONTH(B889),1)&amp;":"&amp;DATE(YEAR(B889),MONTH(B889)+1,0))),2)&lt;=5,1,IF(WEEKDAY(ROW(INDIRECT(DATE(YEAR(B889),MONTH(B889),1)&amp;":"&amp;DATE(YEAR(B889),MONTH(B889)+1,0))),2)=6,0.5,0)),0))</f>
        <v>24</v>
      </c>
      <c r="K889" s="22" cm="1">
        <f t="array" ref="K889">_xlfn.XLOOKUP(1,((Metas_Diarias[[#This Row],[tipo_equipe_id]]=Metas[equipe])*(Metas_Diarias[[#This Row],[data]]&gt;Metas[data_inicio])*(Metas_Diarias[[#This Row],[data]]&lt;Metas[data_fim])),Metas[meta_mensal],0)</f>
        <v>110000</v>
      </c>
      <c r="L889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90" spans="2:12" x14ac:dyDescent="0.3">
      <c r="B890" s="34">
        <v>45995</v>
      </c>
      <c r="C890" s="34" t="str">
        <f>TEXT(Metas_Diarias[[#This Row],[data]],"dddd")</f>
        <v>quinta-feira</v>
      </c>
      <c r="D890" s="33">
        <v>2</v>
      </c>
      <c r="E890" s="33">
        <v>2</v>
      </c>
      <c r="F890" s="18"/>
      <c r="G890" s="35">
        <f>WEEKDAY(Metas_Diarias[[#This Row],[data]])</f>
        <v>5</v>
      </c>
      <c r="H890" s="35">
        <f>IF(Metas_Diarias[[#This Row],[dias_da_demana]]=1,"domingo",IF(Metas_Diarias[[#This Row],[dias_da_demana]]=7,0.5,1))</f>
        <v>1</v>
      </c>
      <c r="I890" s="35">
        <f>_xlfn.XLOOKUP(Metas_Diarias[[#This Row],[data]],Feriados[Data],Feriados[Feriado],1)</f>
        <v>1</v>
      </c>
      <c r="J890" s="33" cm="1">
        <f t="array" aca="1" ref="J890" ca="1">SUMPRODUCT(IF((NOT(ISERROR(MATCH(ROW(INDIRECT(DATE(YEAR(B890),MONTH(B890),1)&amp;":"&amp;DATE(YEAR(B890),MONTH(B890)+1,0))),Feriados[Data],0))))=FALSE,
IF(WEEKDAY(ROW(INDIRECT(DATE(YEAR(B890),MONTH(B890),1)&amp;":"&amp;DATE(YEAR(B890),MONTH(B890)+1,0))),2)&lt;=5,1,IF(WEEKDAY(ROW(INDIRECT(DATE(YEAR(B890),MONTH(B890),1)&amp;":"&amp;DATE(YEAR(B890),MONTH(B890)+1,0))),2)=6,0.5,0)),0))</f>
        <v>24</v>
      </c>
      <c r="K890" s="22" cm="1">
        <f t="array" ref="K890">_xlfn.XLOOKUP(1,((Metas_Diarias[[#This Row],[tipo_equipe_id]]=Metas[equipe])*(Metas_Diarias[[#This Row],[data]]&gt;Metas[data_inicio])*(Metas_Diarias[[#This Row],[data]]&lt;Metas[data_fim])),Metas[meta_mensal],0)</f>
        <v>110000</v>
      </c>
      <c r="L89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91" spans="2:12" x14ac:dyDescent="0.3">
      <c r="B891" s="34">
        <v>45996</v>
      </c>
      <c r="C891" s="34" t="str">
        <f>TEXT(Metas_Diarias[[#This Row],[data]],"dddd")</f>
        <v>sexta-feira</v>
      </c>
      <c r="D891" s="33">
        <v>2</v>
      </c>
      <c r="E891" s="33">
        <v>2</v>
      </c>
      <c r="F891" s="18"/>
      <c r="G891" s="35">
        <f>WEEKDAY(Metas_Diarias[[#This Row],[data]])</f>
        <v>6</v>
      </c>
      <c r="H891" s="35">
        <f>IF(Metas_Diarias[[#This Row],[dias_da_demana]]=1,"domingo",IF(Metas_Diarias[[#This Row],[dias_da_demana]]=7,0.5,1))</f>
        <v>1</v>
      </c>
      <c r="I891" s="35">
        <f>_xlfn.XLOOKUP(Metas_Diarias[[#This Row],[data]],Feriados[Data],Feriados[Feriado],1)</f>
        <v>1</v>
      </c>
      <c r="J891" s="33" cm="1">
        <f t="array" aca="1" ref="J891" ca="1">SUMPRODUCT(IF((NOT(ISERROR(MATCH(ROW(INDIRECT(DATE(YEAR(B891),MONTH(B891),1)&amp;":"&amp;DATE(YEAR(B891),MONTH(B891)+1,0))),Feriados[Data],0))))=FALSE,
IF(WEEKDAY(ROW(INDIRECT(DATE(YEAR(B891),MONTH(B891),1)&amp;":"&amp;DATE(YEAR(B891),MONTH(B891)+1,0))),2)&lt;=5,1,IF(WEEKDAY(ROW(INDIRECT(DATE(YEAR(B891),MONTH(B891),1)&amp;":"&amp;DATE(YEAR(B891),MONTH(B891)+1,0))),2)=6,0.5,0)),0))</f>
        <v>24</v>
      </c>
      <c r="K891" s="22" cm="1">
        <f t="array" ref="K891">_xlfn.XLOOKUP(1,((Metas_Diarias[[#This Row],[tipo_equipe_id]]=Metas[equipe])*(Metas_Diarias[[#This Row],[data]]&gt;Metas[data_inicio])*(Metas_Diarias[[#This Row],[data]]&lt;Metas[data_fim])),Metas[meta_mensal],0)</f>
        <v>110000</v>
      </c>
      <c r="L89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92" spans="2:12" x14ac:dyDescent="0.3">
      <c r="B892" s="34">
        <v>45997</v>
      </c>
      <c r="C892" s="34" t="str">
        <f>TEXT(Metas_Diarias[[#This Row],[data]],"dddd")</f>
        <v>sábado</v>
      </c>
      <c r="D892" s="33">
        <v>2</v>
      </c>
      <c r="E892" s="33">
        <v>2</v>
      </c>
      <c r="F892" s="18"/>
      <c r="G892" s="35">
        <f>WEEKDAY(Metas_Diarias[[#This Row],[data]])</f>
        <v>7</v>
      </c>
      <c r="H892" s="35">
        <f>IF(Metas_Diarias[[#This Row],[dias_da_demana]]=1,"domingo",IF(Metas_Diarias[[#This Row],[dias_da_demana]]=7,0.5,1))</f>
        <v>0.5</v>
      </c>
      <c r="I892" s="35">
        <f>_xlfn.XLOOKUP(Metas_Diarias[[#This Row],[data]],Feriados[Data],Feriados[Feriado],1)</f>
        <v>1</v>
      </c>
      <c r="J892" s="33" cm="1">
        <f t="array" aca="1" ref="J892" ca="1">SUMPRODUCT(IF((NOT(ISERROR(MATCH(ROW(INDIRECT(DATE(YEAR(B892),MONTH(B892),1)&amp;":"&amp;DATE(YEAR(B892),MONTH(B892)+1,0))),Feriados[Data],0))))=FALSE,
IF(WEEKDAY(ROW(INDIRECT(DATE(YEAR(B892),MONTH(B892),1)&amp;":"&amp;DATE(YEAR(B892),MONTH(B892)+1,0))),2)&lt;=5,1,IF(WEEKDAY(ROW(INDIRECT(DATE(YEAR(B892),MONTH(B892),1)&amp;":"&amp;DATE(YEAR(B892),MONTH(B892)+1,0))),2)=6,0.5,0)),0))</f>
        <v>24</v>
      </c>
      <c r="K892" s="22" cm="1">
        <f t="array" ref="K892">_xlfn.XLOOKUP(1,((Metas_Diarias[[#This Row],[tipo_equipe_id]]=Metas[equipe])*(Metas_Diarias[[#This Row],[data]]&gt;Metas[data_inicio])*(Metas_Diarias[[#This Row],[data]]&lt;Metas[data_fim])),Metas[meta_mensal],0)</f>
        <v>110000</v>
      </c>
      <c r="L892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893" spans="2:12" x14ac:dyDescent="0.3">
      <c r="B893" s="34">
        <v>45998</v>
      </c>
      <c r="C893" s="34" t="str">
        <f>TEXT(Metas_Diarias[[#This Row],[data]],"dddd")</f>
        <v>domingo</v>
      </c>
      <c r="D893" s="33">
        <v>2</v>
      </c>
      <c r="E893" s="33">
        <v>2</v>
      </c>
      <c r="F893" s="18"/>
      <c r="G893" s="35">
        <f>WEEKDAY(Metas_Diarias[[#This Row],[data]])</f>
        <v>1</v>
      </c>
      <c r="H893" s="35" t="str">
        <f>IF(Metas_Diarias[[#This Row],[dias_da_demana]]=1,"domingo",IF(Metas_Diarias[[#This Row],[dias_da_demana]]=7,0.5,1))</f>
        <v>domingo</v>
      </c>
      <c r="I893" s="35">
        <f>_xlfn.XLOOKUP(Metas_Diarias[[#This Row],[data]],Feriados[Data],Feriados[Feriado],1)</f>
        <v>1</v>
      </c>
      <c r="J893" s="33" cm="1">
        <f t="array" aca="1" ref="J893" ca="1">SUMPRODUCT(IF((NOT(ISERROR(MATCH(ROW(INDIRECT(DATE(YEAR(B893),MONTH(B893),1)&amp;":"&amp;DATE(YEAR(B893),MONTH(B893)+1,0))),Feriados[Data],0))))=FALSE,
IF(WEEKDAY(ROW(INDIRECT(DATE(YEAR(B893),MONTH(B893),1)&amp;":"&amp;DATE(YEAR(B893),MONTH(B893)+1,0))),2)&lt;=5,1,IF(WEEKDAY(ROW(INDIRECT(DATE(YEAR(B893),MONTH(B893),1)&amp;":"&amp;DATE(YEAR(B893),MONTH(B893)+1,0))),2)=6,0.5,0)),0))</f>
        <v>24</v>
      </c>
      <c r="K893" s="22" cm="1">
        <f t="array" ref="K893">_xlfn.XLOOKUP(1,((Metas_Diarias[[#This Row],[tipo_equipe_id]]=Metas[equipe])*(Metas_Diarias[[#This Row],[data]]&gt;Metas[data_inicio])*(Metas_Diarias[[#This Row],[data]]&lt;Metas[data_fim])),Metas[meta_mensal],0)</f>
        <v>110000</v>
      </c>
      <c r="L89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894" spans="2:12" x14ac:dyDescent="0.3">
      <c r="B894" s="34">
        <v>45999</v>
      </c>
      <c r="C894" s="34" t="str">
        <f>TEXT(Metas_Diarias[[#This Row],[data]],"dddd")</f>
        <v>segunda-feira</v>
      </c>
      <c r="D894" s="33">
        <v>2</v>
      </c>
      <c r="E894" s="33">
        <v>2</v>
      </c>
      <c r="F894" s="18"/>
      <c r="G894" s="35">
        <f>WEEKDAY(Metas_Diarias[[#This Row],[data]])</f>
        <v>2</v>
      </c>
      <c r="H894" s="35">
        <f>IF(Metas_Diarias[[#This Row],[dias_da_demana]]=1,"domingo",IF(Metas_Diarias[[#This Row],[dias_da_demana]]=7,0.5,1))</f>
        <v>1</v>
      </c>
      <c r="I894" s="35">
        <f>_xlfn.XLOOKUP(Metas_Diarias[[#This Row],[data]],Feriados[Data],Feriados[Feriado],1)</f>
        <v>1</v>
      </c>
      <c r="J894" s="33" cm="1">
        <f t="array" aca="1" ref="J894" ca="1">SUMPRODUCT(IF((NOT(ISERROR(MATCH(ROW(INDIRECT(DATE(YEAR(B894),MONTH(B894),1)&amp;":"&amp;DATE(YEAR(B894),MONTH(B894)+1,0))),Feriados[Data],0))))=FALSE,
IF(WEEKDAY(ROW(INDIRECT(DATE(YEAR(B894),MONTH(B894),1)&amp;":"&amp;DATE(YEAR(B894),MONTH(B894)+1,0))),2)&lt;=5,1,IF(WEEKDAY(ROW(INDIRECT(DATE(YEAR(B894),MONTH(B894),1)&amp;":"&amp;DATE(YEAR(B894),MONTH(B894)+1,0))),2)=6,0.5,0)),0))</f>
        <v>24</v>
      </c>
      <c r="K894" s="22" cm="1">
        <f t="array" ref="K894">_xlfn.XLOOKUP(1,((Metas_Diarias[[#This Row],[tipo_equipe_id]]=Metas[equipe])*(Metas_Diarias[[#This Row],[data]]&gt;Metas[data_inicio])*(Metas_Diarias[[#This Row],[data]]&lt;Metas[data_fim])),Metas[meta_mensal],0)</f>
        <v>110000</v>
      </c>
      <c r="L89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95" spans="2:12" x14ac:dyDescent="0.3">
      <c r="B895" s="34">
        <v>46000</v>
      </c>
      <c r="C895" s="34" t="str">
        <f>TEXT(Metas_Diarias[[#This Row],[data]],"dddd")</f>
        <v>terça-feira</v>
      </c>
      <c r="D895" s="33">
        <v>2</v>
      </c>
      <c r="E895" s="33">
        <v>2</v>
      </c>
      <c r="F895" s="18"/>
      <c r="G895" s="35">
        <f>WEEKDAY(Metas_Diarias[[#This Row],[data]])</f>
        <v>3</v>
      </c>
      <c r="H895" s="35">
        <f>IF(Metas_Diarias[[#This Row],[dias_da_demana]]=1,"domingo",IF(Metas_Diarias[[#This Row],[dias_da_demana]]=7,0.5,1))</f>
        <v>1</v>
      </c>
      <c r="I895" s="35">
        <f>_xlfn.XLOOKUP(Metas_Diarias[[#This Row],[data]],Feriados[Data],Feriados[Feriado],1)</f>
        <v>1</v>
      </c>
      <c r="J895" s="33" cm="1">
        <f t="array" aca="1" ref="J895" ca="1">SUMPRODUCT(IF((NOT(ISERROR(MATCH(ROW(INDIRECT(DATE(YEAR(B895),MONTH(B895),1)&amp;":"&amp;DATE(YEAR(B895),MONTH(B895)+1,0))),Feriados[Data],0))))=FALSE,
IF(WEEKDAY(ROW(INDIRECT(DATE(YEAR(B895),MONTH(B895),1)&amp;":"&amp;DATE(YEAR(B895),MONTH(B895)+1,0))),2)&lt;=5,1,IF(WEEKDAY(ROW(INDIRECT(DATE(YEAR(B895),MONTH(B895),1)&amp;":"&amp;DATE(YEAR(B895),MONTH(B895)+1,0))),2)=6,0.5,0)),0))</f>
        <v>24</v>
      </c>
      <c r="K895" s="22" cm="1">
        <f t="array" ref="K895">_xlfn.XLOOKUP(1,((Metas_Diarias[[#This Row],[tipo_equipe_id]]=Metas[equipe])*(Metas_Diarias[[#This Row],[data]]&gt;Metas[data_inicio])*(Metas_Diarias[[#This Row],[data]]&lt;Metas[data_fim])),Metas[meta_mensal],0)</f>
        <v>110000</v>
      </c>
      <c r="L89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96" spans="2:12" x14ac:dyDescent="0.3">
      <c r="B896" s="34">
        <v>46001</v>
      </c>
      <c r="C896" s="34" t="str">
        <f>TEXT(Metas_Diarias[[#This Row],[data]],"dddd")</f>
        <v>quarta-feira</v>
      </c>
      <c r="D896" s="33">
        <v>2</v>
      </c>
      <c r="E896" s="33">
        <v>2</v>
      </c>
      <c r="F896" s="18"/>
      <c r="G896" s="35">
        <f>WEEKDAY(Metas_Diarias[[#This Row],[data]])</f>
        <v>4</v>
      </c>
      <c r="H896" s="35">
        <f>IF(Metas_Diarias[[#This Row],[dias_da_demana]]=1,"domingo",IF(Metas_Diarias[[#This Row],[dias_da_demana]]=7,0.5,1))</f>
        <v>1</v>
      </c>
      <c r="I896" s="35">
        <f>_xlfn.XLOOKUP(Metas_Diarias[[#This Row],[data]],Feriados[Data],Feriados[Feriado],1)</f>
        <v>1</v>
      </c>
      <c r="J896" s="33" cm="1">
        <f t="array" aca="1" ref="J896" ca="1">SUMPRODUCT(IF((NOT(ISERROR(MATCH(ROW(INDIRECT(DATE(YEAR(B896),MONTH(B896),1)&amp;":"&amp;DATE(YEAR(B896),MONTH(B896)+1,0))),Feriados[Data],0))))=FALSE,
IF(WEEKDAY(ROW(INDIRECT(DATE(YEAR(B896),MONTH(B896),1)&amp;":"&amp;DATE(YEAR(B896),MONTH(B896)+1,0))),2)&lt;=5,1,IF(WEEKDAY(ROW(INDIRECT(DATE(YEAR(B896),MONTH(B896),1)&amp;":"&amp;DATE(YEAR(B896),MONTH(B896)+1,0))),2)=6,0.5,0)),0))</f>
        <v>24</v>
      </c>
      <c r="K896" s="22" cm="1">
        <f t="array" ref="K896">_xlfn.XLOOKUP(1,((Metas_Diarias[[#This Row],[tipo_equipe_id]]=Metas[equipe])*(Metas_Diarias[[#This Row],[data]]&gt;Metas[data_inicio])*(Metas_Diarias[[#This Row],[data]]&lt;Metas[data_fim])),Metas[meta_mensal],0)</f>
        <v>110000</v>
      </c>
      <c r="L896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97" spans="2:12" x14ac:dyDescent="0.3">
      <c r="B897" s="34">
        <v>46002</v>
      </c>
      <c r="C897" s="34" t="str">
        <f>TEXT(Metas_Diarias[[#This Row],[data]],"dddd")</f>
        <v>quinta-feira</v>
      </c>
      <c r="D897" s="33">
        <v>2</v>
      </c>
      <c r="E897" s="33">
        <v>2</v>
      </c>
      <c r="F897" s="18"/>
      <c r="G897" s="35">
        <f>WEEKDAY(Metas_Diarias[[#This Row],[data]])</f>
        <v>5</v>
      </c>
      <c r="H897" s="35">
        <f>IF(Metas_Diarias[[#This Row],[dias_da_demana]]=1,"domingo",IF(Metas_Diarias[[#This Row],[dias_da_demana]]=7,0.5,1))</f>
        <v>1</v>
      </c>
      <c r="I897" s="35">
        <f>_xlfn.XLOOKUP(Metas_Diarias[[#This Row],[data]],Feriados[Data],Feriados[Feriado],1)</f>
        <v>1</v>
      </c>
      <c r="J897" s="33" cm="1">
        <f t="array" aca="1" ref="J897" ca="1">SUMPRODUCT(IF((NOT(ISERROR(MATCH(ROW(INDIRECT(DATE(YEAR(B897),MONTH(B897),1)&amp;":"&amp;DATE(YEAR(B897),MONTH(B897)+1,0))),Feriados[Data],0))))=FALSE,
IF(WEEKDAY(ROW(INDIRECT(DATE(YEAR(B897),MONTH(B897),1)&amp;":"&amp;DATE(YEAR(B897),MONTH(B897)+1,0))),2)&lt;=5,1,IF(WEEKDAY(ROW(INDIRECT(DATE(YEAR(B897),MONTH(B897),1)&amp;":"&amp;DATE(YEAR(B897),MONTH(B897)+1,0))),2)=6,0.5,0)),0))</f>
        <v>24</v>
      </c>
      <c r="K897" s="22" cm="1">
        <f t="array" ref="K897">_xlfn.XLOOKUP(1,((Metas_Diarias[[#This Row],[tipo_equipe_id]]=Metas[equipe])*(Metas_Diarias[[#This Row],[data]]&gt;Metas[data_inicio])*(Metas_Diarias[[#This Row],[data]]&lt;Metas[data_fim])),Metas[meta_mensal],0)</f>
        <v>110000</v>
      </c>
      <c r="L89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98" spans="2:12" x14ac:dyDescent="0.3">
      <c r="B898" s="34">
        <v>46003</v>
      </c>
      <c r="C898" s="34" t="str">
        <f>TEXT(Metas_Diarias[[#This Row],[data]],"dddd")</f>
        <v>sexta-feira</v>
      </c>
      <c r="D898" s="33">
        <v>2</v>
      </c>
      <c r="E898" s="33">
        <v>2</v>
      </c>
      <c r="F898" s="18"/>
      <c r="G898" s="35">
        <f>WEEKDAY(Metas_Diarias[[#This Row],[data]])</f>
        <v>6</v>
      </c>
      <c r="H898" s="35">
        <f>IF(Metas_Diarias[[#This Row],[dias_da_demana]]=1,"domingo",IF(Metas_Diarias[[#This Row],[dias_da_demana]]=7,0.5,1))</f>
        <v>1</v>
      </c>
      <c r="I898" s="35">
        <f>_xlfn.XLOOKUP(Metas_Diarias[[#This Row],[data]],Feriados[Data],Feriados[Feriado],1)</f>
        <v>1</v>
      </c>
      <c r="J898" s="33" cm="1">
        <f t="array" aca="1" ref="J898" ca="1">SUMPRODUCT(IF((NOT(ISERROR(MATCH(ROW(INDIRECT(DATE(YEAR(B898),MONTH(B898),1)&amp;":"&amp;DATE(YEAR(B898),MONTH(B898)+1,0))),Feriados[Data],0))))=FALSE,
IF(WEEKDAY(ROW(INDIRECT(DATE(YEAR(B898),MONTH(B898),1)&amp;":"&amp;DATE(YEAR(B898),MONTH(B898)+1,0))),2)&lt;=5,1,IF(WEEKDAY(ROW(INDIRECT(DATE(YEAR(B898),MONTH(B898),1)&amp;":"&amp;DATE(YEAR(B898),MONTH(B898)+1,0))),2)=6,0.5,0)),0))</f>
        <v>24</v>
      </c>
      <c r="K898" s="22" cm="1">
        <f t="array" ref="K898">_xlfn.XLOOKUP(1,((Metas_Diarias[[#This Row],[tipo_equipe_id]]=Metas[equipe])*(Metas_Diarias[[#This Row],[data]]&gt;Metas[data_inicio])*(Metas_Diarias[[#This Row],[data]]&lt;Metas[data_fim])),Metas[meta_mensal],0)</f>
        <v>110000</v>
      </c>
      <c r="L89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899" spans="2:12" x14ac:dyDescent="0.3">
      <c r="B899" s="34">
        <v>46004</v>
      </c>
      <c r="C899" s="34" t="str">
        <f>TEXT(Metas_Diarias[[#This Row],[data]],"dddd")</f>
        <v>sábado</v>
      </c>
      <c r="D899" s="33">
        <v>2</v>
      </c>
      <c r="E899" s="33">
        <v>2</v>
      </c>
      <c r="F899" s="18"/>
      <c r="G899" s="35">
        <f>WEEKDAY(Metas_Diarias[[#This Row],[data]])</f>
        <v>7</v>
      </c>
      <c r="H899" s="35">
        <f>IF(Metas_Diarias[[#This Row],[dias_da_demana]]=1,"domingo",IF(Metas_Diarias[[#This Row],[dias_da_demana]]=7,0.5,1))</f>
        <v>0.5</v>
      </c>
      <c r="I899" s="35">
        <f>_xlfn.XLOOKUP(Metas_Diarias[[#This Row],[data]],Feriados[Data],Feriados[Feriado],1)</f>
        <v>1</v>
      </c>
      <c r="J899" s="33" cm="1">
        <f t="array" aca="1" ref="J899" ca="1">SUMPRODUCT(IF((NOT(ISERROR(MATCH(ROW(INDIRECT(DATE(YEAR(B899),MONTH(B899),1)&amp;":"&amp;DATE(YEAR(B899),MONTH(B899)+1,0))),Feriados[Data],0))))=FALSE,
IF(WEEKDAY(ROW(INDIRECT(DATE(YEAR(B899),MONTH(B899),1)&amp;":"&amp;DATE(YEAR(B899),MONTH(B899)+1,0))),2)&lt;=5,1,IF(WEEKDAY(ROW(INDIRECT(DATE(YEAR(B899),MONTH(B899),1)&amp;":"&amp;DATE(YEAR(B899),MONTH(B899)+1,0))),2)=6,0.5,0)),0))</f>
        <v>24</v>
      </c>
      <c r="K899" s="22" cm="1">
        <f t="array" ref="K899">_xlfn.XLOOKUP(1,((Metas_Diarias[[#This Row],[tipo_equipe_id]]=Metas[equipe])*(Metas_Diarias[[#This Row],[data]]&gt;Metas[data_inicio])*(Metas_Diarias[[#This Row],[data]]&lt;Metas[data_fim])),Metas[meta_mensal],0)</f>
        <v>110000</v>
      </c>
      <c r="L899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900" spans="2:12" x14ac:dyDescent="0.3">
      <c r="B900" s="34">
        <v>46005</v>
      </c>
      <c r="C900" s="34" t="str">
        <f>TEXT(Metas_Diarias[[#This Row],[data]],"dddd")</f>
        <v>domingo</v>
      </c>
      <c r="D900" s="33">
        <v>2</v>
      </c>
      <c r="E900" s="33">
        <v>2</v>
      </c>
      <c r="F900" s="18"/>
      <c r="G900" s="35">
        <f>WEEKDAY(Metas_Diarias[[#This Row],[data]])</f>
        <v>1</v>
      </c>
      <c r="H900" s="35" t="str">
        <f>IF(Metas_Diarias[[#This Row],[dias_da_demana]]=1,"domingo",IF(Metas_Diarias[[#This Row],[dias_da_demana]]=7,0.5,1))</f>
        <v>domingo</v>
      </c>
      <c r="I900" s="35">
        <f>_xlfn.XLOOKUP(Metas_Diarias[[#This Row],[data]],Feriados[Data],Feriados[Feriado],1)</f>
        <v>1</v>
      </c>
      <c r="J900" s="33" cm="1">
        <f t="array" aca="1" ref="J900" ca="1">SUMPRODUCT(IF((NOT(ISERROR(MATCH(ROW(INDIRECT(DATE(YEAR(B900),MONTH(B900),1)&amp;":"&amp;DATE(YEAR(B900),MONTH(B900)+1,0))),Feriados[Data],0))))=FALSE,
IF(WEEKDAY(ROW(INDIRECT(DATE(YEAR(B900),MONTH(B900),1)&amp;":"&amp;DATE(YEAR(B900),MONTH(B900)+1,0))),2)&lt;=5,1,IF(WEEKDAY(ROW(INDIRECT(DATE(YEAR(B900),MONTH(B900),1)&amp;":"&amp;DATE(YEAR(B900),MONTH(B900)+1,0))),2)=6,0.5,0)),0))</f>
        <v>24</v>
      </c>
      <c r="K900" s="22" cm="1">
        <f t="array" ref="K900">_xlfn.XLOOKUP(1,((Metas_Diarias[[#This Row],[tipo_equipe_id]]=Metas[equipe])*(Metas_Diarias[[#This Row],[data]]&gt;Metas[data_inicio])*(Metas_Diarias[[#This Row],[data]]&lt;Metas[data_fim])),Metas[meta_mensal],0)</f>
        <v>110000</v>
      </c>
      <c r="L90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01" spans="2:12" x14ac:dyDescent="0.3">
      <c r="B901" s="34">
        <v>46006</v>
      </c>
      <c r="C901" s="34" t="str">
        <f>TEXT(Metas_Diarias[[#This Row],[data]],"dddd")</f>
        <v>segunda-feira</v>
      </c>
      <c r="D901" s="33">
        <v>2</v>
      </c>
      <c r="E901" s="33">
        <v>2</v>
      </c>
      <c r="F901" s="18"/>
      <c r="G901" s="35">
        <f>WEEKDAY(Metas_Diarias[[#This Row],[data]])</f>
        <v>2</v>
      </c>
      <c r="H901" s="35">
        <f>IF(Metas_Diarias[[#This Row],[dias_da_demana]]=1,"domingo",IF(Metas_Diarias[[#This Row],[dias_da_demana]]=7,0.5,1))</f>
        <v>1</v>
      </c>
      <c r="I901" s="35">
        <f>_xlfn.XLOOKUP(Metas_Diarias[[#This Row],[data]],Feriados[Data],Feriados[Feriado],1)</f>
        <v>1</v>
      </c>
      <c r="J901" s="33" cm="1">
        <f t="array" aca="1" ref="J901" ca="1">SUMPRODUCT(IF((NOT(ISERROR(MATCH(ROW(INDIRECT(DATE(YEAR(B901),MONTH(B901),1)&amp;":"&amp;DATE(YEAR(B901),MONTH(B901)+1,0))),Feriados[Data],0))))=FALSE,
IF(WEEKDAY(ROW(INDIRECT(DATE(YEAR(B901),MONTH(B901),1)&amp;":"&amp;DATE(YEAR(B901),MONTH(B901)+1,0))),2)&lt;=5,1,IF(WEEKDAY(ROW(INDIRECT(DATE(YEAR(B901),MONTH(B901),1)&amp;":"&amp;DATE(YEAR(B901),MONTH(B901)+1,0))),2)=6,0.5,0)),0))</f>
        <v>24</v>
      </c>
      <c r="K901" s="22" cm="1">
        <f t="array" ref="K901">_xlfn.XLOOKUP(1,((Metas_Diarias[[#This Row],[tipo_equipe_id]]=Metas[equipe])*(Metas_Diarias[[#This Row],[data]]&gt;Metas[data_inicio])*(Metas_Diarias[[#This Row],[data]]&lt;Metas[data_fim])),Metas[meta_mensal],0)</f>
        <v>110000</v>
      </c>
      <c r="L90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02" spans="2:12" x14ac:dyDescent="0.3">
      <c r="B902" s="34">
        <v>46007</v>
      </c>
      <c r="C902" s="34" t="str">
        <f>TEXT(Metas_Diarias[[#This Row],[data]],"dddd")</f>
        <v>terça-feira</v>
      </c>
      <c r="D902" s="33">
        <v>2</v>
      </c>
      <c r="E902" s="33">
        <v>2</v>
      </c>
      <c r="F902" s="18"/>
      <c r="G902" s="35">
        <f>WEEKDAY(Metas_Diarias[[#This Row],[data]])</f>
        <v>3</v>
      </c>
      <c r="H902" s="35">
        <f>IF(Metas_Diarias[[#This Row],[dias_da_demana]]=1,"domingo",IF(Metas_Diarias[[#This Row],[dias_da_demana]]=7,0.5,1))</f>
        <v>1</v>
      </c>
      <c r="I902" s="35">
        <f>_xlfn.XLOOKUP(Metas_Diarias[[#This Row],[data]],Feriados[Data],Feriados[Feriado],1)</f>
        <v>1</v>
      </c>
      <c r="J902" s="33" cm="1">
        <f t="array" aca="1" ref="J902" ca="1">SUMPRODUCT(IF((NOT(ISERROR(MATCH(ROW(INDIRECT(DATE(YEAR(B902),MONTH(B902),1)&amp;":"&amp;DATE(YEAR(B902),MONTH(B902)+1,0))),Feriados[Data],0))))=FALSE,
IF(WEEKDAY(ROW(INDIRECT(DATE(YEAR(B902),MONTH(B902),1)&amp;":"&amp;DATE(YEAR(B902),MONTH(B902)+1,0))),2)&lt;=5,1,IF(WEEKDAY(ROW(INDIRECT(DATE(YEAR(B902),MONTH(B902),1)&amp;":"&amp;DATE(YEAR(B902),MONTH(B902)+1,0))),2)=6,0.5,0)),0))</f>
        <v>24</v>
      </c>
      <c r="K902" s="22" cm="1">
        <f t="array" ref="K902">_xlfn.XLOOKUP(1,((Metas_Diarias[[#This Row],[tipo_equipe_id]]=Metas[equipe])*(Metas_Diarias[[#This Row],[data]]&gt;Metas[data_inicio])*(Metas_Diarias[[#This Row],[data]]&lt;Metas[data_fim])),Metas[meta_mensal],0)</f>
        <v>110000</v>
      </c>
      <c r="L902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03" spans="2:12" x14ac:dyDescent="0.3">
      <c r="B903" s="34">
        <v>46008</v>
      </c>
      <c r="C903" s="34" t="str">
        <f>TEXT(Metas_Diarias[[#This Row],[data]],"dddd")</f>
        <v>quarta-feira</v>
      </c>
      <c r="D903" s="33">
        <v>2</v>
      </c>
      <c r="E903" s="33">
        <v>2</v>
      </c>
      <c r="F903" s="18"/>
      <c r="G903" s="35">
        <f>WEEKDAY(Metas_Diarias[[#This Row],[data]])</f>
        <v>4</v>
      </c>
      <c r="H903" s="35">
        <f>IF(Metas_Diarias[[#This Row],[dias_da_demana]]=1,"domingo",IF(Metas_Diarias[[#This Row],[dias_da_demana]]=7,0.5,1))</f>
        <v>1</v>
      </c>
      <c r="I903" s="35">
        <f>_xlfn.XLOOKUP(Metas_Diarias[[#This Row],[data]],Feriados[Data],Feriados[Feriado],1)</f>
        <v>1</v>
      </c>
      <c r="J903" s="33" cm="1">
        <f t="array" aca="1" ref="J903" ca="1">SUMPRODUCT(IF((NOT(ISERROR(MATCH(ROW(INDIRECT(DATE(YEAR(B903),MONTH(B903),1)&amp;":"&amp;DATE(YEAR(B903),MONTH(B903)+1,0))),Feriados[Data],0))))=FALSE,
IF(WEEKDAY(ROW(INDIRECT(DATE(YEAR(B903),MONTH(B903),1)&amp;":"&amp;DATE(YEAR(B903),MONTH(B903)+1,0))),2)&lt;=5,1,IF(WEEKDAY(ROW(INDIRECT(DATE(YEAR(B903),MONTH(B903),1)&amp;":"&amp;DATE(YEAR(B903),MONTH(B903)+1,0))),2)=6,0.5,0)),0))</f>
        <v>24</v>
      </c>
      <c r="K903" s="22" cm="1">
        <f t="array" ref="K903">_xlfn.XLOOKUP(1,((Metas_Diarias[[#This Row],[tipo_equipe_id]]=Metas[equipe])*(Metas_Diarias[[#This Row],[data]]&gt;Metas[data_inicio])*(Metas_Diarias[[#This Row],[data]]&lt;Metas[data_fim])),Metas[meta_mensal],0)</f>
        <v>110000</v>
      </c>
      <c r="L903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04" spans="2:12" x14ac:dyDescent="0.3">
      <c r="B904" s="34">
        <v>46009</v>
      </c>
      <c r="C904" s="34" t="str">
        <f>TEXT(Metas_Diarias[[#This Row],[data]],"dddd")</f>
        <v>quinta-feira</v>
      </c>
      <c r="D904" s="33">
        <v>2</v>
      </c>
      <c r="E904" s="33">
        <v>2</v>
      </c>
      <c r="F904" s="18"/>
      <c r="G904" s="35">
        <f>WEEKDAY(Metas_Diarias[[#This Row],[data]])</f>
        <v>5</v>
      </c>
      <c r="H904" s="35">
        <f>IF(Metas_Diarias[[#This Row],[dias_da_demana]]=1,"domingo",IF(Metas_Diarias[[#This Row],[dias_da_demana]]=7,0.5,1))</f>
        <v>1</v>
      </c>
      <c r="I904" s="35">
        <f>_xlfn.XLOOKUP(Metas_Diarias[[#This Row],[data]],Feriados[Data],Feriados[Feriado],1)</f>
        <v>1</v>
      </c>
      <c r="J904" s="33" cm="1">
        <f t="array" aca="1" ref="J904" ca="1">SUMPRODUCT(IF((NOT(ISERROR(MATCH(ROW(INDIRECT(DATE(YEAR(B904),MONTH(B904),1)&amp;":"&amp;DATE(YEAR(B904),MONTH(B904)+1,0))),Feriados[Data],0))))=FALSE,
IF(WEEKDAY(ROW(INDIRECT(DATE(YEAR(B904),MONTH(B904),1)&amp;":"&amp;DATE(YEAR(B904),MONTH(B904)+1,0))),2)&lt;=5,1,IF(WEEKDAY(ROW(INDIRECT(DATE(YEAR(B904),MONTH(B904),1)&amp;":"&amp;DATE(YEAR(B904),MONTH(B904)+1,0))),2)=6,0.5,0)),0))</f>
        <v>24</v>
      </c>
      <c r="K904" s="22" cm="1">
        <f t="array" ref="K904">_xlfn.XLOOKUP(1,((Metas_Diarias[[#This Row],[tipo_equipe_id]]=Metas[equipe])*(Metas_Diarias[[#This Row],[data]]&gt;Metas[data_inicio])*(Metas_Diarias[[#This Row],[data]]&lt;Metas[data_fim])),Metas[meta_mensal],0)</f>
        <v>110000</v>
      </c>
      <c r="L90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05" spans="2:12" x14ac:dyDescent="0.3">
      <c r="B905" s="34">
        <v>46010</v>
      </c>
      <c r="C905" s="34" t="str">
        <f>TEXT(Metas_Diarias[[#This Row],[data]],"dddd")</f>
        <v>sexta-feira</v>
      </c>
      <c r="D905" s="33">
        <v>2</v>
      </c>
      <c r="E905" s="33">
        <v>2</v>
      </c>
      <c r="F905" s="18"/>
      <c r="G905" s="35">
        <f>WEEKDAY(Metas_Diarias[[#This Row],[data]])</f>
        <v>6</v>
      </c>
      <c r="H905" s="35">
        <f>IF(Metas_Diarias[[#This Row],[dias_da_demana]]=1,"domingo",IF(Metas_Diarias[[#This Row],[dias_da_demana]]=7,0.5,1))</f>
        <v>1</v>
      </c>
      <c r="I905" s="35">
        <f>_xlfn.XLOOKUP(Metas_Diarias[[#This Row],[data]],Feriados[Data],Feriados[Feriado],1)</f>
        <v>1</v>
      </c>
      <c r="J905" s="33" cm="1">
        <f t="array" aca="1" ref="J905" ca="1">SUMPRODUCT(IF((NOT(ISERROR(MATCH(ROW(INDIRECT(DATE(YEAR(B905),MONTH(B905),1)&amp;":"&amp;DATE(YEAR(B905),MONTH(B905)+1,0))),Feriados[Data],0))))=FALSE,
IF(WEEKDAY(ROW(INDIRECT(DATE(YEAR(B905),MONTH(B905),1)&amp;":"&amp;DATE(YEAR(B905),MONTH(B905)+1,0))),2)&lt;=5,1,IF(WEEKDAY(ROW(INDIRECT(DATE(YEAR(B905),MONTH(B905),1)&amp;":"&amp;DATE(YEAR(B905),MONTH(B905)+1,0))),2)=6,0.5,0)),0))</f>
        <v>24</v>
      </c>
      <c r="K905" s="22" cm="1">
        <f t="array" ref="K905">_xlfn.XLOOKUP(1,((Metas_Diarias[[#This Row],[tipo_equipe_id]]=Metas[equipe])*(Metas_Diarias[[#This Row],[data]]&gt;Metas[data_inicio])*(Metas_Diarias[[#This Row],[data]]&lt;Metas[data_fim])),Metas[meta_mensal],0)</f>
        <v>110000</v>
      </c>
      <c r="L90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06" spans="2:12" x14ac:dyDescent="0.3">
      <c r="B906" s="34">
        <v>46011</v>
      </c>
      <c r="C906" s="34" t="str">
        <f>TEXT(Metas_Diarias[[#This Row],[data]],"dddd")</f>
        <v>sábado</v>
      </c>
      <c r="D906" s="33">
        <v>2</v>
      </c>
      <c r="E906" s="33">
        <v>2</v>
      </c>
      <c r="F906" s="18"/>
      <c r="G906" s="35">
        <f>WEEKDAY(Metas_Diarias[[#This Row],[data]])</f>
        <v>7</v>
      </c>
      <c r="H906" s="35">
        <f>IF(Metas_Diarias[[#This Row],[dias_da_demana]]=1,"domingo",IF(Metas_Diarias[[#This Row],[dias_da_demana]]=7,0.5,1))</f>
        <v>0.5</v>
      </c>
      <c r="I906" s="35">
        <f>_xlfn.XLOOKUP(Metas_Diarias[[#This Row],[data]],Feriados[Data],Feriados[Feriado],1)</f>
        <v>1</v>
      </c>
      <c r="J906" s="33" cm="1">
        <f t="array" aca="1" ref="J906" ca="1">SUMPRODUCT(IF((NOT(ISERROR(MATCH(ROW(INDIRECT(DATE(YEAR(B906),MONTH(B906),1)&amp;":"&amp;DATE(YEAR(B906),MONTH(B906)+1,0))),Feriados[Data],0))))=FALSE,
IF(WEEKDAY(ROW(INDIRECT(DATE(YEAR(B906),MONTH(B906),1)&amp;":"&amp;DATE(YEAR(B906),MONTH(B906)+1,0))),2)&lt;=5,1,IF(WEEKDAY(ROW(INDIRECT(DATE(YEAR(B906),MONTH(B906),1)&amp;":"&amp;DATE(YEAR(B906),MONTH(B906)+1,0))),2)=6,0.5,0)),0))</f>
        <v>24</v>
      </c>
      <c r="K906" s="22" cm="1">
        <f t="array" ref="K906">_xlfn.XLOOKUP(1,((Metas_Diarias[[#This Row],[tipo_equipe_id]]=Metas[equipe])*(Metas_Diarias[[#This Row],[data]]&gt;Metas[data_inicio])*(Metas_Diarias[[#This Row],[data]]&lt;Metas[data_fim])),Metas[meta_mensal],0)</f>
        <v>110000</v>
      </c>
      <c r="L906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907" spans="2:12" x14ac:dyDescent="0.3">
      <c r="B907" s="34">
        <v>46012</v>
      </c>
      <c r="C907" s="34" t="str">
        <f>TEXT(Metas_Diarias[[#This Row],[data]],"dddd")</f>
        <v>domingo</v>
      </c>
      <c r="D907" s="33">
        <v>2</v>
      </c>
      <c r="E907" s="33">
        <v>2</v>
      </c>
      <c r="F907" s="18"/>
      <c r="G907" s="35">
        <f>WEEKDAY(Metas_Diarias[[#This Row],[data]])</f>
        <v>1</v>
      </c>
      <c r="H907" s="35" t="str">
        <f>IF(Metas_Diarias[[#This Row],[dias_da_demana]]=1,"domingo",IF(Metas_Diarias[[#This Row],[dias_da_demana]]=7,0.5,1))</f>
        <v>domingo</v>
      </c>
      <c r="I907" s="35">
        <f>_xlfn.XLOOKUP(Metas_Diarias[[#This Row],[data]],Feriados[Data],Feriados[Feriado],1)</f>
        <v>1</v>
      </c>
      <c r="J907" s="33" cm="1">
        <f t="array" aca="1" ref="J907" ca="1">SUMPRODUCT(IF((NOT(ISERROR(MATCH(ROW(INDIRECT(DATE(YEAR(B907),MONTH(B907),1)&amp;":"&amp;DATE(YEAR(B907),MONTH(B907)+1,0))),Feriados[Data],0))))=FALSE,
IF(WEEKDAY(ROW(INDIRECT(DATE(YEAR(B907),MONTH(B907),1)&amp;":"&amp;DATE(YEAR(B907),MONTH(B907)+1,0))),2)&lt;=5,1,IF(WEEKDAY(ROW(INDIRECT(DATE(YEAR(B907),MONTH(B907),1)&amp;":"&amp;DATE(YEAR(B907),MONTH(B907)+1,0))),2)=6,0.5,0)),0))</f>
        <v>24</v>
      </c>
      <c r="K907" s="22" cm="1">
        <f t="array" ref="K907">_xlfn.XLOOKUP(1,((Metas_Diarias[[#This Row],[tipo_equipe_id]]=Metas[equipe])*(Metas_Diarias[[#This Row],[data]]&gt;Metas[data_inicio])*(Metas_Diarias[[#This Row],[data]]&lt;Metas[data_fim])),Metas[meta_mensal],0)</f>
        <v>110000</v>
      </c>
      <c r="L9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08" spans="2:12" x14ac:dyDescent="0.3">
      <c r="B908" s="34">
        <v>46013</v>
      </c>
      <c r="C908" s="34" t="str">
        <f>TEXT(Metas_Diarias[[#This Row],[data]],"dddd")</f>
        <v>segunda-feira</v>
      </c>
      <c r="D908" s="33">
        <v>2</v>
      </c>
      <c r="E908" s="33">
        <v>2</v>
      </c>
      <c r="F908" s="18"/>
      <c r="G908" s="35">
        <f>WEEKDAY(Metas_Diarias[[#This Row],[data]])</f>
        <v>2</v>
      </c>
      <c r="H908" s="35">
        <f>IF(Metas_Diarias[[#This Row],[dias_da_demana]]=1,"domingo",IF(Metas_Diarias[[#This Row],[dias_da_demana]]=7,0.5,1))</f>
        <v>1</v>
      </c>
      <c r="I908" s="35">
        <f>_xlfn.XLOOKUP(Metas_Diarias[[#This Row],[data]],Feriados[Data],Feriados[Feriado],1)</f>
        <v>1</v>
      </c>
      <c r="J908" s="33" cm="1">
        <f t="array" aca="1" ref="J908" ca="1">SUMPRODUCT(IF((NOT(ISERROR(MATCH(ROW(INDIRECT(DATE(YEAR(B908),MONTH(B908),1)&amp;":"&amp;DATE(YEAR(B908),MONTH(B908)+1,0))),Feriados[Data],0))))=FALSE,
IF(WEEKDAY(ROW(INDIRECT(DATE(YEAR(B908),MONTH(B908),1)&amp;":"&amp;DATE(YEAR(B908),MONTH(B908)+1,0))),2)&lt;=5,1,IF(WEEKDAY(ROW(INDIRECT(DATE(YEAR(B908),MONTH(B908),1)&amp;":"&amp;DATE(YEAR(B908),MONTH(B908)+1,0))),2)=6,0.5,0)),0))</f>
        <v>24</v>
      </c>
      <c r="K908" s="22" cm="1">
        <f t="array" ref="K908">_xlfn.XLOOKUP(1,((Metas_Diarias[[#This Row],[tipo_equipe_id]]=Metas[equipe])*(Metas_Diarias[[#This Row],[data]]&gt;Metas[data_inicio])*(Metas_Diarias[[#This Row],[data]]&lt;Metas[data_fim])),Metas[meta_mensal],0)</f>
        <v>110000</v>
      </c>
      <c r="L90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09" spans="2:12" x14ac:dyDescent="0.3">
      <c r="B909" s="34">
        <v>46014</v>
      </c>
      <c r="C909" s="34" t="str">
        <f>TEXT(Metas_Diarias[[#This Row],[data]],"dddd")</f>
        <v>terça-feira</v>
      </c>
      <c r="D909" s="33">
        <v>2</v>
      </c>
      <c r="E909" s="33">
        <v>2</v>
      </c>
      <c r="F909" s="18"/>
      <c r="G909" s="35">
        <f>WEEKDAY(Metas_Diarias[[#This Row],[data]])</f>
        <v>3</v>
      </c>
      <c r="H909" s="35">
        <f>IF(Metas_Diarias[[#This Row],[dias_da_demana]]=1,"domingo",IF(Metas_Diarias[[#This Row],[dias_da_demana]]=7,0.5,1))</f>
        <v>1</v>
      </c>
      <c r="I909" s="35">
        <f>_xlfn.XLOOKUP(Metas_Diarias[[#This Row],[data]],Feriados[Data],Feriados[Feriado],1)</f>
        <v>1</v>
      </c>
      <c r="J909" s="33" cm="1">
        <f t="array" aca="1" ref="J909" ca="1">SUMPRODUCT(IF((NOT(ISERROR(MATCH(ROW(INDIRECT(DATE(YEAR(B909),MONTH(B909),1)&amp;":"&amp;DATE(YEAR(B909),MONTH(B909)+1,0))),Feriados[Data],0))))=FALSE,
IF(WEEKDAY(ROW(INDIRECT(DATE(YEAR(B909),MONTH(B909),1)&amp;":"&amp;DATE(YEAR(B909),MONTH(B909)+1,0))),2)&lt;=5,1,IF(WEEKDAY(ROW(INDIRECT(DATE(YEAR(B909),MONTH(B909),1)&amp;":"&amp;DATE(YEAR(B909),MONTH(B909)+1,0))),2)=6,0.5,0)),0))</f>
        <v>24</v>
      </c>
      <c r="K909" s="22" cm="1">
        <f t="array" ref="K909">_xlfn.XLOOKUP(1,((Metas_Diarias[[#This Row],[tipo_equipe_id]]=Metas[equipe])*(Metas_Diarias[[#This Row],[data]]&gt;Metas[data_inicio])*(Metas_Diarias[[#This Row],[data]]&lt;Metas[data_fim])),Metas[meta_mensal],0)</f>
        <v>110000</v>
      </c>
      <c r="L909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10" spans="2:12" x14ac:dyDescent="0.3">
      <c r="B910" s="34">
        <v>46015</v>
      </c>
      <c r="C910" s="34" t="str">
        <f>TEXT(Metas_Diarias[[#This Row],[data]],"dddd")</f>
        <v>quarta-feira</v>
      </c>
      <c r="D910" s="33">
        <v>2</v>
      </c>
      <c r="E910" s="33">
        <v>2</v>
      </c>
      <c r="F910" s="18"/>
      <c r="G910" s="35">
        <f>WEEKDAY(Metas_Diarias[[#This Row],[data]])</f>
        <v>4</v>
      </c>
      <c r="H910" s="35">
        <f>IF(Metas_Diarias[[#This Row],[dias_da_demana]]=1,"domingo",IF(Metas_Diarias[[#This Row],[dias_da_demana]]=7,0.5,1))</f>
        <v>1</v>
      </c>
      <c r="I910" s="35">
        <f>_xlfn.XLOOKUP(Metas_Diarias[[#This Row],[data]],Feriados[Data],Feriados[Feriado],1)</f>
        <v>1</v>
      </c>
      <c r="J910" s="33" cm="1">
        <f t="array" aca="1" ref="J910" ca="1">SUMPRODUCT(IF((NOT(ISERROR(MATCH(ROW(INDIRECT(DATE(YEAR(B910),MONTH(B910),1)&amp;":"&amp;DATE(YEAR(B910),MONTH(B910)+1,0))),Feriados[Data],0))))=FALSE,
IF(WEEKDAY(ROW(INDIRECT(DATE(YEAR(B910),MONTH(B910),1)&amp;":"&amp;DATE(YEAR(B910),MONTH(B910)+1,0))),2)&lt;=5,1,IF(WEEKDAY(ROW(INDIRECT(DATE(YEAR(B910),MONTH(B910),1)&amp;":"&amp;DATE(YEAR(B910),MONTH(B910)+1,0))),2)=6,0.5,0)),0))</f>
        <v>24</v>
      </c>
      <c r="K910" s="22" cm="1">
        <f t="array" ref="K910">_xlfn.XLOOKUP(1,((Metas_Diarias[[#This Row],[tipo_equipe_id]]=Metas[equipe])*(Metas_Diarias[[#This Row],[data]]&gt;Metas[data_inicio])*(Metas_Diarias[[#This Row],[data]]&lt;Metas[data_fim])),Metas[meta_mensal],0)</f>
        <v>110000</v>
      </c>
      <c r="L91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11" spans="2:12" x14ac:dyDescent="0.3">
      <c r="B911" s="34">
        <v>46016</v>
      </c>
      <c r="C911" s="34" t="str">
        <f>TEXT(Metas_Diarias[[#This Row],[data]],"dddd")</f>
        <v>quinta-feira</v>
      </c>
      <c r="D911" s="33">
        <v>2</v>
      </c>
      <c r="E911" s="33">
        <v>2</v>
      </c>
      <c r="F911" s="18"/>
      <c r="G911" s="35">
        <f>WEEKDAY(Metas_Diarias[[#This Row],[data]])</f>
        <v>5</v>
      </c>
      <c r="H911" s="35">
        <f>IF(Metas_Diarias[[#This Row],[dias_da_demana]]=1,"domingo",IF(Metas_Diarias[[#This Row],[dias_da_demana]]=7,0.5,1))</f>
        <v>1</v>
      </c>
      <c r="I911" s="35" t="str">
        <f>_xlfn.XLOOKUP(Metas_Diarias[[#This Row],[data]],Feriados[Data],Feriados[Feriado],1)</f>
        <v>Natal</v>
      </c>
      <c r="J911" s="33" cm="1">
        <f t="array" aca="1" ref="J911" ca="1">SUMPRODUCT(IF((NOT(ISERROR(MATCH(ROW(INDIRECT(DATE(YEAR(B911),MONTH(B911),1)&amp;":"&amp;DATE(YEAR(B911),MONTH(B911)+1,0))),Feriados[Data],0))))=FALSE,
IF(WEEKDAY(ROW(INDIRECT(DATE(YEAR(B911),MONTH(B911),1)&amp;":"&amp;DATE(YEAR(B911),MONTH(B911)+1,0))),2)&lt;=5,1,IF(WEEKDAY(ROW(INDIRECT(DATE(YEAR(B911),MONTH(B911),1)&amp;":"&amp;DATE(YEAR(B911),MONTH(B911)+1,0))),2)=6,0.5,0)),0))</f>
        <v>24</v>
      </c>
      <c r="K911" s="22" cm="1">
        <f t="array" ref="K911">_xlfn.XLOOKUP(1,((Metas_Diarias[[#This Row],[tipo_equipe_id]]=Metas[equipe])*(Metas_Diarias[[#This Row],[data]]&gt;Metas[data_inicio])*(Metas_Diarias[[#This Row],[data]]&lt;Metas[data_fim])),Metas[meta_mensal],0)</f>
        <v>110000</v>
      </c>
      <c r="L91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12" spans="2:12" x14ac:dyDescent="0.3">
      <c r="B912" s="34">
        <v>46017</v>
      </c>
      <c r="C912" s="34" t="str">
        <f>TEXT(Metas_Diarias[[#This Row],[data]],"dddd")</f>
        <v>sexta-feira</v>
      </c>
      <c r="D912" s="33">
        <v>2</v>
      </c>
      <c r="E912" s="33">
        <v>2</v>
      </c>
      <c r="F912" s="18"/>
      <c r="G912" s="35">
        <f>WEEKDAY(Metas_Diarias[[#This Row],[data]])</f>
        <v>6</v>
      </c>
      <c r="H912" s="35">
        <f>IF(Metas_Diarias[[#This Row],[dias_da_demana]]=1,"domingo",IF(Metas_Diarias[[#This Row],[dias_da_demana]]=7,0.5,1))</f>
        <v>1</v>
      </c>
      <c r="I912" s="35">
        <f>_xlfn.XLOOKUP(Metas_Diarias[[#This Row],[data]],Feriados[Data],Feriados[Feriado],1)</f>
        <v>1</v>
      </c>
      <c r="J912" s="33" cm="1">
        <f t="array" aca="1" ref="J912" ca="1">SUMPRODUCT(IF((NOT(ISERROR(MATCH(ROW(INDIRECT(DATE(YEAR(B912),MONTH(B912),1)&amp;":"&amp;DATE(YEAR(B912),MONTH(B912)+1,0))),Feriados[Data],0))))=FALSE,
IF(WEEKDAY(ROW(INDIRECT(DATE(YEAR(B912),MONTH(B912),1)&amp;":"&amp;DATE(YEAR(B912),MONTH(B912)+1,0))),2)&lt;=5,1,IF(WEEKDAY(ROW(INDIRECT(DATE(YEAR(B912),MONTH(B912),1)&amp;":"&amp;DATE(YEAR(B912),MONTH(B912)+1,0))),2)=6,0.5,0)),0))</f>
        <v>24</v>
      </c>
      <c r="K912" s="22" cm="1">
        <f t="array" ref="K912">_xlfn.XLOOKUP(1,((Metas_Diarias[[#This Row],[tipo_equipe_id]]=Metas[equipe])*(Metas_Diarias[[#This Row],[data]]&gt;Metas[data_inicio])*(Metas_Diarias[[#This Row],[data]]&lt;Metas[data_fim])),Metas[meta_mensal],0)</f>
        <v>110000</v>
      </c>
      <c r="L912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13" spans="2:12" x14ac:dyDescent="0.3">
      <c r="B913" s="34">
        <v>46018</v>
      </c>
      <c r="C913" s="34" t="str">
        <f>TEXT(Metas_Diarias[[#This Row],[data]],"dddd")</f>
        <v>sábado</v>
      </c>
      <c r="D913" s="33">
        <v>2</v>
      </c>
      <c r="E913" s="33">
        <v>2</v>
      </c>
      <c r="F913" s="18"/>
      <c r="G913" s="35">
        <f>WEEKDAY(Metas_Diarias[[#This Row],[data]])</f>
        <v>7</v>
      </c>
      <c r="H913" s="35">
        <f>IF(Metas_Diarias[[#This Row],[dias_da_demana]]=1,"domingo",IF(Metas_Diarias[[#This Row],[dias_da_demana]]=7,0.5,1))</f>
        <v>0.5</v>
      </c>
      <c r="I913" s="35">
        <f>_xlfn.XLOOKUP(Metas_Diarias[[#This Row],[data]],Feriados[Data],Feriados[Feriado],1)</f>
        <v>1</v>
      </c>
      <c r="J913" s="33" cm="1">
        <f t="array" aca="1" ref="J913" ca="1">SUMPRODUCT(IF((NOT(ISERROR(MATCH(ROW(INDIRECT(DATE(YEAR(B913),MONTH(B913),1)&amp;":"&amp;DATE(YEAR(B913),MONTH(B913)+1,0))),Feriados[Data],0))))=FALSE,
IF(WEEKDAY(ROW(INDIRECT(DATE(YEAR(B913),MONTH(B913),1)&amp;":"&amp;DATE(YEAR(B913),MONTH(B913)+1,0))),2)&lt;=5,1,IF(WEEKDAY(ROW(INDIRECT(DATE(YEAR(B913),MONTH(B913),1)&amp;":"&amp;DATE(YEAR(B913),MONTH(B913)+1,0))),2)=6,0.5,0)),0))</f>
        <v>24</v>
      </c>
      <c r="K913" s="22" cm="1">
        <f t="array" ref="K913">_xlfn.XLOOKUP(1,((Metas_Diarias[[#This Row],[tipo_equipe_id]]=Metas[equipe])*(Metas_Diarias[[#This Row],[data]]&gt;Metas[data_inicio])*(Metas_Diarias[[#This Row],[data]]&lt;Metas[data_fim])),Metas[meta_mensal],0)</f>
        <v>110000</v>
      </c>
      <c r="L913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914" spans="2:12" x14ac:dyDescent="0.3">
      <c r="B914" s="34">
        <v>46019</v>
      </c>
      <c r="C914" s="34" t="str">
        <f>TEXT(Metas_Diarias[[#This Row],[data]],"dddd")</f>
        <v>domingo</v>
      </c>
      <c r="D914" s="33">
        <v>2</v>
      </c>
      <c r="E914" s="33">
        <v>2</v>
      </c>
      <c r="F914" s="18"/>
      <c r="G914" s="35">
        <f>WEEKDAY(Metas_Diarias[[#This Row],[data]])</f>
        <v>1</v>
      </c>
      <c r="H914" s="35" t="str">
        <f>IF(Metas_Diarias[[#This Row],[dias_da_demana]]=1,"domingo",IF(Metas_Diarias[[#This Row],[dias_da_demana]]=7,0.5,1))</f>
        <v>domingo</v>
      </c>
      <c r="I914" s="35">
        <f>_xlfn.XLOOKUP(Metas_Diarias[[#This Row],[data]],Feriados[Data],Feriados[Feriado],1)</f>
        <v>1</v>
      </c>
      <c r="J914" s="33" cm="1">
        <f t="array" aca="1" ref="J914" ca="1">SUMPRODUCT(IF((NOT(ISERROR(MATCH(ROW(INDIRECT(DATE(YEAR(B914),MONTH(B914),1)&amp;":"&amp;DATE(YEAR(B914),MONTH(B914)+1,0))),Feriados[Data],0))))=FALSE,
IF(WEEKDAY(ROW(INDIRECT(DATE(YEAR(B914),MONTH(B914),1)&amp;":"&amp;DATE(YEAR(B914),MONTH(B914)+1,0))),2)&lt;=5,1,IF(WEEKDAY(ROW(INDIRECT(DATE(YEAR(B914),MONTH(B914),1)&amp;":"&amp;DATE(YEAR(B914),MONTH(B914)+1,0))),2)=6,0.5,0)),0))</f>
        <v>24</v>
      </c>
      <c r="K914" s="22" cm="1">
        <f t="array" ref="K914">_xlfn.XLOOKUP(1,((Metas_Diarias[[#This Row],[tipo_equipe_id]]=Metas[equipe])*(Metas_Diarias[[#This Row],[data]]&gt;Metas[data_inicio])*(Metas_Diarias[[#This Row],[data]]&lt;Metas[data_fim])),Metas[meta_mensal],0)</f>
        <v>110000</v>
      </c>
      <c r="L9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15" spans="2:12" x14ac:dyDescent="0.3">
      <c r="B915" s="34">
        <v>46020</v>
      </c>
      <c r="C915" s="34" t="str">
        <f>TEXT(Metas_Diarias[[#This Row],[data]],"dddd")</f>
        <v>segunda-feira</v>
      </c>
      <c r="D915" s="33">
        <v>2</v>
      </c>
      <c r="E915" s="33">
        <v>2</v>
      </c>
      <c r="F915" s="18"/>
      <c r="G915" s="35">
        <f>WEEKDAY(Metas_Diarias[[#This Row],[data]])</f>
        <v>2</v>
      </c>
      <c r="H915" s="35">
        <f>IF(Metas_Diarias[[#This Row],[dias_da_demana]]=1,"domingo",IF(Metas_Diarias[[#This Row],[dias_da_demana]]=7,0.5,1))</f>
        <v>1</v>
      </c>
      <c r="I915" s="35">
        <f>_xlfn.XLOOKUP(Metas_Diarias[[#This Row],[data]],Feriados[Data],Feriados[Feriado],1)</f>
        <v>1</v>
      </c>
      <c r="J915" s="33" cm="1">
        <f t="array" aca="1" ref="J915" ca="1">SUMPRODUCT(IF((NOT(ISERROR(MATCH(ROW(INDIRECT(DATE(YEAR(B915),MONTH(B915),1)&amp;":"&amp;DATE(YEAR(B915),MONTH(B915)+1,0))),Feriados[Data],0))))=FALSE,
IF(WEEKDAY(ROW(INDIRECT(DATE(YEAR(B915),MONTH(B915),1)&amp;":"&amp;DATE(YEAR(B915),MONTH(B915)+1,0))),2)&lt;=5,1,IF(WEEKDAY(ROW(INDIRECT(DATE(YEAR(B915),MONTH(B915),1)&amp;":"&amp;DATE(YEAR(B915),MONTH(B915)+1,0))),2)=6,0.5,0)),0))</f>
        <v>24</v>
      </c>
      <c r="K915" s="22" cm="1">
        <f t="array" ref="K915">_xlfn.XLOOKUP(1,((Metas_Diarias[[#This Row],[tipo_equipe_id]]=Metas[equipe])*(Metas_Diarias[[#This Row],[data]]&gt;Metas[data_inicio])*(Metas_Diarias[[#This Row],[data]]&lt;Metas[data_fim])),Metas[meta_mensal],0)</f>
        <v>110000</v>
      </c>
      <c r="L91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16" spans="2:12" x14ac:dyDescent="0.3">
      <c r="B916" s="34">
        <v>46021</v>
      </c>
      <c r="C916" s="34" t="str">
        <f>TEXT(Metas_Diarias[[#This Row],[data]],"dddd")</f>
        <v>terça-feira</v>
      </c>
      <c r="D916" s="33">
        <v>2</v>
      </c>
      <c r="E916" s="33">
        <v>2</v>
      </c>
      <c r="F916" s="18"/>
      <c r="G916" s="35">
        <f>WEEKDAY(Metas_Diarias[[#This Row],[data]])</f>
        <v>3</v>
      </c>
      <c r="H916" s="35">
        <f>IF(Metas_Diarias[[#This Row],[dias_da_demana]]=1,"domingo",IF(Metas_Diarias[[#This Row],[dias_da_demana]]=7,0.5,1))</f>
        <v>1</v>
      </c>
      <c r="I916" s="35">
        <f>_xlfn.XLOOKUP(Metas_Diarias[[#This Row],[data]],Feriados[Data],Feriados[Feriado],1)</f>
        <v>1</v>
      </c>
      <c r="J916" s="33" cm="1">
        <f t="array" aca="1" ref="J916" ca="1">SUMPRODUCT(IF((NOT(ISERROR(MATCH(ROW(INDIRECT(DATE(YEAR(B916),MONTH(B916),1)&amp;":"&amp;DATE(YEAR(B916),MONTH(B916)+1,0))),Feriados[Data],0))))=FALSE,
IF(WEEKDAY(ROW(INDIRECT(DATE(YEAR(B916),MONTH(B916),1)&amp;":"&amp;DATE(YEAR(B916),MONTH(B916)+1,0))),2)&lt;=5,1,IF(WEEKDAY(ROW(INDIRECT(DATE(YEAR(B916),MONTH(B916),1)&amp;":"&amp;DATE(YEAR(B916),MONTH(B916)+1,0))),2)=6,0.5,0)),0))</f>
        <v>24</v>
      </c>
      <c r="K916" s="22" cm="1">
        <f t="array" ref="K916">_xlfn.XLOOKUP(1,((Metas_Diarias[[#This Row],[tipo_equipe_id]]=Metas[equipe])*(Metas_Diarias[[#This Row],[data]]&gt;Metas[data_inicio])*(Metas_Diarias[[#This Row],[data]]&lt;Metas[data_fim])),Metas[meta_mensal],0)</f>
        <v>110000</v>
      </c>
      <c r="L916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917" spans="2:12" x14ac:dyDescent="0.3">
      <c r="B917" s="34">
        <v>46022</v>
      </c>
      <c r="C917" s="34" t="str">
        <f>TEXT(Metas_Diarias[[#This Row],[data]],"dddd")</f>
        <v>quarta-feira</v>
      </c>
      <c r="D917" s="33">
        <v>2</v>
      </c>
      <c r="E917" s="33">
        <v>2</v>
      </c>
      <c r="F917" s="18"/>
      <c r="G917" s="35">
        <f>WEEKDAY(Metas_Diarias[[#This Row],[data]])</f>
        <v>4</v>
      </c>
      <c r="H917" s="35">
        <f>IF(Metas_Diarias[[#This Row],[dias_da_demana]]=1,"domingo",IF(Metas_Diarias[[#This Row],[dias_da_demana]]=7,0.5,1))</f>
        <v>1</v>
      </c>
      <c r="I917" s="35">
        <f>_xlfn.XLOOKUP(Metas_Diarias[[#This Row],[data]],Feriados[Data],Feriados[Feriado],1)</f>
        <v>1</v>
      </c>
      <c r="J917" s="33" cm="1">
        <f t="array" aca="1" ref="J917" ca="1">SUMPRODUCT(IF((NOT(ISERROR(MATCH(ROW(INDIRECT(DATE(YEAR(B917),MONTH(B917),1)&amp;":"&amp;DATE(YEAR(B917),MONTH(B917)+1,0))),Feriados[Data],0))))=FALSE,
IF(WEEKDAY(ROW(INDIRECT(DATE(YEAR(B917),MONTH(B917),1)&amp;":"&amp;DATE(YEAR(B917),MONTH(B917)+1,0))),2)&lt;=5,1,IF(WEEKDAY(ROW(INDIRECT(DATE(YEAR(B917),MONTH(B917),1)&amp;":"&amp;DATE(YEAR(B917),MONTH(B917)+1,0))),2)=6,0.5,0)),0))</f>
        <v>24</v>
      </c>
      <c r="K917" s="22" cm="1">
        <f t="array" ref="K917">_xlfn.XLOOKUP(1,((Metas_Diarias[[#This Row],[tipo_equipe_id]]=Metas[equipe])*(Metas_Diarias[[#This Row],[data]]&gt;Metas[data_inicio])*(Metas_Diarias[[#This Row],[data]]&lt;Metas[data_fim])),Metas[meta_mensal],0)</f>
        <v>0</v>
      </c>
      <c r="L9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18" spans="2:12" x14ac:dyDescent="0.3">
      <c r="B918" s="34">
        <v>45839</v>
      </c>
      <c r="C918" s="34" t="str">
        <f>TEXT(Metas_Diarias[[#This Row],[data]],"dddd")</f>
        <v>terça-feira</v>
      </c>
      <c r="D918" s="33">
        <v>5</v>
      </c>
      <c r="E918" s="33">
        <v>5</v>
      </c>
      <c r="F918" s="18"/>
      <c r="G918" s="35">
        <f>WEEKDAY(Metas_Diarias[[#This Row],[data]])</f>
        <v>3</v>
      </c>
      <c r="H918" s="35">
        <f>IF(Metas_Diarias[[#This Row],[dias_da_demana]]=1,"domingo",IF(Metas_Diarias[[#This Row],[dias_da_demana]]=7,0.5,1))</f>
        <v>1</v>
      </c>
      <c r="I918" s="35">
        <f>_xlfn.XLOOKUP(Metas_Diarias[[#This Row],[data]],Feriados[Data],Feriados[Feriado],1)</f>
        <v>1</v>
      </c>
      <c r="J918" s="33" cm="1">
        <f t="array" aca="1" ref="J918" ca="1">SUMPRODUCT(IF((NOT(ISERROR(MATCH(ROW(INDIRECT(DATE(YEAR(B918),MONTH(B918),1)&amp;":"&amp;DATE(YEAR(B918),MONTH(B918)+1,0))),Feriados[Data],0))))=FALSE,
IF(WEEKDAY(ROW(INDIRECT(DATE(YEAR(B918),MONTH(B918),1)&amp;":"&amp;DATE(YEAR(B918),MONTH(B918)+1,0))),2)&lt;=5,1,IF(WEEKDAY(ROW(INDIRECT(DATE(YEAR(B918),MONTH(B918),1)&amp;":"&amp;DATE(YEAR(B918),MONTH(B918)+1,0))),2)=6,0.5,0)),0))</f>
        <v>25</v>
      </c>
      <c r="K918" s="22" cm="1">
        <f t="array" ref="K918">_xlfn.XLOOKUP(1,((Metas_Diarias[[#This Row],[tipo_equipe_id]]=Metas[equipe])*(Metas_Diarias[[#This Row],[data]]&gt;Metas[data_inicio])*(Metas_Diarias[[#This Row],[data]]&lt;Metas[data_fim])),Metas[meta_mensal],0)</f>
        <v>0</v>
      </c>
      <c r="L91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19" spans="2:12" x14ac:dyDescent="0.3">
      <c r="B919" s="34">
        <v>45840</v>
      </c>
      <c r="C919" s="34" t="str">
        <f>TEXT(Metas_Diarias[[#This Row],[data]],"dddd")</f>
        <v>quarta-feira</v>
      </c>
      <c r="D919" s="33">
        <v>5</v>
      </c>
      <c r="E919" s="33">
        <v>5</v>
      </c>
      <c r="F919" s="18"/>
      <c r="G919" s="35">
        <f>WEEKDAY(Metas_Diarias[[#This Row],[data]])</f>
        <v>4</v>
      </c>
      <c r="H919" s="35">
        <f>IF(Metas_Diarias[[#This Row],[dias_da_demana]]=1,"domingo",IF(Metas_Diarias[[#This Row],[dias_da_demana]]=7,0.5,1))</f>
        <v>1</v>
      </c>
      <c r="I919" s="35">
        <f>_xlfn.XLOOKUP(Metas_Diarias[[#This Row],[data]],Feriados[Data],Feriados[Feriado],1)</f>
        <v>1</v>
      </c>
      <c r="J919" s="33" cm="1">
        <f t="array" aca="1" ref="J919" ca="1">SUMPRODUCT(IF((NOT(ISERROR(MATCH(ROW(INDIRECT(DATE(YEAR(B919),MONTH(B919),1)&amp;":"&amp;DATE(YEAR(B919),MONTH(B919)+1,0))),Feriados[Data],0))))=FALSE,
IF(WEEKDAY(ROW(INDIRECT(DATE(YEAR(B919),MONTH(B919),1)&amp;":"&amp;DATE(YEAR(B919),MONTH(B919)+1,0))),2)&lt;=5,1,IF(WEEKDAY(ROW(INDIRECT(DATE(YEAR(B919),MONTH(B919),1)&amp;":"&amp;DATE(YEAR(B919),MONTH(B919)+1,0))),2)=6,0.5,0)),0))</f>
        <v>25</v>
      </c>
      <c r="K919" s="22" cm="1">
        <f t="array" ref="K919">_xlfn.XLOOKUP(1,((Metas_Diarias[[#This Row],[tipo_equipe_id]]=Metas[equipe])*(Metas_Diarias[[#This Row],[data]]&gt;Metas[data_inicio])*(Metas_Diarias[[#This Row],[data]]&lt;Metas[data_fim])),Metas[meta_mensal],0)</f>
        <v>65000</v>
      </c>
      <c r="L919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20" spans="2:12" x14ac:dyDescent="0.3">
      <c r="B920" s="34">
        <v>45841</v>
      </c>
      <c r="C920" s="34" t="str">
        <f>TEXT(Metas_Diarias[[#This Row],[data]],"dddd")</f>
        <v>quinta-feira</v>
      </c>
      <c r="D920" s="33">
        <v>5</v>
      </c>
      <c r="E920" s="33">
        <v>5</v>
      </c>
      <c r="F920" s="18"/>
      <c r="G920" s="35">
        <f>WEEKDAY(Metas_Diarias[[#This Row],[data]])</f>
        <v>5</v>
      </c>
      <c r="H920" s="35">
        <f>IF(Metas_Diarias[[#This Row],[dias_da_demana]]=1,"domingo",IF(Metas_Diarias[[#This Row],[dias_da_demana]]=7,0.5,1))</f>
        <v>1</v>
      </c>
      <c r="I920" s="35">
        <f>_xlfn.XLOOKUP(Metas_Diarias[[#This Row],[data]],Feriados[Data],Feriados[Feriado],1)</f>
        <v>1</v>
      </c>
      <c r="J920" s="33" cm="1">
        <f t="array" aca="1" ref="J920" ca="1">SUMPRODUCT(IF((NOT(ISERROR(MATCH(ROW(INDIRECT(DATE(YEAR(B920),MONTH(B920),1)&amp;":"&amp;DATE(YEAR(B920),MONTH(B920)+1,0))),Feriados[Data],0))))=FALSE,
IF(WEEKDAY(ROW(INDIRECT(DATE(YEAR(B920),MONTH(B920),1)&amp;":"&amp;DATE(YEAR(B920),MONTH(B920)+1,0))),2)&lt;=5,1,IF(WEEKDAY(ROW(INDIRECT(DATE(YEAR(B920),MONTH(B920),1)&amp;":"&amp;DATE(YEAR(B920),MONTH(B920)+1,0))),2)=6,0.5,0)),0))</f>
        <v>25</v>
      </c>
      <c r="K920" s="22" cm="1">
        <f t="array" ref="K920">_xlfn.XLOOKUP(1,((Metas_Diarias[[#This Row],[tipo_equipe_id]]=Metas[equipe])*(Metas_Diarias[[#This Row],[data]]&gt;Metas[data_inicio])*(Metas_Diarias[[#This Row],[data]]&lt;Metas[data_fim])),Metas[meta_mensal],0)</f>
        <v>65000</v>
      </c>
      <c r="L920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21" spans="2:12" x14ac:dyDescent="0.3">
      <c r="B921" s="34">
        <v>45842</v>
      </c>
      <c r="C921" s="34" t="str">
        <f>TEXT(Metas_Diarias[[#This Row],[data]],"dddd")</f>
        <v>sexta-feira</v>
      </c>
      <c r="D921" s="33">
        <v>5</v>
      </c>
      <c r="E921" s="33">
        <v>5</v>
      </c>
      <c r="F921" s="18"/>
      <c r="G921" s="35">
        <f>WEEKDAY(Metas_Diarias[[#This Row],[data]])</f>
        <v>6</v>
      </c>
      <c r="H921" s="35">
        <f>IF(Metas_Diarias[[#This Row],[dias_da_demana]]=1,"domingo",IF(Metas_Diarias[[#This Row],[dias_da_demana]]=7,0.5,1))</f>
        <v>1</v>
      </c>
      <c r="I921" s="35">
        <f>_xlfn.XLOOKUP(Metas_Diarias[[#This Row],[data]],Feriados[Data],Feriados[Feriado],1)</f>
        <v>1</v>
      </c>
      <c r="J921" s="33" cm="1">
        <f t="array" aca="1" ref="J921" ca="1">SUMPRODUCT(IF((NOT(ISERROR(MATCH(ROW(INDIRECT(DATE(YEAR(B921),MONTH(B921),1)&amp;":"&amp;DATE(YEAR(B921),MONTH(B921)+1,0))),Feriados[Data],0))))=FALSE,
IF(WEEKDAY(ROW(INDIRECT(DATE(YEAR(B921),MONTH(B921),1)&amp;":"&amp;DATE(YEAR(B921),MONTH(B921)+1,0))),2)&lt;=5,1,IF(WEEKDAY(ROW(INDIRECT(DATE(YEAR(B921),MONTH(B921),1)&amp;":"&amp;DATE(YEAR(B921),MONTH(B921)+1,0))),2)=6,0.5,0)),0))</f>
        <v>25</v>
      </c>
      <c r="K921" s="22" cm="1">
        <f t="array" ref="K921">_xlfn.XLOOKUP(1,((Metas_Diarias[[#This Row],[tipo_equipe_id]]=Metas[equipe])*(Metas_Diarias[[#This Row],[data]]&gt;Metas[data_inicio])*(Metas_Diarias[[#This Row],[data]]&lt;Metas[data_fim])),Metas[meta_mensal],0)</f>
        <v>65000</v>
      </c>
      <c r="L921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22" spans="2:12" x14ac:dyDescent="0.3">
      <c r="B922" s="34">
        <v>45843</v>
      </c>
      <c r="C922" s="34" t="str">
        <f>TEXT(Metas_Diarias[[#This Row],[data]],"dddd")</f>
        <v>sábado</v>
      </c>
      <c r="D922" s="33">
        <v>5</v>
      </c>
      <c r="E922" s="33">
        <v>5</v>
      </c>
      <c r="F922" s="18"/>
      <c r="G922" s="35">
        <f>WEEKDAY(Metas_Diarias[[#This Row],[data]])</f>
        <v>7</v>
      </c>
      <c r="H922" s="35">
        <f>IF(Metas_Diarias[[#This Row],[dias_da_demana]]=1,"domingo",IF(Metas_Diarias[[#This Row],[dias_da_demana]]=7,0.5,1))</f>
        <v>0.5</v>
      </c>
      <c r="I922" s="35">
        <f>_xlfn.XLOOKUP(Metas_Diarias[[#This Row],[data]],Feriados[Data],Feriados[Feriado],1)</f>
        <v>1</v>
      </c>
      <c r="J922" s="33" cm="1">
        <f t="array" aca="1" ref="J922" ca="1">SUMPRODUCT(IF((NOT(ISERROR(MATCH(ROW(INDIRECT(DATE(YEAR(B922),MONTH(B922),1)&amp;":"&amp;DATE(YEAR(B922),MONTH(B922)+1,0))),Feriados[Data],0))))=FALSE,
IF(WEEKDAY(ROW(INDIRECT(DATE(YEAR(B922),MONTH(B922),1)&amp;":"&amp;DATE(YEAR(B922),MONTH(B922)+1,0))),2)&lt;=5,1,IF(WEEKDAY(ROW(INDIRECT(DATE(YEAR(B922),MONTH(B922),1)&amp;":"&amp;DATE(YEAR(B922),MONTH(B922)+1,0))),2)=6,0.5,0)),0))</f>
        <v>25</v>
      </c>
      <c r="K922" s="22" cm="1">
        <f t="array" ref="K922">_xlfn.XLOOKUP(1,((Metas_Diarias[[#This Row],[tipo_equipe_id]]=Metas[equipe])*(Metas_Diarias[[#This Row],[data]]&gt;Metas[data_inicio])*(Metas_Diarias[[#This Row],[data]]&lt;Metas[data_fim])),Metas[meta_mensal],0)</f>
        <v>65000</v>
      </c>
      <c r="L922" s="24">
        <f ca="1">Metas_Diarias[[#This Row],[meta_mensal]]*IF(Metas_Diarias[[#This Row],[semana]]="domingo",0,Metas_Diarias[[#This Row],[semana]])*IF(Metas_Diarias[[#This Row],[feriado]]&lt;&gt;1,0,1)/Metas_Diarias[[#This Row],[dias_úteis_Mês]]</f>
        <v>1300</v>
      </c>
    </row>
    <row r="923" spans="2:12" x14ac:dyDescent="0.3">
      <c r="B923" s="34">
        <v>45844</v>
      </c>
      <c r="C923" s="34" t="str">
        <f>TEXT(Metas_Diarias[[#This Row],[data]],"dddd")</f>
        <v>domingo</v>
      </c>
      <c r="D923" s="33">
        <v>5</v>
      </c>
      <c r="E923" s="33">
        <v>5</v>
      </c>
      <c r="F923" s="18"/>
      <c r="G923" s="35">
        <f>WEEKDAY(Metas_Diarias[[#This Row],[data]])</f>
        <v>1</v>
      </c>
      <c r="H923" s="35" t="str">
        <f>IF(Metas_Diarias[[#This Row],[dias_da_demana]]=1,"domingo",IF(Metas_Diarias[[#This Row],[dias_da_demana]]=7,0.5,1))</f>
        <v>domingo</v>
      </c>
      <c r="I923" s="35">
        <f>_xlfn.XLOOKUP(Metas_Diarias[[#This Row],[data]],Feriados[Data],Feriados[Feriado],1)</f>
        <v>1</v>
      </c>
      <c r="J923" s="33" cm="1">
        <f t="array" aca="1" ref="J923" ca="1">SUMPRODUCT(IF((NOT(ISERROR(MATCH(ROW(INDIRECT(DATE(YEAR(B923),MONTH(B923),1)&amp;":"&amp;DATE(YEAR(B923),MONTH(B923)+1,0))),Feriados[Data],0))))=FALSE,
IF(WEEKDAY(ROW(INDIRECT(DATE(YEAR(B923),MONTH(B923),1)&amp;":"&amp;DATE(YEAR(B923),MONTH(B923)+1,0))),2)&lt;=5,1,IF(WEEKDAY(ROW(INDIRECT(DATE(YEAR(B923),MONTH(B923),1)&amp;":"&amp;DATE(YEAR(B923),MONTH(B923)+1,0))),2)=6,0.5,0)),0))</f>
        <v>25</v>
      </c>
      <c r="K923" s="22" cm="1">
        <f t="array" ref="K923">_xlfn.XLOOKUP(1,((Metas_Diarias[[#This Row],[tipo_equipe_id]]=Metas[equipe])*(Metas_Diarias[[#This Row],[data]]&gt;Metas[data_inicio])*(Metas_Diarias[[#This Row],[data]]&lt;Metas[data_fim])),Metas[meta_mensal],0)</f>
        <v>65000</v>
      </c>
      <c r="L92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24" spans="2:12" x14ac:dyDescent="0.3">
      <c r="B924" s="34">
        <v>45845</v>
      </c>
      <c r="C924" s="34" t="str">
        <f>TEXT(Metas_Diarias[[#This Row],[data]],"dddd")</f>
        <v>segunda-feira</v>
      </c>
      <c r="D924" s="33">
        <v>5</v>
      </c>
      <c r="E924" s="33">
        <v>5</v>
      </c>
      <c r="F924" s="18"/>
      <c r="G924" s="35">
        <f>WEEKDAY(Metas_Diarias[[#This Row],[data]])</f>
        <v>2</v>
      </c>
      <c r="H924" s="35">
        <f>IF(Metas_Diarias[[#This Row],[dias_da_demana]]=1,"domingo",IF(Metas_Diarias[[#This Row],[dias_da_demana]]=7,0.5,1))</f>
        <v>1</v>
      </c>
      <c r="I924" s="35">
        <f>_xlfn.XLOOKUP(Metas_Diarias[[#This Row],[data]],Feriados[Data],Feriados[Feriado],1)</f>
        <v>1</v>
      </c>
      <c r="J924" s="33" cm="1">
        <f t="array" aca="1" ref="J924" ca="1">SUMPRODUCT(IF((NOT(ISERROR(MATCH(ROW(INDIRECT(DATE(YEAR(B924),MONTH(B924),1)&amp;":"&amp;DATE(YEAR(B924),MONTH(B924)+1,0))),Feriados[Data],0))))=FALSE,
IF(WEEKDAY(ROW(INDIRECT(DATE(YEAR(B924),MONTH(B924),1)&amp;":"&amp;DATE(YEAR(B924),MONTH(B924)+1,0))),2)&lt;=5,1,IF(WEEKDAY(ROW(INDIRECT(DATE(YEAR(B924),MONTH(B924),1)&amp;":"&amp;DATE(YEAR(B924),MONTH(B924)+1,0))),2)=6,0.5,0)),0))</f>
        <v>25</v>
      </c>
      <c r="K924" s="22" cm="1">
        <f t="array" ref="K924">_xlfn.XLOOKUP(1,((Metas_Diarias[[#This Row],[tipo_equipe_id]]=Metas[equipe])*(Metas_Diarias[[#This Row],[data]]&gt;Metas[data_inicio])*(Metas_Diarias[[#This Row],[data]]&lt;Metas[data_fim])),Metas[meta_mensal],0)</f>
        <v>65000</v>
      </c>
      <c r="L924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25" spans="2:12" x14ac:dyDescent="0.3">
      <c r="B925" s="34">
        <v>45846</v>
      </c>
      <c r="C925" s="34" t="str">
        <f>TEXT(Metas_Diarias[[#This Row],[data]],"dddd")</f>
        <v>terça-feira</v>
      </c>
      <c r="D925" s="33">
        <v>5</v>
      </c>
      <c r="E925" s="33">
        <v>5</v>
      </c>
      <c r="F925" s="18"/>
      <c r="G925" s="35">
        <f>WEEKDAY(Metas_Diarias[[#This Row],[data]])</f>
        <v>3</v>
      </c>
      <c r="H925" s="35">
        <f>IF(Metas_Diarias[[#This Row],[dias_da_demana]]=1,"domingo",IF(Metas_Diarias[[#This Row],[dias_da_demana]]=7,0.5,1))</f>
        <v>1</v>
      </c>
      <c r="I925" s="35">
        <f>_xlfn.XLOOKUP(Metas_Diarias[[#This Row],[data]],Feriados[Data],Feriados[Feriado],1)</f>
        <v>1</v>
      </c>
      <c r="J925" s="33" cm="1">
        <f t="array" aca="1" ref="J925" ca="1">SUMPRODUCT(IF((NOT(ISERROR(MATCH(ROW(INDIRECT(DATE(YEAR(B925),MONTH(B925),1)&amp;":"&amp;DATE(YEAR(B925),MONTH(B925)+1,0))),Feriados[Data],0))))=FALSE,
IF(WEEKDAY(ROW(INDIRECT(DATE(YEAR(B925),MONTH(B925),1)&amp;":"&amp;DATE(YEAR(B925),MONTH(B925)+1,0))),2)&lt;=5,1,IF(WEEKDAY(ROW(INDIRECT(DATE(YEAR(B925),MONTH(B925),1)&amp;":"&amp;DATE(YEAR(B925),MONTH(B925)+1,0))),2)=6,0.5,0)),0))</f>
        <v>25</v>
      </c>
      <c r="K925" s="22" cm="1">
        <f t="array" ref="K925">_xlfn.XLOOKUP(1,((Metas_Diarias[[#This Row],[tipo_equipe_id]]=Metas[equipe])*(Metas_Diarias[[#This Row],[data]]&gt;Metas[data_inicio])*(Metas_Diarias[[#This Row],[data]]&lt;Metas[data_fim])),Metas[meta_mensal],0)</f>
        <v>65000</v>
      </c>
      <c r="L925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26" spans="2:12" x14ac:dyDescent="0.3">
      <c r="B926" s="34">
        <v>45847</v>
      </c>
      <c r="C926" s="34" t="str">
        <f>TEXT(Metas_Diarias[[#This Row],[data]],"dddd")</f>
        <v>quarta-feira</v>
      </c>
      <c r="D926" s="33">
        <v>5</v>
      </c>
      <c r="E926" s="33">
        <v>5</v>
      </c>
      <c r="F926" s="18"/>
      <c r="G926" s="35">
        <f>WEEKDAY(Metas_Diarias[[#This Row],[data]])</f>
        <v>4</v>
      </c>
      <c r="H926" s="35">
        <f>IF(Metas_Diarias[[#This Row],[dias_da_demana]]=1,"domingo",IF(Metas_Diarias[[#This Row],[dias_da_demana]]=7,0.5,1))</f>
        <v>1</v>
      </c>
      <c r="I926" s="35">
        <f>_xlfn.XLOOKUP(Metas_Diarias[[#This Row],[data]],Feriados[Data],Feriados[Feriado],1)</f>
        <v>1</v>
      </c>
      <c r="J926" s="33" cm="1">
        <f t="array" aca="1" ref="J926" ca="1">SUMPRODUCT(IF((NOT(ISERROR(MATCH(ROW(INDIRECT(DATE(YEAR(B926),MONTH(B926),1)&amp;":"&amp;DATE(YEAR(B926),MONTH(B926)+1,0))),Feriados[Data],0))))=FALSE,
IF(WEEKDAY(ROW(INDIRECT(DATE(YEAR(B926),MONTH(B926),1)&amp;":"&amp;DATE(YEAR(B926),MONTH(B926)+1,0))),2)&lt;=5,1,IF(WEEKDAY(ROW(INDIRECT(DATE(YEAR(B926),MONTH(B926),1)&amp;":"&amp;DATE(YEAR(B926),MONTH(B926)+1,0))),2)=6,0.5,0)),0))</f>
        <v>25</v>
      </c>
      <c r="K926" s="22" cm="1">
        <f t="array" ref="K926">_xlfn.XLOOKUP(1,((Metas_Diarias[[#This Row],[tipo_equipe_id]]=Metas[equipe])*(Metas_Diarias[[#This Row],[data]]&gt;Metas[data_inicio])*(Metas_Diarias[[#This Row],[data]]&lt;Metas[data_fim])),Metas[meta_mensal],0)</f>
        <v>65000</v>
      </c>
      <c r="L926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27" spans="2:12" x14ac:dyDescent="0.3">
      <c r="B927" s="34">
        <v>45848</v>
      </c>
      <c r="C927" s="34" t="str">
        <f>TEXT(Metas_Diarias[[#This Row],[data]],"dddd")</f>
        <v>quinta-feira</v>
      </c>
      <c r="D927" s="33">
        <v>5</v>
      </c>
      <c r="E927" s="33">
        <v>5</v>
      </c>
      <c r="F927" s="18"/>
      <c r="G927" s="35">
        <f>WEEKDAY(Metas_Diarias[[#This Row],[data]])</f>
        <v>5</v>
      </c>
      <c r="H927" s="35">
        <f>IF(Metas_Diarias[[#This Row],[dias_da_demana]]=1,"domingo",IF(Metas_Diarias[[#This Row],[dias_da_demana]]=7,0.5,1))</f>
        <v>1</v>
      </c>
      <c r="I927" s="35">
        <f>_xlfn.XLOOKUP(Metas_Diarias[[#This Row],[data]],Feriados[Data],Feriados[Feriado],1)</f>
        <v>1</v>
      </c>
      <c r="J927" s="33" cm="1">
        <f t="array" aca="1" ref="J927" ca="1">SUMPRODUCT(IF((NOT(ISERROR(MATCH(ROW(INDIRECT(DATE(YEAR(B927),MONTH(B927),1)&amp;":"&amp;DATE(YEAR(B927),MONTH(B927)+1,0))),Feriados[Data],0))))=FALSE,
IF(WEEKDAY(ROW(INDIRECT(DATE(YEAR(B927),MONTH(B927),1)&amp;":"&amp;DATE(YEAR(B927),MONTH(B927)+1,0))),2)&lt;=5,1,IF(WEEKDAY(ROW(INDIRECT(DATE(YEAR(B927),MONTH(B927),1)&amp;":"&amp;DATE(YEAR(B927),MONTH(B927)+1,0))),2)=6,0.5,0)),0))</f>
        <v>25</v>
      </c>
      <c r="K927" s="22" cm="1">
        <f t="array" ref="K927">_xlfn.XLOOKUP(1,((Metas_Diarias[[#This Row],[tipo_equipe_id]]=Metas[equipe])*(Metas_Diarias[[#This Row],[data]]&gt;Metas[data_inicio])*(Metas_Diarias[[#This Row],[data]]&lt;Metas[data_fim])),Metas[meta_mensal],0)</f>
        <v>65000</v>
      </c>
      <c r="L927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28" spans="2:12" x14ac:dyDescent="0.3">
      <c r="B928" s="34">
        <v>45849</v>
      </c>
      <c r="C928" s="34" t="str">
        <f>TEXT(Metas_Diarias[[#This Row],[data]],"dddd")</f>
        <v>sexta-feira</v>
      </c>
      <c r="D928" s="33">
        <v>5</v>
      </c>
      <c r="E928" s="33">
        <v>5</v>
      </c>
      <c r="F928" s="18"/>
      <c r="G928" s="35">
        <f>WEEKDAY(Metas_Diarias[[#This Row],[data]])</f>
        <v>6</v>
      </c>
      <c r="H928" s="35">
        <f>IF(Metas_Diarias[[#This Row],[dias_da_demana]]=1,"domingo",IF(Metas_Diarias[[#This Row],[dias_da_demana]]=7,0.5,1))</f>
        <v>1</v>
      </c>
      <c r="I928" s="35">
        <f>_xlfn.XLOOKUP(Metas_Diarias[[#This Row],[data]],Feriados[Data],Feriados[Feriado],1)</f>
        <v>1</v>
      </c>
      <c r="J928" s="33" cm="1">
        <f t="array" aca="1" ref="J928" ca="1">SUMPRODUCT(IF((NOT(ISERROR(MATCH(ROW(INDIRECT(DATE(YEAR(B928),MONTH(B928),1)&amp;":"&amp;DATE(YEAR(B928),MONTH(B928)+1,0))),Feriados[Data],0))))=FALSE,
IF(WEEKDAY(ROW(INDIRECT(DATE(YEAR(B928),MONTH(B928),1)&amp;":"&amp;DATE(YEAR(B928),MONTH(B928)+1,0))),2)&lt;=5,1,IF(WEEKDAY(ROW(INDIRECT(DATE(YEAR(B928),MONTH(B928),1)&amp;":"&amp;DATE(YEAR(B928),MONTH(B928)+1,0))),2)=6,0.5,0)),0))</f>
        <v>25</v>
      </c>
      <c r="K928" s="22" cm="1">
        <f t="array" ref="K928">_xlfn.XLOOKUP(1,((Metas_Diarias[[#This Row],[tipo_equipe_id]]=Metas[equipe])*(Metas_Diarias[[#This Row],[data]]&gt;Metas[data_inicio])*(Metas_Diarias[[#This Row],[data]]&lt;Metas[data_fim])),Metas[meta_mensal],0)</f>
        <v>65000</v>
      </c>
      <c r="L928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29" spans="2:12" x14ac:dyDescent="0.3">
      <c r="B929" s="34">
        <v>45850</v>
      </c>
      <c r="C929" s="34" t="str">
        <f>TEXT(Metas_Diarias[[#This Row],[data]],"dddd")</f>
        <v>sábado</v>
      </c>
      <c r="D929" s="33">
        <v>5</v>
      </c>
      <c r="E929" s="33">
        <v>5</v>
      </c>
      <c r="F929" s="18"/>
      <c r="G929" s="35">
        <f>WEEKDAY(Metas_Diarias[[#This Row],[data]])</f>
        <v>7</v>
      </c>
      <c r="H929" s="35">
        <f>IF(Metas_Diarias[[#This Row],[dias_da_demana]]=1,"domingo",IF(Metas_Diarias[[#This Row],[dias_da_demana]]=7,0.5,1))</f>
        <v>0.5</v>
      </c>
      <c r="I929" s="35">
        <f>_xlfn.XLOOKUP(Metas_Diarias[[#This Row],[data]],Feriados[Data],Feriados[Feriado],1)</f>
        <v>1</v>
      </c>
      <c r="J929" s="33" cm="1">
        <f t="array" aca="1" ref="J929" ca="1">SUMPRODUCT(IF((NOT(ISERROR(MATCH(ROW(INDIRECT(DATE(YEAR(B929),MONTH(B929),1)&amp;":"&amp;DATE(YEAR(B929),MONTH(B929)+1,0))),Feriados[Data],0))))=FALSE,
IF(WEEKDAY(ROW(INDIRECT(DATE(YEAR(B929),MONTH(B929),1)&amp;":"&amp;DATE(YEAR(B929),MONTH(B929)+1,0))),2)&lt;=5,1,IF(WEEKDAY(ROW(INDIRECT(DATE(YEAR(B929),MONTH(B929),1)&amp;":"&amp;DATE(YEAR(B929),MONTH(B929)+1,0))),2)=6,0.5,0)),0))</f>
        <v>25</v>
      </c>
      <c r="K929" s="22" cm="1">
        <f t="array" ref="K929">_xlfn.XLOOKUP(1,((Metas_Diarias[[#This Row],[tipo_equipe_id]]=Metas[equipe])*(Metas_Diarias[[#This Row],[data]]&gt;Metas[data_inicio])*(Metas_Diarias[[#This Row],[data]]&lt;Metas[data_fim])),Metas[meta_mensal],0)</f>
        <v>65000</v>
      </c>
      <c r="L929" s="24">
        <f ca="1">Metas_Diarias[[#This Row],[meta_mensal]]*IF(Metas_Diarias[[#This Row],[semana]]="domingo",0,Metas_Diarias[[#This Row],[semana]])*IF(Metas_Diarias[[#This Row],[feriado]]&lt;&gt;1,0,1)/Metas_Diarias[[#This Row],[dias_úteis_Mês]]</f>
        <v>1300</v>
      </c>
    </row>
    <row r="930" spans="2:12" x14ac:dyDescent="0.3">
      <c r="B930" s="34">
        <v>45851</v>
      </c>
      <c r="C930" s="34" t="str">
        <f>TEXT(Metas_Diarias[[#This Row],[data]],"dddd")</f>
        <v>domingo</v>
      </c>
      <c r="D930" s="33">
        <v>5</v>
      </c>
      <c r="E930" s="33">
        <v>5</v>
      </c>
      <c r="F930" s="18"/>
      <c r="G930" s="35">
        <f>WEEKDAY(Metas_Diarias[[#This Row],[data]])</f>
        <v>1</v>
      </c>
      <c r="H930" s="35" t="str">
        <f>IF(Metas_Diarias[[#This Row],[dias_da_demana]]=1,"domingo",IF(Metas_Diarias[[#This Row],[dias_da_demana]]=7,0.5,1))</f>
        <v>domingo</v>
      </c>
      <c r="I930" s="35">
        <f>_xlfn.XLOOKUP(Metas_Diarias[[#This Row],[data]],Feriados[Data],Feriados[Feriado],1)</f>
        <v>1</v>
      </c>
      <c r="J930" s="33" cm="1">
        <f t="array" aca="1" ref="J930" ca="1">SUMPRODUCT(IF((NOT(ISERROR(MATCH(ROW(INDIRECT(DATE(YEAR(B930),MONTH(B930),1)&amp;":"&amp;DATE(YEAR(B930),MONTH(B930)+1,0))),Feriados[Data],0))))=FALSE,
IF(WEEKDAY(ROW(INDIRECT(DATE(YEAR(B930),MONTH(B930),1)&amp;":"&amp;DATE(YEAR(B930),MONTH(B930)+1,0))),2)&lt;=5,1,IF(WEEKDAY(ROW(INDIRECT(DATE(YEAR(B930),MONTH(B930),1)&amp;":"&amp;DATE(YEAR(B930),MONTH(B930)+1,0))),2)=6,0.5,0)),0))</f>
        <v>25</v>
      </c>
      <c r="K930" s="22" cm="1">
        <f t="array" ref="K930">_xlfn.XLOOKUP(1,((Metas_Diarias[[#This Row],[tipo_equipe_id]]=Metas[equipe])*(Metas_Diarias[[#This Row],[data]]&gt;Metas[data_inicio])*(Metas_Diarias[[#This Row],[data]]&lt;Metas[data_fim])),Metas[meta_mensal],0)</f>
        <v>65000</v>
      </c>
      <c r="L93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31" spans="2:12" x14ac:dyDescent="0.3">
      <c r="B931" s="34">
        <v>45852</v>
      </c>
      <c r="C931" s="34" t="str">
        <f>TEXT(Metas_Diarias[[#This Row],[data]],"dddd")</f>
        <v>segunda-feira</v>
      </c>
      <c r="D931" s="33">
        <v>5</v>
      </c>
      <c r="E931" s="33">
        <v>5</v>
      </c>
      <c r="F931" s="18"/>
      <c r="G931" s="35">
        <f>WEEKDAY(Metas_Diarias[[#This Row],[data]])</f>
        <v>2</v>
      </c>
      <c r="H931" s="35">
        <f>IF(Metas_Diarias[[#This Row],[dias_da_demana]]=1,"domingo",IF(Metas_Diarias[[#This Row],[dias_da_demana]]=7,0.5,1))</f>
        <v>1</v>
      </c>
      <c r="I931" s="35">
        <f>_xlfn.XLOOKUP(Metas_Diarias[[#This Row],[data]],Feriados[Data],Feriados[Feriado],1)</f>
        <v>1</v>
      </c>
      <c r="J931" s="33" cm="1">
        <f t="array" aca="1" ref="J931" ca="1">SUMPRODUCT(IF((NOT(ISERROR(MATCH(ROW(INDIRECT(DATE(YEAR(B931),MONTH(B931),1)&amp;":"&amp;DATE(YEAR(B931),MONTH(B931)+1,0))),Feriados[Data],0))))=FALSE,
IF(WEEKDAY(ROW(INDIRECT(DATE(YEAR(B931),MONTH(B931),1)&amp;":"&amp;DATE(YEAR(B931),MONTH(B931)+1,0))),2)&lt;=5,1,IF(WEEKDAY(ROW(INDIRECT(DATE(YEAR(B931),MONTH(B931),1)&amp;":"&amp;DATE(YEAR(B931),MONTH(B931)+1,0))),2)=6,0.5,0)),0))</f>
        <v>25</v>
      </c>
      <c r="K931" s="22" cm="1">
        <f t="array" ref="K931">_xlfn.XLOOKUP(1,((Metas_Diarias[[#This Row],[tipo_equipe_id]]=Metas[equipe])*(Metas_Diarias[[#This Row],[data]]&gt;Metas[data_inicio])*(Metas_Diarias[[#This Row],[data]]&lt;Metas[data_fim])),Metas[meta_mensal],0)</f>
        <v>65000</v>
      </c>
      <c r="L931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32" spans="2:12" x14ac:dyDescent="0.3">
      <c r="B932" s="34">
        <v>45853</v>
      </c>
      <c r="C932" s="34" t="str">
        <f>TEXT(Metas_Diarias[[#This Row],[data]],"dddd")</f>
        <v>terça-feira</v>
      </c>
      <c r="D932" s="33">
        <v>5</v>
      </c>
      <c r="E932" s="33">
        <v>5</v>
      </c>
      <c r="F932" s="18"/>
      <c r="G932" s="35">
        <f>WEEKDAY(Metas_Diarias[[#This Row],[data]])</f>
        <v>3</v>
      </c>
      <c r="H932" s="35">
        <f>IF(Metas_Diarias[[#This Row],[dias_da_demana]]=1,"domingo",IF(Metas_Diarias[[#This Row],[dias_da_demana]]=7,0.5,1))</f>
        <v>1</v>
      </c>
      <c r="I932" s="35">
        <f>_xlfn.XLOOKUP(Metas_Diarias[[#This Row],[data]],Feriados[Data],Feriados[Feriado],1)</f>
        <v>1</v>
      </c>
      <c r="J932" s="33" cm="1">
        <f t="array" aca="1" ref="J932" ca="1">SUMPRODUCT(IF((NOT(ISERROR(MATCH(ROW(INDIRECT(DATE(YEAR(B932),MONTH(B932),1)&amp;":"&amp;DATE(YEAR(B932),MONTH(B932)+1,0))),Feriados[Data],0))))=FALSE,
IF(WEEKDAY(ROW(INDIRECT(DATE(YEAR(B932),MONTH(B932),1)&amp;":"&amp;DATE(YEAR(B932),MONTH(B932)+1,0))),2)&lt;=5,1,IF(WEEKDAY(ROW(INDIRECT(DATE(YEAR(B932),MONTH(B932),1)&amp;":"&amp;DATE(YEAR(B932),MONTH(B932)+1,0))),2)=6,0.5,0)),0))</f>
        <v>25</v>
      </c>
      <c r="K932" s="22" cm="1">
        <f t="array" ref="K932">_xlfn.XLOOKUP(1,((Metas_Diarias[[#This Row],[tipo_equipe_id]]=Metas[equipe])*(Metas_Diarias[[#This Row],[data]]&gt;Metas[data_inicio])*(Metas_Diarias[[#This Row],[data]]&lt;Metas[data_fim])),Metas[meta_mensal],0)</f>
        <v>65000</v>
      </c>
      <c r="L932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33" spans="2:12" x14ac:dyDescent="0.3">
      <c r="B933" s="34">
        <v>45854</v>
      </c>
      <c r="C933" s="34" t="str">
        <f>TEXT(Metas_Diarias[[#This Row],[data]],"dddd")</f>
        <v>quarta-feira</v>
      </c>
      <c r="D933" s="33">
        <v>5</v>
      </c>
      <c r="E933" s="33">
        <v>5</v>
      </c>
      <c r="F933" s="18"/>
      <c r="G933" s="35">
        <f>WEEKDAY(Metas_Diarias[[#This Row],[data]])</f>
        <v>4</v>
      </c>
      <c r="H933" s="35">
        <f>IF(Metas_Diarias[[#This Row],[dias_da_demana]]=1,"domingo",IF(Metas_Diarias[[#This Row],[dias_da_demana]]=7,0.5,1))</f>
        <v>1</v>
      </c>
      <c r="I933" s="35">
        <f>_xlfn.XLOOKUP(Metas_Diarias[[#This Row],[data]],Feriados[Data],Feriados[Feriado],1)</f>
        <v>1</v>
      </c>
      <c r="J933" s="33" cm="1">
        <f t="array" aca="1" ref="J933" ca="1">SUMPRODUCT(IF((NOT(ISERROR(MATCH(ROW(INDIRECT(DATE(YEAR(B933),MONTH(B933),1)&amp;":"&amp;DATE(YEAR(B933),MONTH(B933)+1,0))),Feriados[Data],0))))=FALSE,
IF(WEEKDAY(ROW(INDIRECT(DATE(YEAR(B933),MONTH(B933),1)&amp;":"&amp;DATE(YEAR(B933),MONTH(B933)+1,0))),2)&lt;=5,1,IF(WEEKDAY(ROW(INDIRECT(DATE(YEAR(B933),MONTH(B933),1)&amp;":"&amp;DATE(YEAR(B933),MONTH(B933)+1,0))),2)=6,0.5,0)),0))</f>
        <v>25</v>
      </c>
      <c r="K933" s="22" cm="1">
        <f t="array" ref="K933">_xlfn.XLOOKUP(1,((Metas_Diarias[[#This Row],[tipo_equipe_id]]=Metas[equipe])*(Metas_Diarias[[#This Row],[data]]&gt;Metas[data_inicio])*(Metas_Diarias[[#This Row],[data]]&lt;Metas[data_fim])),Metas[meta_mensal],0)</f>
        <v>65000</v>
      </c>
      <c r="L933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34" spans="2:12" x14ac:dyDescent="0.3">
      <c r="B934" s="34">
        <v>45855</v>
      </c>
      <c r="C934" s="34" t="str">
        <f>TEXT(Metas_Diarias[[#This Row],[data]],"dddd")</f>
        <v>quinta-feira</v>
      </c>
      <c r="D934" s="33">
        <v>5</v>
      </c>
      <c r="E934" s="33">
        <v>5</v>
      </c>
      <c r="F934" s="18"/>
      <c r="G934" s="35">
        <f>WEEKDAY(Metas_Diarias[[#This Row],[data]])</f>
        <v>5</v>
      </c>
      <c r="H934" s="35">
        <f>IF(Metas_Diarias[[#This Row],[dias_da_demana]]=1,"domingo",IF(Metas_Diarias[[#This Row],[dias_da_demana]]=7,0.5,1))</f>
        <v>1</v>
      </c>
      <c r="I934" s="35">
        <f>_xlfn.XLOOKUP(Metas_Diarias[[#This Row],[data]],Feriados[Data],Feriados[Feriado],1)</f>
        <v>1</v>
      </c>
      <c r="J934" s="33" cm="1">
        <f t="array" aca="1" ref="J934" ca="1">SUMPRODUCT(IF((NOT(ISERROR(MATCH(ROW(INDIRECT(DATE(YEAR(B934),MONTH(B934),1)&amp;":"&amp;DATE(YEAR(B934),MONTH(B934)+1,0))),Feriados[Data],0))))=FALSE,
IF(WEEKDAY(ROW(INDIRECT(DATE(YEAR(B934),MONTH(B934),1)&amp;":"&amp;DATE(YEAR(B934),MONTH(B934)+1,0))),2)&lt;=5,1,IF(WEEKDAY(ROW(INDIRECT(DATE(YEAR(B934),MONTH(B934),1)&amp;":"&amp;DATE(YEAR(B934),MONTH(B934)+1,0))),2)=6,0.5,0)),0))</f>
        <v>25</v>
      </c>
      <c r="K934" s="22" cm="1">
        <f t="array" ref="K934">_xlfn.XLOOKUP(1,((Metas_Diarias[[#This Row],[tipo_equipe_id]]=Metas[equipe])*(Metas_Diarias[[#This Row],[data]]&gt;Metas[data_inicio])*(Metas_Diarias[[#This Row],[data]]&lt;Metas[data_fim])),Metas[meta_mensal],0)</f>
        <v>65000</v>
      </c>
      <c r="L934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35" spans="2:12" x14ac:dyDescent="0.3">
      <c r="B935" s="34">
        <v>45856</v>
      </c>
      <c r="C935" s="34" t="str">
        <f>TEXT(Metas_Diarias[[#This Row],[data]],"dddd")</f>
        <v>sexta-feira</v>
      </c>
      <c r="D935" s="33">
        <v>5</v>
      </c>
      <c r="E935" s="33">
        <v>5</v>
      </c>
      <c r="F935" s="18"/>
      <c r="G935" s="35">
        <f>WEEKDAY(Metas_Diarias[[#This Row],[data]])</f>
        <v>6</v>
      </c>
      <c r="H935" s="35">
        <f>IF(Metas_Diarias[[#This Row],[dias_da_demana]]=1,"domingo",IF(Metas_Diarias[[#This Row],[dias_da_demana]]=7,0.5,1))</f>
        <v>1</v>
      </c>
      <c r="I935" s="35">
        <f>_xlfn.XLOOKUP(Metas_Diarias[[#This Row],[data]],Feriados[Data],Feriados[Feriado],1)</f>
        <v>1</v>
      </c>
      <c r="J935" s="33" cm="1">
        <f t="array" aca="1" ref="J935" ca="1">SUMPRODUCT(IF((NOT(ISERROR(MATCH(ROW(INDIRECT(DATE(YEAR(B935),MONTH(B935),1)&amp;":"&amp;DATE(YEAR(B935),MONTH(B935)+1,0))),Feriados[Data],0))))=FALSE,
IF(WEEKDAY(ROW(INDIRECT(DATE(YEAR(B935),MONTH(B935),1)&amp;":"&amp;DATE(YEAR(B935),MONTH(B935)+1,0))),2)&lt;=5,1,IF(WEEKDAY(ROW(INDIRECT(DATE(YEAR(B935),MONTH(B935),1)&amp;":"&amp;DATE(YEAR(B935),MONTH(B935)+1,0))),2)=6,0.5,0)),0))</f>
        <v>25</v>
      </c>
      <c r="K935" s="22" cm="1">
        <f t="array" ref="K935">_xlfn.XLOOKUP(1,((Metas_Diarias[[#This Row],[tipo_equipe_id]]=Metas[equipe])*(Metas_Diarias[[#This Row],[data]]&gt;Metas[data_inicio])*(Metas_Diarias[[#This Row],[data]]&lt;Metas[data_fim])),Metas[meta_mensal],0)</f>
        <v>65000</v>
      </c>
      <c r="L935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36" spans="2:12" x14ac:dyDescent="0.3">
      <c r="B936" s="34">
        <v>45857</v>
      </c>
      <c r="C936" s="34" t="str">
        <f>TEXT(Metas_Diarias[[#This Row],[data]],"dddd")</f>
        <v>sábado</v>
      </c>
      <c r="D936" s="33">
        <v>5</v>
      </c>
      <c r="E936" s="33">
        <v>5</v>
      </c>
      <c r="F936" s="18"/>
      <c r="G936" s="35">
        <f>WEEKDAY(Metas_Diarias[[#This Row],[data]])</f>
        <v>7</v>
      </c>
      <c r="H936" s="35">
        <f>IF(Metas_Diarias[[#This Row],[dias_da_demana]]=1,"domingo",IF(Metas_Diarias[[#This Row],[dias_da_demana]]=7,0.5,1))</f>
        <v>0.5</v>
      </c>
      <c r="I936" s="35">
        <f>_xlfn.XLOOKUP(Metas_Diarias[[#This Row],[data]],Feriados[Data],Feriados[Feriado],1)</f>
        <v>1</v>
      </c>
      <c r="J936" s="33" cm="1">
        <f t="array" aca="1" ref="J936" ca="1">SUMPRODUCT(IF((NOT(ISERROR(MATCH(ROW(INDIRECT(DATE(YEAR(B936),MONTH(B936),1)&amp;":"&amp;DATE(YEAR(B936),MONTH(B936)+1,0))),Feriados[Data],0))))=FALSE,
IF(WEEKDAY(ROW(INDIRECT(DATE(YEAR(B936),MONTH(B936),1)&amp;":"&amp;DATE(YEAR(B936),MONTH(B936)+1,0))),2)&lt;=5,1,IF(WEEKDAY(ROW(INDIRECT(DATE(YEAR(B936),MONTH(B936),1)&amp;":"&amp;DATE(YEAR(B936),MONTH(B936)+1,0))),2)=6,0.5,0)),0))</f>
        <v>25</v>
      </c>
      <c r="K936" s="22" cm="1">
        <f t="array" ref="K936">_xlfn.XLOOKUP(1,((Metas_Diarias[[#This Row],[tipo_equipe_id]]=Metas[equipe])*(Metas_Diarias[[#This Row],[data]]&gt;Metas[data_inicio])*(Metas_Diarias[[#This Row],[data]]&lt;Metas[data_fim])),Metas[meta_mensal],0)</f>
        <v>65000</v>
      </c>
      <c r="L936" s="24">
        <f ca="1">Metas_Diarias[[#This Row],[meta_mensal]]*IF(Metas_Diarias[[#This Row],[semana]]="domingo",0,Metas_Diarias[[#This Row],[semana]])*IF(Metas_Diarias[[#This Row],[feriado]]&lt;&gt;1,0,1)/Metas_Diarias[[#This Row],[dias_úteis_Mês]]</f>
        <v>1300</v>
      </c>
    </row>
    <row r="937" spans="2:12" x14ac:dyDescent="0.3">
      <c r="B937" s="34">
        <v>45858</v>
      </c>
      <c r="C937" s="34" t="str">
        <f>TEXT(Metas_Diarias[[#This Row],[data]],"dddd")</f>
        <v>domingo</v>
      </c>
      <c r="D937" s="33">
        <v>5</v>
      </c>
      <c r="E937" s="33">
        <v>5</v>
      </c>
      <c r="F937" s="18"/>
      <c r="G937" s="35">
        <f>WEEKDAY(Metas_Diarias[[#This Row],[data]])</f>
        <v>1</v>
      </c>
      <c r="H937" s="35" t="str">
        <f>IF(Metas_Diarias[[#This Row],[dias_da_demana]]=1,"domingo",IF(Metas_Diarias[[#This Row],[dias_da_demana]]=7,0.5,1))</f>
        <v>domingo</v>
      </c>
      <c r="I937" s="35">
        <f>_xlfn.XLOOKUP(Metas_Diarias[[#This Row],[data]],Feriados[Data],Feriados[Feriado],1)</f>
        <v>1</v>
      </c>
      <c r="J937" s="33" cm="1">
        <f t="array" aca="1" ref="J937" ca="1">SUMPRODUCT(IF((NOT(ISERROR(MATCH(ROW(INDIRECT(DATE(YEAR(B937),MONTH(B937),1)&amp;":"&amp;DATE(YEAR(B937),MONTH(B937)+1,0))),Feriados[Data],0))))=FALSE,
IF(WEEKDAY(ROW(INDIRECT(DATE(YEAR(B937),MONTH(B937),1)&amp;":"&amp;DATE(YEAR(B937),MONTH(B937)+1,0))),2)&lt;=5,1,IF(WEEKDAY(ROW(INDIRECT(DATE(YEAR(B937),MONTH(B937),1)&amp;":"&amp;DATE(YEAR(B937),MONTH(B937)+1,0))),2)=6,0.5,0)),0))</f>
        <v>25</v>
      </c>
      <c r="K937" s="22" cm="1">
        <f t="array" ref="K937">_xlfn.XLOOKUP(1,((Metas_Diarias[[#This Row],[tipo_equipe_id]]=Metas[equipe])*(Metas_Diarias[[#This Row],[data]]&gt;Metas[data_inicio])*(Metas_Diarias[[#This Row],[data]]&lt;Metas[data_fim])),Metas[meta_mensal],0)</f>
        <v>65000</v>
      </c>
      <c r="L93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38" spans="2:12" x14ac:dyDescent="0.3">
      <c r="B938" s="34">
        <v>45859</v>
      </c>
      <c r="C938" s="34" t="str">
        <f>TEXT(Metas_Diarias[[#This Row],[data]],"dddd")</f>
        <v>segunda-feira</v>
      </c>
      <c r="D938" s="33">
        <v>5</v>
      </c>
      <c r="E938" s="33">
        <v>5</v>
      </c>
      <c r="F938" s="18"/>
      <c r="G938" s="35">
        <f>WEEKDAY(Metas_Diarias[[#This Row],[data]])</f>
        <v>2</v>
      </c>
      <c r="H938" s="35">
        <f>IF(Metas_Diarias[[#This Row],[dias_da_demana]]=1,"domingo",IF(Metas_Diarias[[#This Row],[dias_da_demana]]=7,0.5,1))</f>
        <v>1</v>
      </c>
      <c r="I938" s="35">
        <f>_xlfn.XLOOKUP(Metas_Diarias[[#This Row],[data]],Feriados[Data],Feriados[Feriado],1)</f>
        <v>1</v>
      </c>
      <c r="J938" s="33" cm="1">
        <f t="array" aca="1" ref="J938" ca="1">SUMPRODUCT(IF((NOT(ISERROR(MATCH(ROW(INDIRECT(DATE(YEAR(B938),MONTH(B938),1)&amp;":"&amp;DATE(YEAR(B938),MONTH(B938)+1,0))),Feriados[Data],0))))=FALSE,
IF(WEEKDAY(ROW(INDIRECT(DATE(YEAR(B938),MONTH(B938),1)&amp;":"&amp;DATE(YEAR(B938),MONTH(B938)+1,0))),2)&lt;=5,1,IF(WEEKDAY(ROW(INDIRECT(DATE(YEAR(B938),MONTH(B938),1)&amp;":"&amp;DATE(YEAR(B938),MONTH(B938)+1,0))),2)=6,0.5,0)),0))</f>
        <v>25</v>
      </c>
      <c r="K938" s="22" cm="1">
        <f t="array" ref="K938">_xlfn.XLOOKUP(1,((Metas_Diarias[[#This Row],[tipo_equipe_id]]=Metas[equipe])*(Metas_Diarias[[#This Row],[data]]&gt;Metas[data_inicio])*(Metas_Diarias[[#This Row],[data]]&lt;Metas[data_fim])),Metas[meta_mensal],0)</f>
        <v>65000</v>
      </c>
      <c r="L938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39" spans="2:12" x14ac:dyDescent="0.3">
      <c r="B939" s="34">
        <v>45860</v>
      </c>
      <c r="C939" s="34" t="str">
        <f>TEXT(Metas_Diarias[[#This Row],[data]],"dddd")</f>
        <v>terça-feira</v>
      </c>
      <c r="D939" s="33">
        <v>5</v>
      </c>
      <c r="E939" s="33">
        <v>5</v>
      </c>
      <c r="F939" s="18"/>
      <c r="G939" s="35">
        <f>WEEKDAY(Metas_Diarias[[#This Row],[data]])</f>
        <v>3</v>
      </c>
      <c r="H939" s="35">
        <f>IF(Metas_Diarias[[#This Row],[dias_da_demana]]=1,"domingo",IF(Metas_Diarias[[#This Row],[dias_da_demana]]=7,0.5,1))</f>
        <v>1</v>
      </c>
      <c r="I939" s="35">
        <f>_xlfn.XLOOKUP(Metas_Diarias[[#This Row],[data]],Feriados[Data],Feriados[Feriado],1)</f>
        <v>1</v>
      </c>
      <c r="J939" s="33" cm="1">
        <f t="array" aca="1" ref="J939" ca="1">SUMPRODUCT(IF((NOT(ISERROR(MATCH(ROW(INDIRECT(DATE(YEAR(B939),MONTH(B939),1)&amp;":"&amp;DATE(YEAR(B939),MONTH(B939)+1,0))),Feriados[Data],0))))=FALSE,
IF(WEEKDAY(ROW(INDIRECT(DATE(YEAR(B939),MONTH(B939),1)&amp;":"&amp;DATE(YEAR(B939),MONTH(B939)+1,0))),2)&lt;=5,1,IF(WEEKDAY(ROW(INDIRECT(DATE(YEAR(B939),MONTH(B939),1)&amp;":"&amp;DATE(YEAR(B939),MONTH(B939)+1,0))),2)=6,0.5,0)),0))</f>
        <v>25</v>
      </c>
      <c r="K939" s="22" cm="1">
        <f t="array" ref="K939">_xlfn.XLOOKUP(1,((Metas_Diarias[[#This Row],[tipo_equipe_id]]=Metas[equipe])*(Metas_Diarias[[#This Row],[data]]&gt;Metas[data_inicio])*(Metas_Diarias[[#This Row],[data]]&lt;Metas[data_fim])),Metas[meta_mensal],0)</f>
        <v>65000</v>
      </c>
      <c r="L939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40" spans="2:12" x14ac:dyDescent="0.3">
      <c r="B940" s="34">
        <v>45861</v>
      </c>
      <c r="C940" s="34" t="str">
        <f>TEXT(Metas_Diarias[[#This Row],[data]],"dddd")</f>
        <v>quarta-feira</v>
      </c>
      <c r="D940" s="33">
        <v>5</v>
      </c>
      <c r="E940" s="33">
        <v>5</v>
      </c>
      <c r="F940" s="18"/>
      <c r="G940" s="35">
        <f>WEEKDAY(Metas_Diarias[[#This Row],[data]])</f>
        <v>4</v>
      </c>
      <c r="H940" s="35">
        <f>IF(Metas_Diarias[[#This Row],[dias_da_demana]]=1,"domingo",IF(Metas_Diarias[[#This Row],[dias_da_demana]]=7,0.5,1))</f>
        <v>1</v>
      </c>
      <c r="I940" s="35">
        <f>_xlfn.XLOOKUP(Metas_Diarias[[#This Row],[data]],Feriados[Data],Feriados[Feriado],1)</f>
        <v>1</v>
      </c>
      <c r="J940" s="33" cm="1">
        <f t="array" aca="1" ref="J940" ca="1">SUMPRODUCT(IF((NOT(ISERROR(MATCH(ROW(INDIRECT(DATE(YEAR(B940),MONTH(B940),1)&amp;":"&amp;DATE(YEAR(B940),MONTH(B940)+1,0))),Feriados[Data],0))))=FALSE,
IF(WEEKDAY(ROW(INDIRECT(DATE(YEAR(B940),MONTH(B940),1)&amp;":"&amp;DATE(YEAR(B940),MONTH(B940)+1,0))),2)&lt;=5,1,IF(WEEKDAY(ROW(INDIRECT(DATE(YEAR(B940),MONTH(B940),1)&amp;":"&amp;DATE(YEAR(B940),MONTH(B940)+1,0))),2)=6,0.5,0)),0))</f>
        <v>25</v>
      </c>
      <c r="K940" s="22" cm="1">
        <f t="array" ref="K940">_xlfn.XLOOKUP(1,((Metas_Diarias[[#This Row],[tipo_equipe_id]]=Metas[equipe])*(Metas_Diarias[[#This Row],[data]]&gt;Metas[data_inicio])*(Metas_Diarias[[#This Row],[data]]&lt;Metas[data_fim])),Metas[meta_mensal],0)</f>
        <v>65000</v>
      </c>
      <c r="L940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41" spans="2:12" x14ac:dyDescent="0.3">
      <c r="B941" s="34">
        <v>45862</v>
      </c>
      <c r="C941" s="34" t="str">
        <f>TEXT(Metas_Diarias[[#This Row],[data]],"dddd")</f>
        <v>quinta-feira</v>
      </c>
      <c r="D941" s="33">
        <v>5</v>
      </c>
      <c r="E941" s="33">
        <v>5</v>
      </c>
      <c r="F941" s="18"/>
      <c r="G941" s="35">
        <f>WEEKDAY(Metas_Diarias[[#This Row],[data]])</f>
        <v>5</v>
      </c>
      <c r="H941" s="35">
        <f>IF(Metas_Diarias[[#This Row],[dias_da_demana]]=1,"domingo",IF(Metas_Diarias[[#This Row],[dias_da_demana]]=7,0.5,1))</f>
        <v>1</v>
      </c>
      <c r="I941" s="35">
        <f>_xlfn.XLOOKUP(Metas_Diarias[[#This Row],[data]],Feriados[Data],Feriados[Feriado],1)</f>
        <v>1</v>
      </c>
      <c r="J941" s="33" cm="1">
        <f t="array" aca="1" ref="J941" ca="1">SUMPRODUCT(IF((NOT(ISERROR(MATCH(ROW(INDIRECT(DATE(YEAR(B941),MONTH(B941),1)&amp;":"&amp;DATE(YEAR(B941),MONTH(B941)+1,0))),Feriados[Data],0))))=FALSE,
IF(WEEKDAY(ROW(INDIRECT(DATE(YEAR(B941),MONTH(B941),1)&amp;":"&amp;DATE(YEAR(B941),MONTH(B941)+1,0))),2)&lt;=5,1,IF(WEEKDAY(ROW(INDIRECT(DATE(YEAR(B941),MONTH(B941),1)&amp;":"&amp;DATE(YEAR(B941),MONTH(B941)+1,0))),2)=6,0.5,0)),0))</f>
        <v>25</v>
      </c>
      <c r="K941" s="22" cm="1">
        <f t="array" ref="K941">_xlfn.XLOOKUP(1,((Metas_Diarias[[#This Row],[tipo_equipe_id]]=Metas[equipe])*(Metas_Diarias[[#This Row],[data]]&gt;Metas[data_inicio])*(Metas_Diarias[[#This Row],[data]]&lt;Metas[data_fim])),Metas[meta_mensal],0)</f>
        <v>65000</v>
      </c>
      <c r="L941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42" spans="2:12" x14ac:dyDescent="0.3">
      <c r="B942" s="34">
        <v>45863</v>
      </c>
      <c r="C942" s="34" t="str">
        <f>TEXT(Metas_Diarias[[#This Row],[data]],"dddd")</f>
        <v>sexta-feira</v>
      </c>
      <c r="D942" s="33">
        <v>5</v>
      </c>
      <c r="E942" s="33">
        <v>5</v>
      </c>
      <c r="F942" s="18"/>
      <c r="G942" s="35">
        <f>WEEKDAY(Metas_Diarias[[#This Row],[data]])</f>
        <v>6</v>
      </c>
      <c r="H942" s="35">
        <f>IF(Metas_Diarias[[#This Row],[dias_da_demana]]=1,"domingo",IF(Metas_Diarias[[#This Row],[dias_da_demana]]=7,0.5,1))</f>
        <v>1</v>
      </c>
      <c r="I942" s="35">
        <f>_xlfn.XLOOKUP(Metas_Diarias[[#This Row],[data]],Feriados[Data],Feriados[Feriado],1)</f>
        <v>1</v>
      </c>
      <c r="J942" s="33" cm="1">
        <f t="array" aca="1" ref="J942" ca="1">SUMPRODUCT(IF((NOT(ISERROR(MATCH(ROW(INDIRECT(DATE(YEAR(B942),MONTH(B942),1)&amp;":"&amp;DATE(YEAR(B942),MONTH(B942)+1,0))),Feriados[Data],0))))=FALSE,
IF(WEEKDAY(ROW(INDIRECT(DATE(YEAR(B942),MONTH(B942),1)&amp;":"&amp;DATE(YEAR(B942),MONTH(B942)+1,0))),2)&lt;=5,1,IF(WEEKDAY(ROW(INDIRECT(DATE(YEAR(B942),MONTH(B942),1)&amp;":"&amp;DATE(YEAR(B942),MONTH(B942)+1,0))),2)=6,0.5,0)),0))</f>
        <v>25</v>
      </c>
      <c r="K942" s="22" cm="1">
        <f t="array" ref="K942">_xlfn.XLOOKUP(1,((Metas_Diarias[[#This Row],[tipo_equipe_id]]=Metas[equipe])*(Metas_Diarias[[#This Row],[data]]&gt;Metas[data_inicio])*(Metas_Diarias[[#This Row],[data]]&lt;Metas[data_fim])),Metas[meta_mensal],0)</f>
        <v>65000</v>
      </c>
      <c r="L942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43" spans="2:12" x14ac:dyDescent="0.3">
      <c r="B943" s="34">
        <v>45864</v>
      </c>
      <c r="C943" s="34" t="str">
        <f>TEXT(Metas_Diarias[[#This Row],[data]],"dddd")</f>
        <v>sábado</v>
      </c>
      <c r="D943" s="33">
        <v>5</v>
      </c>
      <c r="E943" s="33">
        <v>5</v>
      </c>
      <c r="F943" s="18"/>
      <c r="G943" s="35">
        <f>WEEKDAY(Metas_Diarias[[#This Row],[data]])</f>
        <v>7</v>
      </c>
      <c r="H943" s="35">
        <f>IF(Metas_Diarias[[#This Row],[dias_da_demana]]=1,"domingo",IF(Metas_Diarias[[#This Row],[dias_da_demana]]=7,0.5,1))</f>
        <v>0.5</v>
      </c>
      <c r="I943" s="35">
        <f>_xlfn.XLOOKUP(Metas_Diarias[[#This Row],[data]],Feriados[Data],Feriados[Feriado],1)</f>
        <v>1</v>
      </c>
      <c r="J943" s="33" cm="1">
        <f t="array" aca="1" ref="J943" ca="1">SUMPRODUCT(IF((NOT(ISERROR(MATCH(ROW(INDIRECT(DATE(YEAR(B943),MONTH(B943),1)&amp;":"&amp;DATE(YEAR(B943),MONTH(B943)+1,0))),Feriados[Data],0))))=FALSE,
IF(WEEKDAY(ROW(INDIRECT(DATE(YEAR(B943),MONTH(B943),1)&amp;":"&amp;DATE(YEAR(B943),MONTH(B943)+1,0))),2)&lt;=5,1,IF(WEEKDAY(ROW(INDIRECT(DATE(YEAR(B943),MONTH(B943),1)&amp;":"&amp;DATE(YEAR(B943),MONTH(B943)+1,0))),2)=6,0.5,0)),0))</f>
        <v>25</v>
      </c>
      <c r="K943" s="22" cm="1">
        <f t="array" ref="K943">_xlfn.XLOOKUP(1,((Metas_Diarias[[#This Row],[tipo_equipe_id]]=Metas[equipe])*(Metas_Diarias[[#This Row],[data]]&gt;Metas[data_inicio])*(Metas_Diarias[[#This Row],[data]]&lt;Metas[data_fim])),Metas[meta_mensal],0)</f>
        <v>65000</v>
      </c>
      <c r="L943" s="24">
        <f ca="1">Metas_Diarias[[#This Row],[meta_mensal]]*IF(Metas_Diarias[[#This Row],[semana]]="domingo",0,Metas_Diarias[[#This Row],[semana]])*IF(Metas_Diarias[[#This Row],[feriado]]&lt;&gt;1,0,1)/Metas_Diarias[[#This Row],[dias_úteis_Mês]]</f>
        <v>1300</v>
      </c>
    </row>
    <row r="944" spans="2:12" x14ac:dyDescent="0.3">
      <c r="B944" s="34">
        <v>45865</v>
      </c>
      <c r="C944" s="34" t="str">
        <f>TEXT(Metas_Diarias[[#This Row],[data]],"dddd")</f>
        <v>domingo</v>
      </c>
      <c r="D944" s="33">
        <v>5</v>
      </c>
      <c r="E944" s="33">
        <v>5</v>
      </c>
      <c r="F944" s="18"/>
      <c r="G944" s="35">
        <f>WEEKDAY(Metas_Diarias[[#This Row],[data]])</f>
        <v>1</v>
      </c>
      <c r="H944" s="35" t="str">
        <f>IF(Metas_Diarias[[#This Row],[dias_da_demana]]=1,"domingo",IF(Metas_Diarias[[#This Row],[dias_da_demana]]=7,0.5,1))</f>
        <v>domingo</v>
      </c>
      <c r="I944" s="35">
        <f>_xlfn.XLOOKUP(Metas_Diarias[[#This Row],[data]],Feriados[Data],Feriados[Feriado],1)</f>
        <v>1</v>
      </c>
      <c r="J944" s="33" cm="1">
        <f t="array" aca="1" ref="J944" ca="1">SUMPRODUCT(IF((NOT(ISERROR(MATCH(ROW(INDIRECT(DATE(YEAR(B944),MONTH(B944),1)&amp;":"&amp;DATE(YEAR(B944),MONTH(B944)+1,0))),Feriados[Data],0))))=FALSE,
IF(WEEKDAY(ROW(INDIRECT(DATE(YEAR(B944),MONTH(B944),1)&amp;":"&amp;DATE(YEAR(B944),MONTH(B944)+1,0))),2)&lt;=5,1,IF(WEEKDAY(ROW(INDIRECT(DATE(YEAR(B944),MONTH(B944),1)&amp;":"&amp;DATE(YEAR(B944),MONTH(B944)+1,0))),2)=6,0.5,0)),0))</f>
        <v>25</v>
      </c>
      <c r="K944" s="22" cm="1">
        <f t="array" ref="K944">_xlfn.XLOOKUP(1,((Metas_Diarias[[#This Row],[tipo_equipe_id]]=Metas[equipe])*(Metas_Diarias[[#This Row],[data]]&gt;Metas[data_inicio])*(Metas_Diarias[[#This Row],[data]]&lt;Metas[data_fim])),Metas[meta_mensal],0)</f>
        <v>65000</v>
      </c>
      <c r="L94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45" spans="2:12" x14ac:dyDescent="0.3">
      <c r="B945" s="34">
        <v>45866</v>
      </c>
      <c r="C945" s="34" t="str">
        <f>TEXT(Metas_Diarias[[#This Row],[data]],"dddd")</f>
        <v>segunda-feira</v>
      </c>
      <c r="D945" s="33">
        <v>5</v>
      </c>
      <c r="E945" s="33">
        <v>5</v>
      </c>
      <c r="F945" s="18"/>
      <c r="G945" s="35">
        <f>WEEKDAY(Metas_Diarias[[#This Row],[data]])</f>
        <v>2</v>
      </c>
      <c r="H945" s="35">
        <f>IF(Metas_Diarias[[#This Row],[dias_da_demana]]=1,"domingo",IF(Metas_Diarias[[#This Row],[dias_da_demana]]=7,0.5,1))</f>
        <v>1</v>
      </c>
      <c r="I945" s="35">
        <f>_xlfn.XLOOKUP(Metas_Diarias[[#This Row],[data]],Feriados[Data],Feriados[Feriado],1)</f>
        <v>1</v>
      </c>
      <c r="J945" s="33" cm="1">
        <f t="array" aca="1" ref="J945" ca="1">SUMPRODUCT(IF((NOT(ISERROR(MATCH(ROW(INDIRECT(DATE(YEAR(B945),MONTH(B945),1)&amp;":"&amp;DATE(YEAR(B945),MONTH(B945)+1,0))),Feriados[Data],0))))=FALSE,
IF(WEEKDAY(ROW(INDIRECT(DATE(YEAR(B945),MONTH(B945),1)&amp;":"&amp;DATE(YEAR(B945),MONTH(B945)+1,0))),2)&lt;=5,1,IF(WEEKDAY(ROW(INDIRECT(DATE(YEAR(B945),MONTH(B945),1)&amp;":"&amp;DATE(YEAR(B945),MONTH(B945)+1,0))),2)=6,0.5,0)),0))</f>
        <v>25</v>
      </c>
      <c r="K945" s="22" cm="1">
        <f t="array" ref="K945">_xlfn.XLOOKUP(1,((Metas_Diarias[[#This Row],[tipo_equipe_id]]=Metas[equipe])*(Metas_Diarias[[#This Row],[data]]&gt;Metas[data_inicio])*(Metas_Diarias[[#This Row],[data]]&lt;Metas[data_fim])),Metas[meta_mensal],0)</f>
        <v>65000</v>
      </c>
      <c r="L945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46" spans="2:12" x14ac:dyDescent="0.3">
      <c r="B946" s="34">
        <v>45867</v>
      </c>
      <c r="C946" s="34" t="str">
        <f>TEXT(Metas_Diarias[[#This Row],[data]],"dddd")</f>
        <v>terça-feira</v>
      </c>
      <c r="D946" s="33">
        <v>5</v>
      </c>
      <c r="E946" s="33">
        <v>5</v>
      </c>
      <c r="F946" s="18"/>
      <c r="G946" s="35">
        <f>WEEKDAY(Metas_Diarias[[#This Row],[data]])</f>
        <v>3</v>
      </c>
      <c r="H946" s="35">
        <f>IF(Metas_Diarias[[#This Row],[dias_da_demana]]=1,"domingo",IF(Metas_Diarias[[#This Row],[dias_da_demana]]=7,0.5,1))</f>
        <v>1</v>
      </c>
      <c r="I946" s="35">
        <f>_xlfn.XLOOKUP(Metas_Diarias[[#This Row],[data]],Feriados[Data],Feriados[Feriado],1)</f>
        <v>1</v>
      </c>
      <c r="J946" s="33" cm="1">
        <f t="array" aca="1" ref="J946" ca="1">SUMPRODUCT(IF((NOT(ISERROR(MATCH(ROW(INDIRECT(DATE(YEAR(B946),MONTH(B946),1)&amp;":"&amp;DATE(YEAR(B946),MONTH(B946)+1,0))),Feriados[Data],0))))=FALSE,
IF(WEEKDAY(ROW(INDIRECT(DATE(YEAR(B946),MONTH(B946),1)&amp;":"&amp;DATE(YEAR(B946),MONTH(B946)+1,0))),2)&lt;=5,1,IF(WEEKDAY(ROW(INDIRECT(DATE(YEAR(B946),MONTH(B946),1)&amp;":"&amp;DATE(YEAR(B946),MONTH(B946)+1,0))),2)=6,0.5,0)),0))</f>
        <v>25</v>
      </c>
      <c r="K946" s="22" cm="1">
        <f t="array" ref="K946">_xlfn.XLOOKUP(1,((Metas_Diarias[[#This Row],[tipo_equipe_id]]=Metas[equipe])*(Metas_Diarias[[#This Row],[data]]&gt;Metas[data_inicio])*(Metas_Diarias[[#This Row],[data]]&lt;Metas[data_fim])),Metas[meta_mensal],0)</f>
        <v>65000</v>
      </c>
      <c r="L946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47" spans="2:12" x14ac:dyDescent="0.3">
      <c r="B947" s="34">
        <v>45868</v>
      </c>
      <c r="C947" s="34" t="str">
        <f>TEXT(Metas_Diarias[[#This Row],[data]],"dddd")</f>
        <v>quarta-feira</v>
      </c>
      <c r="D947" s="33">
        <v>5</v>
      </c>
      <c r="E947" s="33">
        <v>5</v>
      </c>
      <c r="F947" s="18"/>
      <c r="G947" s="35">
        <f>WEEKDAY(Metas_Diarias[[#This Row],[data]])</f>
        <v>4</v>
      </c>
      <c r="H947" s="35">
        <f>IF(Metas_Diarias[[#This Row],[dias_da_demana]]=1,"domingo",IF(Metas_Diarias[[#This Row],[dias_da_demana]]=7,0.5,1))</f>
        <v>1</v>
      </c>
      <c r="I947" s="35">
        <f>_xlfn.XLOOKUP(Metas_Diarias[[#This Row],[data]],Feriados[Data],Feriados[Feriado],1)</f>
        <v>1</v>
      </c>
      <c r="J947" s="33" cm="1">
        <f t="array" aca="1" ref="J947" ca="1">SUMPRODUCT(IF((NOT(ISERROR(MATCH(ROW(INDIRECT(DATE(YEAR(B947),MONTH(B947),1)&amp;":"&amp;DATE(YEAR(B947),MONTH(B947)+1,0))),Feriados[Data],0))))=FALSE,
IF(WEEKDAY(ROW(INDIRECT(DATE(YEAR(B947),MONTH(B947),1)&amp;":"&amp;DATE(YEAR(B947),MONTH(B947)+1,0))),2)&lt;=5,1,IF(WEEKDAY(ROW(INDIRECT(DATE(YEAR(B947),MONTH(B947),1)&amp;":"&amp;DATE(YEAR(B947),MONTH(B947)+1,0))),2)=6,0.5,0)),0))</f>
        <v>25</v>
      </c>
      <c r="K947" s="22" cm="1">
        <f t="array" ref="K947">_xlfn.XLOOKUP(1,((Metas_Diarias[[#This Row],[tipo_equipe_id]]=Metas[equipe])*(Metas_Diarias[[#This Row],[data]]&gt;Metas[data_inicio])*(Metas_Diarias[[#This Row],[data]]&lt;Metas[data_fim])),Metas[meta_mensal],0)</f>
        <v>65000</v>
      </c>
      <c r="L947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48" spans="2:12" x14ac:dyDescent="0.3">
      <c r="B948" s="34">
        <v>45869</v>
      </c>
      <c r="C948" s="34" t="str">
        <f>TEXT(Metas_Diarias[[#This Row],[data]],"dddd")</f>
        <v>quinta-feira</v>
      </c>
      <c r="D948" s="33">
        <v>5</v>
      </c>
      <c r="E948" s="33">
        <v>5</v>
      </c>
      <c r="F948" s="18"/>
      <c r="G948" s="35">
        <f>WEEKDAY(Metas_Diarias[[#This Row],[data]])</f>
        <v>5</v>
      </c>
      <c r="H948" s="35">
        <f>IF(Metas_Diarias[[#This Row],[dias_da_demana]]=1,"domingo",IF(Metas_Diarias[[#This Row],[dias_da_demana]]=7,0.5,1))</f>
        <v>1</v>
      </c>
      <c r="I948" s="35">
        <f>_xlfn.XLOOKUP(Metas_Diarias[[#This Row],[data]],Feriados[Data],Feriados[Feriado],1)</f>
        <v>1</v>
      </c>
      <c r="J948" s="33" cm="1">
        <f t="array" aca="1" ref="J948" ca="1">SUMPRODUCT(IF((NOT(ISERROR(MATCH(ROW(INDIRECT(DATE(YEAR(B948),MONTH(B948),1)&amp;":"&amp;DATE(YEAR(B948),MONTH(B948)+1,0))),Feriados[Data],0))))=FALSE,
IF(WEEKDAY(ROW(INDIRECT(DATE(YEAR(B948),MONTH(B948),1)&amp;":"&amp;DATE(YEAR(B948),MONTH(B948)+1,0))),2)&lt;=5,1,IF(WEEKDAY(ROW(INDIRECT(DATE(YEAR(B948),MONTH(B948),1)&amp;":"&amp;DATE(YEAR(B948),MONTH(B948)+1,0))),2)=6,0.5,0)),0))</f>
        <v>25</v>
      </c>
      <c r="K948" s="22" cm="1">
        <f t="array" ref="K948">_xlfn.XLOOKUP(1,((Metas_Diarias[[#This Row],[tipo_equipe_id]]=Metas[equipe])*(Metas_Diarias[[#This Row],[data]]&gt;Metas[data_inicio])*(Metas_Diarias[[#This Row],[data]]&lt;Metas[data_fim])),Metas[meta_mensal],0)</f>
        <v>65000</v>
      </c>
      <c r="L948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949" spans="2:12" x14ac:dyDescent="0.3">
      <c r="B949" s="34">
        <v>45870</v>
      </c>
      <c r="C949" s="34" t="str">
        <f>TEXT(Metas_Diarias[[#This Row],[data]],"dddd")</f>
        <v>sexta-feira</v>
      </c>
      <c r="D949" s="33">
        <v>5</v>
      </c>
      <c r="E949" s="33">
        <v>5</v>
      </c>
      <c r="F949" s="18"/>
      <c r="G949" s="35">
        <f>WEEKDAY(Metas_Diarias[[#This Row],[data]])</f>
        <v>6</v>
      </c>
      <c r="H949" s="35">
        <f>IF(Metas_Diarias[[#This Row],[dias_da_demana]]=1,"domingo",IF(Metas_Diarias[[#This Row],[dias_da_demana]]=7,0.5,1))</f>
        <v>1</v>
      </c>
      <c r="I949" s="35">
        <f>_xlfn.XLOOKUP(Metas_Diarias[[#This Row],[data]],Feriados[Data],Feriados[Feriado],1)</f>
        <v>1</v>
      </c>
      <c r="J949" s="33" cm="1">
        <f t="array" aca="1" ref="J949" ca="1">SUMPRODUCT(IF((NOT(ISERROR(MATCH(ROW(INDIRECT(DATE(YEAR(B949),MONTH(B949),1)&amp;":"&amp;DATE(YEAR(B949),MONTH(B949)+1,0))),Feriados[Data],0))))=FALSE,
IF(WEEKDAY(ROW(INDIRECT(DATE(YEAR(B949),MONTH(B949),1)&amp;":"&amp;DATE(YEAR(B949),MONTH(B949)+1,0))),2)&lt;=5,1,IF(WEEKDAY(ROW(INDIRECT(DATE(YEAR(B949),MONTH(B949),1)&amp;":"&amp;DATE(YEAR(B949),MONTH(B949)+1,0))),2)=6,0.5,0)),0))</f>
        <v>23.5</v>
      </c>
      <c r="K949" s="22" cm="1">
        <f t="array" ref="K949">_xlfn.XLOOKUP(1,((Metas_Diarias[[#This Row],[tipo_equipe_id]]=Metas[equipe])*(Metas_Diarias[[#This Row],[data]]&gt;Metas[data_inicio])*(Metas_Diarias[[#This Row],[data]]&lt;Metas[data_fim])),Metas[meta_mensal],0)</f>
        <v>65000</v>
      </c>
      <c r="L949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50" spans="2:12" x14ac:dyDescent="0.3">
      <c r="B950" s="34">
        <v>45871</v>
      </c>
      <c r="C950" s="34" t="str">
        <f>TEXT(Metas_Diarias[[#This Row],[data]],"dddd")</f>
        <v>sábado</v>
      </c>
      <c r="D950" s="33">
        <v>5</v>
      </c>
      <c r="E950" s="33">
        <v>5</v>
      </c>
      <c r="F950" s="18"/>
      <c r="G950" s="35">
        <f>WEEKDAY(Metas_Diarias[[#This Row],[data]])</f>
        <v>7</v>
      </c>
      <c r="H950" s="35">
        <f>IF(Metas_Diarias[[#This Row],[dias_da_demana]]=1,"domingo",IF(Metas_Diarias[[#This Row],[dias_da_demana]]=7,0.5,1))</f>
        <v>0.5</v>
      </c>
      <c r="I950" s="35">
        <f>_xlfn.XLOOKUP(Metas_Diarias[[#This Row],[data]],Feriados[Data],Feriados[Feriado],1)</f>
        <v>1</v>
      </c>
      <c r="J950" s="33" cm="1">
        <f t="array" aca="1" ref="J950" ca="1">SUMPRODUCT(IF((NOT(ISERROR(MATCH(ROW(INDIRECT(DATE(YEAR(B950),MONTH(B950),1)&amp;":"&amp;DATE(YEAR(B950),MONTH(B950)+1,0))),Feriados[Data],0))))=FALSE,
IF(WEEKDAY(ROW(INDIRECT(DATE(YEAR(B950),MONTH(B950),1)&amp;":"&amp;DATE(YEAR(B950),MONTH(B950)+1,0))),2)&lt;=5,1,IF(WEEKDAY(ROW(INDIRECT(DATE(YEAR(B950),MONTH(B950),1)&amp;":"&amp;DATE(YEAR(B950),MONTH(B950)+1,0))),2)=6,0.5,0)),0))</f>
        <v>23.5</v>
      </c>
      <c r="K950" s="22" cm="1">
        <f t="array" ref="K950">_xlfn.XLOOKUP(1,((Metas_Diarias[[#This Row],[tipo_equipe_id]]=Metas[equipe])*(Metas_Diarias[[#This Row],[data]]&gt;Metas[data_inicio])*(Metas_Diarias[[#This Row],[data]]&lt;Metas[data_fim])),Metas[meta_mensal],0)</f>
        <v>65000</v>
      </c>
      <c r="L950" s="24">
        <f ca="1">Metas_Diarias[[#This Row],[meta_mensal]]*IF(Metas_Diarias[[#This Row],[semana]]="domingo",0,Metas_Diarias[[#This Row],[semana]])*IF(Metas_Diarias[[#This Row],[feriado]]&lt;&gt;1,0,1)/Metas_Diarias[[#This Row],[dias_úteis_Mês]]</f>
        <v>1382.9787234042553</v>
      </c>
    </row>
    <row r="951" spans="2:12" x14ac:dyDescent="0.3">
      <c r="B951" s="34">
        <v>45872</v>
      </c>
      <c r="C951" s="34" t="str">
        <f>TEXT(Metas_Diarias[[#This Row],[data]],"dddd")</f>
        <v>domingo</v>
      </c>
      <c r="D951" s="33">
        <v>5</v>
      </c>
      <c r="E951" s="33">
        <v>5</v>
      </c>
      <c r="F951" s="18"/>
      <c r="G951" s="35">
        <f>WEEKDAY(Metas_Diarias[[#This Row],[data]])</f>
        <v>1</v>
      </c>
      <c r="H951" s="35" t="str">
        <f>IF(Metas_Diarias[[#This Row],[dias_da_demana]]=1,"domingo",IF(Metas_Diarias[[#This Row],[dias_da_demana]]=7,0.5,1))</f>
        <v>domingo</v>
      </c>
      <c r="I951" s="35">
        <f>_xlfn.XLOOKUP(Metas_Diarias[[#This Row],[data]],Feriados[Data],Feriados[Feriado],1)</f>
        <v>1</v>
      </c>
      <c r="J951" s="33" cm="1">
        <f t="array" aca="1" ref="J951" ca="1">SUMPRODUCT(IF((NOT(ISERROR(MATCH(ROW(INDIRECT(DATE(YEAR(B951),MONTH(B951),1)&amp;":"&amp;DATE(YEAR(B951),MONTH(B951)+1,0))),Feriados[Data],0))))=FALSE,
IF(WEEKDAY(ROW(INDIRECT(DATE(YEAR(B951),MONTH(B951),1)&amp;":"&amp;DATE(YEAR(B951),MONTH(B951)+1,0))),2)&lt;=5,1,IF(WEEKDAY(ROW(INDIRECT(DATE(YEAR(B951),MONTH(B951),1)&amp;":"&amp;DATE(YEAR(B951),MONTH(B951)+1,0))),2)=6,0.5,0)),0))</f>
        <v>23.5</v>
      </c>
      <c r="K951" s="22" cm="1">
        <f t="array" ref="K951">_xlfn.XLOOKUP(1,((Metas_Diarias[[#This Row],[tipo_equipe_id]]=Metas[equipe])*(Metas_Diarias[[#This Row],[data]]&gt;Metas[data_inicio])*(Metas_Diarias[[#This Row],[data]]&lt;Metas[data_fim])),Metas[meta_mensal],0)</f>
        <v>65000</v>
      </c>
      <c r="L9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52" spans="2:12" x14ac:dyDescent="0.3">
      <c r="B952" s="34">
        <v>45873</v>
      </c>
      <c r="C952" s="34" t="str">
        <f>TEXT(Metas_Diarias[[#This Row],[data]],"dddd")</f>
        <v>segunda-feira</v>
      </c>
      <c r="D952" s="33">
        <v>5</v>
      </c>
      <c r="E952" s="33">
        <v>5</v>
      </c>
      <c r="F952" s="18"/>
      <c r="G952" s="35">
        <f>WEEKDAY(Metas_Diarias[[#This Row],[data]])</f>
        <v>2</v>
      </c>
      <c r="H952" s="35">
        <f>IF(Metas_Diarias[[#This Row],[dias_da_demana]]=1,"domingo",IF(Metas_Diarias[[#This Row],[dias_da_demana]]=7,0.5,1))</f>
        <v>1</v>
      </c>
      <c r="I952" s="35">
        <f>_xlfn.XLOOKUP(Metas_Diarias[[#This Row],[data]],Feriados[Data],Feriados[Feriado],1)</f>
        <v>1</v>
      </c>
      <c r="J952" s="33" cm="1">
        <f t="array" aca="1" ref="J952" ca="1">SUMPRODUCT(IF((NOT(ISERROR(MATCH(ROW(INDIRECT(DATE(YEAR(B952),MONTH(B952),1)&amp;":"&amp;DATE(YEAR(B952),MONTH(B952)+1,0))),Feriados[Data],0))))=FALSE,
IF(WEEKDAY(ROW(INDIRECT(DATE(YEAR(B952),MONTH(B952),1)&amp;":"&amp;DATE(YEAR(B952),MONTH(B952)+1,0))),2)&lt;=5,1,IF(WEEKDAY(ROW(INDIRECT(DATE(YEAR(B952),MONTH(B952),1)&amp;":"&amp;DATE(YEAR(B952),MONTH(B952)+1,0))),2)=6,0.5,0)),0))</f>
        <v>23.5</v>
      </c>
      <c r="K952" s="22" cm="1">
        <f t="array" ref="K952">_xlfn.XLOOKUP(1,((Metas_Diarias[[#This Row],[tipo_equipe_id]]=Metas[equipe])*(Metas_Diarias[[#This Row],[data]]&gt;Metas[data_inicio])*(Metas_Diarias[[#This Row],[data]]&lt;Metas[data_fim])),Metas[meta_mensal],0)</f>
        <v>65000</v>
      </c>
      <c r="L952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53" spans="2:12" x14ac:dyDescent="0.3">
      <c r="B953" s="34">
        <v>45874</v>
      </c>
      <c r="C953" s="34" t="str">
        <f>TEXT(Metas_Diarias[[#This Row],[data]],"dddd")</f>
        <v>terça-feira</v>
      </c>
      <c r="D953" s="33">
        <v>5</v>
      </c>
      <c r="E953" s="33">
        <v>5</v>
      </c>
      <c r="F953" s="18"/>
      <c r="G953" s="35">
        <f>WEEKDAY(Metas_Diarias[[#This Row],[data]])</f>
        <v>3</v>
      </c>
      <c r="H953" s="35">
        <f>IF(Metas_Diarias[[#This Row],[dias_da_demana]]=1,"domingo",IF(Metas_Diarias[[#This Row],[dias_da_demana]]=7,0.5,1))</f>
        <v>1</v>
      </c>
      <c r="I953" s="35">
        <f>_xlfn.XLOOKUP(Metas_Diarias[[#This Row],[data]],Feriados[Data],Feriados[Feriado],1)</f>
        <v>1</v>
      </c>
      <c r="J953" s="33" cm="1">
        <f t="array" aca="1" ref="J953" ca="1">SUMPRODUCT(IF((NOT(ISERROR(MATCH(ROW(INDIRECT(DATE(YEAR(B953),MONTH(B953),1)&amp;":"&amp;DATE(YEAR(B953),MONTH(B953)+1,0))),Feriados[Data],0))))=FALSE,
IF(WEEKDAY(ROW(INDIRECT(DATE(YEAR(B953),MONTH(B953),1)&amp;":"&amp;DATE(YEAR(B953),MONTH(B953)+1,0))),2)&lt;=5,1,IF(WEEKDAY(ROW(INDIRECT(DATE(YEAR(B953),MONTH(B953),1)&amp;":"&amp;DATE(YEAR(B953),MONTH(B953)+1,0))),2)=6,0.5,0)),0))</f>
        <v>23.5</v>
      </c>
      <c r="K953" s="22" cm="1">
        <f t="array" ref="K953">_xlfn.XLOOKUP(1,((Metas_Diarias[[#This Row],[tipo_equipe_id]]=Metas[equipe])*(Metas_Diarias[[#This Row],[data]]&gt;Metas[data_inicio])*(Metas_Diarias[[#This Row],[data]]&lt;Metas[data_fim])),Metas[meta_mensal],0)</f>
        <v>65000</v>
      </c>
      <c r="L953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54" spans="2:12" x14ac:dyDescent="0.3">
      <c r="B954" s="34">
        <v>45875</v>
      </c>
      <c r="C954" s="34" t="str">
        <f>TEXT(Metas_Diarias[[#This Row],[data]],"dddd")</f>
        <v>quarta-feira</v>
      </c>
      <c r="D954" s="33">
        <v>5</v>
      </c>
      <c r="E954" s="33">
        <v>5</v>
      </c>
      <c r="F954" s="18"/>
      <c r="G954" s="35">
        <f>WEEKDAY(Metas_Diarias[[#This Row],[data]])</f>
        <v>4</v>
      </c>
      <c r="H954" s="35">
        <f>IF(Metas_Diarias[[#This Row],[dias_da_demana]]=1,"domingo",IF(Metas_Diarias[[#This Row],[dias_da_demana]]=7,0.5,1))</f>
        <v>1</v>
      </c>
      <c r="I954" s="35">
        <f>_xlfn.XLOOKUP(Metas_Diarias[[#This Row],[data]],Feriados[Data],Feriados[Feriado],1)</f>
        <v>1</v>
      </c>
      <c r="J954" s="33" cm="1">
        <f t="array" aca="1" ref="J954" ca="1">SUMPRODUCT(IF((NOT(ISERROR(MATCH(ROW(INDIRECT(DATE(YEAR(B954),MONTH(B954),1)&amp;":"&amp;DATE(YEAR(B954),MONTH(B954)+1,0))),Feriados[Data],0))))=FALSE,
IF(WEEKDAY(ROW(INDIRECT(DATE(YEAR(B954),MONTH(B954),1)&amp;":"&amp;DATE(YEAR(B954),MONTH(B954)+1,0))),2)&lt;=5,1,IF(WEEKDAY(ROW(INDIRECT(DATE(YEAR(B954),MONTH(B954),1)&amp;":"&amp;DATE(YEAR(B954),MONTH(B954)+1,0))),2)=6,0.5,0)),0))</f>
        <v>23.5</v>
      </c>
      <c r="K954" s="22" cm="1">
        <f t="array" ref="K954">_xlfn.XLOOKUP(1,((Metas_Diarias[[#This Row],[tipo_equipe_id]]=Metas[equipe])*(Metas_Diarias[[#This Row],[data]]&gt;Metas[data_inicio])*(Metas_Diarias[[#This Row],[data]]&lt;Metas[data_fim])),Metas[meta_mensal],0)</f>
        <v>65000</v>
      </c>
      <c r="L954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55" spans="2:12" x14ac:dyDescent="0.3">
      <c r="B955" s="34">
        <v>45876</v>
      </c>
      <c r="C955" s="34" t="str">
        <f>TEXT(Metas_Diarias[[#This Row],[data]],"dddd")</f>
        <v>quinta-feira</v>
      </c>
      <c r="D955" s="33">
        <v>5</v>
      </c>
      <c r="E955" s="33">
        <v>5</v>
      </c>
      <c r="F955" s="18"/>
      <c r="G955" s="35">
        <f>WEEKDAY(Metas_Diarias[[#This Row],[data]])</f>
        <v>5</v>
      </c>
      <c r="H955" s="35">
        <f>IF(Metas_Diarias[[#This Row],[dias_da_demana]]=1,"domingo",IF(Metas_Diarias[[#This Row],[dias_da_demana]]=7,0.5,1))</f>
        <v>1</v>
      </c>
      <c r="I955" s="35">
        <f>_xlfn.XLOOKUP(Metas_Diarias[[#This Row],[data]],Feriados[Data],Feriados[Feriado],1)</f>
        <v>1</v>
      </c>
      <c r="J955" s="33" cm="1">
        <f t="array" aca="1" ref="J955" ca="1">SUMPRODUCT(IF((NOT(ISERROR(MATCH(ROW(INDIRECT(DATE(YEAR(B955),MONTH(B955),1)&amp;":"&amp;DATE(YEAR(B955),MONTH(B955)+1,0))),Feriados[Data],0))))=FALSE,
IF(WEEKDAY(ROW(INDIRECT(DATE(YEAR(B955),MONTH(B955),1)&amp;":"&amp;DATE(YEAR(B955),MONTH(B955)+1,0))),2)&lt;=5,1,IF(WEEKDAY(ROW(INDIRECT(DATE(YEAR(B955),MONTH(B955),1)&amp;":"&amp;DATE(YEAR(B955),MONTH(B955)+1,0))),2)=6,0.5,0)),0))</f>
        <v>23.5</v>
      </c>
      <c r="K955" s="22" cm="1">
        <f t="array" ref="K955">_xlfn.XLOOKUP(1,((Metas_Diarias[[#This Row],[tipo_equipe_id]]=Metas[equipe])*(Metas_Diarias[[#This Row],[data]]&gt;Metas[data_inicio])*(Metas_Diarias[[#This Row],[data]]&lt;Metas[data_fim])),Metas[meta_mensal],0)</f>
        <v>65000</v>
      </c>
      <c r="L955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56" spans="2:12" x14ac:dyDescent="0.3">
      <c r="B956" s="34">
        <v>45877</v>
      </c>
      <c r="C956" s="34" t="str">
        <f>TEXT(Metas_Diarias[[#This Row],[data]],"dddd")</f>
        <v>sexta-feira</v>
      </c>
      <c r="D956" s="33">
        <v>5</v>
      </c>
      <c r="E956" s="33">
        <v>5</v>
      </c>
      <c r="F956" s="18"/>
      <c r="G956" s="35">
        <f>WEEKDAY(Metas_Diarias[[#This Row],[data]])</f>
        <v>6</v>
      </c>
      <c r="H956" s="35">
        <f>IF(Metas_Diarias[[#This Row],[dias_da_demana]]=1,"domingo",IF(Metas_Diarias[[#This Row],[dias_da_demana]]=7,0.5,1))</f>
        <v>1</v>
      </c>
      <c r="I956" s="35">
        <f>_xlfn.XLOOKUP(Metas_Diarias[[#This Row],[data]],Feriados[Data],Feriados[Feriado],1)</f>
        <v>1</v>
      </c>
      <c r="J956" s="33" cm="1">
        <f t="array" aca="1" ref="J956" ca="1">SUMPRODUCT(IF((NOT(ISERROR(MATCH(ROW(INDIRECT(DATE(YEAR(B956),MONTH(B956),1)&amp;":"&amp;DATE(YEAR(B956),MONTH(B956)+1,0))),Feriados[Data],0))))=FALSE,
IF(WEEKDAY(ROW(INDIRECT(DATE(YEAR(B956),MONTH(B956),1)&amp;":"&amp;DATE(YEAR(B956),MONTH(B956)+1,0))),2)&lt;=5,1,IF(WEEKDAY(ROW(INDIRECT(DATE(YEAR(B956),MONTH(B956),1)&amp;":"&amp;DATE(YEAR(B956),MONTH(B956)+1,0))),2)=6,0.5,0)),0))</f>
        <v>23.5</v>
      </c>
      <c r="K956" s="22" cm="1">
        <f t="array" ref="K956">_xlfn.XLOOKUP(1,((Metas_Diarias[[#This Row],[tipo_equipe_id]]=Metas[equipe])*(Metas_Diarias[[#This Row],[data]]&gt;Metas[data_inicio])*(Metas_Diarias[[#This Row],[data]]&lt;Metas[data_fim])),Metas[meta_mensal],0)</f>
        <v>65000</v>
      </c>
      <c r="L956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57" spans="2:12" x14ac:dyDescent="0.3">
      <c r="B957" s="34">
        <v>45878</v>
      </c>
      <c r="C957" s="34" t="str">
        <f>TEXT(Metas_Diarias[[#This Row],[data]],"dddd")</f>
        <v>sábado</v>
      </c>
      <c r="D957" s="33">
        <v>5</v>
      </c>
      <c r="E957" s="33">
        <v>5</v>
      </c>
      <c r="F957" s="18"/>
      <c r="G957" s="35">
        <f>WEEKDAY(Metas_Diarias[[#This Row],[data]])</f>
        <v>7</v>
      </c>
      <c r="H957" s="35">
        <f>IF(Metas_Diarias[[#This Row],[dias_da_demana]]=1,"domingo",IF(Metas_Diarias[[#This Row],[dias_da_demana]]=7,0.5,1))</f>
        <v>0.5</v>
      </c>
      <c r="I957" s="35">
        <f>_xlfn.XLOOKUP(Metas_Diarias[[#This Row],[data]],Feriados[Data],Feriados[Feriado],1)</f>
        <v>1</v>
      </c>
      <c r="J957" s="33" cm="1">
        <f t="array" aca="1" ref="J957" ca="1">SUMPRODUCT(IF((NOT(ISERROR(MATCH(ROW(INDIRECT(DATE(YEAR(B957),MONTH(B957),1)&amp;":"&amp;DATE(YEAR(B957),MONTH(B957)+1,0))),Feriados[Data],0))))=FALSE,
IF(WEEKDAY(ROW(INDIRECT(DATE(YEAR(B957),MONTH(B957),1)&amp;":"&amp;DATE(YEAR(B957),MONTH(B957)+1,0))),2)&lt;=5,1,IF(WEEKDAY(ROW(INDIRECT(DATE(YEAR(B957),MONTH(B957),1)&amp;":"&amp;DATE(YEAR(B957),MONTH(B957)+1,0))),2)=6,0.5,0)),0))</f>
        <v>23.5</v>
      </c>
      <c r="K957" s="22" cm="1">
        <f t="array" ref="K957">_xlfn.XLOOKUP(1,((Metas_Diarias[[#This Row],[tipo_equipe_id]]=Metas[equipe])*(Metas_Diarias[[#This Row],[data]]&gt;Metas[data_inicio])*(Metas_Diarias[[#This Row],[data]]&lt;Metas[data_fim])),Metas[meta_mensal],0)</f>
        <v>65000</v>
      </c>
      <c r="L957" s="24">
        <f ca="1">Metas_Diarias[[#This Row],[meta_mensal]]*IF(Metas_Diarias[[#This Row],[semana]]="domingo",0,Metas_Diarias[[#This Row],[semana]])*IF(Metas_Diarias[[#This Row],[feriado]]&lt;&gt;1,0,1)/Metas_Diarias[[#This Row],[dias_úteis_Mês]]</f>
        <v>1382.9787234042553</v>
      </c>
    </row>
    <row r="958" spans="2:12" x14ac:dyDescent="0.3">
      <c r="B958" s="34">
        <v>45879</v>
      </c>
      <c r="C958" s="34" t="str">
        <f>TEXT(Metas_Diarias[[#This Row],[data]],"dddd")</f>
        <v>domingo</v>
      </c>
      <c r="D958" s="33">
        <v>5</v>
      </c>
      <c r="E958" s="33">
        <v>5</v>
      </c>
      <c r="F958" s="18"/>
      <c r="G958" s="35">
        <f>WEEKDAY(Metas_Diarias[[#This Row],[data]])</f>
        <v>1</v>
      </c>
      <c r="H958" s="35" t="str">
        <f>IF(Metas_Diarias[[#This Row],[dias_da_demana]]=1,"domingo",IF(Metas_Diarias[[#This Row],[dias_da_demana]]=7,0.5,1))</f>
        <v>domingo</v>
      </c>
      <c r="I958" s="35">
        <f>_xlfn.XLOOKUP(Metas_Diarias[[#This Row],[data]],Feriados[Data],Feriados[Feriado],1)</f>
        <v>1</v>
      </c>
      <c r="J958" s="33" cm="1">
        <f t="array" aca="1" ref="J958" ca="1">SUMPRODUCT(IF((NOT(ISERROR(MATCH(ROW(INDIRECT(DATE(YEAR(B958),MONTH(B958),1)&amp;":"&amp;DATE(YEAR(B958),MONTH(B958)+1,0))),Feriados[Data],0))))=FALSE,
IF(WEEKDAY(ROW(INDIRECT(DATE(YEAR(B958),MONTH(B958),1)&amp;":"&amp;DATE(YEAR(B958),MONTH(B958)+1,0))),2)&lt;=5,1,IF(WEEKDAY(ROW(INDIRECT(DATE(YEAR(B958),MONTH(B958),1)&amp;":"&amp;DATE(YEAR(B958),MONTH(B958)+1,0))),2)=6,0.5,0)),0))</f>
        <v>23.5</v>
      </c>
      <c r="K958" s="22" cm="1">
        <f t="array" ref="K958">_xlfn.XLOOKUP(1,((Metas_Diarias[[#This Row],[tipo_equipe_id]]=Metas[equipe])*(Metas_Diarias[[#This Row],[data]]&gt;Metas[data_inicio])*(Metas_Diarias[[#This Row],[data]]&lt;Metas[data_fim])),Metas[meta_mensal],0)</f>
        <v>65000</v>
      </c>
      <c r="L95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59" spans="2:12" x14ac:dyDescent="0.3">
      <c r="B959" s="34">
        <v>45880</v>
      </c>
      <c r="C959" s="34" t="str">
        <f>TEXT(Metas_Diarias[[#This Row],[data]],"dddd")</f>
        <v>segunda-feira</v>
      </c>
      <c r="D959" s="33">
        <v>5</v>
      </c>
      <c r="E959" s="33">
        <v>5</v>
      </c>
      <c r="F959" s="18"/>
      <c r="G959" s="35">
        <f>WEEKDAY(Metas_Diarias[[#This Row],[data]])</f>
        <v>2</v>
      </c>
      <c r="H959" s="35">
        <f>IF(Metas_Diarias[[#This Row],[dias_da_demana]]=1,"domingo",IF(Metas_Diarias[[#This Row],[dias_da_demana]]=7,0.5,1))</f>
        <v>1</v>
      </c>
      <c r="I959" s="35">
        <f>_xlfn.XLOOKUP(Metas_Diarias[[#This Row],[data]],Feriados[Data],Feriados[Feriado],1)</f>
        <v>1</v>
      </c>
      <c r="J959" s="33" cm="1">
        <f t="array" aca="1" ref="J959" ca="1">SUMPRODUCT(IF((NOT(ISERROR(MATCH(ROW(INDIRECT(DATE(YEAR(B959),MONTH(B959),1)&amp;":"&amp;DATE(YEAR(B959),MONTH(B959)+1,0))),Feriados[Data],0))))=FALSE,
IF(WEEKDAY(ROW(INDIRECT(DATE(YEAR(B959),MONTH(B959),1)&amp;":"&amp;DATE(YEAR(B959),MONTH(B959)+1,0))),2)&lt;=5,1,IF(WEEKDAY(ROW(INDIRECT(DATE(YEAR(B959),MONTH(B959),1)&amp;":"&amp;DATE(YEAR(B959),MONTH(B959)+1,0))),2)=6,0.5,0)),0))</f>
        <v>23.5</v>
      </c>
      <c r="K959" s="22" cm="1">
        <f t="array" ref="K959">_xlfn.XLOOKUP(1,((Metas_Diarias[[#This Row],[tipo_equipe_id]]=Metas[equipe])*(Metas_Diarias[[#This Row],[data]]&gt;Metas[data_inicio])*(Metas_Diarias[[#This Row],[data]]&lt;Metas[data_fim])),Metas[meta_mensal],0)</f>
        <v>65000</v>
      </c>
      <c r="L959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60" spans="2:12" x14ac:dyDescent="0.3">
      <c r="B960" s="34">
        <v>45881</v>
      </c>
      <c r="C960" s="34" t="str">
        <f>TEXT(Metas_Diarias[[#This Row],[data]],"dddd")</f>
        <v>terça-feira</v>
      </c>
      <c r="D960" s="33">
        <v>5</v>
      </c>
      <c r="E960" s="33">
        <v>5</v>
      </c>
      <c r="F960" s="18"/>
      <c r="G960" s="35">
        <f>WEEKDAY(Metas_Diarias[[#This Row],[data]])</f>
        <v>3</v>
      </c>
      <c r="H960" s="35">
        <f>IF(Metas_Diarias[[#This Row],[dias_da_demana]]=1,"domingo",IF(Metas_Diarias[[#This Row],[dias_da_demana]]=7,0.5,1))</f>
        <v>1</v>
      </c>
      <c r="I960" s="35">
        <f>_xlfn.XLOOKUP(Metas_Diarias[[#This Row],[data]],Feriados[Data],Feriados[Feriado],1)</f>
        <v>1</v>
      </c>
      <c r="J960" s="33" cm="1">
        <f t="array" aca="1" ref="J960" ca="1">SUMPRODUCT(IF((NOT(ISERROR(MATCH(ROW(INDIRECT(DATE(YEAR(B960),MONTH(B960),1)&amp;":"&amp;DATE(YEAR(B960),MONTH(B960)+1,0))),Feriados[Data],0))))=FALSE,
IF(WEEKDAY(ROW(INDIRECT(DATE(YEAR(B960),MONTH(B960),1)&amp;":"&amp;DATE(YEAR(B960),MONTH(B960)+1,0))),2)&lt;=5,1,IF(WEEKDAY(ROW(INDIRECT(DATE(YEAR(B960),MONTH(B960),1)&amp;":"&amp;DATE(YEAR(B960),MONTH(B960)+1,0))),2)=6,0.5,0)),0))</f>
        <v>23.5</v>
      </c>
      <c r="K960" s="22" cm="1">
        <f t="array" ref="K960">_xlfn.XLOOKUP(1,((Metas_Diarias[[#This Row],[tipo_equipe_id]]=Metas[equipe])*(Metas_Diarias[[#This Row],[data]]&gt;Metas[data_inicio])*(Metas_Diarias[[#This Row],[data]]&lt;Metas[data_fim])),Metas[meta_mensal],0)</f>
        <v>65000</v>
      </c>
      <c r="L960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61" spans="2:12" x14ac:dyDescent="0.3">
      <c r="B961" s="34">
        <v>45882</v>
      </c>
      <c r="C961" s="34" t="str">
        <f>TEXT(Metas_Diarias[[#This Row],[data]],"dddd")</f>
        <v>quarta-feira</v>
      </c>
      <c r="D961" s="33">
        <v>5</v>
      </c>
      <c r="E961" s="33">
        <v>5</v>
      </c>
      <c r="F961" s="18"/>
      <c r="G961" s="35">
        <f>WEEKDAY(Metas_Diarias[[#This Row],[data]])</f>
        <v>4</v>
      </c>
      <c r="H961" s="35">
        <f>IF(Metas_Diarias[[#This Row],[dias_da_demana]]=1,"domingo",IF(Metas_Diarias[[#This Row],[dias_da_demana]]=7,0.5,1))</f>
        <v>1</v>
      </c>
      <c r="I961" s="35">
        <f>_xlfn.XLOOKUP(Metas_Diarias[[#This Row],[data]],Feriados[Data],Feriados[Feriado],1)</f>
        <v>1</v>
      </c>
      <c r="J961" s="33" cm="1">
        <f t="array" aca="1" ref="J961" ca="1">SUMPRODUCT(IF((NOT(ISERROR(MATCH(ROW(INDIRECT(DATE(YEAR(B961),MONTH(B961),1)&amp;":"&amp;DATE(YEAR(B961),MONTH(B961)+1,0))),Feriados[Data],0))))=FALSE,
IF(WEEKDAY(ROW(INDIRECT(DATE(YEAR(B961),MONTH(B961),1)&amp;":"&amp;DATE(YEAR(B961),MONTH(B961)+1,0))),2)&lt;=5,1,IF(WEEKDAY(ROW(INDIRECT(DATE(YEAR(B961),MONTH(B961),1)&amp;":"&amp;DATE(YEAR(B961),MONTH(B961)+1,0))),2)=6,0.5,0)),0))</f>
        <v>23.5</v>
      </c>
      <c r="K961" s="22" cm="1">
        <f t="array" ref="K961">_xlfn.XLOOKUP(1,((Metas_Diarias[[#This Row],[tipo_equipe_id]]=Metas[equipe])*(Metas_Diarias[[#This Row],[data]]&gt;Metas[data_inicio])*(Metas_Diarias[[#This Row],[data]]&lt;Metas[data_fim])),Metas[meta_mensal],0)</f>
        <v>65000</v>
      </c>
      <c r="L961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62" spans="2:12" x14ac:dyDescent="0.3">
      <c r="B962" s="34">
        <v>45883</v>
      </c>
      <c r="C962" s="34" t="str">
        <f>TEXT(Metas_Diarias[[#This Row],[data]],"dddd")</f>
        <v>quinta-feira</v>
      </c>
      <c r="D962" s="33">
        <v>5</v>
      </c>
      <c r="E962" s="33">
        <v>5</v>
      </c>
      <c r="F962" s="18"/>
      <c r="G962" s="35">
        <f>WEEKDAY(Metas_Diarias[[#This Row],[data]])</f>
        <v>5</v>
      </c>
      <c r="H962" s="35">
        <f>IF(Metas_Diarias[[#This Row],[dias_da_demana]]=1,"domingo",IF(Metas_Diarias[[#This Row],[dias_da_demana]]=7,0.5,1))</f>
        <v>1</v>
      </c>
      <c r="I962" s="35">
        <f>_xlfn.XLOOKUP(Metas_Diarias[[#This Row],[data]],Feriados[Data],Feriados[Feriado],1)</f>
        <v>1</v>
      </c>
      <c r="J962" s="33" cm="1">
        <f t="array" aca="1" ref="J962" ca="1">SUMPRODUCT(IF((NOT(ISERROR(MATCH(ROW(INDIRECT(DATE(YEAR(B962),MONTH(B962),1)&amp;":"&amp;DATE(YEAR(B962),MONTH(B962)+1,0))),Feriados[Data],0))))=FALSE,
IF(WEEKDAY(ROW(INDIRECT(DATE(YEAR(B962),MONTH(B962),1)&amp;":"&amp;DATE(YEAR(B962),MONTH(B962)+1,0))),2)&lt;=5,1,IF(WEEKDAY(ROW(INDIRECT(DATE(YEAR(B962),MONTH(B962),1)&amp;":"&amp;DATE(YEAR(B962),MONTH(B962)+1,0))),2)=6,0.5,0)),0))</f>
        <v>23.5</v>
      </c>
      <c r="K962" s="22" cm="1">
        <f t="array" ref="K962">_xlfn.XLOOKUP(1,((Metas_Diarias[[#This Row],[tipo_equipe_id]]=Metas[equipe])*(Metas_Diarias[[#This Row],[data]]&gt;Metas[data_inicio])*(Metas_Diarias[[#This Row],[data]]&lt;Metas[data_fim])),Metas[meta_mensal],0)</f>
        <v>65000</v>
      </c>
      <c r="L962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63" spans="2:12" x14ac:dyDescent="0.3">
      <c r="B963" s="34">
        <v>45884</v>
      </c>
      <c r="C963" s="34" t="str">
        <f>TEXT(Metas_Diarias[[#This Row],[data]],"dddd")</f>
        <v>sexta-feira</v>
      </c>
      <c r="D963" s="33">
        <v>5</v>
      </c>
      <c r="E963" s="33">
        <v>5</v>
      </c>
      <c r="F963" s="18"/>
      <c r="G963" s="35">
        <f>WEEKDAY(Metas_Diarias[[#This Row],[data]])</f>
        <v>6</v>
      </c>
      <c r="H963" s="35">
        <f>IF(Metas_Diarias[[#This Row],[dias_da_demana]]=1,"domingo",IF(Metas_Diarias[[#This Row],[dias_da_demana]]=7,0.5,1))</f>
        <v>1</v>
      </c>
      <c r="I963" s="35">
        <f>_xlfn.XLOOKUP(Metas_Diarias[[#This Row],[data]],Feriados[Data],Feriados[Feriado],1)</f>
        <v>1</v>
      </c>
      <c r="J963" s="33" cm="1">
        <f t="array" aca="1" ref="J963" ca="1">SUMPRODUCT(IF((NOT(ISERROR(MATCH(ROW(INDIRECT(DATE(YEAR(B963),MONTH(B963),1)&amp;":"&amp;DATE(YEAR(B963),MONTH(B963)+1,0))),Feriados[Data],0))))=FALSE,
IF(WEEKDAY(ROW(INDIRECT(DATE(YEAR(B963),MONTH(B963),1)&amp;":"&amp;DATE(YEAR(B963),MONTH(B963)+1,0))),2)&lt;=5,1,IF(WEEKDAY(ROW(INDIRECT(DATE(YEAR(B963),MONTH(B963),1)&amp;":"&amp;DATE(YEAR(B963),MONTH(B963)+1,0))),2)=6,0.5,0)),0))</f>
        <v>23.5</v>
      </c>
      <c r="K963" s="22" cm="1">
        <f t="array" ref="K963">_xlfn.XLOOKUP(1,((Metas_Diarias[[#This Row],[tipo_equipe_id]]=Metas[equipe])*(Metas_Diarias[[#This Row],[data]]&gt;Metas[data_inicio])*(Metas_Diarias[[#This Row],[data]]&lt;Metas[data_fim])),Metas[meta_mensal],0)</f>
        <v>65000</v>
      </c>
      <c r="L963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64" spans="2:12" x14ac:dyDescent="0.3">
      <c r="B964" s="34">
        <v>45885</v>
      </c>
      <c r="C964" s="34" t="str">
        <f>TEXT(Metas_Diarias[[#This Row],[data]],"dddd")</f>
        <v>sábado</v>
      </c>
      <c r="D964" s="33">
        <v>5</v>
      </c>
      <c r="E964" s="33">
        <v>5</v>
      </c>
      <c r="F964" s="18"/>
      <c r="G964" s="35">
        <f>WEEKDAY(Metas_Diarias[[#This Row],[data]])</f>
        <v>7</v>
      </c>
      <c r="H964" s="35">
        <f>IF(Metas_Diarias[[#This Row],[dias_da_demana]]=1,"domingo",IF(Metas_Diarias[[#This Row],[dias_da_demana]]=7,0.5,1))</f>
        <v>0.5</v>
      </c>
      <c r="I964" s="35">
        <f>_xlfn.XLOOKUP(Metas_Diarias[[#This Row],[data]],Feriados[Data],Feriados[Feriado],1)</f>
        <v>1</v>
      </c>
      <c r="J964" s="33" cm="1">
        <f t="array" aca="1" ref="J964" ca="1">SUMPRODUCT(IF((NOT(ISERROR(MATCH(ROW(INDIRECT(DATE(YEAR(B964),MONTH(B964),1)&amp;":"&amp;DATE(YEAR(B964),MONTH(B964)+1,0))),Feriados[Data],0))))=FALSE,
IF(WEEKDAY(ROW(INDIRECT(DATE(YEAR(B964),MONTH(B964),1)&amp;":"&amp;DATE(YEAR(B964),MONTH(B964)+1,0))),2)&lt;=5,1,IF(WEEKDAY(ROW(INDIRECT(DATE(YEAR(B964),MONTH(B964),1)&amp;":"&amp;DATE(YEAR(B964),MONTH(B964)+1,0))),2)=6,0.5,0)),0))</f>
        <v>23.5</v>
      </c>
      <c r="K964" s="22" cm="1">
        <f t="array" ref="K964">_xlfn.XLOOKUP(1,((Metas_Diarias[[#This Row],[tipo_equipe_id]]=Metas[equipe])*(Metas_Diarias[[#This Row],[data]]&gt;Metas[data_inicio])*(Metas_Diarias[[#This Row],[data]]&lt;Metas[data_fim])),Metas[meta_mensal],0)</f>
        <v>65000</v>
      </c>
      <c r="L964" s="24">
        <f ca="1">Metas_Diarias[[#This Row],[meta_mensal]]*IF(Metas_Diarias[[#This Row],[semana]]="domingo",0,Metas_Diarias[[#This Row],[semana]])*IF(Metas_Diarias[[#This Row],[feriado]]&lt;&gt;1,0,1)/Metas_Diarias[[#This Row],[dias_úteis_Mês]]</f>
        <v>1382.9787234042553</v>
      </c>
    </row>
    <row r="965" spans="2:12" x14ac:dyDescent="0.3">
      <c r="B965" s="34">
        <v>45886</v>
      </c>
      <c r="C965" s="34" t="str">
        <f>TEXT(Metas_Diarias[[#This Row],[data]],"dddd")</f>
        <v>domingo</v>
      </c>
      <c r="D965" s="33">
        <v>5</v>
      </c>
      <c r="E965" s="33">
        <v>5</v>
      </c>
      <c r="F965" s="18"/>
      <c r="G965" s="35">
        <f>WEEKDAY(Metas_Diarias[[#This Row],[data]])</f>
        <v>1</v>
      </c>
      <c r="H965" s="35" t="str">
        <f>IF(Metas_Diarias[[#This Row],[dias_da_demana]]=1,"domingo",IF(Metas_Diarias[[#This Row],[dias_da_demana]]=7,0.5,1))</f>
        <v>domingo</v>
      </c>
      <c r="I965" s="35">
        <f>_xlfn.XLOOKUP(Metas_Diarias[[#This Row],[data]],Feriados[Data],Feriados[Feriado],1)</f>
        <v>1</v>
      </c>
      <c r="J965" s="33" cm="1">
        <f t="array" aca="1" ref="J965" ca="1">SUMPRODUCT(IF((NOT(ISERROR(MATCH(ROW(INDIRECT(DATE(YEAR(B965),MONTH(B965),1)&amp;":"&amp;DATE(YEAR(B965),MONTH(B965)+1,0))),Feriados[Data],0))))=FALSE,
IF(WEEKDAY(ROW(INDIRECT(DATE(YEAR(B965),MONTH(B965),1)&amp;":"&amp;DATE(YEAR(B965),MONTH(B965)+1,0))),2)&lt;=5,1,IF(WEEKDAY(ROW(INDIRECT(DATE(YEAR(B965),MONTH(B965),1)&amp;":"&amp;DATE(YEAR(B965),MONTH(B965)+1,0))),2)=6,0.5,0)),0))</f>
        <v>23.5</v>
      </c>
      <c r="K965" s="22" cm="1">
        <f t="array" ref="K965">_xlfn.XLOOKUP(1,((Metas_Diarias[[#This Row],[tipo_equipe_id]]=Metas[equipe])*(Metas_Diarias[[#This Row],[data]]&gt;Metas[data_inicio])*(Metas_Diarias[[#This Row],[data]]&lt;Metas[data_fim])),Metas[meta_mensal],0)</f>
        <v>65000</v>
      </c>
      <c r="L96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66" spans="2:12" x14ac:dyDescent="0.3">
      <c r="B966" s="34">
        <v>45887</v>
      </c>
      <c r="C966" s="34" t="str">
        <f>TEXT(Metas_Diarias[[#This Row],[data]],"dddd")</f>
        <v>segunda-feira</v>
      </c>
      <c r="D966" s="33">
        <v>5</v>
      </c>
      <c r="E966" s="33">
        <v>5</v>
      </c>
      <c r="F966" s="18"/>
      <c r="G966" s="35">
        <f>WEEKDAY(Metas_Diarias[[#This Row],[data]])</f>
        <v>2</v>
      </c>
      <c r="H966" s="35">
        <f>IF(Metas_Diarias[[#This Row],[dias_da_demana]]=1,"domingo",IF(Metas_Diarias[[#This Row],[dias_da_demana]]=7,0.5,1))</f>
        <v>1</v>
      </c>
      <c r="I966" s="35">
        <f>_xlfn.XLOOKUP(Metas_Diarias[[#This Row],[data]],Feriados[Data],Feriados[Feriado],1)</f>
        <v>1</v>
      </c>
      <c r="J966" s="33" cm="1">
        <f t="array" aca="1" ref="J966" ca="1">SUMPRODUCT(IF((NOT(ISERROR(MATCH(ROW(INDIRECT(DATE(YEAR(B966),MONTH(B966),1)&amp;":"&amp;DATE(YEAR(B966),MONTH(B966)+1,0))),Feriados[Data],0))))=FALSE,
IF(WEEKDAY(ROW(INDIRECT(DATE(YEAR(B966),MONTH(B966),1)&amp;":"&amp;DATE(YEAR(B966),MONTH(B966)+1,0))),2)&lt;=5,1,IF(WEEKDAY(ROW(INDIRECT(DATE(YEAR(B966),MONTH(B966),1)&amp;":"&amp;DATE(YEAR(B966),MONTH(B966)+1,0))),2)=6,0.5,0)),0))</f>
        <v>23.5</v>
      </c>
      <c r="K966" s="22" cm="1">
        <f t="array" ref="K966">_xlfn.XLOOKUP(1,((Metas_Diarias[[#This Row],[tipo_equipe_id]]=Metas[equipe])*(Metas_Diarias[[#This Row],[data]]&gt;Metas[data_inicio])*(Metas_Diarias[[#This Row],[data]]&lt;Metas[data_fim])),Metas[meta_mensal],0)</f>
        <v>65000</v>
      </c>
      <c r="L966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67" spans="2:12" x14ac:dyDescent="0.3">
      <c r="B967" s="34">
        <v>45888</v>
      </c>
      <c r="C967" s="34" t="str">
        <f>TEXT(Metas_Diarias[[#This Row],[data]],"dddd")</f>
        <v>terça-feira</v>
      </c>
      <c r="D967" s="33">
        <v>5</v>
      </c>
      <c r="E967" s="33">
        <v>5</v>
      </c>
      <c r="F967" s="18"/>
      <c r="G967" s="35">
        <f>WEEKDAY(Metas_Diarias[[#This Row],[data]])</f>
        <v>3</v>
      </c>
      <c r="H967" s="35">
        <f>IF(Metas_Diarias[[#This Row],[dias_da_demana]]=1,"domingo",IF(Metas_Diarias[[#This Row],[dias_da_demana]]=7,0.5,1))</f>
        <v>1</v>
      </c>
      <c r="I967" s="35">
        <f>_xlfn.XLOOKUP(Metas_Diarias[[#This Row],[data]],Feriados[Data],Feriados[Feriado],1)</f>
        <v>1</v>
      </c>
      <c r="J967" s="33" cm="1">
        <f t="array" aca="1" ref="J967" ca="1">SUMPRODUCT(IF((NOT(ISERROR(MATCH(ROW(INDIRECT(DATE(YEAR(B967),MONTH(B967),1)&amp;":"&amp;DATE(YEAR(B967),MONTH(B967)+1,0))),Feriados[Data],0))))=FALSE,
IF(WEEKDAY(ROW(INDIRECT(DATE(YEAR(B967),MONTH(B967),1)&amp;":"&amp;DATE(YEAR(B967),MONTH(B967)+1,0))),2)&lt;=5,1,IF(WEEKDAY(ROW(INDIRECT(DATE(YEAR(B967),MONTH(B967),1)&amp;":"&amp;DATE(YEAR(B967),MONTH(B967)+1,0))),2)=6,0.5,0)),0))</f>
        <v>23.5</v>
      </c>
      <c r="K967" s="22" cm="1">
        <f t="array" ref="K967">_xlfn.XLOOKUP(1,((Metas_Diarias[[#This Row],[tipo_equipe_id]]=Metas[equipe])*(Metas_Diarias[[#This Row],[data]]&gt;Metas[data_inicio])*(Metas_Diarias[[#This Row],[data]]&lt;Metas[data_fim])),Metas[meta_mensal],0)</f>
        <v>65000</v>
      </c>
      <c r="L967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68" spans="2:12" x14ac:dyDescent="0.3">
      <c r="B968" s="34">
        <v>45889</v>
      </c>
      <c r="C968" s="34" t="str">
        <f>TEXT(Metas_Diarias[[#This Row],[data]],"dddd")</f>
        <v>quarta-feira</v>
      </c>
      <c r="D968" s="33">
        <v>5</v>
      </c>
      <c r="E968" s="33">
        <v>5</v>
      </c>
      <c r="F968" s="18"/>
      <c r="G968" s="35">
        <f>WEEKDAY(Metas_Diarias[[#This Row],[data]])</f>
        <v>4</v>
      </c>
      <c r="H968" s="35">
        <f>IF(Metas_Diarias[[#This Row],[dias_da_demana]]=1,"domingo",IF(Metas_Diarias[[#This Row],[dias_da_demana]]=7,0.5,1))</f>
        <v>1</v>
      </c>
      <c r="I968" s="35">
        <f>_xlfn.XLOOKUP(Metas_Diarias[[#This Row],[data]],Feriados[Data],Feriados[Feriado],1)</f>
        <v>1</v>
      </c>
      <c r="J968" s="33" cm="1">
        <f t="array" aca="1" ref="J968" ca="1">SUMPRODUCT(IF((NOT(ISERROR(MATCH(ROW(INDIRECT(DATE(YEAR(B968),MONTH(B968),1)&amp;":"&amp;DATE(YEAR(B968),MONTH(B968)+1,0))),Feriados[Data],0))))=FALSE,
IF(WEEKDAY(ROW(INDIRECT(DATE(YEAR(B968),MONTH(B968),1)&amp;":"&amp;DATE(YEAR(B968),MONTH(B968)+1,0))),2)&lt;=5,1,IF(WEEKDAY(ROW(INDIRECT(DATE(YEAR(B968),MONTH(B968),1)&amp;":"&amp;DATE(YEAR(B968),MONTH(B968)+1,0))),2)=6,0.5,0)),0))</f>
        <v>23.5</v>
      </c>
      <c r="K968" s="22" cm="1">
        <f t="array" ref="K968">_xlfn.XLOOKUP(1,((Metas_Diarias[[#This Row],[tipo_equipe_id]]=Metas[equipe])*(Metas_Diarias[[#This Row],[data]]&gt;Metas[data_inicio])*(Metas_Diarias[[#This Row],[data]]&lt;Metas[data_fim])),Metas[meta_mensal],0)</f>
        <v>65000</v>
      </c>
      <c r="L968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69" spans="2:12" x14ac:dyDescent="0.3">
      <c r="B969" s="34">
        <v>45890</v>
      </c>
      <c r="C969" s="34" t="str">
        <f>TEXT(Metas_Diarias[[#This Row],[data]],"dddd")</f>
        <v>quinta-feira</v>
      </c>
      <c r="D969" s="33">
        <v>5</v>
      </c>
      <c r="E969" s="33">
        <v>5</v>
      </c>
      <c r="F969" s="18"/>
      <c r="G969" s="35">
        <f>WEEKDAY(Metas_Diarias[[#This Row],[data]])</f>
        <v>5</v>
      </c>
      <c r="H969" s="35">
        <f>IF(Metas_Diarias[[#This Row],[dias_da_demana]]=1,"domingo",IF(Metas_Diarias[[#This Row],[dias_da_demana]]=7,0.5,1))</f>
        <v>1</v>
      </c>
      <c r="I969" s="35">
        <f>_xlfn.XLOOKUP(Metas_Diarias[[#This Row],[data]],Feriados[Data],Feriados[Feriado],1)</f>
        <v>1</v>
      </c>
      <c r="J969" s="33" cm="1">
        <f t="array" aca="1" ref="J969" ca="1">SUMPRODUCT(IF((NOT(ISERROR(MATCH(ROW(INDIRECT(DATE(YEAR(B969),MONTH(B969),1)&amp;":"&amp;DATE(YEAR(B969),MONTH(B969)+1,0))),Feriados[Data],0))))=FALSE,
IF(WEEKDAY(ROW(INDIRECT(DATE(YEAR(B969),MONTH(B969),1)&amp;":"&amp;DATE(YEAR(B969),MONTH(B969)+1,0))),2)&lt;=5,1,IF(WEEKDAY(ROW(INDIRECT(DATE(YEAR(B969),MONTH(B969),1)&amp;":"&amp;DATE(YEAR(B969),MONTH(B969)+1,0))),2)=6,0.5,0)),0))</f>
        <v>23.5</v>
      </c>
      <c r="K969" s="22" cm="1">
        <f t="array" ref="K969">_xlfn.XLOOKUP(1,((Metas_Diarias[[#This Row],[tipo_equipe_id]]=Metas[equipe])*(Metas_Diarias[[#This Row],[data]]&gt;Metas[data_inicio])*(Metas_Diarias[[#This Row],[data]]&lt;Metas[data_fim])),Metas[meta_mensal],0)</f>
        <v>65000</v>
      </c>
      <c r="L969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70" spans="2:12" x14ac:dyDescent="0.3">
      <c r="B970" s="34">
        <v>45891</v>
      </c>
      <c r="C970" s="34" t="str">
        <f>TEXT(Metas_Diarias[[#This Row],[data]],"dddd")</f>
        <v>sexta-feira</v>
      </c>
      <c r="D970" s="33">
        <v>5</v>
      </c>
      <c r="E970" s="33">
        <v>5</v>
      </c>
      <c r="F970" s="18"/>
      <c r="G970" s="35">
        <f>WEEKDAY(Metas_Diarias[[#This Row],[data]])</f>
        <v>6</v>
      </c>
      <c r="H970" s="35">
        <f>IF(Metas_Diarias[[#This Row],[dias_da_demana]]=1,"domingo",IF(Metas_Diarias[[#This Row],[dias_da_demana]]=7,0.5,1))</f>
        <v>1</v>
      </c>
      <c r="I970" s="35">
        <f>_xlfn.XLOOKUP(Metas_Diarias[[#This Row],[data]],Feriados[Data],Feriados[Feriado],1)</f>
        <v>1</v>
      </c>
      <c r="J970" s="33" cm="1">
        <f t="array" aca="1" ref="J970" ca="1">SUMPRODUCT(IF((NOT(ISERROR(MATCH(ROW(INDIRECT(DATE(YEAR(B970),MONTH(B970),1)&amp;":"&amp;DATE(YEAR(B970),MONTH(B970)+1,0))),Feriados[Data],0))))=FALSE,
IF(WEEKDAY(ROW(INDIRECT(DATE(YEAR(B970),MONTH(B970),1)&amp;":"&amp;DATE(YEAR(B970),MONTH(B970)+1,0))),2)&lt;=5,1,IF(WEEKDAY(ROW(INDIRECT(DATE(YEAR(B970),MONTH(B970),1)&amp;":"&amp;DATE(YEAR(B970),MONTH(B970)+1,0))),2)=6,0.5,0)),0))</f>
        <v>23.5</v>
      </c>
      <c r="K970" s="22" cm="1">
        <f t="array" ref="K970">_xlfn.XLOOKUP(1,((Metas_Diarias[[#This Row],[tipo_equipe_id]]=Metas[equipe])*(Metas_Diarias[[#This Row],[data]]&gt;Metas[data_inicio])*(Metas_Diarias[[#This Row],[data]]&lt;Metas[data_fim])),Metas[meta_mensal],0)</f>
        <v>65000</v>
      </c>
      <c r="L970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71" spans="2:12" x14ac:dyDescent="0.3">
      <c r="B971" s="34">
        <v>45892</v>
      </c>
      <c r="C971" s="34" t="str">
        <f>TEXT(Metas_Diarias[[#This Row],[data]],"dddd")</f>
        <v>sábado</v>
      </c>
      <c r="D971" s="33">
        <v>5</v>
      </c>
      <c r="E971" s="33">
        <v>5</v>
      </c>
      <c r="F971" s="18"/>
      <c r="G971" s="35">
        <f>WEEKDAY(Metas_Diarias[[#This Row],[data]])</f>
        <v>7</v>
      </c>
      <c r="H971" s="35">
        <f>IF(Metas_Diarias[[#This Row],[dias_da_demana]]=1,"domingo",IF(Metas_Diarias[[#This Row],[dias_da_demana]]=7,0.5,1))</f>
        <v>0.5</v>
      </c>
      <c r="I971" s="35">
        <f>_xlfn.XLOOKUP(Metas_Diarias[[#This Row],[data]],Feriados[Data],Feriados[Feriado],1)</f>
        <v>1</v>
      </c>
      <c r="J971" s="33" cm="1">
        <f t="array" aca="1" ref="J971" ca="1">SUMPRODUCT(IF((NOT(ISERROR(MATCH(ROW(INDIRECT(DATE(YEAR(B971),MONTH(B971),1)&amp;":"&amp;DATE(YEAR(B971),MONTH(B971)+1,0))),Feriados[Data],0))))=FALSE,
IF(WEEKDAY(ROW(INDIRECT(DATE(YEAR(B971),MONTH(B971),1)&amp;":"&amp;DATE(YEAR(B971),MONTH(B971)+1,0))),2)&lt;=5,1,IF(WEEKDAY(ROW(INDIRECT(DATE(YEAR(B971),MONTH(B971),1)&amp;":"&amp;DATE(YEAR(B971),MONTH(B971)+1,0))),2)=6,0.5,0)),0))</f>
        <v>23.5</v>
      </c>
      <c r="K971" s="22" cm="1">
        <f t="array" ref="K971">_xlfn.XLOOKUP(1,((Metas_Diarias[[#This Row],[tipo_equipe_id]]=Metas[equipe])*(Metas_Diarias[[#This Row],[data]]&gt;Metas[data_inicio])*(Metas_Diarias[[#This Row],[data]]&lt;Metas[data_fim])),Metas[meta_mensal],0)</f>
        <v>65000</v>
      </c>
      <c r="L971" s="24">
        <f ca="1">Metas_Diarias[[#This Row],[meta_mensal]]*IF(Metas_Diarias[[#This Row],[semana]]="domingo",0,Metas_Diarias[[#This Row],[semana]])*IF(Metas_Diarias[[#This Row],[feriado]]&lt;&gt;1,0,1)/Metas_Diarias[[#This Row],[dias_úteis_Mês]]</f>
        <v>1382.9787234042553</v>
      </c>
    </row>
    <row r="972" spans="2:12" x14ac:dyDescent="0.3">
      <c r="B972" s="34">
        <v>45893</v>
      </c>
      <c r="C972" s="34" t="str">
        <f>TEXT(Metas_Diarias[[#This Row],[data]],"dddd")</f>
        <v>domingo</v>
      </c>
      <c r="D972" s="33">
        <v>5</v>
      </c>
      <c r="E972" s="33">
        <v>5</v>
      </c>
      <c r="F972" s="18"/>
      <c r="G972" s="35">
        <f>WEEKDAY(Metas_Diarias[[#This Row],[data]])</f>
        <v>1</v>
      </c>
      <c r="H972" s="35" t="str">
        <f>IF(Metas_Diarias[[#This Row],[dias_da_demana]]=1,"domingo",IF(Metas_Diarias[[#This Row],[dias_da_demana]]=7,0.5,1))</f>
        <v>domingo</v>
      </c>
      <c r="I972" s="35">
        <f>_xlfn.XLOOKUP(Metas_Diarias[[#This Row],[data]],Feriados[Data],Feriados[Feriado],1)</f>
        <v>1</v>
      </c>
      <c r="J972" s="33" cm="1">
        <f t="array" aca="1" ref="J972" ca="1">SUMPRODUCT(IF((NOT(ISERROR(MATCH(ROW(INDIRECT(DATE(YEAR(B972),MONTH(B972),1)&amp;":"&amp;DATE(YEAR(B972),MONTH(B972)+1,0))),Feriados[Data],0))))=FALSE,
IF(WEEKDAY(ROW(INDIRECT(DATE(YEAR(B972),MONTH(B972),1)&amp;":"&amp;DATE(YEAR(B972),MONTH(B972)+1,0))),2)&lt;=5,1,IF(WEEKDAY(ROW(INDIRECT(DATE(YEAR(B972),MONTH(B972),1)&amp;":"&amp;DATE(YEAR(B972),MONTH(B972)+1,0))),2)=6,0.5,0)),0))</f>
        <v>23.5</v>
      </c>
      <c r="K972" s="22" cm="1">
        <f t="array" ref="K972">_xlfn.XLOOKUP(1,((Metas_Diarias[[#This Row],[tipo_equipe_id]]=Metas[equipe])*(Metas_Diarias[[#This Row],[data]]&gt;Metas[data_inicio])*(Metas_Diarias[[#This Row],[data]]&lt;Metas[data_fim])),Metas[meta_mensal],0)</f>
        <v>65000</v>
      </c>
      <c r="L97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73" spans="2:12" x14ac:dyDescent="0.3">
      <c r="B973" s="34">
        <v>45894</v>
      </c>
      <c r="C973" s="34" t="str">
        <f>TEXT(Metas_Diarias[[#This Row],[data]],"dddd")</f>
        <v>segunda-feira</v>
      </c>
      <c r="D973" s="33">
        <v>5</v>
      </c>
      <c r="E973" s="33">
        <v>5</v>
      </c>
      <c r="F973" s="18"/>
      <c r="G973" s="35">
        <f>WEEKDAY(Metas_Diarias[[#This Row],[data]])</f>
        <v>2</v>
      </c>
      <c r="H973" s="35">
        <f>IF(Metas_Diarias[[#This Row],[dias_da_demana]]=1,"domingo",IF(Metas_Diarias[[#This Row],[dias_da_demana]]=7,0.5,1))</f>
        <v>1</v>
      </c>
      <c r="I973" s="35">
        <f>_xlfn.XLOOKUP(Metas_Diarias[[#This Row],[data]],Feriados[Data],Feriados[Feriado],1)</f>
        <v>1</v>
      </c>
      <c r="J973" s="33" cm="1">
        <f t="array" aca="1" ref="J973" ca="1">SUMPRODUCT(IF((NOT(ISERROR(MATCH(ROW(INDIRECT(DATE(YEAR(B973),MONTH(B973),1)&amp;":"&amp;DATE(YEAR(B973),MONTH(B973)+1,0))),Feriados[Data],0))))=FALSE,
IF(WEEKDAY(ROW(INDIRECT(DATE(YEAR(B973),MONTH(B973),1)&amp;":"&amp;DATE(YEAR(B973),MONTH(B973)+1,0))),2)&lt;=5,1,IF(WEEKDAY(ROW(INDIRECT(DATE(YEAR(B973),MONTH(B973),1)&amp;":"&amp;DATE(YEAR(B973),MONTH(B973)+1,0))),2)=6,0.5,0)),0))</f>
        <v>23.5</v>
      </c>
      <c r="K973" s="22" cm="1">
        <f t="array" ref="K973">_xlfn.XLOOKUP(1,((Metas_Diarias[[#This Row],[tipo_equipe_id]]=Metas[equipe])*(Metas_Diarias[[#This Row],[data]]&gt;Metas[data_inicio])*(Metas_Diarias[[#This Row],[data]]&lt;Metas[data_fim])),Metas[meta_mensal],0)</f>
        <v>65000</v>
      </c>
      <c r="L973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74" spans="2:12" x14ac:dyDescent="0.3">
      <c r="B974" s="34">
        <v>45895</v>
      </c>
      <c r="C974" s="34" t="str">
        <f>TEXT(Metas_Diarias[[#This Row],[data]],"dddd")</f>
        <v>terça-feira</v>
      </c>
      <c r="D974" s="33">
        <v>5</v>
      </c>
      <c r="E974" s="33">
        <v>5</v>
      </c>
      <c r="F974" s="18"/>
      <c r="G974" s="35">
        <f>WEEKDAY(Metas_Diarias[[#This Row],[data]])</f>
        <v>3</v>
      </c>
      <c r="H974" s="35">
        <f>IF(Metas_Diarias[[#This Row],[dias_da_demana]]=1,"domingo",IF(Metas_Diarias[[#This Row],[dias_da_demana]]=7,0.5,1))</f>
        <v>1</v>
      </c>
      <c r="I974" s="35">
        <f>_xlfn.XLOOKUP(Metas_Diarias[[#This Row],[data]],Feriados[Data],Feriados[Feriado],1)</f>
        <v>1</v>
      </c>
      <c r="J974" s="33" cm="1">
        <f t="array" aca="1" ref="J974" ca="1">SUMPRODUCT(IF((NOT(ISERROR(MATCH(ROW(INDIRECT(DATE(YEAR(B974),MONTH(B974),1)&amp;":"&amp;DATE(YEAR(B974),MONTH(B974)+1,0))),Feriados[Data],0))))=FALSE,
IF(WEEKDAY(ROW(INDIRECT(DATE(YEAR(B974),MONTH(B974),1)&amp;":"&amp;DATE(YEAR(B974),MONTH(B974)+1,0))),2)&lt;=5,1,IF(WEEKDAY(ROW(INDIRECT(DATE(YEAR(B974),MONTH(B974),1)&amp;":"&amp;DATE(YEAR(B974),MONTH(B974)+1,0))),2)=6,0.5,0)),0))</f>
        <v>23.5</v>
      </c>
      <c r="K974" s="22" cm="1">
        <f t="array" ref="K974">_xlfn.XLOOKUP(1,((Metas_Diarias[[#This Row],[tipo_equipe_id]]=Metas[equipe])*(Metas_Diarias[[#This Row],[data]]&gt;Metas[data_inicio])*(Metas_Diarias[[#This Row],[data]]&lt;Metas[data_fim])),Metas[meta_mensal],0)</f>
        <v>65000</v>
      </c>
      <c r="L974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75" spans="2:12" x14ac:dyDescent="0.3">
      <c r="B975" s="34">
        <v>45896</v>
      </c>
      <c r="C975" s="34" t="str">
        <f>TEXT(Metas_Diarias[[#This Row],[data]],"dddd")</f>
        <v>quarta-feira</v>
      </c>
      <c r="D975" s="33">
        <v>5</v>
      </c>
      <c r="E975" s="33">
        <v>5</v>
      </c>
      <c r="F975" s="18"/>
      <c r="G975" s="35">
        <f>WEEKDAY(Metas_Diarias[[#This Row],[data]])</f>
        <v>4</v>
      </c>
      <c r="H975" s="35">
        <f>IF(Metas_Diarias[[#This Row],[dias_da_demana]]=1,"domingo",IF(Metas_Diarias[[#This Row],[dias_da_demana]]=7,0.5,1))</f>
        <v>1</v>
      </c>
      <c r="I975" s="35">
        <f>_xlfn.XLOOKUP(Metas_Diarias[[#This Row],[data]],Feriados[Data],Feriados[Feriado],1)</f>
        <v>1</v>
      </c>
      <c r="J975" s="33" cm="1">
        <f t="array" aca="1" ref="J975" ca="1">SUMPRODUCT(IF((NOT(ISERROR(MATCH(ROW(INDIRECT(DATE(YEAR(B975),MONTH(B975),1)&amp;":"&amp;DATE(YEAR(B975),MONTH(B975)+1,0))),Feriados[Data],0))))=FALSE,
IF(WEEKDAY(ROW(INDIRECT(DATE(YEAR(B975),MONTH(B975),1)&amp;":"&amp;DATE(YEAR(B975),MONTH(B975)+1,0))),2)&lt;=5,1,IF(WEEKDAY(ROW(INDIRECT(DATE(YEAR(B975),MONTH(B975),1)&amp;":"&amp;DATE(YEAR(B975),MONTH(B975)+1,0))),2)=6,0.5,0)),0))</f>
        <v>23.5</v>
      </c>
      <c r="K975" s="22" cm="1">
        <f t="array" ref="K975">_xlfn.XLOOKUP(1,((Metas_Diarias[[#This Row],[tipo_equipe_id]]=Metas[equipe])*(Metas_Diarias[[#This Row],[data]]&gt;Metas[data_inicio])*(Metas_Diarias[[#This Row],[data]]&lt;Metas[data_fim])),Metas[meta_mensal],0)</f>
        <v>65000</v>
      </c>
      <c r="L975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76" spans="2:12" x14ac:dyDescent="0.3">
      <c r="B976" s="34">
        <v>45897</v>
      </c>
      <c r="C976" s="34" t="str">
        <f>TEXT(Metas_Diarias[[#This Row],[data]],"dddd")</f>
        <v>quinta-feira</v>
      </c>
      <c r="D976" s="33">
        <v>5</v>
      </c>
      <c r="E976" s="33">
        <v>5</v>
      </c>
      <c r="F976" s="18"/>
      <c r="G976" s="35">
        <f>WEEKDAY(Metas_Diarias[[#This Row],[data]])</f>
        <v>5</v>
      </c>
      <c r="H976" s="35">
        <f>IF(Metas_Diarias[[#This Row],[dias_da_demana]]=1,"domingo",IF(Metas_Diarias[[#This Row],[dias_da_demana]]=7,0.5,1))</f>
        <v>1</v>
      </c>
      <c r="I976" s="35">
        <f>_xlfn.XLOOKUP(Metas_Diarias[[#This Row],[data]],Feriados[Data],Feriados[Feriado],1)</f>
        <v>1</v>
      </c>
      <c r="J976" s="33" cm="1">
        <f t="array" aca="1" ref="J976" ca="1">SUMPRODUCT(IF((NOT(ISERROR(MATCH(ROW(INDIRECT(DATE(YEAR(B976),MONTH(B976),1)&amp;":"&amp;DATE(YEAR(B976),MONTH(B976)+1,0))),Feriados[Data],0))))=FALSE,
IF(WEEKDAY(ROW(INDIRECT(DATE(YEAR(B976),MONTH(B976),1)&amp;":"&amp;DATE(YEAR(B976),MONTH(B976)+1,0))),2)&lt;=5,1,IF(WEEKDAY(ROW(INDIRECT(DATE(YEAR(B976),MONTH(B976),1)&amp;":"&amp;DATE(YEAR(B976),MONTH(B976)+1,0))),2)=6,0.5,0)),0))</f>
        <v>23.5</v>
      </c>
      <c r="K976" s="22" cm="1">
        <f t="array" ref="K976">_xlfn.XLOOKUP(1,((Metas_Diarias[[#This Row],[tipo_equipe_id]]=Metas[equipe])*(Metas_Diarias[[#This Row],[data]]&gt;Metas[data_inicio])*(Metas_Diarias[[#This Row],[data]]&lt;Metas[data_fim])),Metas[meta_mensal],0)</f>
        <v>65000</v>
      </c>
      <c r="L976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77" spans="2:12" x14ac:dyDescent="0.3">
      <c r="B977" s="34">
        <v>45898</v>
      </c>
      <c r="C977" s="34" t="str">
        <f>TEXT(Metas_Diarias[[#This Row],[data]],"dddd")</f>
        <v>sexta-feira</v>
      </c>
      <c r="D977" s="33">
        <v>5</v>
      </c>
      <c r="E977" s="33">
        <v>5</v>
      </c>
      <c r="F977" s="18"/>
      <c r="G977" s="35">
        <f>WEEKDAY(Metas_Diarias[[#This Row],[data]])</f>
        <v>6</v>
      </c>
      <c r="H977" s="35">
        <f>IF(Metas_Diarias[[#This Row],[dias_da_demana]]=1,"domingo",IF(Metas_Diarias[[#This Row],[dias_da_demana]]=7,0.5,1))</f>
        <v>1</v>
      </c>
      <c r="I977" s="35">
        <f>_xlfn.XLOOKUP(Metas_Diarias[[#This Row],[data]],Feriados[Data],Feriados[Feriado],1)</f>
        <v>1</v>
      </c>
      <c r="J977" s="33" cm="1">
        <f t="array" aca="1" ref="J977" ca="1">SUMPRODUCT(IF((NOT(ISERROR(MATCH(ROW(INDIRECT(DATE(YEAR(B977),MONTH(B977),1)&amp;":"&amp;DATE(YEAR(B977),MONTH(B977)+1,0))),Feriados[Data],0))))=FALSE,
IF(WEEKDAY(ROW(INDIRECT(DATE(YEAR(B977),MONTH(B977),1)&amp;":"&amp;DATE(YEAR(B977),MONTH(B977)+1,0))),2)&lt;=5,1,IF(WEEKDAY(ROW(INDIRECT(DATE(YEAR(B977),MONTH(B977),1)&amp;":"&amp;DATE(YEAR(B977),MONTH(B977)+1,0))),2)=6,0.5,0)),0))</f>
        <v>23.5</v>
      </c>
      <c r="K977" s="22" cm="1">
        <f t="array" ref="K977">_xlfn.XLOOKUP(1,((Metas_Diarias[[#This Row],[tipo_equipe_id]]=Metas[equipe])*(Metas_Diarias[[#This Row],[data]]&gt;Metas[data_inicio])*(Metas_Diarias[[#This Row],[data]]&lt;Metas[data_fim])),Metas[meta_mensal],0)</f>
        <v>65000</v>
      </c>
      <c r="L977" s="24">
        <f ca="1">Metas_Diarias[[#This Row],[meta_mensal]]*IF(Metas_Diarias[[#This Row],[semana]]="domingo",0,Metas_Diarias[[#This Row],[semana]])*IF(Metas_Diarias[[#This Row],[feriado]]&lt;&gt;1,0,1)/Metas_Diarias[[#This Row],[dias_úteis_Mês]]</f>
        <v>2765.9574468085107</v>
      </c>
    </row>
    <row r="978" spans="2:12" x14ac:dyDescent="0.3">
      <c r="B978" s="34">
        <v>45899</v>
      </c>
      <c r="C978" s="34" t="str">
        <f>TEXT(Metas_Diarias[[#This Row],[data]],"dddd")</f>
        <v>sábado</v>
      </c>
      <c r="D978" s="33">
        <v>5</v>
      </c>
      <c r="E978" s="33">
        <v>5</v>
      </c>
      <c r="F978" s="18"/>
      <c r="G978" s="35">
        <f>WEEKDAY(Metas_Diarias[[#This Row],[data]])</f>
        <v>7</v>
      </c>
      <c r="H978" s="35">
        <f>IF(Metas_Diarias[[#This Row],[dias_da_demana]]=1,"domingo",IF(Metas_Diarias[[#This Row],[dias_da_demana]]=7,0.5,1))</f>
        <v>0.5</v>
      </c>
      <c r="I978" s="35">
        <f>_xlfn.XLOOKUP(Metas_Diarias[[#This Row],[data]],Feriados[Data],Feriados[Feriado],1)</f>
        <v>1</v>
      </c>
      <c r="J978" s="33" cm="1">
        <f t="array" aca="1" ref="J978" ca="1">SUMPRODUCT(IF((NOT(ISERROR(MATCH(ROW(INDIRECT(DATE(YEAR(B978),MONTH(B978),1)&amp;":"&amp;DATE(YEAR(B978),MONTH(B978)+1,0))),Feriados[Data],0))))=FALSE,
IF(WEEKDAY(ROW(INDIRECT(DATE(YEAR(B978),MONTH(B978),1)&amp;":"&amp;DATE(YEAR(B978),MONTH(B978)+1,0))),2)&lt;=5,1,IF(WEEKDAY(ROW(INDIRECT(DATE(YEAR(B978),MONTH(B978),1)&amp;":"&amp;DATE(YEAR(B978),MONTH(B978)+1,0))),2)=6,0.5,0)),0))</f>
        <v>23.5</v>
      </c>
      <c r="K978" s="22" cm="1">
        <f t="array" ref="K978">_xlfn.XLOOKUP(1,((Metas_Diarias[[#This Row],[tipo_equipe_id]]=Metas[equipe])*(Metas_Diarias[[#This Row],[data]]&gt;Metas[data_inicio])*(Metas_Diarias[[#This Row],[data]]&lt;Metas[data_fim])),Metas[meta_mensal],0)</f>
        <v>65000</v>
      </c>
      <c r="L978" s="24">
        <f ca="1">Metas_Diarias[[#This Row],[meta_mensal]]*IF(Metas_Diarias[[#This Row],[semana]]="domingo",0,Metas_Diarias[[#This Row],[semana]])*IF(Metas_Diarias[[#This Row],[feriado]]&lt;&gt;1,0,1)/Metas_Diarias[[#This Row],[dias_úteis_Mês]]</f>
        <v>1382.9787234042553</v>
      </c>
    </row>
    <row r="979" spans="2:12" x14ac:dyDescent="0.3">
      <c r="B979" s="34">
        <v>45900</v>
      </c>
      <c r="C979" s="34" t="str">
        <f>TEXT(Metas_Diarias[[#This Row],[data]],"dddd")</f>
        <v>domingo</v>
      </c>
      <c r="D979" s="33">
        <v>5</v>
      </c>
      <c r="E979" s="33">
        <v>5</v>
      </c>
      <c r="F979" s="18"/>
      <c r="G979" s="35">
        <f>WEEKDAY(Metas_Diarias[[#This Row],[data]])</f>
        <v>1</v>
      </c>
      <c r="H979" s="35" t="str">
        <f>IF(Metas_Diarias[[#This Row],[dias_da_demana]]=1,"domingo",IF(Metas_Diarias[[#This Row],[dias_da_demana]]=7,0.5,1))</f>
        <v>domingo</v>
      </c>
      <c r="I979" s="35">
        <f>_xlfn.XLOOKUP(Metas_Diarias[[#This Row],[data]],Feriados[Data],Feriados[Feriado],1)</f>
        <v>1</v>
      </c>
      <c r="J979" s="33" cm="1">
        <f t="array" aca="1" ref="J979" ca="1">SUMPRODUCT(IF((NOT(ISERROR(MATCH(ROW(INDIRECT(DATE(YEAR(B979),MONTH(B979),1)&amp;":"&amp;DATE(YEAR(B979),MONTH(B979)+1,0))),Feriados[Data],0))))=FALSE,
IF(WEEKDAY(ROW(INDIRECT(DATE(YEAR(B979),MONTH(B979),1)&amp;":"&amp;DATE(YEAR(B979),MONTH(B979)+1,0))),2)&lt;=5,1,IF(WEEKDAY(ROW(INDIRECT(DATE(YEAR(B979),MONTH(B979),1)&amp;":"&amp;DATE(YEAR(B979),MONTH(B979)+1,0))),2)=6,0.5,0)),0))</f>
        <v>23.5</v>
      </c>
      <c r="K979" s="22" cm="1">
        <f t="array" ref="K979">_xlfn.XLOOKUP(1,((Metas_Diarias[[#This Row],[tipo_equipe_id]]=Metas[equipe])*(Metas_Diarias[[#This Row],[data]]&gt;Metas[data_inicio])*(Metas_Diarias[[#This Row],[data]]&lt;Metas[data_fim])),Metas[meta_mensal],0)</f>
        <v>65000</v>
      </c>
      <c r="L9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80" spans="2:12" x14ac:dyDescent="0.3">
      <c r="B980" s="34">
        <v>45901</v>
      </c>
      <c r="C980" s="34" t="str">
        <f>TEXT(Metas_Diarias[[#This Row],[data]],"dddd")</f>
        <v>segunda-feira</v>
      </c>
      <c r="D980" s="33">
        <v>5</v>
      </c>
      <c r="E980" s="33">
        <v>5</v>
      </c>
      <c r="F980" s="18"/>
      <c r="G980" s="35">
        <f>WEEKDAY(Metas_Diarias[[#This Row],[data]])</f>
        <v>2</v>
      </c>
      <c r="H980" s="35">
        <f>IF(Metas_Diarias[[#This Row],[dias_da_demana]]=1,"domingo",IF(Metas_Diarias[[#This Row],[dias_da_demana]]=7,0.5,1))</f>
        <v>1</v>
      </c>
      <c r="I980" s="35">
        <f>_xlfn.XLOOKUP(Metas_Diarias[[#This Row],[data]],Feriados[Data],Feriados[Feriado],1)</f>
        <v>1</v>
      </c>
      <c r="J980" s="33" cm="1">
        <f t="array" aca="1" ref="J980" ca="1">SUMPRODUCT(IF((NOT(ISERROR(MATCH(ROW(INDIRECT(DATE(YEAR(B980),MONTH(B980),1)&amp;":"&amp;DATE(YEAR(B980),MONTH(B980)+1,0))),Feriados[Data],0))))=FALSE,
IF(WEEKDAY(ROW(INDIRECT(DATE(YEAR(B980),MONTH(B980),1)&amp;":"&amp;DATE(YEAR(B980),MONTH(B980)+1,0))),2)&lt;=5,1,IF(WEEKDAY(ROW(INDIRECT(DATE(YEAR(B980),MONTH(B980),1)&amp;":"&amp;DATE(YEAR(B980),MONTH(B980)+1,0))),2)=6,0.5,0)),0))</f>
        <v>24</v>
      </c>
      <c r="K980" s="22" cm="1">
        <f t="array" ref="K980">_xlfn.XLOOKUP(1,((Metas_Diarias[[#This Row],[tipo_equipe_id]]=Metas[equipe])*(Metas_Diarias[[#This Row],[data]]&gt;Metas[data_inicio])*(Metas_Diarias[[#This Row],[data]]&lt;Metas[data_fim])),Metas[meta_mensal],0)</f>
        <v>65000</v>
      </c>
      <c r="L980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81" spans="2:12" x14ac:dyDescent="0.3">
      <c r="B981" s="34">
        <v>45902</v>
      </c>
      <c r="C981" s="34" t="str">
        <f>TEXT(Metas_Diarias[[#This Row],[data]],"dddd")</f>
        <v>terça-feira</v>
      </c>
      <c r="D981" s="33">
        <v>5</v>
      </c>
      <c r="E981" s="33">
        <v>5</v>
      </c>
      <c r="F981" s="18"/>
      <c r="G981" s="35">
        <f>WEEKDAY(Metas_Diarias[[#This Row],[data]])</f>
        <v>3</v>
      </c>
      <c r="H981" s="35">
        <f>IF(Metas_Diarias[[#This Row],[dias_da_demana]]=1,"domingo",IF(Metas_Diarias[[#This Row],[dias_da_demana]]=7,0.5,1))</f>
        <v>1</v>
      </c>
      <c r="I981" s="35">
        <f>_xlfn.XLOOKUP(Metas_Diarias[[#This Row],[data]],Feriados[Data],Feriados[Feriado],1)</f>
        <v>1</v>
      </c>
      <c r="J981" s="33" cm="1">
        <f t="array" aca="1" ref="J981" ca="1">SUMPRODUCT(IF((NOT(ISERROR(MATCH(ROW(INDIRECT(DATE(YEAR(B981),MONTH(B981),1)&amp;":"&amp;DATE(YEAR(B981),MONTH(B981)+1,0))),Feriados[Data],0))))=FALSE,
IF(WEEKDAY(ROW(INDIRECT(DATE(YEAR(B981),MONTH(B981),1)&amp;":"&amp;DATE(YEAR(B981),MONTH(B981)+1,0))),2)&lt;=5,1,IF(WEEKDAY(ROW(INDIRECT(DATE(YEAR(B981),MONTH(B981),1)&amp;":"&amp;DATE(YEAR(B981),MONTH(B981)+1,0))),2)=6,0.5,0)),0))</f>
        <v>24</v>
      </c>
      <c r="K981" s="22" cm="1">
        <f t="array" ref="K981">_xlfn.XLOOKUP(1,((Metas_Diarias[[#This Row],[tipo_equipe_id]]=Metas[equipe])*(Metas_Diarias[[#This Row],[data]]&gt;Metas[data_inicio])*(Metas_Diarias[[#This Row],[data]]&lt;Metas[data_fim])),Metas[meta_mensal],0)</f>
        <v>65000</v>
      </c>
      <c r="L981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82" spans="2:12" x14ac:dyDescent="0.3">
      <c r="B982" s="34">
        <v>45903</v>
      </c>
      <c r="C982" s="34" t="str">
        <f>TEXT(Metas_Diarias[[#This Row],[data]],"dddd")</f>
        <v>quarta-feira</v>
      </c>
      <c r="D982" s="33">
        <v>5</v>
      </c>
      <c r="E982" s="33">
        <v>5</v>
      </c>
      <c r="F982" s="18"/>
      <c r="G982" s="35">
        <f>WEEKDAY(Metas_Diarias[[#This Row],[data]])</f>
        <v>4</v>
      </c>
      <c r="H982" s="35">
        <f>IF(Metas_Diarias[[#This Row],[dias_da_demana]]=1,"domingo",IF(Metas_Diarias[[#This Row],[dias_da_demana]]=7,0.5,1))</f>
        <v>1</v>
      </c>
      <c r="I982" s="35">
        <f>_xlfn.XLOOKUP(Metas_Diarias[[#This Row],[data]],Feriados[Data],Feriados[Feriado],1)</f>
        <v>1</v>
      </c>
      <c r="J982" s="33" cm="1">
        <f t="array" aca="1" ref="J982" ca="1">SUMPRODUCT(IF((NOT(ISERROR(MATCH(ROW(INDIRECT(DATE(YEAR(B982),MONTH(B982),1)&amp;":"&amp;DATE(YEAR(B982),MONTH(B982)+1,0))),Feriados[Data],0))))=FALSE,
IF(WEEKDAY(ROW(INDIRECT(DATE(YEAR(B982),MONTH(B982),1)&amp;":"&amp;DATE(YEAR(B982),MONTH(B982)+1,0))),2)&lt;=5,1,IF(WEEKDAY(ROW(INDIRECT(DATE(YEAR(B982),MONTH(B982),1)&amp;":"&amp;DATE(YEAR(B982),MONTH(B982)+1,0))),2)=6,0.5,0)),0))</f>
        <v>24</v>
      </c>
      <c r="K982" s="22" cm="1">
        <f t="array" ref="K982">_xlfn.XLOOKUP(1,((Metas_Diarias[[#This Row],[tipo_equipe_id]]=Metas[equipe])*(Metas_Diarias[[#This Row],[data]]&gt;Metas[data_inicio])*(Metas_Diarias[[#This Row],[data]]&lt;Metas[data_fim])),Metas[meta_mensal],0)</f>
        <v>65000</v>
      </c>
      <c r="L982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83" spans="2:12" x14ac:dyDescent="0.3">
      <c r="B983" s="34">
        <v>45904</v>
      </c>
      <c r="C983" s="34" t="str">
        <f>TEXT(Metas_Diarias[[#This Row],[data]],"dddd")</f>
        <v>quinta-feira</v>
      </c>
      <c r="D983" s="33">
        <v>5</v>
      </c>
      <c r="E983" s="33">
        <v>5</v>
      </c>
      <c r="F983" s="18"/>
      <c r="G983" s="35">
        <f>WEEKDAY(Metas_Diarias[[#This Row],[data]])</f>
        <v>5</v>
      </c>
      <c r="H983" s="35">
        <f>IF(Metas_Diarias[[#This Row],[dias_da_demana]]=1,"domingo",IF(Metas_Diarias[[#This Row],[dias_da_demana]]=7,0.5,1))</f>
        <v>1</v>
      </c>
      <c r="I983" s="35">
        <f>_xlfn.XLOOKUP(Metas_Diarias[[#This Row],[data]],Feriados[Data],Feriados[Feriado],1)</f>
        <v>1</v>
      </c>
      <c r="J983" s="33" cm="1">
        <f t="array" aca="1" ref="J983" ca="1">SUMPRODUCT(IF((NOT(ISERROR(MATCH(ROW(INDIRECT(DATE(YEAR(B983),MONTH(B983),1)&amp;":"&amp;DATE(YEAR(B983),MONTH(B983)+1,0))),Feriados[Data],0))))=FALSE,
IF(WEEKDAY(ROW(INDIRECT(DATE(YEAR(B983),MONTH(B983),1)&amp;":"&amp;DATE(YEAR(B983),MONTH(B983)+1,0))),2)&lt;=5,1,IF(WEEKDAY(ROW(INDIRECT(DATE(YEAR(B983),MONTH(B983),1)&amp;":"&amp;DATE(YEAR(B983),MONTH(B983)+1,0))),2)=6,0.5,0)),0))</f>
        <v>24</v>
      </c>
      <c r="K983" s="22" cm="1">
        <f t="array" ref="K983">_xlfn.XLOOKUP(1,((Metas_Diarias[[#This Row],[tipo_equipe_id]]=Metas[equipe])*(Metas_Diarias[[#This Row],[data]]&gt;Metas[data_inicio])*(Metas_Diarias[[#This Row],[data]]&lt;Metas[data_fim])),Metas[meta_mensal],0)</f>
        <v>65000</v>
      </c>
      <c r="L983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84" spans="2:12" x14ac:dyDescent="0.3">
      <c r="B984" s="34">
        <v>45905</v>
      </c>
      <c r="C984" s="34" t="str">
        <f>TEXT(Metas_Diarias[[#This Row],[data]],"dddd")</f>
        <v>sexta-feira</v>
      </c>
      <c r="D984" s="33">
        <v>5</v>
      </c>
      <c r="E984" s="33">
        <v>5</v>
      </c>
      <c r="F984" s="18"/>
      <c r="G984" s="35">
        <f>WEEKDAY(Metas_Diarias[[#This Row],[data]])</f>
        <v>6</v>
      </c>
      <c r="H984" s="35">
        <f>IF(Metas_Diarias[[#This Row],[dias_da_demana]]=1,"domingo",IF(Metas_Diarias[[#This Row],[dias_da_demana]]=7,0.5,1))</f>
        <v>1</v>
      </c>
      <c r="I984" s="35">
        <f>_xlfn.XLOOKUP(Metas_Diarias[[#This Row],[data]],Feriados[Data],Feriados[Feriado],1)</f>
        <v>1</v>
      </c>
      <c r="J984" s="33" cm="1">
        <f t="array" aca="1" ref="J984" ca="1">SUMPRODUCT(IF((NOT(ISERROR(MATCH(ROW(INDIRECT(DATE(YEAR(B984),MONTH(B984),1)&amp;":"&amp;DATE(YEAR(B984),MONTH(B984)+1,0))),Feriados[Data],0))))=FALSE,
IF(WEEKDAY(ROW(INDIRECT(DATE(YEAR(B984),MONTH(B984),1)&amp;":"&amp;DATE(YEAR(B984),MONTH(B984)+1,0))),2)&lt;=5,1,IF(WEEKDAY(ROW(INDIRECT(DATE(YEAR(B984),MONTH(B984),1)&amp;":"&amp;DATE(YEAR(B984),MONTH(B984)+1,0))),2)=6,0.5,0)),0))</f>
        <v>24</v>
      </c>
      <c r="K984" s="22" cm="1">
        <f t="array" ref="K984">_xlfn.XLOOKUP(1,((Metas_Diarias[[#This Row],[tipo_equipe_id]]=Metas[equipe])*(Metas_Diarias[[#This Row],[data]]&gt;Metas[data_inicio])*(Metas_Diarias[[#This Row],[data]]&lt;Metas[data_fim])),Metas[meta_mensal],0)</f>
        <v>65000</v>
      </c>
      <c r="L984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85" spans="2:12" x14ac:dyDescent="0.3">
      <c r="B985" s="34">
        <v>45906</v>
      </c>
      <c r="C985" s="34" t="str">
        <f>TEXT(Metas_Diarias[[#This Row],[data]],"dddd")</f>
        <v>sábado</v>
      </c>
      <c r="D985" s="33">
        <v>5</v>
      </c>
      <c r="E985" s="33">
        <v>5</v>
      </c>
      <c r="F985" s="18"/>
      <c r="G985" s="35">
        <f>WEEKDAY(Metas_Diarias[[#This Row],[data]])</f>
        <v>7</v>
      </c>
      <c r="H985" s="35">
        <f>IF(Metas_Diarias[[#This Row],[dias_da_demana]]=1,"domingo",IF(Metas_Diarias[[#This Row],[dias_da_demana]]=7,0.5,1))</f>
        <v>0.5</v>
      </c>
      <c r="I985" s="35">
        <f>_xlfn.XLOOKUP(Metas_Diarias[[#This Row],[data]],Feriados[Data],Feriados[Feriado],1)</f>
        <v>1</v>
      </c>
      <c r="J985" s="33" cm="1">
        <f t="array" aca="1" ref="J985" ca="1">SUMPRODUCT(IF((NOT(ISERROR(MATCH(ROW(INDIRECT(DATE(YEAR(B985),MONTH(B985),1)&amp;":"&amp;DATE(YEAR(B985),MONTH(B985)+1,0))),Feriados[Data],0))))=FALSE,
IF(WEEKDAY(ROW(INDIRECT(DATE(YEAR(B985),MONTH(B985),1)&amp;":"&amp;DATE(YEAR(B985),MONTH(B985)+1,0))),2)&lt;=5,1,IF(WEEKDAY(ROW(INDIRECT(DATE(YEAR(B985),MONTH(B985),1)&amp;":"&amp;DATE(YEAR(B985),MONTH(B985)+1,0))),2)=6,0.5,0)),0))</f>
        <v>24</v>
      </c>
      <c r="K985" s="22" cm="1">
        <f t="array" ref="K985">_xlfn.XLOOKUP(1,((Metas_Diarias[[#This Row],[tipo_equipe_id]]=Metas[equipe])*(Metas_Diarias[[#This Row],[data]]&gt;Metas[data_inicio])*(Metas_Diarias[[#This Row],[data]]&lt;Metas[data_fim])),Metas[meta_mensal],0)</f>
        <v>65000</v>
      </c>
      <c r="L985" s="24">
        <f ca="1">Metas_Diarias[[#This Row],[meta_mensal]]*IF(Metas_Diarias[[#This Row],[semana]]="domingo",0,Metas_Diarias[[#This Row],[semana]])*IF(Metas_Diarias[[#This Row],[feriado]]&lt;&gt;1,0,1)/Metas_Diarias[[#This Row],[dias_úteis_Mês]]</f>
        <v>1354.1666666666667</v>
      </c>
    </row>
    <row r="986" spans="2:12" x14ac:dyDescent="0.3">
      <c r="B986" s="34">
        <v>45907</v>
      </c>
      <c r="C986" s="34" t="str">
        <f>TEXT(Metas_Diarias[[#This Row],[data]],"dddd")</f>
        <v>domingo</v>
      </c>
      <c r="D986" s="33">
        <v>5</v>
      </c>
      <c r="E986" s="33">
        <v>5</v>
      </c>
      <c r="F986" s="18"/>
      <c r="G986" s="35">
        <f>WEEKDAY(Metas_Diarias[[#This Row],[data]])</f>
        <v>1</v>
      </c>
      <c r="H986" s="35" t="str">
        <f>IF(Metas_Diarias[[#This Row],[dias_da_demana]]=1,"domingo",IF(Metas_Diarias[[#This Row],[dias_da_demana]]=7,0.5,1))</f>
        <v>domingo</v>
      </c>
      <c r="I986" s="35" t="str">
        <f>_xlfn.XLOOKUP(Metas_Diarias[[#This Row],[data]],Feriados[Data],Feriados[Feriado],1)</f>
        <v>Independência do Brasil</v>
      </c>
      <c r="J986" s="33" cm="1">
        <f t="array" aca="1" ref="J986" ca="1">SUMPRODUCT(IF((NOT(ISERROR(MATCH(ROW(INDIRECT(DATE(YEAR(B986),MONTH(B986),1)&amp;":"&amp;DATE(YEAR(B986),MONTH(B986)+1,0))),Feriados[Data],0))))=FALSE,
IF(WEEKDAY(ROW(INDIRECT(DATE(YEAR(B986),MONTH(B986),1)&amp;":"&amp;DATE(YEAR(B986),MONTH(B986)+1,0))),2)&lt;=5,1,IF(WEEKDAY(ROW(INDIRECT(DATE(YEAR(B986),MONTH(B986),1)&amp;":"&amp;DATE(YEAR(B986),MONTH(B986)+1,0))),2)=6,0.5,0)),0))</f>
        <v>24</v>
      </c>
      <c r="K986" s="22" cm="1">
        <f t="array" ref="K986">_xlfn.XLOOKUP(1,((Metas_Diarias[[#This Row],[tipo_equipe_id]]=Metas[equipe])*(Metas_Diarias[[#This Row],[data]]&gt;Metas[data_inicio])*(Metas_Diarias[[#This Row],[data]]&lt;Metas[data_fim])),Metas[meta_mensal],0)</f>
        <v>65000</v>
      </c>
      <c r="L9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87" spans="2:12" x14ac:dyDescent="0.3">
      <c r="B987" s="34">
        <v>45908</v>
      </c>
      <c r="C987" s="34" t="str">
        <f>TEXT(Metas_Diarias[[#This Row],[data]],"dddd")</f>
        <v>segunda-feira</v>
      </c>
      <c r="D987" s="33">
        <v>5</v>
      </c>
      <c r="E987" s="33">
        <v>5</v>
      </c>
      <c r="F987" s="18"/>
      <c r="G987" s="35">
        <f>WEEKDAY(Metas_Diarias[[#This Row],[data]])</f>
        <v>2</v>
      </c>
      <c r="H987" s="35">
        <f>IF(Metas_Diarias[[#This Row],[dias_da_demana]]=1,"domingo",IF(Metas_Diarias[[#This Row],[dias_da_demana]]=7,0.5,1))</f>
        <v>1</v>
      </c>
      <c r="I987" s="35">
        <f>_xlfn.XLOOKUP(Metas_Diarias[[#This Row],[data]],Feriados[Data],Feriados[Feriado],1)</f>
        <v>1</v>
      </c>
      <c r="J987" s="33" cm="1">
        <f t="array" aca="1" ref="J987" ca="1">SUMPRODUCT(IF((NOT(ISERROR(MATCH(ROW(INDIRECT(DATE(YEAR(B987),MONTH(B987),1)&amp;":"&amp;DATE(YEAR(B987),MONTH(B987)+1,0))),Feriados[Data],0))))=FALSE,
IF(WEEKDAY(ROW(INDIRECT(DATE(YEAR(B987),MONTH(B987),1)&amp;":"&amp;DATE(YEAR(B987),MONTH(B987)+1,0))),2)&lt;=5,1,IF(WEEKDAY(ROW(INDIRECT(DATE(YEAR(B987),MONTH(B987),1)&amp;":"&amp;DATE(YEAR(B987),MONTH(B987)+1,0))),2)=6,0.5,0)),0))</f>
        <v>24</v>
      </c>
      <c r="K987" s="22" cm="1">
        <f t="array" ref="K987">_xlfn.XLOOKUP(1,((Metas_Diarias[[#This Row],[tipo_equipe_id]]=Metas[equipe])*(Metas_Diarias[[#This Row],[data]]&gt;Metas[data_inicio])*(Metas_Diarias[[#This Row],[data]]&lt;Metas[data_fim])),Metas[meta_mensal],0)</f>
        <v>65000</v>
      </c>
      <c r="L987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88" spans="2:12" x14ac:dyDescent="0.3">
      <c r="B988" s="34">
        <v>45909</v>
      </c>
      <c r="C988" s="34" t="str">
        <f>TEXT(Metas_Diarias[[#This Row],[data]],"dddd")</f>
        <v>terça-feira</v>
      </c>
      <c r="D988" s="33">
        <v>5</v>
      </c>
      <c r="E988" s="33">
        <v>5</v>
      </c>
      <c r="F988" s="18"/>
      <c r="G988" s="35">
        <f>WEEKDAY(Metas_Diarias[[#This Row],[data]])</f>
        <v>3</v>
      </c>
      <c r="H988" s="35">
        <f>IF(Metas_Diarias[[#This Row],[dias_da_demana]]=1,"domingo",IF(Metas_Diarias[[#This Row],[dias_da_demana]]=7,0.5,1))</f>
        <v>1</v>
      </c>
      <c r="I988" s="35">
        <f>_xlfn.XLOOKUP(Metas_Diarias[[#This Row],[data]],Feriados[Data],Feriados[Feriado],1)</f>
        <v>1</v>
      </c>
      <c r="J988" s="33" cm="1">
        <f t="array" aca="1" ref="J988" ca="1">SUMPRODUCT(IF((NOT(ISERROR(MATCH(ROW(INDIRECT(DATE(YEAR(B988),MONTH(B988),1)&amp;":"&amp;DATE(YEAR(B988),MONTH(B988)+1,0))),Feriados[Data],0))))=FALSE,
IF(WEEKDAY(ROW(INDIRECT(DATE(YEAR(B988),MONTH(B988),1)&amp;":"&amp;DATE(YEAR(B988),MONTH(B988)+1,0))),2)&lt;=5,1,IF(WEEKDAY(ROW(INDIRECT(DATE(YEAR(B988),MONTH(B988),1)&amp;":"&amp;DATE(YEAR(B988),MONTH(B988)+1,0))),2)=6,0.5,0)),0))</f>
        <v>24</v>
      </c>
      <c r="K988" s="22" cm="1">
        <f t="array" ref="K988">_xlfn.XLOOKUP(1,((Metas_Diarias[[#This Row],[tipo_equipe_id]]=Metas[equipe])*(Metas_Diarias[[#This Row],[data]]&gt;Metas[data_inicio])*(Metas_Diarias[[#This Row],[data]]&lt;Metas[data_fim])),Metas[meta_mensal],0)</f>
        <v>65000</v>
      </c>
      <c r="L988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89" spans="2:12" x14ac:dyDescent="0.3">
      <c r="B989" s="34">
        <v>45910</v>
      </c>
      <c r="C989" s="34" t="str">
        <f>TEXT(Metas_Diarias[[#This Row],[data]],"dddd")</f>
        <v>quarta-feira</v>
      </c>
      <c r="D989" s="33">
        <v>5</v>
      </c>
      <c r="E989" s="33">
        <v>5</v>
      </c>
      <c r="F989" s="18"/>
      <c r="G989" s="35">
        <f>WEEKDAY(Metas_Diarias[[#This Row],[data]])</f>
        <v>4</v>
      </c>
      <c r="H989" s="35">
        <f>IF(Metas_Diarias[[#This Row],[dias_da_demana]]=1,"domingo",IF(Metas_Diarias[[#This Row],[dias_da_demana]]=7,0.5,1))</f>
        <v>1</v>
      </c>
      <c r="I989" s="35">
        <f>_xlfn.XLOOKUP(Metas_Diarias[[#This Row],[data]],Feriados[Data],Feriados[Feriado],1)</f>
        <v>1</v>
      </c>
      <c r="J989" s="33" cm="1">
        <f t="array" aca="1" ref="J989" ca="1">SUMPRODUCT(IF((NOT(ISERROR(MATCH(ROW(INDIRECT(DATE(YEAR(B989),MONTH(B989),1)&amp;":"&amp;DATE(YEAR(B989),MONTH(B989)+1,0))),Feriados[Data],0))))=FALSE,
IF(WEEKDAY(ROW(INDIRECT(DATE(YEAR(B989),MONTH(B989),1)&amp;":"&amp;DATE(YEAR(B989),MONTH(B989)+1,0))),2)&lt;=5,1,IF(WEEKDAY(ROW(INDIRECT(DATE(YEAR(B989),MONTH(B989),1)&amp;":"&amp;DATE(YEAR(B989),MONTH(B989)+1,0))),2)=6,0.5,0)),0))</f>
        <v>24</v>
      </c>
      <c r="K989" s="22" cm="1">
        <f t="array" ref="K989">_xlfn.XLOOKUP(1,((Metas_Diarias[[#This Row],[tipo_equipe_id]]=Metas[equipe])*(Metas_Diarias[[#This Row],[data]]&gt;Metas[data_inicio])*(Metas_Diarias[[#This Row],[data]]&lt;Metas[data_fim])),Metas[meta_mensal],0)</f>
        <v>65000</v>
      </c>
      <c r="L989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90" spans="2:12" x14ac:dyDescent="0.3">
      <c r="B990" s="34">
        <v>45911</v>
      </c>
      <c r="C990" s="34" t="str">
        <f>TEXT(Metas_Diarias[[#This Row],[data]],"dddd")</f>
        <v>quinta-feira</v>
      </c>
      <c r="D990" s="33">
        <v>5</v>
      </c>
      <c r="E990" s="33">
        <v>5</v>
      </c>
      <c r="F990" s="18"/>
      <c r="G990" s="35">
        <f>WEEKDAY(Metas_Diarias[[#This Row],[data]])</f>
        <v>5</v>
      </c>
      <c r="H990" s="35">
        <f>IF(Metas_Diarias[[#This Row],[dias_da_demana]]=1,"domingo",IF(Metas_Diarias[[#This Row],[dias_da_demana]]=7,0.5,1))</f>
        <v>1</v>
      </c>
      <c r="I990" s="35">
        <f>_xlfn.XLOOKUP(Metas_Diarias[[#This Row],[data]],Feriados[Data],Feriados[Feriado],1)</f>
        <v>1</v>
      </c>
      <c r="J990" s="33" cm="1">
        <f t="array" aca="1" ref="J990" ca="1">SUMPRODUCT(IF((NOT(ISERROR(MATCH(ROW(INDIRECT(DATE(YEAR(B990),MONTH(B990),1)&amp;":"&amp;DATE(YEAR(B990),MONTH(B990)+1,0))),Feriados[Data],0))))=FALSE,
IF(WEEKDAY(ROW(INDIRECT(DATE(YEAR(B990),MONTH(B990),1)&amp;":"&amp;DATE(YEAR(B990),MONTH(B990)+1,0))),2)&lt;=5,1,IF(WEEKDAY(ROW(INDIRECT(DATE(YEAR(B990),MONTH(B990),1)&amp;":"&amp;DATE(YEAR(B990),MONTH(B990)+1,0))),2)=6,0.5,0)),0))</f>
        <v>24</v>
      </c>
      <c r="K990" s="22" cm="1">
        <f t="array" ref="K990">_xlfn.XLOOKUP(1,((Metas_Diarias[[#This Row],[tipo_equipe_id]]=Metas[equipe])*(Metas_Diarias[[#This Row],[data]]&gt;Metas[data_inicio])*(Metas_Diarias[[#This Row],[data]]&lt;Metas[data_fim])),Metas[meta_mensal],0)</f>
        <v>65000</v>
      </c>
      <c r="L990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91" spans="2:12" x14ac:dyDescent="0.3">
      <c r="B991" s="34">
        <v>45912</v>
      </c>
      <c r="C991" s="34" t="str">
        <f>TEXT(Metas_Diarias[[#This Row],[data]],"dddd")</f>
        <v>sexta-feira</v>
      </c>
      <c r="D991" s="33">
        <v>5</v>
      </c>
      <c r="E991" s="33">
        <v>5</v>
      </c>
      <c r="F991" s="18"/>
      <c r="G991" s="35">
        <f>WEEKDAY(Metas_Diarias[[#This Row],[data]])</f>
        <v>6</v>
      </c>
      <c r="H991" s="35">
        <f>IF(Metas_Diarias[[#This Row],[dias_da_demana]]=1,"domingo",IF(Metas_Diarias[[#This Row],[dias_da_demana]]=7,0.5,1))</f>
        <v>1</v>
      </c>
      <c r="I991" s="35">
        <f>_xlfn.XLOOKUP(Metas_Diarias[[#This Row],[data]],Feriados[Data],Feriados[Feriado],1)</f>
        <v>1</v>
      </c>
      <c r="J991" s="33" cm="1">
        <f t="array" aca="1" ref="J991" ca="1">SUMPRODUCT(IF((NOT(ISERROR(MATCH(ROW(INDIRECT(DATE(YEAR(B991),MONTH(B991),1)&amp;":"&amp;DATE(YEAR(B991),MONTH(B991)+1,0))),Feriados[Data],0))))=FALSE,
IF(WEEKDAY(ROW(INDIRECT(DATE(YEAR(B991),MONTH(B991),1)&amp;":"&amp;DATE(YEAR(B991),MONTH(B991)+1,0))),2)&lt;=5,1,IF(WEEKDAY(ROW(INDIRECT(DATE(YEAR(B991),MONTH(B991),1)&amp;":"&amp;DATE(YEAR(B991),MONTH(B991)+1,0))),2)=6,0.5,0)),0))</f>
        <v>24</v>
      </c>
      <c r="K991" s="22" cm="1">
        <f t="array" ref="K991">_xlfn.XLOOKUP(1,((Metas_Diarias[[#This Row],[tipo_equipe_id]]=Metas[equipe])*(Metas_Diarias[[#This Row],[data]]&gt;Metas[data_inicio])*(Metas_Diarias[[#This Row],[data]]&lt;Metas[data_fim])),Metas[meta_mensal],0)</f>
        <v>65000</v>
      </c>
      <c r="L991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92" spans="2:12" x14ac:dyDescent="0.3">
      <c r="B992" s="34">
        <v>45913</v>
      </c>
      <c r="C992" s="34" t="str">
        <f>TEXT(Metas_Diarias[[#This Row],[data]],"dddd")</f>
        <v>sábado</v>
      </c>
      <c r="D992" s="33">
        <v>5</v>
      </c>
      <c r="E992" s="33">
        <v>5</v>
      </c>
      <c r="F992" s="18"/>
      <c r="G992" s="35">
        <f>WEEKDAY(Metas_Diarias[[#This Row],[data]])</f>
        <v>7</v>
      </c>
      <c r="H992" s="35">
        <f>IF(Metas_Diarias[[#This Row],[dias_da_demana]]=1,"domingo",IF(Metas_Diarias[[#This Row],[dias_da_demana]]=7,0.5,1))</f>
        <v>0.5</v>
      </c>
      <c r="I992" s="35">
        <f>_xlfn.XLOOKUP(Metas_Diarias[[#This Row],[data]],Feriados[Data],Feriados[Feriado],1)</f>
        <v>1</v>
      </c>
      <c r="J992" s="33" cm="1">
        <f t="array" aca="1" ref="J992" ca="1">SUMPRODUCT(IF((NOT(ISERROR(MATCH(ROW(INDIRECT(DATE(YEAR(B992),MONTH(B992),1)&amp;":"&amp;DATE(YEAR(B992),MONTH(B992)+1,0))),Feriados[Data],0))))=FALSE,
IF(WEEKDAY(ROW(INDIRECT(DATE(YEAR(B992),MONTH(B992),1)&amp;":"&amp;DATE(YEAR(B992),MONTH(B992)+1,0))),2)&lt;=5,1,IF(WEEKDAY(ROW(INDIRECT(DATE(YEAR(B992),MONTH(B992),1)&amp;":"&amp;DATE(YEAR(B992),MONTH(B992)+1,0))),2)=6,0.5,0)),0))</f>
        <v>24</v>
      </c>
      <c r="K992" s="22" cm="1">
        <f t="array" ref="K992">_xlfn.XLOOKUP(1,((Metas_Diarias[[#This Row],[tipo_equipe_id]]=Metas[equipe])*(Metas_Diarias[[#This Row],[data]]&gt;Metas[data_inicio])*(Metas_Diarias[[#This Row],[data]]&lt;Metas[data_fim])),Metas[meta_mensal],0)</f>
        <v>65000</v>
      </c>
      <c r="L992" s="24">
        <f ca="1">Metas_Diarias[[#This Row],[meta_mensal]]*IF(Metas_Diarias[[#This Row],[semana]]="domingo",0,Metas_Diarias[[#This Row],[semana]])*IF(Metas_Diarias[[#This Row],[feriado]]&lt;&gt;1,0,1)/Metas_Diarias[[#This Row],[dias_úteis_Mês]]</f>
        <v>1354.1666666666667</v>
      </c>
    </row>
    <row r="993" spans="2:12" x14ac:dyDescent="0.3">
      <c r="B993" s="34">
        <v>45914</v>
      </c>
      <c r="C993" s="34" t="str">
        <f>TEXT(Metas_Diarias[[#This Row],[data]],"dddd")</f>
        <v>domingo</v>
      </c>
      <c r="D993" s="33">
        <v>5</v>
      </c>
      <c r="E993" s="33">
        <v>5</v>
      </c>
      <c r="F993" s="18"/>
      <c r="G993" s="35">
        <f>WEEKDAY(Metas_Diarias[[#This Row],[data]])</f>
        <v>1</v>
      </c>
      <c r="H993" s="35" t="str">
        <f>IF(Metas_Diarias[[#This Row],[dias_da_demana]]=1,"domingo",IF(Metas_Diarias[[#This Row],[dias_da_demana]]=7,0.5,1))</f>
        <v>domingo</v>
      </c>
      <c r="I993" s="35">
        <f>_xlfn.XLOOKUP(Metas_Diarias[[#This Row],[data]],Feriados[Data],Feriados[Feriado],1)</f>
        <v>1</v>
      </c>
      <c r="J993" s="33" cm="1">
        <f t="array" aca="1" ref="J993" ca="1">SUMPRODUCT(IF((NOT(ISERROR(MATCH(ROW(INDIRECT(DATE(YEAR(B993),MONTH(B993),1)&amp;":"&amp;DATE(YEAR(B993),MONTH(B993)+1,0))),Feriados[Data],0))))=FALSE,
IF(WEEKDAY(ROW(INDIRECT(DATE(YEAR(B993),MONTH(B993),1)&amp;":"&amp;DATE(YEAR(B993),MONTH(B993)+1,0))),2)&lt;=5,1,IF(WEEKDAY(ROW(INDIRECT(DATE(YEAR(B993),MONTH(B993),1)&amp;":"&amp;DATE(YEAR(B993),MONTH(B993)+1,0))),2)=6,0.5,0)),0))</f>
        <v>24</v>
      </c>
      <c r="K993" s="22" cm="1">
        <f t="array" ref="K993">_xlfn.XLOOKUP(1,((Metas_Diarias[[#This Row],[tipo_equipe_id]]=Metas[equipe])*(Metas_Diarias[[#This Row],[data]]&gt;Metas[data_inicio])*(Metas_Diarias[[#This Row],[data]]&lt;Metas[data_fim])),Metas[meta_mensal],0)</f>
        <v>65000</v>
      </c>
      <c r="L99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994" spans="2:12" x14ac:dyDescent="0.3">
      <c r="B994" s="34">
        <v>45915</v>
      </c>
      <c r="C994" s="34" t="str">
        <f>TEXT(Metas_Diarias[[#This Row],[data]],"dddd")</f>
        <v>segunda-feira</v>
      </c>
      <c r="D994" s="33">
        <v>5</v>
      </c>
      <c r="E994" s="33">
        <v>5</v>
      </c>
      <c r="F994" s="18"/>
      <c r="G994" s="35">
        <f>WEEKDAY(Metas_Diarias[[#This Row],[data]])</f>
        <v>2</v>
      </c>
      <c r="H994" s="35">
        <f>IF(Metas_Diarias[[#This Row],[dias_da_demana]]=1,"domingo",IF(Metas_Diarias[[#This Row],[dias_da_demana]]=7,0.5,1))</f>
        <v>1</v>
      </c>
      <c r="I994" s="35">
        <f>_xlfn.XLOOKUP(Metas_Diarias[[#This Row],[data]],Feriados[Data],Feriados[Feriado],1)</f>
        <v>1</v>
      </c>
      <c r="J994" s="33" cm="1">
        <f t="array" aca="1" ref="J994" ca="1">SUMPRODUCT(IF((NOT(ISERROR(MATCH(ROW(INDIRECT(DATE(YEAR(B994),MONTH(B994),1)&amp;":"&amp;DATE(YEAR(B994),MONTH(B994)+1,0))),Feriados[Data],0))))=FALSE,
IF(WEEKDAY(ROW(INDIRECT(DATE(YEAR(B994),MONTH(B994),1)&amp;":"&amp;DATE(YEAR(B994),MONTH(B994)+1,0))),2)&lt;=5,1,IF(WEEKDAY(ROW(INDIRECT(DATE(YEAR(B994),MONTH(B994),1)&amp;":"&amp;DATE(YEAR(B994),MONTH(B994)+1,0))),2)=6,0.5,0)),0))</f>
        <v>24</v>
      </c>
      <c r="K994" s="22" cm="1">
        <f t="array" ref="K994">_xlfn.XLOOKUP(1,((Metas_Diarias[[#This Row],[tipo_equipe_id]]=Metas[equipe])*(Metas_Diarias[[#This Row],[data]]&gt;Metas[data_inicio])*(Metas_Diarias[[#This Row],[data]]&lt;Metas[data_fim])),Metas[meta_mensal],0)</f>
        <v>65000</v>
      </c>
      <c r="L994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95" spans="2:12" x14ac:dyDescent="0.3">
      <c r="B995" s="34">
        <v>45916</v>
      </c>
      <c r="C995" s="34" t="str">
        <f>TEXT(Metas_Diarias[[#This Row],[data]],"dddd")</f>
        <v>terça-feira</v>
      </c>
      <c r="D995" s="33">
        <v>5</v>
      </c>
      <c r="E995" s="33">
        <v>5</v>
      </c>
      <c r="F995" s="18"/>
      <c r="G995" s="35">
        <f>WEEKDAY(Metas_Diarias[[#This Row],[data]])</f>
        <v>3</v>
      </c>
      <c r="H995" s="35">
        <f>IF(Metas_Diarias[[#This Row],[dias_da_demana]]=1,"domingo",IF(Metas_Diarias[[#This Row],[dias_da_demana]]=7,0.5,1))</f>
        <v>1</v>
      </c>
      <c r="I995" s="35">
        <f>_xlfn.XLOOKUP(Metas_Diarias[[#This Row],[data]],Feriados[Data],Feriados[Feriado],1)</f>
        <v>1</v>
      </c>
      <c r="J995" s="33" cm="1">
        <f t="array" aca="1" ref="J995" ca="1">SUMPRODUCT(IF((NOT(ISERROR(MATCH(ROW(INDIRECT(DATE(YEAR(B995),MONTH(B995),1)&amp;":"&amp;DATE(YEAR(B995),MONTH(B995)+1,0))),Feriados[Data],0))))=FALSE,
IF(WEEKDAY(ROW(INDIRECT(DATE(YEAR(B995),MONTH(B995),1)&amp;":"&amp;DATE(YEAR(B995),MONTH(B995)+1,0))),2)&lt;=5,1,IF(WEEKDAY(ROW(INDIRECT(DATE(YEAR(B995),MONTH(B995),1)&amp;":"&amp;DATE(YEAR(B995),MONTH(B995)+1,0))),2)=6,0.5,0)),0))</f>
        <v>24</v>
      </c>
      <c r="K995" s="22" cm="1">
        <f t="array" ref="K995">_xlfn.XLOOKUP(1,((Metas_Diarias[[#This Row],[tipo_equipe_id]]=Metas[equipe])*(Metas_Diarias[[#This Row],[data]]&gt;Metas[data_inicio])*(Metas_Diarias[[#This Row],[data]]&lt;Metas[data_fim])),Metas[meta_mensal],0)</f>
        <v>65000</v>
      </c>
      <c r="L995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96" spans="2:12" x14ac:dyDescent="0.3">
      <c r="B996" s="34">
        <v>45917</v>
      </c>
      <c r="C996" s="34" t="str">
        <f>TEXT(Metas_Diarias[[#This Row],[data]],"dddd")</f>
        <v>quarta-feira</v>
      </c>
      <c r="D996" s="33">
        <v>5</v>
      </c>
      <c r="E996" s="33">
        <v>5</v>
      </c>
      <c r="F996" s="18"/>
      <c r="G996" s="35">
        <f>WEEKDAY(Metas_Diarias[[#This Row],[data]])</f>
        <v>4</v>
      </c>
      <c r="H996" s="35">
        <f>IF(Metas_Diarias[[#This Row],[dias_da_demana]]=1,"domingo",IF(Metas_Diarias[[#This Row],[dias_da_demana]]=7,0.5,1))</f>
        <v>1</v>
      </c>
      <c r="I996" s="35">
        <f>_xlfn.XLOOKUP(Metas_Diarias[[#This Row],[data]],Feriados[Data],Feriados[Feriado],1)</f>
        <v>1</v>
      </c>
      <c r="J996" s="33" cm="1">
        <f t="array" aca="1" ref="J996" ca="1">SUMPRODUCT(IF((NOT(ISERROR(MATCH(ROW(INDIRECT(DATE(YEAR(B996),MONTH(B996),1)&amp;":"&amp;DATE(YEAR(B996),MONTH(B996)+1,0))),Feriados[Data],0))))=FALSE,
IF(WEEKDAY(ROW(INDIRECT(DATE(YEAR(B996),MONTH(B996),1)&amp;":"&amp;DATE(YEAR(B996),MONTH(B996)+1,0))),2)&lt;=5,1,IF(WEEKDAY(ROW(INDIRECT(DATE(YEAR(B996),MONTH(B996),1)&amp;":"&amp;DATE(YEAR(B996),MONTH(B996)+1,0))),2)=6,0.5,0)),0))</f>
        <v>24</v>
      </c>
      <c r="K996" s="22" cm="1">
        <f t="array" ref="K996">_xlfn.XLOOKUP(1,((Metas_Diarias[[#This Row],[tipo_equipe_id]]=Metas[equipe])*(Metas_Diarias[[#This Row],[data]]&gt;Metas[data_inicio])*(Metas_Diarias[[#This Row],[data]]&lt;Metas[data_fim])),Metas[meta_mensal],0)</f>
        <v>65000</v>
      </c>
      <c r="L996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97" spans="2:12" x14ac:dyDescent="0.3">
      <c r="B997" s="34">
        <v>45918</v>
      </c>
      <c r="C997" s="34" t="str">
        <f>TEXT(Metas_Diarias[[#This Row],[data]],"dddd")</f>
        <v>quinta-feira</v>
      </c>
      <c r="D997" s="33">
        <v>5</v>
      </c>
      <c r="E997" s="33">
        <v>5</v>
      </c>
      <c r="F997" s="18"/>
      <c r="G997" s="35">
        <f>WEEKDAY(Metas_Diarias[[#This Row],[data]])</f>
        <v>5</v>
      </c>
      <c r="H997" s="35">
        <f>IF(Metas_Diarias[[#This Row],[dias_da_demana]]=1,"domingo",IF(Metas_Diarias[[#This Row],[dias_da_demana]]=7,0.5,1))</f>
        <v>1</v>
      </c>
      <c r="I997" s="35">
        <f>_xlfn.XLOOKUP(Metas_Diarias[[#This Row],[data]],Feriados[Data],Feriados[Feriado],1)</f>
        <v>1</v>
      </c>
      <c r="J997" s="33" cm="1">
        <f t="array" aca="1" ref="J997" ca="1">SUMPRODUCT(IF((NOT(ISERROR(MATCH(ROW(INDIRECT(DATE(YEAR(B997),MONTH(B997),1)&amp;":"&amp;DATE(YEAR(B997),MONTH(B997)+1,0))),Feriados[Data],0))))=FALSE,
IF(WEEKDAY(ROW(INDIRECT(DATE(YEAR(B997),MONTH(B997),1)&amp;":"&amp;DATE(YEAR(B997),MONTH(B997)+1,0))),2)&lt;=5,1,IF(WEEKDAY(ROW(INDIRECT(DATE(YEAR(B997),MONTH(B997),1)&amp;":"&amp;DATE(YEAR(B997),MONTH(B997)+1,0))),2)=6,0.5,0)),0))</f>
        <v>24</v>
      </c>
      <c r="K997" s="22" cm="1">
        <f t="array" ref="K997">_xlfn.XLOOKUP(1,((Metas_Diarias[[#This Row],[tipo_equipe_id]]=Metas[equipe])*(Metas_Diarias[[#This Row],[data]]&gt;Metas[data_inicio])*(Metas_Diarias[[#This Row],[data]]&lt;Metas[data_fim])),Metas[meta_mensal],0)</f>
        <v>65000</v>
      </c>
      <c r="L997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98" spans="2:12" x14ac:dyDescent="0.3">
      <c r="B998" s="34">
        <v>45919</v>
      </c>
      <c r="C998" s="34" t="str">
        <f>TEXT(Metas_Diarias[[#This Row],[data]],"dddd")</f>
        <v>sexta-feira</v>
      </c>
      <c r="D998" s="33">
        <v>5</v>
      </c>
      <c r="E998" s="33">
        <v>5</v>
      </c>
      <c r="F998" s="18"/>
      <c r="G998" s="35">
        <f>WEEKDAY(Metas_Diarias[[#This Row],[data]])</f>
        <v>6</v>
      </c>
      <c r="H998" s="35">
        <f>IF(Metas_Diarias[[#This Row],[dias_da_demana]]=1,"domingo",IF(Metas_Diarias[[#This Row],[dias_da_demana]]=7,0.5,1))</f>
        <v>1</v>
      </c>
      <c r="I998" s="35">
        <f>_xlfn.XLOOKUP(Metas_Diarias[[#This Row],[data]],Feriados[Data],Feriados[Feriado],1)</f>
        <v>1</v>
      </c>
      <c r="J998" s="33" cm="1">
        <f t="array" aca="1" ref="J998" ca="1">SUMPRODUCT(IF((NOT(ISERROR(MATCH(ROW(INDIRECT(DATE(YEAR(B998),MONTH(B998),1)&amp;":"&amp;DATE(YEAR(B998),MONTH(B998)+1,0))),Feriados[Data],0))))=FALSE,
IF(WEEKDAY(ROW(INDIRECT(DATE(YEAR(B998),MONTH(B998),1)&amp;":"&amp;DATE(YEAR(B998),MONTH(B998)+1,0))),2)&lt;=5,1,IF(WEEKDAY(ROW(INDIRECT(DATE(YEAR(B998),MONTH(B998),1)&amp;":"&amp;DATE(YEAR(B998),MONTH(B998)+1,0))),2)=6,0.5,0)),0))</f>
        <v>24</v>
      </c>
      <c r="K998" s="22" cm="1">
        <f t="array" ref="K998">_xlfn.XLOOKUP(1,((Metas_Diarias[[#This Row],[tipo_equipe_id]]=Metas[equipe])*(Metas_Diarias[[#This Row],[data]]&gt;Metas[data_inicio])*(Metas_Diarias[[#This Row],[data]]&lt;Metas[data_fim])),Metas[meta_mensal],0)</f>
        <v>65000</v>
      </c>
      <c r="L998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999" spans="2:12" x14ac:dyDescent="0.3">
      <c r="B999" s="34">
        <v>45920</v>
      </c>
      <c r="C999" s="34" t="str">
        <f>TEXT(Metas_Diarias[[#This Row],[data]],"dddd")</f>
        <v>sábado</v>
      </c>
      <c r="D999" s="33">
        <v>5</v>
      </c>
      <c r="E999" s="33">
        <v>5</v>
      </c>
      <c r="F999" s="18"/>
      <c r="G999" s="35">
        <f>WEEKDAY(Metas_Diarias[[#This Row],[data]])</f>
        <v>7</v>
      </c>
      <c r="H999" s="35">
        <f>IF(Metas_Diarias[[#This Row],[dias_da_demana]]=1,"domingo",IF(Metas_Diarias[[#This Row],[dias_da_demana]]=7,0.5,1))</f>
        <v>0.5</v>
      </c>
      <c r="I999" s="35">
        <f>_xlfn.XLOOKUP(Metas_Diarias[[#This Row],[data]],Feriados[Data],Feriados[Feriado],1)</f>
        <v>1</v>
      </c>
      <c r="J999" s="33" cm="1">
        <f t="array" aca="1" ref="J999" ca="1">SUMPRODUCT(IF((NOT(ISERROR(MATCH(ROW(INDIRECT(DATE(YEAR(B999),MONTH(B999),1)&amp;":"&amp;DATE(YEAR(B999),MONTH(B999)+1,0))),Feriados[Data],0))))=FALSE,
IF(WEEKDAY(ROW(INDIRECT(DATE(YEAR(B999),MONTH(B999),1)&amp;":"&amp;DATE(YEAR(B999),MONTH(B999)+1,0))),2)&lt;=5,1,IF(WEEKDAY(ROW(INDIRECT(DATE(YEAR(B999),MONTH(B999),1)&amp;":"&amp;DATE(YEAR(B999),MONTH(B999)+1,0))),2)=6,0.5,0)),0))</f>
        <v>24</v>
      </c>
      <c r="K999" s="22" cm="1">
        <f t="array" ref="K999">_xlfn.XLOOKUP(1,((Metas_Diarias[[#This Row],[tipo_equipe_id]]=Metas[equipe])*(Metas_Diarias[[#This Row],[data]]&gt;Metas[data_inicio])*(Metas_Diarias[[#This Row],[data]]&lt;Metas[data_fim])),Metas[meta_mensal],0)</f>
        <v>65000</v>
      </c>
      <c r="L999" s="24">
        <f ca="1">Metas_Diarias[[#This Row],[meta_mensal]]*IF(Metas_Diarias[[#This Row],[semana]]="domingo",0,Metas_Diarias[[#This Row],[semana]])*IF(Metas_Diarias[[#This Row],[feriado]]&lt;&gt;1,0,1)/Metas_Diarias[[#This Row],[dias_úteis_Mês]]</f>
        <v>1354.1666666666667</v>
      </c>
    </row>
    <row r="1000" spans="2:12" x14ac:dyDescent="0.3">
      <c r="B1000" s="34">
        <v>45921</v>
      </c>
      <c r="C1000" s="34" t="str">
        <f>TEXT(Metas_Diarias[[#This Row],[data]],"dddd")</f>
        <v>domingo</v>
      </c>
      <c r="D1000" s="33">
        <v>5</v>
      </c>
      <c r="E1000" s="33">
        <v>5</v>
      </c>
      <c r="F1000" s="18"/>
      <c r="G1000" s="35">
        <f>WEEKDAY(Metas_Diarias[[#This Row],[data]])</f>
        <v>1</v>
      </c>
      <c r="H1000" s="35" t="str">
        <f>IF(Metas_Diarias[[#This Row],[dias_da_demana]]=1,"domingo",IF(Metas_Diarias[[#This Row],[dias_da_demana]]=7,0.5,1))</f>
        <v>domingo</v>
      </c>
      <c r="I1000" s="35">
        <f>_xlfn.XLOOKUP(Metas_Diarias[[#This Row],[data]],Feriados[Data],Feriados[Feriado],1)</f>
        <v>1</v>
      </c>
      <c r="J1000" s="33" cm="1">
        <f t="array" aca="1" ref="J1000" ca="1">SUMPRODUCT(IF((NOT(ISERROR(MATCH(ROW(INDIRECT(DATE(YEAR(B1000),MONTH(B1000),1)&amp;":"&amp;DATE(YEAR(B1000),MONTH(B1000)+1,0))),Feriados[Data],0))))=FALSE,
IF(WEEKDAY(ROW(INDIRECT(DATE(YEAR(B1000),MONTH(B1000),1)&amp;":"&amp;DATE(YEAR(B1000),MONTH(B1000)+1,0))),2)&lt;=5,1,IF(WEEKDAY(ROW(INDIRECT(DATE(YEAR(B1000),MONTH(B1000),1)&amp;":"&amp;DATE(YEAR(B1000),MONTH(B1000)+1,0))),2)=6,0.5,0)),0))</f>
        <v>24</v>
      </c>
      <c r="K1000" s="22" cm="1">
        <f t="array" ref="K1000">_xlfn.XLOOKUP(1,((Metas_Diarias[[#This Row],[tipo_equipe_id]]=Metas[equipe])*(Metas_Diarias[[#This Row],[data]]&gt;Metas[data_inicio])*(Metas_Diarias[[#This Row],[data]]&lt;Metas[data_fim])),Metas[meta_mensal],0)</f>
        <v>65000</v>
      </c>
      <c r="L100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01" spans="2:12" x14ac:dyDescent="0.3">
      <c r="B1001" s="34">
        <v>45922</v>
      </c>
      <c r="C1001" s="34" t="str">
        <f>TEXT(Metas_Diarias[[#This Row],[data]],"dddd")</f>
        <v>segunda-feira</v>
      </c>
      <c r="D1001" s="33">
        <v>5</v>
      </c>
      <c r="E1001" s="33">
        <v>5</v>
      </c>
      <c r="F1001" s="18"/>
      <c r="G1001" s="35">
        <f>WEEKDAY(Metas_Diarias[[#This Row],[data]])</f>
        <v>2</v>
      </c>
      <c r="H1001" s="35">
        <f>IF(Metas_Diarias[[#This Row],[dias_da_demana]]=1,"domingo",IF(Metas_Diarias[[#This Row],[dias_da_demana]]=7,0.5,1))</f>
        <v>1</v>
      </c>
      <c r="I1001" s="35">
        <f>_xlfn.XLOOKUP(Metas_Diarias[[#This Row],[data]],Feriados[Data],Feriados[Feriado],1)</f>
        <v>1</v>
      </c>
      <c r="J1001" s="33" cm="1">
        <f t="array" aca="1" ref="J1001" ca="1">SUMPRODUCT(IF((NOT(ISERROR(MATCH(ROW(INDIRECT(DATE(YEAR(B1001),MONTH(B1001),1)&amp;":"&amp;DATE(YEAR(B1001),MONTH(B1001)+1,0))),Feriados[Data],0))))=FALSE,
IF(WEEKDAY(ROW(INDIRECT(DATE(YEAR(B1001),MONTH(B1001),1)&amp;":"&amp;DATE(YEAR(B1001),MONTH(B1001)+1,0))),2)&lt;=5,1,IF(WEEKDAY(ROW(INDIRECT(DATE(YEAR(B1001),MONTH(B1001),1)&amp;":"&amp;DATE(YEAR(B1001),MONTH(B1001)+1,0))),2)=6,0.5,0)),0))</f>
        <v>24</v>
      </c>
      <c r="K1001" s="22" cm="1">
        <f t="array" ref="K1001">_xlfn.XLOOKUP(1,((Metas_Diarias[[#This Row],[tipo_equipe_id]]=Metas[equipe])*(Metas_Diarias[[#This Row],[data]]&gt;Metas[data_inicio])*(Metas_Diarias[[#This Row],[data]]&lt;Metas[data_fim])),Metas[meta_mensal],0)</f>
        <v>65000</v>
      </c>
      <c r="L1001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02" spans="2:12" x14ac:dyDescent="0.3">
      <c r="B1002" s="34">
        <v>45923</v>
      </c>
      <c r="C1002" s="34" t="str">
        <f>TEXT(Metas_Diarias[[#This Row],[data]],"dddd")</f>
        <v>terça-feira</v>
      </c>
      <c r="D1002" s="33">
        <v>5</v>
      </c>
      <c r="E1002" s="33">
        <v>5</v>
      </c>
      <c r="F1002" s="18"/>
      <c r="G1002" s="35">
        <f>WEEKDAY(Metas_Diarias[[#This Row],[data]])</f>
        <v>3</v>
      </c>
      <c r="H1002" s="35">
        <f>IF(Metas_Diarias[[#This Row],[dias_da_demana]]=1,"domingo",IF(Metas_Diarias[[#This Row],[dias_da_demana]]=7,0.5,1))</f>
        <v>1</v>
      </c>
      <c r="I1002" s="35">
        <f>_xlfn.XLOOKUP(Metas_Diarias[[#This Row],[data]],Feriados[Data],Feriados[Feriado],1)</f>
        <v>1</v>
      </c>
      <c r="J1002" s="33" cm="1">
        <f t="array" aca="1" ref="J1002" ca="1">SUMPRODUCT(IF((NOT(ISERROR(MATCH(ROW(INDIRECT(DATE(YEAR(B1002),MONTH(B1002),1)&amp;":"&amp;DATE(YEAR(B1002),MONTH(B1002)+1,0))),Feriados[Data],0))))=FALSE,
IF(WEEKDAY(ROW(INDIRECT(DATE(YEAR(B1002),MONTH(B1002),1)&amp;":"&amp;DATE(YEAR(B1002),MONTH(B1002)+1,0))),2)&lt;=5,1,IF(WEEKDAY(ROW(INDIRECT(DATE(YEAR(B1002),MONTH(B1002),1)&amp;":"&amp;DATE(YEAR(B1002),MONTH(B1002)+1,0))),2)=6,0.5,0)),0))</f>
        <v>24</v>
      </c>
      <c r="K1002" s="22" cm="1">
        <f t="array" ref="K1002">_xlfn.XLOOKUP(1,((Metas_Diarias[[#This Row],[tipo_equipe_id]]=Metas[equipe])*(Metas_Diarias[[#This Row],[data]]&gt;Metas[data_inicio])*(Metas_Diarias[[#This Row],[data]]&lt;Metas[data_fim])),Metas[meta_mensal],0)</f>
        <v>65000</v>
      </c>
      <c r="L1002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03" spans="2:12" x14ac:dyDescent="0.3">
      <c r="B1003" s="34">
        <v>45924</v>
      </c>
      <c r="C1003" s="34" t="str">
        <f>TEXT(Metas_Diarias[[#This Row],[data]],"dddd")</f>
        <v>quarta-feira</v>
      </c>
      <c r="D1003" s="33">
        <v>5</v>
      </c>
      <c r="E1003" s="33">
        <v>5</v>
      </c>
      <c r="F1003" s="18"/>
      <c r="G1003" s="35">
        <f>WEEKDAY(Metas_Diarias[[#This Row],[data]])</f>
        <v>4</v>
      </c>
      <c r="H1003" s="35">
        <f>IF(Metas_Diarias[[#This Row],[dias_da_demana]]=1,"domingo",IF(Metas_Diarias[[#This Row],[dias_da_demana]]=7,0.5,1))</f>
        <v>1</v>
      </c>
      <c r="I1003" s="35">
        <f>_xlfn.XLOOKUP(Metas_Diarias[[#This Row],[data]],Feriados[Data],Feriados[Feriado],1)</f>
        <v>1</v>
      </c>
      <c r="J1003" s="33" cm="1">
        <f t="array" aca="1" ref="J1003" ca="1">SUMPRODUCT(IF((NOT(ISERROR(MATCH(ROW(INDIRECT(DATE(YEAR(B1003),MONTH(B1003),1)&amp;":"&amp;DATE(YEAR(B1003),MONTH(B1003)+1,0))),Feriados[Data],0))))=FALSE,
IF(WEEKDAY(ROW(INDIRECT(DATE(YEAR(B1003),MONTH(B1003),1)&amp;":"&amp;DATE(YEAR(B1003),MONTH(B1003)+1,0))),2)&lt;=5,1,IF(WEEKDAY(ROW(INDIRECT(DATE(YEAR(B1003),MONTH(B1003),1)&amp;":"&amp;DATE(YEAR(B1003),MONTH(B1003)+1,0))),2)=6,0.5,0)),0))</f>
        <v>24</v>
      </c>
      <c r="K1003" s="22" cm="1">
        <f t="array" ref="K1003">_xlfn.XLOOKUP(1,((Metas_Diarias[[#This Row],[tipo_equipe_id]]=Metas[equipe])*(Metas_Diarias[[#This Row],[data]]&gt;Metas[data_inicio])*(Metas_Diarias[[#This Row],[data]]&lt;Metas[data_fim])),Metas[meta_mensal],0)</f>
        <v>65000</v>
      </c>
      <c r="L1003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04" spans="2:12" x14ac:dyDescent="0.3">
      <c r="B1004" s="34">
        <v>45925</v>
      </c>
      <c r="C1004" s="34" t="str">
        <f>TEXT(Metas_Diarias[[#This Row],[data]],"dddd")</f>
        <v>quinta-feira</v>
      </c>
      <c r="D1004" s="33">
        <v>5</v>
      </c>
      <c r="E1004" s="33">
        <v>5</v>
      </c>
      <c r="F1004" s="18"/>
      <c r="G1004" s="35">
        <f>WEEKDAY(Metas_Diarias[[#This Row],[data]])</f>
        <v>5</v>
      </c>
      <c r="H1004" s="35">
        <f>IF(Metas_Diarias[[#This Row],[dias_da_demana]]=1,"domingo",IF(Metas_Diarias[[#This Row],[dias_da_demana]]=7,0.5,1))</f>
        <v>1</v>
      </c>
      <c r="I1004" s="35">
        <f>_xlfn.XLOOKUP(Metas_Diarias[[#This Row],[data]],Feriados[Data],Feriados[Feriado],1)</f>
        <v>1</v>
      </c>
      <c r="J1004" s="33" cm="1">
        <f t="array" aca="1" ref="J1004" ca="1">SUMPRODUCT(IF((NOT(ISERROR(MATCH(ROW(INDIRECT(DATE(YEAR(B1004),MONTH(B1004),1)&amp;":"&amp;DATE(YEAR(B1004),MONTH(B1004)+1,0))),Feriados[Data],0))))=FALSE,
IF(WEEKDAY(ROW(INDIRECT(DATE(YEAR(B1004),MONTH(B1004),1)&amp;":"&amp;DATE(YEAR(B1004),MONTH(B1004)+1,0))),2)&lt;=5,1,IF(WEEKDAY(ROW(INDIRECT(DATE(YEAR(B1004),MONTH(B1004),1)&amp;":"&amp;DATE(YEAR(B1004),MONTH(B1004)+1,0))),2)=6,0.5,0)),0))</f>
        <v>24</v>
      </c>
      <c r="K1004" s="22" cm="1">
        <f t="array" ref="K1004">_xlfn.XLOOKUP(1,((Metas_Diarias[[#This Row],[tipo_equipe_id]]=Metas[equipe])*(Metas_Diarias[[#This Row],[data]]&gt;Metas[data_inicio])*(Metas_Diarias[[#This Row],[data]]&lt;Metas[data_fim])),Metas[meta_mensal],0)</f>
        <v>65000</v>
      </c>
      <c r="L1004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05" spans="2:12" x14ac:dyDescent="0.3">
      <c r="B1005" s="34">
        <v>45926</v>
      </c>
      <c r="C1005" s="34" t="str">
        <f>TEXT(Metas_Diarias[[#This Row],[data]],"dddd")</f>
        <v>sexta-feira</v>
      </c>
      <c r="D1005" s="33">
        <v>5</v>
      </c>
      <c r="E1005" s="33">
        <v>5</v>
      </c>
      <c r="F1005" s="18"/>
      <c r="G1005" s="35">
        <f>WEEKDAY(Metas_Diarias[[#This Row],[data]])</f>
        <v>6</v>
      </c>
      <c r="H1005" s="35">
        <f>IF(Metas_Diarias[[#This Row],[dias_da_demana]]=1,"domingo",IF(Metas_Diarias[[#This Row],[dias_da_demana]]=7,0.5,1))</f>
        <v>1</v>
      </c>
      <c r="I1005" s="35">
        <f>_xlfn.XLOOKUP(Metas_Diarias[[#This Row],[data]],Feriados[Data],Feriados[Feriado],1)</f>
        <v>1</v>
      </c>
      <c r="J1005" s="33" cm="1">
        <f t="array" aca="1" ref="J1005" ca="1">SUMPRODUCT(IF((NOT(ISERROR(MATCH(ROW(INDIRECT(DATE(YEAR(B1005),MONTH(B1005),1)&amp;":"&amp;DATE(YEAR(B1005),MONTH(B1005)+1,0))),Feriados[Data],0))))=FALSE,
IF(WEEKDAY(ROW(INDIRECT(DATE(YEAR(B1005),MONTH(B1005),1)&amp;":"&amp;DATE(YEAR(B1005),MONTH(B1005)+1,0))),2)&lt;=5,1,IF(WEEKDAY(ROW(INDIRECT(DATE(YEAR(B1005),MONTH(B1005),1)&amp;":"&amp;DATE(YEAR(B1005),MONTH(B1005)+1,0))),2)=6,0.5,0)),0))</f>
        <v>24</v>
      </c>
      <c r="K1005" s="22" cm="1">
        <f t="array" ref="K1005">_xlfn.XLOOKUP(1,((Metas_Diarias[[#This Row],[tipo_equipe_id]]=Metas[equipe])*(Metas_Diarias[[#This Row],[data]]&gt;Metas[data_inicio])*(Metas_Diarias[[#This Row],[data]]&lt;Metas[data_fim])),Metas[meta_mensal],0)</f>
        <v>65000</v>
      </c>
      <c r="L1005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06" spans="2:12" x14ac:dyDescent="0.3">
      <c r="B1006" s="34">
        <v>45927</v>
      </c>
      <c r="C1006" s="34" t="str">
        <f>TEXT(Metas_Diarias[[#This Row],[data]],"dddd")</f>
        <v>sábado</v>
      </c>
      <c r="D1006" s="33">
        <v>5</v>
      </c>
      <c r="E1006" s="33">
        <v>5</v>
      </c>
      <c r="F1006" s="18"/>
      <c r="G1006" s="35">
        <f>WEEKDAY(Metas_Diarias[[#This Row],[data]])</f>
        <v>7</v>
      </c>
      <c r="H1006" s="35">
        <f>IF(Metas_Diarias[[#This Row],[dias_da_demana]]=1,"domingo",IF(Metas_Diarias[[#This Row],[dias_da_demana]]=7,0.5,1))</f>
        <v>0.5</v>
      </c>
      <c r="I1006" s="35">
        <f>_xlfn.XLOOKUP(Metas_Diarias[[#This Row],[data]],Feriados[Data],Feriados[Feriado],1)</f>
        <v>1</v>
      </c>
      <c r="J1006" s="33" cm="1">
        <f t="array" aca="1" ref="J1006" ca="1">SUMPRODUCT(IF((NOT(ISERROR(MATCH(ROW(INDIRECT(DATE(YEAR(B1006),MONTH(B1006),1)&amp;":"&amp;DATE(YEAR(B1006),MONTH(B1006)+1,0))),Feriados[Data],0))))=FALSE,
IF(WEEKDAY(ROW(INDIRECT(DATE(YEAR(B1006),MONTH(B1006),1)&amp;":"&amp;DATE(YEAR(B1006),MONTH(B1006)+1,0))),2)&lt;=5,1,IF(WEEKDAY(ROW(INDIRECT(DATE(YEAR(B1006),MONTH(B1006),1)&amp;":"&amp;DATE(YEAR(B1006),MONTH(B1006)+1,0))),2)=6,0.5,0)),0))</f>
        <v>24</v>
      </c>
      <c r="K1006" s="22" cm="1">
        <f t="array" ref="K1006">_xlfn.XLOOKUP(1,((Metas_Diarias[[#This Row],[tipo_equipe_id]]=Metas[equipe])*(Metas_Diarias[[#This Row],[data]]&gt;Metas[data_inicio])*(Metas_Diarias[[#This Row],[data]]&lt;Metas[data_fim])),Metas[meta_mensal],0)</f>
        <v>65000</v>
      </c>
      <c r="L1006" s="24">
        <f ca="1">Metas_Diarias[[#This Row],[meta_mensal]]*IF(Metas_Diarias[[#This Row],[semana]]="domingo",0,Metas_Diarias[[#This Row],[semana]])*IF(Metas_Diarias[[#This Row],[feriado]]&lt;&gt;1,0,1)/Metas_Diarias[[#This Row],[dias_úteis_Mês]]</f>
        <v>1354.1666666666667</v>
      </c>
    </row>
    <row r="1007" spans="2:12" x14ac:dyDescent="0.3">
      <c r="B1007" s="34">
        <v>45928</v>
      </c>
      <c r="C1007" s="34" t="str">
        <f>TEXT(Metas_Diarias[[#This Row],[data]],"dddd")</f>
        <v>domingo</v>
      </c>
      <c r="D1007" s="33">
        <v>5</v>
      </c>
      <c r="E1007" s="33">
        <v>5</v>
      </c>
      <c r="F1007" s="18"/>
      <c r="G1007" s="35">
        <f>WEEKDAY(Metas_Diarias[[#This Row],[data]])</f>
        <v>1</v>
      </c>
      <c r="H1007" s="35" t="str">
        <f>IF(Metas_Diarias[[#This Row],[dias_da_demana]]=1,"domingo",IF(Metas_Diarias[[#This Row],[dias_da_demana]]=7,0.5,1))</f>
        <v>domingo</v>
      </c>
      <c r="I1007" s="35">
        <f>_xlfn.XLOOKUP(Metas_Diarias[[#This Row],[data]],Feriados[Data],Feriados[Feriado],1)</f>
        <v>1</v>
      </c>
      <c r="J1007" s="33" cm="1">
        <f t="array" aca="1" ref="J1007" ca="1">SUMPRODUCT(IF((NOT(ISERROR(MATCH(ROW(INDIRECT(DATE(YEAR(B1007),MONTH(B1007),1)&amp;":"&amp;DATE(YEAR(B1007),MONTH(B1007)+1,0))),Feriados[Data],0))))=FALSE,
IF(WEEKDAY(ROW(INDIRECT(DATE(YEAR(B1007),MONTH(B1007),1)&amp;":"&amp;DATE(YEAR(B1007),MONTH(B1007)+1,0))),2)&lt;=5,1,IF(WEEKDAY(ROW(INDIRECT(DATE(YEAR(B1007),MONTH(B1007),1)&amp;":"&amp;DATE(YEAR(B1007),MONTH(B1007)+1,0))),2)=6,0.5,0)),0))</f>
        <v>24</v>
      </c>
      <c r="K1007" s="22" cm="1">
        <f t="array" ref="K1007">_xlfn.XLOOKUP(1,((Metas_Diarias[[#This Row],[tipo_equipe_id]]=Metas[equipe])*(Metas_Diarias[[#This Row],[data]]&gt;Metas[data_inicio])*(Metas_Diarias[[#This Row],[data]]&lt;Metas[data_fim])),Metas[meta_mensal],0)</f>
        <v>65000</v>
      </c>
      <c r="L10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08" spans="2:12" x14ac:dyDescent="0.3">
      <c r="B1008" s="34">
        <v>45929</v>
      </c>
      <c r="C1008" s="34" t="str">
        <f>TEXT(Metas_Diarias[[#This Row],[data]],"dddd")</f>
        <v>segunda-feira</v>
      </c>
      <c r="D1008" s="33">
        <v>5</v>
      </c>
      <c r="E1008" s="33">
        <v>5</v>
      </c>
      <c r="F1008" s="18"/>
      <c r="G1008" s="35">
        <f>WEEKDAY(Metas_Diarias[[#This Row],[data]])</f>
        <v>2</v>
      </c>
      <c r="H1008" s="35">
        <f>IF(Metas_Diarias[[#This Row],[dias_da_demana]]=1,"domingo",IF(Metas_Diarias[[#This Row],[dias_da_demana]]=7,0.5,1))</f>
        <v>1</v>
      </c>
      <c r="I1008" s="35">
        <f>_xlfn.XLOOKUP(Metas_Diarias[[#This Row],[data]],Feriados[Data],Feriados[Feriado],1)</f>
        <v>1</v>
      </c>
      <c r="J1008" s="33" cm="1">
        <f t="array" aca="1" ref="J1008" ca="1">SUMPRODUCT(IF((NOT(ISERROR(MATCH(ROW(INDIRECT(DATE(YEAR(B1008),MONTH(B1008),1)&amp;":"&amp;DATE(YEAR(B1008),MONTH(B1008)+1,0))),Feriados[Data],0))))=FALSE,
IF(WEEKDAY(ROW(INDIRECT(DATE(YEAR(B1008),MONTH(B1008),1)&amp;":"&amp;DATE(YEAR(B1008),MONTH(B1008)+1,0))),2)&lt;=5,1,IF(WEEKDAY(ROW(INDIRECT(DATE(YEAR(B1008),MONTH(B1008),1)&amp;":"&amp;DATE(YEAR(B1008),MONTH(B1008)+1,0))),2)=6,0.5,0)),0))</f>
        <v>24</v>
      </c>
      <c r="K1008" s="22" cm="1">
        <f t="array" ref="K1008">_xlfn.XLOOKUP(1,((Metas_Diarias[[#This Row],[tipo_equipe_id]]=Metas[equipe])*(Metas_Diarias[[#This Row],[data]]&gt;Metas[data_inicio])*(Metas_Diarias[[#This Row],[data]]&lt;Metas[data_fim])),Metas[meta_mensal],0)</f>
        <v>65000</v>
      </c>
      <c r="L1008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09" spans="2:12" x14ac:dyDescent="0.3">
      <c r="B1009" s="34">
        <v>45930</v>
      </c>
      <c r="C1009" s="34" t="str">
        <f>TEXT(Metas_Diarias[[#This Row],[data]],"dddd")</f>
        <v>terça-feira</v>
      </c>
      <c r="D1009" s="33">
        <v>5</v>
      </c>
      <c r="E1009" s="33">
        <v>5</v>
      </c>
      <c r="F1009" s="18"/>
      <c r="G1009" s="35">
        <f>WEEKDAY(Metas_Diarias[[#This Row],[data]])</f>
        <v>3</v>
      </c>
      <c r="H1009" s="35">
        <f>IF(Metas_Diarias[[#This Row],[dias_da_demana]]=1,"domingo",IF(Metas_Diarias[[#This Row],[dias_da_demana]]=7,0.5,1))</f>
        <v>1</v>
      </c>
      <c r="I1009" s="35">
        <f>_xlfn.XLOOKUP(Metas_Diarias[[#This Row],[data]],Feriados[Data],Feriados[Feriado],1)</f>
        <v>1</v>
      </c>
      <c r="J1009" s="33" cm="1">
        <f t="array" aca="1" ref="J1009" ca="1">SUMPRODUCT(IF((NOT(ISERROR(MATCH(ROW(INDIRECT(DATE(YEAR(B1009),MONTH(B1009),1)&amp;":"&amp;DATE(YEAR(B1009),MONTH(B1009)+1,0))),Feriados[Data],0))))=FALSE,
IF(WEEKDAY(ROW(INDIRECT(DATE(YEAR(B1009),MONTH(B1009),1)&amp;":"&amp;DATE(YEAR(B1009),MONTH(B1009)+1,0))),2)&lt;=5,1,IF(WEEKDAY(ROW(INDIRECT(DATE(YEAR(B1009),MONTH(B1009),1)&amp;":"&amp;DATE(YEAR(B1009),MONTH(B1009)+1,0))),2)=6,0.5,0)),0))</f>
        <v>24</v>
      </c>
      <c r="K1009" s="22" cm="1">
        <f t="array" ref="K1009">_xlfn.XLOOKUP(1,((Metas_Diarias[[#This Row],[tipo_equipe_id]]=Metas[equipe])*(Metas_Diarias[[#This Row],[data]]&gt;Metas[data_inicio])*(Metas_Diarias[[#This Row],[data]]&lt;Metas[data_fim])),Metas[meta_mensal],0)</f>
        <v>65000</v>
      </c>
      <c r="L1009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10" spans="2:12" x14ac:dyDescent="0.3">
      <c r="B1010" s="34">
        <v>45931</v>
      </c>
      <c r="C1010" s="34" t="str">
        <f>TEXT(Metas_Diarias[[#This Row],[data]],"dddd")</f>
        <v>quarta-feira</v>
      </c>
      <c r="D1010" s="33">
        <v>5</v>
      </c>
      <c r="E1010" s="33">
        <v>5</v>
      </c>
      <c r="F1010" s="18"/>
      <c r="G1010" s="35">
        <f>WEEKDAY(Metas_Diarias[[#This Row],[data]])</f>
        <v>4</v>
      </c>
      <c r="H1010" s="35">
        <f>IF(Metas_Diarias[[#This Row],[dias_da_demana]]=1,"domingo",IF(Metas_Diarias[[#This Row],[dias_da_demana]]=7,0.5,1))</f>
        <v>1</v>
      </c>
      <c r="I1010" s="35">
        <f>_xlfn.XLOOKUP(Metas_Diarias[[#This Row],[data]],Feriados[Data],Feriados[Feriado],1)</f>
        <v>1</v>
      </c>
      <c r="J1010" s="33" cm="1">
        <f t="array" aca="1" ref="J1010" ca="1">SUMPRODUCT(IF((NOT(ISERROR(MATCH(ROW(INDIRECT(DATE(YEAR(B1010),MONTH(B1010),1)&amp;":"&amp;DATE(YEAR(B1010),MONTH(B1010)+1,0))),Feriados[Data],0))))=FALSE,
IF(WEEKDAY(ROW(INDIRECT(DATE(YEAR(B1010),MONTH(B1010),1)&amp;":"&amp;DATE(YEAR(B1010),MONTH(B1010)+1,0))),2)&lt;=5,1,IF(WEEKDAY(ROW(INDIRECT(DATE(YEAR(B1010),MONTH(B1010),1)&amp;":"&amp;DATE(YEAR(B1010),MONTH(B1010)+1,0))),2)=6,0.5,0)),0))</f>
        <v>25</v>
      </c>
      <c r="K1010" s="22" cm="1">
        <f t="array" ref="K1010">_xlfn.XLOOKUP(1,((Metas_Diarias[[#This Row],[tipo_equipe_id]]=Metas[equipe])*(Metas_Diarias[[#This Row],[data]]&gt;Metas[data_inicio])*(Metas_Diarias[[#This Row],[data]]&lt;Metas[data_fim])),Metas[meta_mensal],0)</f>
        <v>65000</v>
      </c>
      <c r="L1010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11" spans="2:12" x14ac:dyDescent="0.3">
      <c r="B1011" s="34">
        <v>45932</v>
      </c>
      <c r="C1011" s="34" t="str">
        <f>TEXT(Metas_Diarias[[#This Row],[data]],"dddd")</f>
        <v>quinta-feira</v>
      </c>
      <c r="D1011" s="33">
        <v>5</v>
      </c>
      <c r="E1011" s="33">
        <v>5</v>
      </c>
      <c r="F1011" s="18"/>
      <c r="G1011" s="35">
        <f>WEEKDAY(Metas_Diarias[[#This Row],[data]])</f>
        <v>5</v>
      </c>
      <c r="H1011" s="35">
        <f>IF(Metas_Diarias[[#This Row],[dias_da_demana]]=1,"domingo",IF(Metas_Diarias[[#This Row],[dias_da_demana]]=7,0.5,1))</f>
        <v>1</v>
      </c>
      <c r="I1011" s="35">
        <f>_xlfn.XLOOKUP(Metas_Diarias[[#This Row],[data]],Feriados[Data],Feriados[Feriado],1)</f>
        <v>1</v>
      </c>
      <c r="J1011" s="33" cm="1">
        <f t="array" aca="1" ref="J1011" ca="1">SUMPRODUCT(IF((NOT(ISERROR(MATCH(ROW(INDIRECT(DATE(YEAR(B1011),MONTH(B1011),1)&amp;":"&amp;DATE(YEAR(B1011),MONTH(B1011)+1,0))),Feriados[Data],0))))=FALSE,
IF(WEEKDAY(ROW(INDIRECT(DATE(YEAR(B1011),MONTH(B1011),1)&amp;":"&amp;DATE(YEAR(B1011),MONTH(B1011)+1,0))),2)&lt;=5,1,IF(WEEKDAY(ROW(INDIRECT(DATE(YEAR(B1011),MONTH(B1011),1)&amp;":"&amp;DATE(YEAR(B1011),MONTH(B1011)+1,0))),2)=6,0.5,0)),0))</f>
        <v>25</v>
      </c>
      <c r="K1011" s="22" cm="1">
        <f t="array" ref="K1011">_xlfn.XLOOKUP(1,((Metas_Diarias[[#This Row],[tipo_equipe_id]]=Metas[equipe])*(Metas_Diarias[[#This Row],[data]]&gt;Metas[data_inicio])*(Metas_Diarias[[#This Row],[data]]&lt;Metas[data_fim])),Metas[meta_mensal],0)</f>
        <v>65000</v>
      </c>
      <c r="L1011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12" spans="2:12" x14ac:dyDescent="0.3">
      <c r="B1012" s="34">
        <v>45933</v>
      </c>
      <c r="C1012" s="34" t="str">
        <f>TEXT(Metas_Diarias[[#This Row],[data]],"dddd")</f>
        <v>sexta-feira</v>
      </c>
      <c r="D1012" s="33">
        <v>5</v>
      </c>
      <c r="E1012" s="33">
        <v>5</v>
      </c>
      <c r="F1012" s="18"/>
      <c r="G1012" s="35">
        <f>WEEKDAY(Metas_Diarias[[#This Row],[data]])</f>
        <v>6</v>
      </c>
      <c r="H1012" s="35">
        <f>IF(Metas_Diarias[[#This Row],[dias_da_demana]]=1,"domingo",IF(Metas_Diarias[[#This Row],[dias_da_demana]]=7,0.5,1))</f>
        <v>1</v>
      </c>
      <c r="I1012" s="35">
        <f>_xlfn.XLOOKUP(Metas_Diarias[[#This Row],[data]],Feriados[Data],Feriados[Feriado],1)</f>
        <v>1</v>
      </c>
      <c r="J1012" s="33" cm="1">
        <f t="array" aca="1" ref="J1012" ca="1">SUMPRODUCT(IF((NOT(ISERROR(MATCH(ROW(INDIRECT(DATE(YEAR(B1012),MONTH(B1012),1)&amp;":"&amp;DATE(YEAR(B1012),MONTH(B1012)+1,0))),Feriados[Data],0))))=FALSE,
IF(WEEKDAY(ROW(INDIRECT(DATE(YEAR(B1012),MONTH(B1012),1)&amp;":"&amp;DATE(YEAR(B1012),MONTH(B1012)+1,0))),2)&lt;=5,1,IF(WEEKDAY(ROW(INDIRECT(DATE(YEAR(B1012),MONTH(B1012),1)&amp;":"&amp;DATE(YEAR(B1012),MONTH(B1012)+1,0))),2)=6,0.5,0)),0))</f>
        <v>25</v>
      </c>
      <c r="K1012" s="22" cm="1">
        <f t="array" ref="K1012">_xlfn.XLOOKUP(1,((Metas_Diarias[[#This Row],[tipo_equipe_id]]=Metas[equipe])*(Metas_Diarias[[#This Row],[data]]&gt;Metas[data_inicio])*(Metas_Diarias[[#This Row],[data]]&lt;Metas[data_fim])),Metas[meta_mensal],0)</f>
        <v>65000</v>
      </c>
      <c r="L1012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13" spans="2:12" x14ac:dyDescent="0.3">
      <c r="B1013" s="34">
        <v>45934</v>
      </c>
      <c r="C1013" s="34" t="str">
        <f>TEXT(Metas_Diarias[[#This Row],[data]],"dddd")</f>
        <v>sábado</v>
      </c>
      <c r="D1013" s="33">
        <v>5</v>
      </c>
      <c r="E1013" s="33">
        <v>5</v>
      </c>
      <c r="F1013" s="18"/>
      <c r="G1013" s="35">
        <f>WEEKDAY(Metas_Diarias[[#This Row],[data]])</f>
        <v>7</v>
      </c>
      <c r="H1013" s="35">
        <f>IF(Metas_Diarias[[#This Row],[dias_da_demana]]=1,"domingo",IF(Metas_Diarias[[#This Row],[dias_da_demana]]=7,0.5,1))</f>
        <v>0.5</v>
      </c>
      <c r="I1013" s="35">
        <f>_xlfn.XLOOKUP(Metas_Diarias[[#This Row],[data]],Feriados[Data],Feriados[Feriado],1)</f>
        <v>1</v>
      </c>
      <c r="J1013" s="33" cm="1">
        <f t="array" aca="1" ref="J1013" ca="1">SUMPRODUCT(IF((NOT(ISERROR(MATCH(ROW(INDIRECT(DATE(YEAR(B1013),MONTH(B1013),1)&amp;":"&amp;DATE(YEAR(B1013),MONTH(B1013)+1,0))),Feriados[Data],0))))=FALSE,
IF(WEEKDAY(ROW(INDIRECT(DATE(YEAR(B1013),MONTH(B1013),1)&amp;":"&amp;DATE(YEAR(B1013),MONTH(B1013)+1,0))),2)&lt;=5,1,IF(WEEKDAY(ROW(INDIRECT(DATE(YEAR(B1013),MONTH(B1013),1)&amp;":"&amp;DATE(YEAR(B1013),MONTH(B1013)+1,0))),2)=6,0.5,0)),0))</f>
        <v>25</v>
      </c>
      <c r="K1013" s="22" cm="1">
        <f t="array" ref="K1013">_xlfn.XLOOKUP(1,((Metas_Diarias[[#This Row],[tipo_equipe_id]]=Metas[equipe])*(Metas_Diarias[[#This Row],[data]]&gt;Metas[data_inicio])*(Metas_Diarias[[#This Row],[data]]&lt;Metas[data_fim])),Metas[meta_mensal],0)</f>
        <v>65000</v>
      </c>
      <c r="L1013" s="24">
        <f ca="1">Metas_Diarias[[#This Row],[meta_mensal]]*IF(Metas_Diarias[[#This Row],[semana]]="domingo",0,Metas_Diarias[[#This Row],[semana]])*IF(Metas_Diarias[[#This Row],[feriado]]&lt;&gt;1,0,1)/Metas_Diarias[[#This Row],[dias_úteis_Mês]]</f>
        <v>1300</v>
      </c>
    </row>
    <row r="1014" spans="2:12" x14ac:dyDescent="0.3">
      <c r="B1014" s="34">
        <v>45935</v>
      </c>
      <c r="C1014" s="34" t="str">
        <f>TEXT(Metas_Diarias[[#This Row],[data]],"dddd")</f>
        <v>domingo</v>
      </c>
      <c r="D1014" s="33">
        <v>5</v>
      </c>
      <c r="E1014" s="33">
        <v>5</v>
      </c>
      <c r="F1014" s="18"/>
      <c r="G1014" s="35">
        <f>WEEKDAY(Metas_Diarias[[#This Row],[data]])</f>
        <v>1</v>
      </c>
      <c r="H1014" s="35" t="str">
        <f>IF(Metas_Diarias[[#This Row],[dias_da_demana]]=1,"domingo",IF(Metas_Diarias[[#This Row],[dias_da_demana]]=7,0.5,1))</f>
        <v>domingo</v>
      </c>
      <c r="I1014" s="35">
        <f>_xlfn.XLOOKUP(Metas_Diarias[[#This Row],[data]],Feriados[Data],Feriados[Feriado],1)</f>
        <v>1</v>
      </c>
      <c r="J1014" s="33" cm="1">
        <f t="array" aca="1" ref="J1014" ca="1">SUMPRODUCT(IF((NOT(ISERROR(MATCH(ROW(INDIRECT(DATE(YEAR(B1014),MONTH(B1014),1)&amp;":"&amp;DATE(YEAR(B1014),MONTH(B1014)+1,0))),Feriados[Data],0))))=FALSE,
IF(WEEKDAY(ROW(INDIRECT(DATE(YEAR(B1014),MONTH(B1014),1)&amp;":"&amp;DATE(YEAR(B1014),MONTH(B1014)+1,0))),2)&lt;=5,1,IF(WEEKDAY(ROW(INDIRECT(DATE(YEAR(B1014),MONTH(B1014),1)&amp;":"&amp;DATE(YEAR(B1014),MONTH(B1014)+1,0))),2)=6,0.5,0)),0))</f>
        <v>25</v>
      </c>
      <c r="K1014" s="22" cm="1">
        <f t="array" ref="K1014">_xlfn.XLOOKUP(1,((Metas_Diarias[[#This Row],[tipo_equipe_id]]=Metas[equipe])*(Metas_Diarias[[#This Row],[data]]&gt;Metas[data_inicio])*(Metas_Diarias[[#This Row],[data]]&lt;Metas[data_fim])),Metas[meta_mensal],0)</f>
        <v>65000</v>
      </c>
      <c r="L10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15" spans="2:12" x14ac:dyDescent="0.3">
      <c r="B1015" s="34">
        <v>45936</v>
      </c>
      <c r="C1015" s="34" t="str">
        <f>TEXT(Metas_Diarias[[#This Row],[data]],"dddd")</f>
        <v>segunda-feira</v>
      </c>
      <c r="D1015" s="33">
        <v>5</v>
      </c>
      <c r="E1015" s="33">
        <v>5</v>
      </c>
      <c r="F1015" s="18"/>
      <c r="G1015" s="35">
        <f>WEEKDAY(Metas_Diarias[[#This Row],[data]])</f>
        <v>2</v>
      </c>
      <c r="H1015" s="35">
        <f>IF(Metas_Diarias[[#This Row],[dias_da_demana]]=1,"domingo",IF(Metas_Diarias[[#This Row],[dias_da_demana]]=7,0.5,1))</f>
        <v>1</v>
      </c>
      <c r="I1015" s="35">
        <f>_xlfn.XLOOKUP(Metas_Diarias[[#This Row],[data]],Feriados[Data],Feriados[Feriado],1)</f>
        <v>1</v>
      </c>
      <c r="J1015" s="33" cm="1">
        <f t="array" aca="1" ref="J1015" ca="1">SUMPRODUCT(IF((NOT(ISERROR(MATCH(ROW(INDIRECT(DATE(YEAR(B1015),MONTH(B1015),1)&amp;":"&amp;DATE(YEAR(B1015),MONTH(B1015)+1,0))),Feriados[Data],0))))=FALSE,
IF(WEEKDAY(ROW(INDIRECT(DATE(YEAR(B1015),MONTH(B1015),1)&amp;":"&amp;DATE(YEAR(B1015),MONTH(B1015)+1,0))),2)&lt;=5,1,IF(WEEKDAY(ROW(INDIRECT(DATE(YEAR(B1015),MONTH(B1015),1)&amp;":"&amp;DATE(YEAR(B1015),MONTH(B1015)+1,0))),2)=6,0.5,0)),0))</f>
        <v>25</v>
      </c>
      <c r="K1015" s="22" cm="1">
        <f t="array" ref="K1015">_xlfn.XLOOKUP(1,((Metas_Diarias[[#This Row],[tipo_equipe_id]]=Metas[equipe])*(Metas_Diarias[[#This Row],[data]]&gt;Metas[data_inicio])*(Metas_Diarias[[#This Row],[data]]&lt;Metas[data_fim])),Metas[meta_mensal],0)</f>
        <v>65000</v>
      </c>
      <c r="L1015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16" spans="2:12" x14ac:dyDescent="0.3">
      <c r="B1016" s="34">
        <v>45937</v>
      </c>
      <c r="C1016" s="34" t="str">
        <f>TEXT(Metas_Diarias[[#This Row],[data]],"dddd")</f>
        <v>terça-feira</v>
      </c>
      <c r="D1016" s="33">
        <v>5</v>
      </c>
      <c r="E1016" s="33">
        <v>5</v>
      </c>
      <c r="F1016" s="18"/>
      <c r="G1016" s="35">
        <f>WEEKDAY(Metas_Diarias[[#This Row],[data]])</f>
        <v>3</v>
      </c>
      <c r="H1016" s="35">
        <f>IF(Metas_Diarias[[#This Row],[dias_da_demana]]=1,"domingo",IF(Metas_Diarias[[#This Row],[dias_da_demana]]=7,0.5,1))</f>
        <v>1</v>
      </c>
      <c r="I1016" s="35">
        <f>_xlfn.XLOOKUP(Metas_Diarias[[#This Row],[data]],Feriados[Data],Feriados[Feriado],1)</f>
        <v>1</v>
      </c>
      <c r="J1016" s="33" cm="1">
        <f t="array" aca="1" ref="J1016" ca="1">SUMPRODUCT(IF((NOT(ISERROR(MATCH(ROW(INDIRECT(DATE(YEAR(B1016),MONTH(B1016),1)&amp;":"&amp;DATE(YEAR(B1016),MONTH(B1016)+1,0))),Feriados[Data],0))))=FALSE,
IF(WEEKDAY(ROW(INDIRECT(DATE(YEAR(B1016),MONTH(B1016),1)&amp;":"&amp;DATE(YEAR(B1016),MONTH(B1016)+1,0))),2)&lt;=5,1,IF(WEEKDAY(ROW(INDIRECT(DATE(YEAR(B1016),MONTH(B1016),1)&amp;":"&amp;DATE(YEAR(B1016),MONTH(B1016)+1,0))),2)=6,0.5,0)),0))</f>
        <v>25</v>
      </c>
      <c r="K1016" s="22" cm="1">
        <f t="array" ref="K1016">_xlfn.XLOOKUP(1,((Metas_Diarias[[#This Row],[tipo_equipe_id]]=Metas[equipe])*(Metas_Diarias[[#This Row],[data]]&gt;Metas[data_inicio])*(Metas_Diarias[[#This Row],[data]]&lt;Metas[data_fim])),Metas[meta_mensal],0)</f>
        <v>65000</v>
      </c>
      <c r="L1016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17" spans="2:12" x14ac:dyDescent="0.3">
      <c r="B1017" s="34">
        <v>45938</v>
      </c>
      <c r="C1017" s="34" t="str">
        <f>TEXT(Metas_Diarias[[#This Row],[data]],"dddd")</f>
        <v>quarta-feira</v>
      </c>
      <c r="D1017" s="33">
        <v>5</v>
      </c>
      <c r="E1017" s="33">
        <v>5</v>
      </c>
      <c r="F1017" s="18"/>
      <c r="G1017" s="35">
        <f>WEEKDAY(Metas_Diarias[[#This Row],[data]])</f>
        <v>4</v>
      </c>
      <c r="H1017" s="35">
        <f>IF(Metas_Diarias[[#This Row],[dias_da_demana]]=1,"domingo",IF(Metas_Diarias[[#This Row],[dias_da_demana]]=7,0.5,1))</f>
        <v>1</v>
      </c>
      <c r="I1017" s="35">
        <f>_xlfn.XLOOKUP(Metas_Diarias[[#This Row],[data]],Feriados[Data],Feriados[Feriado],1)</f>
        <v>1</v>
      </c>
      <c r="J1017" s="33" cm="1">
        <f t="array" aca="1" ref="J1017" ca="1">SUMPRODUCT(IF((NOT(ISERROR(MATCH(ROW(INDIRECT(DATE(YEAR(B1017),MONTH(B1017),1)&amp;":"&amp;DATE(YEAR(B1017),MONTH(B1017)+1,0))),Feriados[Data],0))))=FALSE,
IF(WEEKDAY(ROW(INDIRECT(DATE(YEAR(B1017),MONTH(B1017),1)&amp;":"&amp;DATE(YEAR(B1017),MONTH(B1017)+1,0))),2)&lt;=5,1,IF(WEEKDAY(ROW(INDIRECT(DATE(YEAR(B1017),MONTH(B1017),1)&amp;":"&amp;DATE(YEAR(B1017),MONTH(B1017)+1,0))),2)=6,0.5,0)),0))</f>
        <v>25</v>
      </c>
      <c r="K1017" s="22" cm="1">
        <f t="array" ref="K1017">_xlfn.XLOOKUP(1,((Metas_Diarias[[#This Row],[tipo_equipe_id]]=Metas[equipe])*(Metas_Diarias[[#This Row],[data]]&gt;Metas[data_inicio])*(Metas_Diarias[[#This Row],[data]]&lt;Metas[data_fim])),Metas[meta_mensal],0)</f>
        <v>65000</v>
      </c>
      <c r="L1017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18" spans="2:12" x14ac:dyDescent="0.3">
      <c r="B1018" s="34">
        <v>45939</v>
      </c>
      <c r="C1018" s="34" t="str">
        <f>TEXT(Metas_Diarias[[#This Row],[data]],"dddd")</f>
        <v>quinta-feira</v>
      </c>
      <c r="D1018" s="33">
        <v>5</v>
      </c>
      <c r="E1018" s="33">
        <v>5</v>
      </c>
      <c r="F1018" s="18"/>
      <c r="G1018" s="35">
        <f>WEEKDAY(Metas_Diarias[[#This Row],[data]])</f>
        <v>5</v>
      </c>
      <c r="H1018" s="35">
        <f>IF(Metas_Diarias[[#This Row],[dias_da_demana]]=1,"domingo",IF(Metas_Diarias[[#This Row],[dias_da_demana]]=7,0.5,1))</f>
        <v>1</v>
      </c>
      <c r="I1018" s="35">
        <f>_xlfn.XLOOKUP(Metas_Diarias[[#This Row],[data]],Feriados[Data],Feriados[Feriado],1)</f>
        <v>1</v>
      </c>
      <c r="J1018" s="33" cm="1">
        <f t="array" aca="1" ref="J1018" ca="1">SUMPRODUCT(IF((NOT(ISERROR(MATCH(ROW(INDIRECT(DATE(YEAR(B1018),MONTH(B1018),1)&amp;":"&amp;DATE(YEAR(B1018),MONTH(B1018)+1,0))),Feriados[Data],0))))=FALSE,
IF(WEEKDAY(ROW(INDIRECT(DATE(YEAR(B1018),MONTH(B1018),1)&amp;":"&amp;DATE(YEAR(B1018),MONTH(B1018)+1,0))),2)&lt;=5,1,IF(WEEKDAY(ROW(INDIRECT(DATE(YEAR(B1018),MONTH(B1018),1)&amp;":"&amp;DATE(YEAR(B1018),MONTH(B1018)+1,0))),2)=6,0.5,0)),0))</f>
        <v>25</v>
      </c>
      <c r="K1018" s="22" cm="1">
        <f t="array" ref="K1018">_xlfn.XLOOKUP(1,((Metas_Diarias[[#This Row],[tipo_equipe_id]]=Metas[equipe])*(Metas_Diarias[[#This Row],[data]]&gt;Metas[data_inicio])*(Metas_Diarias[[#This Row],[data]]&lt;Metas[data_fim])),Metas[meta_mensal],0)</f>
        <v>65000</v>
      </c>
      <c r="L1018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19" spans="2:12" x14ac:dyDescent="0.3">
      <c r="B1019" s="34">
        <v>45940</v>
      </c>
      <c r="C1019" s="34" t="str">
        <f>TEXT(Metas_Diarias[[#This Row],[data]],"dddd")</f>
        <v>sexta-feira</v>
      </c>
      <c r="D1019" s="33">
        <v>5</v>
      </c>
      <c r="E1019" s="33">
        <v>5</v>
      </c>
      <c r="F1019" s="18"/>
      <c r="G1019" s="35">
        <f>WEEKDAY(Metas_Diarias[[#This Row],[data]])</f>
        <v>6</v>
      </c>
      <c r="H1019" s="35">
        <f>IF(Metas_Diarias[[#This Row],[dias_da_demana]]=1,"domingo",IF(Metas_Diarias[[#This Row],[dias_da_demana]]=7,0.5,1))</f>
        <v>1</v>
      </c>
      <c r="I1019" s="35">
        <f>_xlfn.XLOOKUP(Metas_Diarias[[#This Row],[data]],Feriados[Data],Feriados[Feriado],1)</f>
        <v>1</v>
      </c>
      <c r="J1019" s="33" cm="1">
        <f t="array" aca="1" ref="J1019" ca="1">SUMPRODUCT(IF((NOT(ISERROR(MATCH(ROW(INDIRECT(DATE(YEAR(B1019),MONTH(B1019),1)&amp;":"&amp;DATE(YEAR(B1019),MONTH(B1019)+1,0))),Feriados[Data],0))))=FALSE,
IF(WEEKDAY(ROW(INDIRECT(DATE(YEAR(B1019),MONTH(B1019),1)&amp;":"&amp;DATE(YEAR(B1019),MONTH(B1019)+1,0))),2)&lt;=5,1,IF(WEEKDAY(ROW(INDIRECT(DATE(YEAR(B1019),MONTH(B1019),1)&amp;":"&amp;DATE(YEAR(B1019),MONTH(B1019)+1,0))),2)=6,0.5,0)),0))</f>
        <v>25</v>
      </c>
      <c r="K1019" s="22" cm="1">
        <f t="array" ref="K1019">_xlfn.XLOOKUP(1,((Metas_Diarias[[#This Row],[tipo_equipe_id]]=Metas[equipe])*(Metas_Diarias[[#This Row],[data]]&gt;Metas[data_inicio])*(Metas_Diarias[[#This Row],[data]]&lt;Metas[data_fim])),Metas[meta_mensal],0)</f>
        <v>65000</v>
      </c>
      <c r="L1019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20" spans="2:12" x14ac:dyDescent="0.3">
      <c r="B1020" s="34">
        <v>45941</v>
      </c>
      <c r="C1020" s="34" t="str">
        <f>TEXT(Metas_Diarias[[#This Row],[data]],"dddd")</f>
        <v>sábado</v>
      </c>
      <c r="D1020" s="33">
        <v>5</v>
      </c>
      <c r="E1020" s="33">
        <v>5</v>
      </c>
      <c r="F1020" s="18"/>
      <c r="G1020" s="35">
        <f>WEEKDAY(Metas_Diarias[[#This Row],[data]])</f>
        <v>7</v>
      </c>
      <c r="H1020" s="35">
        <f>IF(Metas_Diarias[[#This Row],[dias_da_demana]]=1,"domingo",IF(Metas_Diarias[[#This Row],[dias_da_demana]]=7,0.5,1))</f>
        <v>0.5</v>
      </c>
      <c r="I1020" s="35">
        <f>_xlfn.XLOOKUP(Metas_Diarias[[#This Row],[data]],Feriados[Data],Feriados[Feriado],1)</f>
        <v>1</v>
      </c>
      <c r="J1020" s="33" cm="1">
        <f t="array" aca="1" ref="J1020" ca="1">SUMPRODUCT(IF((NOT(ISERROR(MATCH(ROW(INDIRECT(DATE(YEAR(B1020),MONTH(B1020),1)&amp;":"&amp;DATE(YEAR(B1020),MONTH(B1020)+1,0))),Feriados[Data],0))))=FALSE,
IF(WEEKDAY(ROW(INDIRECT(DATE(YEAR(B1020),MONTH(B1020),1)&amp;":"&amp;DATE(YEAR(B1020),MONTH(B1020)+1,0))),2)&lt;=5,1,IF(WEEKDAY(ROW(INDIRECT(DATE(YEAR(B1020),MONTH(B1020),1)&amp;":"&amp;DATE(YEAR(B1020),MONTH(B1020)+1,0))),2)=6,0.5,0)),0))</f>
        <v>25</v>
      </c>
      <c r="K1020" s="22" cm="1">
        <f t="array" ref="K1020">_xlfn.XLOOKUP(1,((Metas_Diarias[[#This Row],[tipo_equipe_id]]=Metas[equipe])*(Metas_Diarias[[#This Row],[data]]&gt;Metas[data_inicio])*(Metas_Diarias[[#This Row],[data]]&lt;Metas[data_fim])),Metas[meta_mensal],0)</f>
        <v>65000</v>
      </c>
      <c r="L1020" s="24">
        <f ca="1">Metas_Diarias[[#This Row],[meta_mensal]]*IF(Metas_Diarias[[#This Row],[semana]]="domingo",0,Metas_Diarias[[#This Row],[semana]])*IF(Metas_Diarias[[#This Row],[feriado]]&lt;&gt;1,0,1)/Metas_Diarias[[#This Row],[dias_úteis_Mês]]</f>
        <v>1300</v>
      </c>
    </row>
    <row r="1021" spans="2:12" x14ac:dyDescent="0.3">
      <c r="B1021" s="34">
        <v>45942</v>
      </c>
      <c r="C1021" s="34" t="str">
        <f>TEXT(Metas_Diarias[[#This Row],[data]],"dddd")</f>
        <v>domingo</v>
      </c>
      <c r="D1021" s="33">
        <v>5</v>
      </c>
      <c r="E1021" s="33">
        <v>5</v>
      </c>
      <c r="F1021" s="18"/>
      <c r="G1021" s="35">
        <f>WEEKDAY(Metas_Diarias[[#This Row],[data]])</f>
        <v>1</v>
      </c>
      <c r="H1021" s="35" t="str">
        <f>IF(Metas_Diarias[[#This Row],[dias_da_demana]]=1,"domingo",IF(Metas_Diarias[[#This Row],[dias_da_demana]]=7,0.5,1))</f>
        <v>domingo</v>
      </c>
      <c r="I1021" s="35" t="str">
        <f>_xlfn.XLOOKUP(Metas_Diarias[[#This Row],[data]],Feriados[Data],Feriados[Feriado],1)</f>
        <v>Nossa Sr.a Aparecida - Padroeira do Brasil</v>
      </c>
      <c r="J1021" s="33" cm="1">
        <f t="array" aca="1" ref="J1021" ca="1">SUMPRODUCT(IF((NOT(ISERROR(MATCH(ROW(INDIRECT(DATE(YEAR(B1021),MONTH(B1021),1)&amp;":"&amp;DATE(YEAR(B1021),MONTH(B1021)+1,0))),Feriados[Data],0))))=FALSE,
IF(WEEKDAY(ROW(INDIRECT(DATE(YEAR(B1021),MONTH(B1021),1)&amp;":"&amp;DATE(YEAR(B1021),MONTH(B1021)+1,0))),2)&lt;=5,1,IF(WEEKDAY(ROW(INDIRECT(DATE(YEAR(B1021),MONTH(B1021),1)&amp;":"&amp;DATE(YEAR(B1021),MONTH(B1021)+1,0))),2)=6,0.5,0)),0))</f>
        <v>25</v>
      </c>
      <c r="K1021" s="22" cm="1">
        <f t="array" ref="K1021">_xlfn.XLOOKUP(1,((Metas_Diarias[[#This Row],[tipo_equipe_id]]=Metas[equipe])*(Metas_Diarias[[#This Row],[data]]&gt;Metas[data_inicio])*(Metas_Diarias[[#This Row],[data]]&lt;Metas[data_fim])),Metas[meta_mensal],0)</f>
        <v>65000</v>
      </c>
      <c r="L102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22" spans="2:12" x14ac:dyDescent="0.3">
      <c r="B1022" s="34">
        <v>45943</v>
      </c>
      <c r="C1022" s="34" t="str">
        <f>TEXT(Metas_Diarias[[#This Row],[data]],"dddd")</f>
        <v>segunda-feira</v>
      </c>
      <c r="D1022" s="33">
        <v>5</v>
      </c>
      <c r="E1022" s="33">
        <v>5</v>
      </c>
      <c r="F1022" s="18"/>
      <c r="G1022" s="35">
        <f>WEEKDAY(Metas_Diarias[[#This Row],[data]])</f>
        <v>2</v>
      </c>
      <c r="H1022" s="35">
        <f>IF(Metas_Diarias[[#This Row],[dias_da_demana]]=1,"domingo",IF(Metas_Diarias[[#This Row],[dias_da_demana]]=7,0.5,1))</f>
        <v>1</v>
      </c>
      <c r="I1022" s="35">
        <f>_xlfn.XLOOKUP(Metas_Diarias[[#This Row],[data]],Feriados[Data],Feriados[Feriado],1)</f>
        <v>1</v>
      </c>
      <c r="J1022" s="33" cm="1">
        <f t="array" aca="1" ref="J1022" ca="1">SUMPRODUCT(IF((NOT(ISERROR(MATCH(ROW(INDIRECT(DATE(YEAR(B1022),MONTH(B1022),1)&amp;":"&amp;DATE(YEAR(B1022),MONTH(B1022)+1,0))),Feriados[Data],0))))=FALSE,
IF(WEEKDAY(ROW(INDIRECT(DATE(YEAR(B1022),MONTH(B1022),1)&amp;":"&amp;DATE(YEAR(B1022),MONTH(B1022)+1,0))),2)&lt;=5,1,IF(WEEKDAY(ROW(INDIRECT(DATE(YEAR(B1022),MONTH(B1022),1)&amp;":"&amp;DATE(YEAR(B1022),MONTH(B1022)+1,0))),2)=6,0.5,0)),0))</f>
        <v>25</v>
      </c>
      <c r="K1022" s="22" cm="1">
        <f t="array" ref="K1022">_xlfn.XLOOKUP(1,((Metas_Diarias[[#This Row],[tipo_equipe_id]]=Metas[equipe])*(Metas_Diarias[[#This Row],[data]]&gt;Metas[data_inicio])*(Metas_Diarias[[#This Row],[data]]&lt;Metas[data_fim])),Metas[meta_mensal],0)</f>
        <v>65000</v>
      </c>
      <c r="L1022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23" spans="2:12" x14ac:dyDescent="0.3">
      <c r="B1023" s="34">
        <v>45944</v>
      </c>
      <c r="C1023" s="34" t="str">
        <f>TEXT(Metas_Diarias[[#This Row],[data]],"dddd")</f>
        <v>terça-feira</v>
      </c>
      <c r="D1023" s="33">
        <v>5</v>
      </c>
      <c r="E1023" s="33">
        <v>5</v>
      </c>
      <c r="F1023" s="18"/>
      <c r="G1023" s="35">
        <f>WEEKDAY(Metas_Diarias[[#This Row],[data]])</f>
        <v>3</v>
      </c>
      <c r="H1023" s="35">
        <f>IF(Metas_Diarias[[#This Row],[dias_da_demana]]=1,"domingo",IF(Metas_Diarias[[#This Row],[dias_da_demana]]=7,0.5,1))</f>
        <v>1</v>
      </c>
      <c r="I1023" s="35">
        <f>_xlfn.XLOOKUP(Metas_Diarias[[#This Row],[data]],Feriados[Data],Feriados[Feriado],1)</f>
        <v>1</v>
      </c>
      <c r="J1023" s="33" cm="1">
        <f t="array" aca="1" ref="J1023" ca="1">SUMPRODUCT(IF((NOT(ISERROR(MATCH(ROW(INDIRECT(DATE(YEAR(B1023),MONTH(B1023),1)&amp;":"&amp;DATE(YEAR(B1023),MONTH(B1023)+1,0))),Feriados[Data],0))))=FALSE,
IF(WEEKDAY(ROW(INDIRECT(DATE(YEAR(B1023),MONTH(B1023),1)&amp;":"&amp;DATE(YEAR(B1023),MONTH(B1023)+1,0))),2)&lt;=5,1,IF(WEEKDAY(ROW(INDIRECT(DATE(YEAR(B1023),MONTH(B1023),1)&amp;":"&amp;DATE(YEAR(B1023),MONTH(B1023)+1,0))),2)=6,0.5,0)),0))</f>
        <v>25</v>
      </c>
      <c r="K1023" s="22" cm="1">
        <f t="array" ref="K1023">_xlfn.XLOOKUP(1,((Metas_Diarias[[#This Row],[tipo_equipe_id]]=Metas[equipe])*(Metas_Diarias[[#This Row],[data]]&gt;Metas[data_inicio])*(Metas_Diarias[[#This Row],[data]]&lt;Metas[data_fim])),Metas[meta_mensal],0)</f>
        <v>65000</v>
      </c>
      <c r="L1023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24" spans="2:12" x14ac:dyDescent="0.3">
      <c r="B1024" s="34">
        <v>45945</v>
      </c>
      <c r="C1024" s="34" t="str">
        <f>TEXT(Metas_Diarias[[#This Row],[data]],"dddd")</f>
        <v>quarta-feira</v>
      </c>
      <c r="D1024" s="33">
        <v>5</v>
      </c>
      <c r="E1024" s="33">
        <v>5</v>
      </c>
      <c r="F1024" s="18"/>
      <c r="G1024" s="35">
        <f>WEEKDAY(Metas_Diarias[[#This Row],[data]])</f>
        <v>4</v>
      </c>
      <c r="H1024" s="35">
        <f>IF(Metas_Diarias[[#This Row],[dias_da_demana]]=1,"domingo",IF(Metas_Diarias[[#This Row],[dias_da_demana]]=7,0.5,1))</f>
        <v>1</v>
      </c>
      <c r="I1024" s="35">
        <f>_xlfn.XLOOKUP(Metas_Diarias[[#This Row],[data]],Feriados[Data],Feriados[Feriado],1)</f>
        <v>1</v>
      </c>
      <c r="J1024" s="33" cm="1">
        <f t="array" aca="1" ref="J1024" ca="1">SUMPRODUCT(IF((NOT(ISERROR(MATCH(ROW(INDIRECT(DATE(YEAR(B1024),MONTH(B1024),1)&amp;":"&amp;DATE(YEAR(B1024),MONTH(B1024)+1,0))),Feriados[Data],0))))=FALSE,
IF(WEEKDAY(ROW(INDIRECT(DATE(YEAR(B1024),MONTH(B1024),1)&amp;":"&amp;DATE(YEAR(B1024),MONTH(B1024)+1,0))),2)&lt;=5,1,IF(WEEKDAY(ROW(INDIRECT(DATE(YEAR(B1024),MONTH(B1024),1)&amp;":"&amp;DATE(YEAR(B1024),MONTH(B1024)+1,0))),2)=6,0.5,0)),0))</f>
        <v>25</v>
      </c>
      <c r="K1024" s="22" cm="1">
        <f t="array" ref="K1024">_xlfn.XLOOKUP(1,((Metas_Diarias[[#This Row],[tipo_equipe_id]]=Metas[equipe])*(Metas_Diarias[[#This Row],[data]]&gt;Metas[data_inicio])*(Metas_Diarias[[#This Row],[data]]&lt;Metas[data_fim])),Metas[meta_mensal],0)</f>
        <v>65000</v>
      </c>
      <c r="L1024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25" spans="2:12" x14ac:dyDescent="0.3">
      <c r="B1025" s="34">
        <v>45946</v>
      </c>
      <c r="C1025" s="34" t="str">
        <f>TEXT(Metas_Diarias[[#This Row],[data]],"dddd")</f>
        <v>quinta-feira</v>
      </c>
      <c r="D1025" s="33">
        <v>5</v>
      </c>
      <c r="E1025" s="33">
        <v>5</v>
      </c>
      <c r="F1025" s="18"/>
      <c r="G1025" s="35">
        <f>WEEKDAY(Metas_Diarias[[#This Row],[data]])</f>
        <v>5</v>
      </c>
      <c r="H1025" s="35">
        <f>IF(Metas_Diarias[[#This Row],[dias_da_demana]]=1,"domingo",IF(Metas_Diarias[[#This Row],[dias_da_demana]]=7,0.5,1))</f>
        <v>1</v>
      </c>
      <c r="I1025" s="35">
        <f>_xlfn.XLOOKUP(Metas_Diarias[[#This Row],[data]],Feriados[Data],Feriados[Feriado],1)</f>
        <v>1</v>
      </c>
      <c r="J1025" s="33" cm="1">
        <f t="array" aca="1" ref="J1025" ca="1">SUMPRODUCT(IF((NOT(ISERROR(MATCH(ROW(INDIRECT(DATE(YEAR(B1025),MONTH(B1025),1)&amp;":"&amp;DATE(YEAR(B1025),MONTH(B1025)+1,0))),Feriados[Data],0))))=FALSE,
IF(WEEKDAY(ROW(INDIRECT(DATE(YEAR(B1025),MONTH(B1025),1)&amp;":"&amp;DATE(YEAR(B1025),MONTH(B1025)+1,0))),2)&lt;=5,1,IF(WEEKDAY(ROW(INDIRECT(DATE(YEAR(B1025),MONTH(B1025),1)&amp;":"&amp;DATE(YEAR(B1025),MONTH(B1025)+1,0))),2)=6,0.5,0)),0))</f>
        <v>25</v>
      </c>
      <c r="K1025" s="22" cm="1">
        <f t="array" ref="K1025">_xlfn.XLOOKUP(1,((Metas_Diarias[[#This Row],[tipo_equipe_id]]=Metas[equipe])*(Metas_Diarias[[#This Row],[data]]&gt;Metas[data_inicio])*(Metas_Diarias[[#This Row],[data]]&lt;Metas[data_fim])),Metas[meta_mensal],0)</f>
        <v>65000</v>
      </c>
      <c r="L1025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26" spans="2:12" x14ac:dyDescent="0.3">
      <c r="B1026" s="34">
        <v>45947</v>
      </c>
      <c r="C1026" s="34" t="str">
        <f>TEXT(Metas_Diarias[[#This Row],[data]],"dddd")</f>
        <v>sexta-feira</v>
      </c>
      <c r="D1026" s="33">
        <v>5</v>
      </c>
      <c r="E1026" s="33">
        <v>5</v>
      </c>
      <c r="F1026" s="18"/>
      <c r="G1026" s="35">
        <f>WEEKDAY(Metas_Diarias[[#This Row],[data]])</f>
        <v>6</v>
      </c>
      <c r="H1026" s="35">
        <f>IF(Metas_Diarias[[#This Row],[dias_da_demana]]=1,"domingo",IF(Metas_Diarias[[#This Row],[dias_da_demana]]=7,0.5,1))</f>
        <v>1</v>
      </c>
      <c r="I1026" s="35">
        <f>_xlfn.XLOOKUP(Metas_Diarias[[#This Row],[data]],Feriados[Data],Feriados[Feriado],1)</f>
        <v>1</v>
      </c>
      <c r="J1026" s="33" cm="1">
        <f t="array" aca="1" ref="J1026" ca="1">SUMPRODUCT(IF((NOT(ISERROR(MATCH(ROW(INDIRECT(DATE(YEAR(B1026),MONTH(B1026),1)&amp;":"&amp;DATE(YEAR(B1026),MONTH(B1026)+1,0))),Feriados[Data],0))))=FALSE,
IF(WEEKDAY(ROW(INDIRECT(DATE(YEAR(B1026),MONTH(B1026),1)&amp;":"&amp;DATE(YEAR(B1026),MONTH(B1026)+1,0))),2)&lt;=5,1,IF(WEEKDAY(ROW(INDIRECT(DATE(YEAR(B1026),MONTH(B1026),1)&amp;":"&amp;DATE(YEAR(B1026),MONTH(B1026)+1,0))),2)=6,0.5,0)),0))</f>
        <v>25</v>
      </c>
      <c r="K1026" s="22" cm="1">
        <f t="array" ref="K1026">_xlfn.XLOOKUP(1,((Metas_Diarias[[#This Row],[tipo_equipe_id]]=Metas[equipe])*(Metas_Diarias[[#This Row],[data]]&gt;Metas[data_inicio])*(Metas_Diarias[[#This Row],[data]]&lt;Metas[data_fim])),Metas[meta_mensal],0)</f>
        <v>65000</v>
      </c>
      <c r="L1026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27" spans="2:12" x14ac:dyDescent="0.3">
      <c r="B1027" s="34">
        <v>45948</v>
      </c>
      <c r="C1027" s="34" t="str">
        <f>TEXT(Metas_Diarias[[#This Row],[data]],"dddd")</f>
        <v>sábado</v>
      </c>
      <c r="D1027" s="33">
        <v>5</v>
      </c>
      <c r="E1027" s="33">
        <v>5</v>
      </c>
      <c r="F1027" s="18"/>
      <c r="G1027" s="35">
        <f>WEEKDAY(Metas_Diarias[[#This Row],[data]])</f>
        <v>7</v>
      </c>
      <c r="H1027" s="35">
        <f>IF(Metas_Diarias[[#This Row],[dias_da_demana]]=1,"domingo",IF(Metas_Diarias[[#This Row],[dias_da_demana]]=7,0.5,1))</f>
        <v>0.5</v>
      </c>
      <c r="I1027" s="35">
        <f>_xlfn.XLOOKUP(Metas_Diarias[[#This Row],[data]],Feriados[Data],Feriados[Feriado],1)</f>
        <v>1</v>
      </c>
      <c r="J1027" s="33" cm="1">
        <f t="array" aca="1" ref="J1027" ca="1">SUMPRODUCT(IF((NOT(ISERROR(MATCH(ROW(INDIRECT(DATE(YEAR(B1027),MONTH(B1027),1)&amp;":"&amp;DATE(YEAR(B1027),MONTH(B1027)+1,0))),Feriados[Data],0))))=FALSE,
IF(WEEKDAY(ROW(INDIRECT(DATE(YEAR(B1027),MONTH(B1027),1)&amp;":"&amp;DATE(YEAR(B1027),MONTH(B1027)+1,0))),2)&lt;=5,1,IF(WEEKDAY(ROW(INDIRECT(DATE(YEAR(B1027),MONTH(B1027),1)&amp;":"&amp;DATE(YEAR(B1027),MONTH(B1027)+1,0))),2)=6,0.5,0)),0))</f>
        <v>25</v>
      </c>
      <c r="K1027" s="22" cm="1">
        <f t="array" ref="K1027">_xlfn.XLOOKUP(1,((Metas_Diarias[[#This Row],[tipo_equipe_id]]=Metas[equipe])*(Metas_Diarias[[#This Row],[data]]&gt;Metas[data_inicio])*(Metas_Diarias[[#This Row],[data]]&lt;Metas[data_fim])),Metas[meta_mensal],0)</f>
        <v>65000</v>
      </c>
      <c r="L1027" s="24">
        <f ca="1">Metas_Diarias[[#This Row],[meta_mensal]]*IF(Metas_Diarias[[#This Row],[semana]]="domingo",0,Metas_Diarias[[#This Row],[semana]])*IF(Metas_Diarias[[#This Row],[feriado]]&lt;&gt;1,0,1)/Metas_Diarias[[#This Row],[dias_úteis_Mês]]</f>
        <v>1300</v>
      </c>
    </row>
    <row r="1028" spans="2:12" x14ac:dyDescent="0.3">
      <c r="B1028" s="34">
        <v>45949</v>
      </c>
      <c r="C1028" s="34" t="str">
        <f>TEXT(Metas_Diarias[[#This Row],[data]],"dddd")</f>
        <v>domingo</v>
      </c>
      <c r="D1028" s="33">
        <v>5</v>
      </c>
      <c r="E1028" s="33">
        <v>5</v>
      </c>
      <c r="F1028" s="18"/>
      <c r="G1028" s="35">
        <f>WEEKDAY(Metas_Diarias[[#This Row],[data]])</f>
        <v>1</v>
      </c>
      <c r="H1028" s="35" t="str">
        <f>IF(Metas_Diarias[[#This Row],[dias_da_demana]]=1,"domingo",IF(Metas_Diarias[[#This Row],[dias_da_demana]]=7,0.5,1))</f>
        <v>domingo</v>
      </c>
      <c r="I1028" s="35">
        <f>_xlfn.XLOOKUP(Metas_Diarias[[#This Row],[data]],Feriados[Data],Feriados[Feriado],1)</f>
        <v>1</v>
      </c>
      <c r="J1028" s="33" cm="1">
        <f t="array" aca="1" ref="J1028" ca="1">SUMPRODUCT(IF((NOT(ISERROR(MATCH(ROW(INDIRECT(DATE(YEAR(B1028),MONTH(B1028),1)&amp;":"&amp;DATE(YEAR(B1028),MONTH(B1028)+1,0))),Feriados[Data],0))))=FALSE,
IF(WEEKDAY(ROW(INDIRECT(DATE(YEAR(B1028),MONTH(B1028),1)&amp;":"&amp;DATE(YEAR(B1028),MONTH(B1028)+1,0))),2)&lt;=5,1,IF(WEEKDAY(ROW(INDIRECT(DATE(YEAR(B1028),MONTH(B1028),1)&amp;":"&amp;DATE(YEAR(B1028),MONTH(B1028)+1,0))),2)=6,0.5,0)),0))</f>
        <v>25</v>
      </c>
      <c r="K1028" s="22" cm="1">
        <f t="array" ref="K1028">_xlfn.XLOOKUP(1,((Metas_Diarias[[#This Row],[tipo_equipe_id]]=Metas[equipe])*(Metas_Diarias[[#This Row],[data]]&gt;Metas[data_inicio])*(Metas_Diarias[[#This Row],[data]]&lt;Metas[data_fim])),Metas[meta_mensal],0)</f>
        <v>65000</v>
      </c>
      <c r="L102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29" spans="2:12" x14ac:dyDescent="0.3">
      <c r="B1029" s="34">
        <v>45950</v>
      </c>
      <c r="C1029" s="34" t="str">
        <f>TEXT(Metas_Diarias[[#This Row],[data]],"dddd")</f>
        <v>segunda-feira</v>
      </c>
      <c r="D1029" s="33">
        <v>5</v>
      </c>
      <c r="E1029" s="33">
        <v>5</v>
      </c>
      <c r="F1029" s="18"/>
      <c r="G1029" s="35">
        <f>WEEKDAY(Metas_Diarias[[#This Row],[data]])</f>
        <v>2</v>
      </c>
      <c r="H1029" s="35">
        <f>IF(Metas_Diarias[[#This Row],[dias_da_demana]]=1,"domingo",IF(Metas_Diarias[[#This Row],[dias_da_demana]]=7,0.5,1))</f>
        <v>1</v>
      </c>
      <c r="I1029" s="35">
        <f>_xlfn.XLOOKUP(Metas_Diarias[[#This Row],[data]],Feriados[Data],Feriados[Feriado],1)</f>
        <v>1</v>
      </c>
      <c r="J1029" s="33" cm="1">
        <f t="array" aca="1" ref="J1029" ca="1">SUMPRODUCT(IF((NOT(ISERROR(MATCH(ROW(INDIRECT(DATE(YEAR(B1029),MONTH(B1029),1)&amp;":"&amp;DATE(YEAR(B1029),MONTH(B1029)+1,0))),Feriados[Data],0))))=FALSE,
IF(WEEKDAY(ROW(INDIRECT(DATE(YEAR(B1029),MONTH(B1029),1)&amp;":"&amp;DATE(YEAR(B1029),MONTH(B1029)+1,0))),2)&lt;=5,1,IF(WEEKDAY(ROW(INDIRECT(DATE(YEAR(B1029),MONTH(B1029),1)&amp;":"&amp;DATE(YEAR(B1029),MONTH(B1029)+1,0))),2)=6,0.5,0)),0))</f>
        <v>25</v>
      </c>
      <c r="K1029" s="22" cm="1">
        <f t="array" ref="K1029">_xlfn.XLOOKUP(1,((Metas_Diarias[[#This Row],[tipo_equipe_id]]=Metas[equipe])*(Metas_Diarias[[#This Row],[data]]&gt;Metas[data_inicio])*(Metas_Diarias[[#This Row],[data]]&lt;Metas[data_fim])),Metas[meta_mensal],0)</f>
        <v>65000</v>
      </c>
      <c r="L1029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30" spans="2:12" x14ac:dyDescent="0.3">
      <c r="B1030" s="34">
        <v>45951</v>
      </c>
      <c r="C1030" s="34" t="str">
        <f>TEXT(Metas_Diarias[[#This Row],[data]],"dddd")</f>
        <v>terça-feira</v>
      </c>
      <c r="D1030" s="33">
        <v>5</v>
      </c>
      <c r="E1030" s="33">
        <v>5</v>
      </c>
      <c r="F1030" s="18"/>
      <c r="G1030" s="35">
        <f>WEEKDAY(Metas_Diarias[[#This Row],[data]])</f>
        <v>3</v>
      </c>
      <c r="H1030" s="35">
        <f>IF(Metas_Diarias[[#This Row],[dias_da_demana]]=1,"domingo",IF(Metas_Diarias[[#This Row],[dias_da_demana]]=7,0.5,1))</f>
        <v>1</v>
      </c>
      <c r="I1030" s="35">
        <f>_xlfn.XLOOKUP(Metas_Diarias[[#This Row],[data]],Feriados[Data],Feriados[Feriado],1)</f>
        <v>1</v>
      </c>
      <c r="J1030" s="33" cm="1">
        <f t="array" aca="1" ref="J1030" ca="1">SUMPRODUCT(IF((NOT(ISERROR(MATCH(ROW(INDIRECT(DATE(YEAR(B1030),MONTH(B1030),1)&amp;":"&amp;DATE(YEAR(B1030),MONTH(B1030)+1,0))),Feriados[Data],0))))=FALSE,
IF(WEEKDAY(ROW(INDIRECT(DATE(YEAR(B1030),MONTH(B1030),1)&amp;":"&amp;DATE(YEAR(B1030),MONTH(B1030)+1,0))),2)&lt;=5,1,IF(WEEKDAY(ROW(INDIRECT(DATE(YEAR(B1030),MONTH(B1030),1)&amp;":"&amp;DATE(YEAR(B1030),MONTH(B1030)+1,0))),2)=6,0.5,0)),0))</f>
        <v>25</v>
      </c>
      <c r="K1030" s="22" cm="1">
        <f t="array" ref="K1030">_xlfn.XLOOKUP(1,((Metas_Diarias[[#This Row],[tipo_equipe_id]]=Metas[equipe])*(Metas_Diarias[[#This Row],[data]]&gt;Metas[data_inicio])*(Metas_Diarias[[#This Row],[data]]&lt;Metas[data_fim])),Metas[meta_mensal],0)</f>
        <v>65000</v>
      </c>
      <c r="L1030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31" spans="2:12" x14ac:dyDescent="0.3">
      <c r="B1031" s="34">
        <v>45952</v>
      </c>
      <c r="C1031" s="34" t="str">
        <f>TEXT(Metas_Diarias[[#This Row],[data]],"dddd")</f>
        <v>quarta-feira</v>
      </c>
      <c r="D1031" s="33">
        <v>5</v>
      </c>
      <c r="E1031" s="33">
        <v>5</v>
      </c>
      <c r="F1031" s="18"/>
      <c r="G1031" s="35">
        <f>WEEKDAY(Metas_Diarias[[#This Row],[data]])</f>
        <v>4</v>
      </c>
      <c r="H1031" s="35">
        <f>IF(Metas_Diarias[[#This Row],[dias_da_demana]]=1,"domingo",IF(Metas_Diarias[[#This Row],[dias_da_demana]]=7,0.5,1))</f>
        <v>1</v>
      </c>
      <c r="I1031" s="35">
        <f>_xlfn.XLOOKUP(Metas_Diarias[[#This Row],[data]],Feriados[Data],Feriados[Feriado],1)</f>
        <v>1</v>
      </c>
      <c r="J1031" s="33" cm="1">
        <f t="array" aca="1" ref="J1031" ca="1">SUMPRODUCT(IF((NOT(ISERROR(MATCH(ROW(INDIRECT(DATE(YEAR(B1031),MONTH(B1031),1)&amp;":"&amp;DATE(YEAR(B1031),MONTH(B1031)+1,0))),Feriados[Data],0))))=FALSE,
IF(WEEKDAY(ROW(INDIRECT(DATE(YEAR(B1031),MONTH(B1031),1)&amp;":"&amp;DATE(YEAR(B1031),MONTH(B1031)+1,0))),2)&lt;=5,1,IF(WEEKDAY(ROW(INDIRECT(DATE(YEAR(B1031),MONTH(B1031),1)&amp;":"&amp;DATE(YEAR(B1031),MONTH(B1031)+1,0))),2)=6,0.5,0)),0))</f>
        <v>25</v>
      </c>
      <c r="K1031" s="22" cm="1">
        <f t="array" ref="K1031">_xlfn.XLOOKUP(1,((Metas_Diarias[[#This Row],[tipo_equipe_id]]=Metas[equipe])*(Metas_Diarias[[#This Row],[data]]&gt;Metas[data_inicio])*(Metas_Diarias[[#This Row],[data]]&lt;Metas[data_fim])),Metas[meta_mensal],0)</f>
        <v>65000</v>
      </c>
      <c r="L1031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32" spans="2:12" x14ac:dyDescent="0.3">
      <c r="B1032" s="34">
        <v>45953</v>
      </c>
      <c r="C1032" s="34" t="str">
        <f>TEXT(Metas_Diarias[[#This Row],[data]],"dddd")</f>
        <v>quinta-feira</v>
      </c>
      <c r="D1032" s="33">
        <v>5</v>
      </c>
      <c r="E1032" s="33">
        <v>5</v>
      </c>
      <c r="F1032" s="18"/>
      <c r="G1032" s="35">
        <f>WEEKDAY(Metas_Diarias[[#This Row],[data]])</f>
        <v>5</v>
      </c>
      <c r="H1032" s="35">
        <f>IF(Metas_Diarias[[#This Row],[dias_da_demana]]=1,"domingo",IF(Metas_Diarias[[#This Row],[dias_da_demana]]=7,0.5,1))</f>
        <v>1</v>
      </c>
      <c r="I1032" s="35">
        <f>_xlfn.XLOOKUP(Metas_Diarias[[#This Row],[data]],Feriados[Data],Feriados[Feriado],1)</f>
        <v>1</v>
      </c>
      <c r="J1032" s="33" cm="1">
        <f t="array" aca="1" ref="J1032" ca="1">SUMPRODUCT(IF((NOT(ISERROR(MATCH(ROW(INDIRECT(DATE(YEAR(B1032),MONTH(B1032),1)&amp;":"&amp;DATE(YEAR(B1032),MONTH(B1032)+1,0))),Feriados[Data],0))))=FALSE,
IF(WEEKDAY(ROW(INDIRECT(DATE(YEAR(B1032),MONTH(B1032),1)&amp;":"&amp;DATE(YEAR(B1032),MONTH(B1032)+1,0))),2)&lt;=5,1,IF(WEEKDAY(ROW(INDIRECT(DATE(YEAR(B1032),MONTH(B1032),1)&amp;":"&amp;DATE(YEAR(B1032),MONTH(B1032)+1,0))),2)=6,0.5,0)),0))</f>
        <v>25</v>
      </c>
      <c r="K1032" s="22" cm="1">
        <f t="array" ref="K1032">_xlfn.XLOOKUP(1,((Metas_Diarias[[#This Row],[tipo_equipe_id]]=Metas[equipe])*(Metas_Diarias[[#This Row],[data]]&gt;Metas[data_inicio])*(Metas_Diarias[[#This Row],[data]]&lt;Metas[data_fim])),Metas[meta_mensal],0)</f>
        <v>65000</v>
      </c>
      <c r="L1032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33" spans="2:12" x14ac:dyDescent="0.3">
      <c r="B1033" s="34">
        <v>45954</v>
      </c>
      <c r="C1033" s="34" t="str">
        <f>TEXT(Metas_Diarias[[#This Row],[data]],"dddd")</f>
        <v>sexta-feira</v>
      </c>
      <c r="D1033" s="33">
        <v>5</v>
      </c>
      <c r="E1033" s="33">
        <v>5</v>
      </c>
      <c r="F1033" s="18"/>
      <c r="G1033" s="35">
        <f>WEEKDAY(Metas_Diarias[[#This Row],[data]])</f>
        <v>6</v>
      </c>
      <c r="H1033" s="35">
        <f>IF(Metas_Diarias[[#This Row],[dias_da_demana]]=1,"domingo",IF(Metas_Diarias[[#This Row],[dias_da_demana]]=7,0.5,1))</f>
        <v>1</v>
      </c>
      <c r="I1033" s="35">
        <f>_xlfn.XLOOKUP(Metas_Diarias[[#This Row],[data]],Feriados[Data],Feriados[Feriado],1)</f>
        <v>1</v>
      </c>
      <c r="J1033" s="33" cm="1">
        <f t="array" aca="1" ref="J1033" ca="1">SUMPRODUCT(IF((NOT(ISERROR(MATCH(ROW(INDIRECT(DATE(YEAR(B1033),MONTH(B1033),1)&amp;":"&amp;DATE(YEAR(B1033),MONTH(B1033)+1,0))),Feriados[Data],0))))=FALSE,
IF(WEEKDAY(ROW(INDIRECT(DATE(YEAR(B1033),MONTH(B1033),1)&amp;":"&amp;DATE(YEAR(B1033),MONTH(B1033)+1,0))),2)&lt;=5,1,IF(WEEKDAY(ROW(INDIRECT(DATE(YEAR(B1033),MONTH(B1033),1)&amp;":"&amp;DATE(YEAR(B1033),MONTH(B1033)+1,0))),2)=6,0.5,0)),0))</f>
        <v>25</v>
      </c>
      <c r="K1033" s="22" cm="1">
        <f t="array" ref="K1033">_xlfn.XLOOKUP(1,((Metas_Diarias[[#This Row],[tipo_equipe_id]]=Metas[equipe])*(Metas_Diarias[[#This Row],[data]]&gt;Metas[data_inicio])*(Metas_Diarias[[#This Row],[data]]&lt;Metas[data_fim])),Metas[meta_mensal],0)</f>
        <v>65000</v>
      </c>
      <c r="L1033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34" spans="2:12" x14ac:dyDescent="0.3">
      <c r="B1034" s="34">
        <v>45955</v>
      </c>
      <c r="C1034" s="34" t="str">
        <f>TEXT(Metas_Diarias[[#This Row],[data]],"dddd")</f>
        <v>sábado</v>
      </c>
      <c r="D1034" s="33">
        <v>5</v>
      </c>
      <c r="E1034" s="33">
        <v>5</v>
      </c>
      <c r="F1034" s="18"/>
      <c r="G1034" s="35">
        <f>WEEKDAY(Metas_Diarias[[#This Row],[data]])</f>
        <v>7</v>
      </c>
      <c r="H1034" s="35">
        <f>IF(Metas_Diarias[[#This Row],[dias_da_demana]]=1,"domingo",IF(Metas_Diarias[[#This Row],[dias_da_demana]]=7,0.5,1))</f>
        <v>0.5</v>
      </c>
      <c r="I1034" s="35">
        <f>_xlfn.XLOOKUP(Metas_Diarias[[#This Row],[data]],Feriados[Data],Feriados[Feriado],1)</f>
        <v>1</v>
      </c>
      <c r="J1034" s="33" cm="1">
        <f t="array" aca="1" ref="J1034" ca="1">SUMPRODUCT(IF((NOT(ISERROR(MATCH(ROW(INDIRECT(DATE(YEAR(B1034),MONTH(B1034),1)&amp;":"&amp;DATE(YEAR(B1034),MONTH(B1034)+1,0))),Feriados[Data],0))))=FALSE,
IF(WEEKDAY(ROW(INDIRECT(DATE(YEAR(B1034),MONTH(B1034),1)&amp;":"&amp;DATE(YEAR(B1034),MONTH(B1034)+1,0))),2)&lt;=5,1,IF(WEEKDAY(ROW(INDIRECT(DATE(YEAR(B1034),MONTH(B1034),1)&amp;":"&amp;DATE(YEAR(B1034),MONTH(B1034)+1,0))),2)=6,0.5,0)),0))</f>
        <v>25</v>
      </c>
      <c r="K1034" s="22" cm="1">
        <f t="array" ref="K1034">_xlfn.XLOOKUP(1,((Metas_Diarias[[#This Row],[tipo_equipe_id]]=Metas[equipe])*(Metas_Diarias[[#This Row],[data]]&gt;Metas[data_inicio])*(Metas_Diarias[[#This Row],[data]]&lt;Metas[data_fim])),Metas[meta_mensal],0)</f>
        <v>65000</v>
      </c>
      <c r="L1034" s="24">
        <f ca="1">Metas_Diarias[[#This Row],[meta_mensal]]*IF(Metas_Diarias[[#This Row],[semana]]="domingo",0,Metas_Diarias[[#This Row],[semana]])*IF(Metas_Diarias[[#This Row],[feriado]]&lt;&gt;1,0,1)/Metas_Diarias[[#This Row],[dias_úteis_Mês]]</f>
        <v>1300</v>
      </c>
    </row>
    <row r="1035" spans="2:12" x14ac:dyDescent="0.3">
      <c r="B1035" s="34">
        <v>45956</v>
      </c>
      <c r="C1035" s="34" t="str">
        <f>TEXT(Metas_Diarias[[#This Row],[data]],"dddd")</f>
        <v>domingo</v>
      </c>
      <c r="D1035" s="33">
        <v>5</v>
      </c>
      <c r="E1035" s="33">
        <v>5</v>
      </c>
      <c r="F1035" s="18"/>
      <c r="G1035" s="35">
        <f>WEEKDAY(Metas_Diarias[[#This Row],[data]])</f>
        <v>1</v>
      </c>
      <c r="H1035" s="35" t="str">
        <f>IF(Metas_Diarias[[#This Row],[dias_da_demana]]=1,"domingo",IF(Metas_Diarias[[#This Row],[dias_da_demana]]=7,0.5,1))</f>
        <v>domingo</v>
      </c>
      <c r="I1035" s="35">
        <f>_xlfn.XLOOKUP(Metas_Diarias[[#This Row],[data]],Feriados[Data],Feriados[Feriado],1)</f>
        <v>1</v>
      </c>
      <c r="J1035" s="33" cm="1">
        <f t="array" aca="1" ref="J1035" ca="1">SUMPRODUCT(IF((NOT(ISERROR(MATCH(ROW(INDIRECT(DATE(YEAR(B1035),MONTH(B1035),1)&amp;":"&amp;DATE(YEAR(B1035),MONTH(B1035)+1,0))),Feriados[Data],0))))=FALSE,
IF(WEEKDAY(ROW(INDIRECT(DATE(YEAR(B1035),MONTH(B1035),1)&amp;":"&amp;DATE(YEAR(B1035),MONTH(B1035)+1,0))),2)&lt;=5,1,IF(WEEKDAY(ROW(INDIRECT(DATE(YEAR(B1035),MONTH(B1035),1)&amp;":"&amp;DATE(YEAR(B1035),MONTH(B1035)+1,0))),2)=6,0.5,0)),0))</f>
        <v>25</v>
      </c>
      <c r="K1035" s="22" cm="1">
        <f t="array" ref="K1035">_xlfn.XLOOKUP(1,((Metas_Diarias[[#This Row],[tipo_equipe_id]]=Metas[equipe])*(Metas_Diarias[[#This Row],[data]]&gt;Metas[data_inicio])*(Metas_Diarias[[#This Row],[data]]&lt;Metas[data_fim])),Metas[meta_mensal],0)</f>
        <v>65000</v>
      </c>
      <c r="L103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36" spans="2:12" x14ac:dyDescent="0.3">
      <c r="B1036" s="34">
        <v>45957</v>
      </c>
      <c r="C1036" s="34" t="str">
        <f>TEXT(Metas_Diarias[[#This Row],[data]],"dddd")</f>
        <v>segunda-feira</v>
      </c>
      <c r="D1036" s="33">
        <v>5</v>
      </c>
      <c r="E1036" s="33">
        <v>5</v>
      </c>
      <c r="F1036" s="18"/>
      <c r="G1036" s="35">
        <f>WEEKDAY(Metas_Diarias[[#This Row],[data]])</f>
        <v>2</v>
      </c>
      <c r="H1036" s="35">
        <f>IF(Metas_Diarias[[#This Row],[dias_da_demana]]=1,"domingo",IF(Metas_Diarias[[#This Row],[dias_da_demana]]=7,0.5,1))</f>
        <v>1</v>
      </c>
      <c r="I1036" s="35">
        <f>_xlfn.XLOOKUP(Metas_Diarias[[#This Row],[data]],Feriados[Data],Feriados[Feriado],1)</f>
        <v>1</v>
      </c>
      <c r="J1036" s="33" cm="1">
        <f t="array" aca="1" ref="J1036" ca="1">SUMPRODUCT(IF((NOT(ISERROR(MATCH(ROW(INDIRECT(DATE(YEAR(B1036),MONTH(B1036),1)&amp;":"&amp;DATE(YEAR(B1036),MONTH(B1036)+1,0))),Feriados[Data],0))))=FALSE,
IF(WEEKDAY(ROW(INDIRECT(DATE(YEAR(B1036),MONTH(B1036),1)&amp;":"&amp;DATE(YEAR(B1036),MONTH(B1036)+1,0))),2)&lt;=5,1,IF(WEEKDAY(ROW(INDIRECT(DATE(YEAR(B1036),MONTH(B1036),1)&amp;":"&amp;DATE(YEAR(B1036),MONTH(B1036)+1,0))),2)=6,0.5,0)),0))</f>
        <v>25</v>
      </c>
      <c r="K1036" s="22" cm="1">
        <f t="array" ref="K1036">_xlfn.XLOOKUP(1,((Metas_Diarias[[#This Row],[tipo_equipe_id]]=Metas[equipe])*(Metas_Diarias[[#This Row],[data]]&gt;Metas[data_inicio])*(Metas_Diarias[[#This Row],[data]]&lt;Metas[data_fim])),Metas[meta_mensal],0)</f>
        <v>65000</v>
      </c>
      <c r="L1036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37" spans="2:12" x14ac:dyDescent="0.3">
      <c r="B1037" s="34">
        <v>45958</v>
      </c>
      <c r="C1037" s="34" t="str">
        <f>TEXT(Metas_Diarias[[#This Row],[data]],"dddd")</f>
        <v>terça-feira</v>
      </c>
      <c r="D1037" s="33">
        <v>5</v>
      </c>
      <c r="E1037" s="33">
        <v>5</v>
      </c>
      <c r="F1037" s="18"/>
      <c r="G1037" s="35">
        <f>WEEKDAY(Metas_Diarias[[#This Row],[data]])</f>
        <v>3</v>
      </c>
      <c r="H1037" s="35">
        <f>IF(Metas_Diarias[[#This Row],[dias_da_demana]]=1,"domingo",IF(Metas_Diarias[[#This Row],[dias_da_demana]]=7,0.5,1))</f>
        <v>1</v>
      </c>
      <c r="I1037" s="35">
        <f>_xlfn.XLOOKUP(Metas_Diarias[[#This Row],[data]],Feriados[Data],Feriados[Feriado],1)</f>
        <v>1</v>
      </c>
      <c r="J1037" s="33" cm="1">
        <f t="array" aca="1" ref="J1037" ca="1">SUMPRODUCT(IF((NOT(ISERROR(MATCH(ROW(INDIRECT(DATE(YEAR(B1037),MONTH(B1037),1)&amp;":"&amp;DATE(YEAR(B1037),MONTH(B1037)+1,0))),Feriados[Data],0))))=FALSE,
IF(WEEKDAY(ROW(INDIRECT(DATE(YEAR(B1037),MONTH(B1037),1)&amp;":"&amp;DATE(YEAR(B1037),MONTH(B1037)+1,0))),2)&lt;=5,1,IF(WEEKDAY(ROW(INDIRECT(DATE(YEAR(B1037),MONTH(B1037),1)&amp;":"&amp;DATE(YEAR(B1037),MONTH(B1037)+1,0))),2)=6,0.5,0)),0))</f>
        <v>25</v>
      </c>
      <c r="K1037" s="22" cm="1">
        <f t="array" ref="K1037">_xlfn.XLOOKUP(1,((Metas_Diarias[[#This Row],[tipo_equipe_id]]=Metas[equipe])*(Metas_Diarias[[#This Row],[data]]&gt;Metas[data_inicio])*(Metas_Diarias[[#This Row],[data]]&lt;Metas[data_fim])),Metas[meta_mensal],0)</f>
        <v>65000</v>
      </c>
      <c r="L1037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38" spans="2:12" x14ac:dyDescent="0.3">
      <c r="B1038" s="34">
        <v>45959</v>
      </c>
      <c r="C1038" s="34" t="str">
        <f>TEXT(Metas_Diarias[[#This Row],[data]],"dddd")</f>
        <v>quarta-feira</v>
      </c>
      <c r="D1038" s="33">
        <v>5</v>
      </c>
      <c r="E1038" s="33">
        <v>5</v>
      </c>
      <c r="F1038" s="18"/>
      <c r="G1038" s="35">
        <f>WEEKDAY(Metas_Diarias[[#This Row],[data]])</f>
        <v>4</v>
      </c>
      <c r="H1038" s="35">
        <f>IF(Metas_Diarias[[#This Row],[dias_da_demana]]=1,"domingo",IF(Metas_Diarias[[#This Row],[dias_da_demana]]=7,0.5,1))</f>
        <v>1</v>
      </c>
      <c r="I1038" s="35">
        <f>_xlfn.XLOOKUP(Metas_Diarias[[#This Row],[data]],Feriados[Data],Feriados[Feriado],1)</f>
        <v>1</v>
      </c>
      <c r="J1038" s="33" cm="1">
        <f t="array" aca="1" ref="J1038" ca="1">SUMPRODUCT(IF((NOT(ISERROR(MATCH(ROW(INDIRECT(DATE(YEAR(B1038),MONTH(B1038),1)&amp;":"&amp;DATE(YEAR(B1038),MONTH(B1038)+1,0))),Feriados[Data],0))))=FALSE,
IF(WEEKDAY(ROW(INDIRECT(DATE(YEAR(B1038),MONTH(B1038),1)&amp;":"&amp;DATE(YEAR(B1038),MONTH(B1038)+1,0))),2)&lt;=5,1,IF(WEEKDAY(ROW(INDIRECT(DATE(YEAR(B1038),MONTH(B1038),1)&amp;":"&amp;DATE(YEAR(B1038),MONTH(B1038)+1,0))),2)=6,0.5,0)),0))</f>
        <v>25</v>
      </c>
      <c r="K1038" s="22" cm="1">
        <f t="array" ref="K1038">_xlfn.XLOOKUP(1,((Metas_Diarias[[#This Row],[tipo_equipe_id]]=Metas[equipe])*(Metas_Diarias[[#This Row],[data]]&gt;Metas[data_inicio])*(Metas_Diarias[[#This Row],[data]]&lt;Metas[data_fim])),Metas[meta_mensal],0)</f>
        <v>65000</v>
      </c>
      <c r="L1038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39" spans="2:12" x14ac:dyDescent="0.3">
      <c r="B1039" s="34">
        <v>45960</v>
      </c>
      <c r="C1039" s="34" t="str">
        <f>TEXT(Metas_Diarias[[#This Row],[data]],"dddd")</f>
        <v>quinta-feira</v>
      </c>
      <c r="D1039" s="33">
        <v>5</v>
      </c>
      <c r="E1039" s="33">
        <v>5</v>
      </c>
      <c r="F1039" s="18"/>
      <c r="G1039" s="35">
        <f>WEEKDAY(Metas_Diarias[[#This Row],[data]])</f>
        <v>5</v>
      </c>
      <c r="H1039" s="35">
        <f>IF(Metas_Diarias[[#This Row],[dias_da_demana]]=1,"domingo",IF(Metas_Diarias[[#This Row],[dias_da_demana]]=7,0.5,1))</f>
        <v>1</v>
      </c>
      <c r="I1039" s="35">
        <f>_xlfn.XLOOKUP(Metas_Diarias[[#This Row],[data]],Feriados[Data],Feriados[Feriado],1)</f>
        <v>1</v>
      </c>
      <c r="J1039" s="33" cm="1">
        <f t="array" aca="1" ref="J1039" ca="1">SUMPRODUCT(IF((NOT(ISERROR(MATCH(ROW(INDIRECT(DATE(YEAR(B1039),MONTH(B1039),1)&amp;":"&amp;DATE(YEAR(B1039),MONTH(B1039)+1,0))),Feriados[Data],0))))=FALSE,
IF(WEEKDAY(ROW(INDIRECT(DATE(YEAR(B1039),MONTH(B1039),1)&amp;":"&amp;DATE(YEAR(B1039),MONTH(B1039)+1,0))),2)&lt;=5,1,IF(WEEKDAY(ROW(INDIRECT(DATE(YEAR(B1039),MONTH(B1039),1)&amp;":"&amp;DATE(YEAR(B1039),MONTH(B1039)+1,0))),2)=6,0.5,0)),0))</f>
        <v>25</v>
      </c>
      <c r="K1039" s="22" cm="1">
        <f t="array" ref="K1039">_xlfn.XLOOKUP(1,((Metas_Diarias[[#This Row],[tipo_equipe_id]]=Metas[equipe])*(Metas_Diarias[[#This Row],[data]]&gt;Metas[data_inicio])*(Metas_Diarias[[#This Row],[data]]&lt;Metas[data_fim])),Metas[meta_mensal],0)</f>
        <v>65000</v>
      </c>
      <c r="L1039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40" spans="2:12" x14ac:dyDescent="0.3">
      <c r="B1040" s="34">
        <v>45961</v>
      </c>
      <c r="C1040" s="34" t="str">
        <f>TEXT(Metas_Diarias[[#This Row],[data]],"dddd")</f>
        <v>sexta-feira</v>
      </c>
      <c r="D1040" s="33">
        <v>5</v>
      </c>
      <c r="E1040" s="33">
        <v>5</v>
      </c>
      <c r="F1040" s="18"/>
      <c r="G1040" s="35">
        <f>WEEKDAY(Metas_Diarias[[#This Row],[data]])</f>
        <v>6</v>
      </c>
      <c r="H1040" s="35">
        <f>IF(Metas_Diarias[[#This Row],[dias_da_demana]]=1,"domingo",IF(Metas_Diarias[[#This Row],[dias_da_demana]]=7,0.5,1))</f>
        <v>1</v>
      </c>
      <c r="I1040" s="35">
        <f>_xlfn.XLOOKUP(Metas_Diarias[[#This Row],[data]],Feriados[Data],Feriados[Feriado],1)</f>
        <v>1</v>
      </c>
      <c r="J1040" s="33" cm="1">
        <f t="array" aca="1" ref="J1040" ca="1">SUMPRODUCT(IF((NOT(ISERROR(MATCH(ROW(INDIRECT(DATE(YEAR(B1040),MONTH(B1040),1)&amp;":"&amp;DATE(YEAR(B1040),MONTH(B1040)+1,0))),Feriados[Data],0))))=FALSE,
IF(WEEKDAY(ROW(INDIRECT(DATE(YEAR(B1040),MONTH(B1040),1)&amp;":"&amp;DATE(YEAR(B1040),MONTH(B1040)+1,0))),2)&lt;=5,1,IF(WEEKDAY(ROW(INDIRECT(DATE(YEAR(B1040),MONTH(B1040),1)&amp;":"&amp;DATE(YEAR(B1040),MONTH(B1040)+1,0))),2)=6,0.5,0)),0))</f>
        <v>25</v>
      </c>
      <c r="K1040" s="22" cm="1">
        <f t="array" ref="K1040">_xlfn.XLOOKUP(1,((Metas_Diarias[[#This Row],[tipo_equipe_id]]=Metas[equipe])*(Metas_Diarias[[#This Row],[data]]&gt;Metas[data_inicio])*(Metas_Diarias[[#This Row],[data]]&lt;Metas[data_fim])),Metas[meta_mensal],0)</f>
        <v>65000</v>
      </c>
      <c r="L1040" s="24">
        <f ca="1">Metas_Diarias[[#This Row],[meta_mensal]]*IF(Metas_Diarias[[#This Row],[semana]]="domingo",0,Metas_Diarias[[#This Row],[semana]])*IF(Metas_Diarias[[#This Row],[feriado]]&lt;&gt;1,0,1)/Metas_Diarias[[#This Row],[dias_úteis_Mês]]</f>
        <v>2600</v>
      </c>
    </row>
    <row r="1041" spans="2:12" x14ac:dyDescent="0.3">
      <c r="B1041" s="34">
        <v>45962</v>
      </c>
      <c r="C1041" s="34" t="str">
        <f>TEXT(Metas_Diarias[[#This Row],[data]],"dddd")</f>
        <v>sábado</v>
      </c>
      <c r="D1041" s="33">
        <v>5</v>
      </c>
      <c r="E1041" s="33">
        <v>5</v>
      </c>
      <c r="F1041" s="18"/>
      <c r="G1041" s="35">
        <f>WEEKDAY(Metas_Diarias[[#This Row],[data]])</f>
        <v>7</v>
      </c>
      <c r="H1041" s="35">
        <f>IF(Metas_Diarias[[#This Row],[dias_da_demana]]=1,"domingo",IF(Metas_Diarias[[#This Row],[dias_da_demana]]=7,0.5,1))</f>
        <v>0.5</v>
      </c>
      <c r="I1041" s="35">
        <f>_xlfn.XLOOKUP(Metas_Diarias[[#This Row],[data]],Feriados[Data],Feriados[Feriado],1)</f>
        <v>1</v>
      </c>
      <c r="J1041" s="33" cm="1">
        <f t="array" aca="1" ref="J1041" ca="1">SUMPRODUCT(IF((NOT(ISERROR(MATCH(ROW(INDIRECT(DATE(YEAR(B1041),MONTH(B1041),1)&amp;":"&amp;DATE(YEAR(B1041),MONTH(B1041)+1,0))),Feriados[Data],0))))=FALSE,
IF(WEEKDAY(ROW(INDIRECT(DATE(YEAR(B1041),MONTH(B1041),1)&amp;":"&amp;DATE(YEAR(B1041),MONTH(B1041)+1,0))),2)&lt;=5,1,IF(WEEKDAY(ROW(INDIRECT(DATE(YEAR(B1041),MONTH(B1041),1)&amp;":"&amp;DATE(YEAR(B1041),MONTH(B1041)+1,0))),2)=6,0.5,0)),0))</f>
        <v>22</v>
      </c>
      <c r="K1041" s="22" cm="1">
        <f t="array" ref="K1041">_xlfn.XLOOKUP(1,((Metas_Diarias[[#This Row],[tipo_equipe_id]]=Metas[equipe])*(Metas_Diarias[[#This Row],[data]]&gt;Metas[data_inicio])*(Metas_Diarias[[#This Row],[data]]&lt;Metas[data_fim])),Metas[meta_mensal],0)</f>
        <v>65000</v>
      </c>
      <c r="L1041" s="24">
        <f ca="1">Metas_Diarias[[#This Row],[meta_mensal]]*IF(Metas_Diarias[[#This Row],[semana]]="domingo",0,Metas_Diarias[[#This Row],[semana]])*IF(Metas_Diarias[[#This Row],[feriado]]&lt;&gt;1,0,1)/Metas_Diarias[[#This Row],[dias_úteis_Mês]]</f>
        <v>1477.2727272727273</v>
      </c>
    </row>
    <row r="1042" spans="2:12" x14ac:dyDescent="0.3">
      <c r="B1042" s="34">
        <v>45963</v>
      </c>
      <c r="C1042" s="34" t="str">
        <f>TEXT(Metas_Diarias[[#This Row],[data]],"dddd")</f>
        <v>domingo</v>
      </c>
      <c r="D1042" s="33">
        <v>5</v>
      </c>
      <c r="E1042" s="33">
        <v>5</v>
      </c>
      <c r="F1042" s="18"/>
      <c r="G1042" s="35">
        <f>WEEKDAY(Metas_Diarias[[#This Row],[data]])</f>
        <v>1</v>
      </c>
      <c r="H1042" s="35" t="str">
        <f>IF(Metas_Diarias[[#This Row],[dias_da_demana]]=1,"domingo",IF(Metas_Diarias[[#This Row],[dias_da_demana]]=7,0.5,1))</f>
        <v>domingo</v>
      </c>
      <c r="I1042" s="35" t="str">
        <f>_xlfn.XLOOKUP(Metas_Diarias[[#This Row],[data]],Feriados[Data],Feriados[Feriado],1)</f>
        <v>Finados</v>
      </c>
      <c r="J1042" s="33" cm="1">
        <f t="array" aca="1" ref="J1042" ca="1">SUMPRODUCT(IF((NOT(ISERROR(MATCH(ROW(INDIRECT(DATE(YEAR(B1042),MONTH(B1042),1)&amp;":"&amp;DATE(YEAR(B1042),MONTH(B1042)+1,0))),Feriados[Data],0))))=FALSE,
IF(WEEKDAY(ROW(INDIRECT(DATE(YEAR(B1042),MONTH(B1042),1)&amp;":"&amp;DATE(YEAR(B1042),MONTH(B1042)+1,0))),2)&lt;=5,1,IF(WEEKDAY(ROW(INDIRECT(DATE(YEAR(B1042),MONTH(B1042),1)&amp;":"&amp;DATE(YEAR(B1042),MONTH(B1042)+1,0))),2)=6,0.5,0)),0))</f>
        <v>22</v>
      </c>
      <c r="K1042" s="22" cm="1">
        <f t="array" ref="K1042">_xlfn.XLOOKUP(1,((Metas_Diarias[[#This Row],[tipo_equipe_id]]=Metas[equipe])*(Metas_Diarias[[#This Row],[data]]&gt;Metas[data_inicio])*(Metas_Diarias[[#This Row],[data]]&lt;Metas[data_fim])),Metas[meta_mensal],0)</f>
        <v>65000</v>
      </c>
      <c r="L104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43" spans="2:12" x14ac:dyDescent="0.3">
      <c r="B1043" s="34">
        <v>45964</v>
      </c>
      <c r="C1043" s="34" t="str">
        <f>TEXT(Metas_Diarias[[#This Row],[data]],"dddd")</f>
        <v>segunda-feira</v>
      </c>
      <c r="D1043" s="33">
        <v>5</v>
      </c>
      <c r="E1043" s="33">
        <v>5</v>
      </c>
      <c r="F1043" s="18"/>
      <c r="G1043" s="35">
        <f>WEEKDAY(Metas_Diarias[[#This Row],[data]])</f>
        <v>2</v>
      </c>
      <c r="H1043" s="35">
        <f>IF(Metas_Diarias[[#This Row],[dias_da_demana]]=1,"domingo",IF(Metas_Diarias[[#This Row],[dias_da_demana]]=7,0.5,1))</f>
        <v>1</v>
      </c>
      <c r="I1043" s="35">
        <f>_xlfn.XLOOKUP(Metas_Diarias[[#This Row],[data]],Feriados[Data],Feriados[Feriado],1)</f>
        <v>1</v>
      </c>
      <c r="J1043" s="33" cm="1">
        <f t="array" aca="1" ref="J1043" ca="1">SUMPRODUCT(IF((NOT(ISERROR(MATCH(ROW(INDIRECT(DATE(YEAR(B1043),MONTH(B1043),1)&amp;":"&amp;DATE(YEAR(B1043),MONTH(B1043)+1,0))),Feriados[Data],0))))=FALSE,
IF(WEEKDAY(ROW(INDIRECT(DATE(YEAR(B1043),MONTH(B1043),1)&amp;":"&amp;DATE(YEAR(B1043),MONTH(B1043)+1,0))),2)&lt;=5,1,IF(WEEKDAY(ROW(INDIRECT(DATE(YEAR(B1043),MONTH(B1043),1)&amp;":"&amp;DATE(YEAR(B1043),MONTH(B1043)+1,0))),2)=6,0.5,0)),0))</f>
        <v>22</v>
      </c>
      <c r="K1043" s="22" cm="1">
        <f t="array" ref="K1043">_xlfn.XLOOKUP(1,((Metas_Diarias[[#This Row],[tipo_equipe_id]]=Metas[equipe])*(Metas_Diarias[[#This Row],[data]]&gt;Metas[data_inicio])*(Metas_Diarias[[#This Row],[data]]&lt;Metas[data_fim])),Metas[meta_mensal],0)</f>
        <v>65000</v>
      </c>
      <c r="L1043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44" spans="2:12" x14ac:dyDescent="0.3">
      <c r="B1044" s="34">
        <v>45965</v>
      </c>
      <c r="C1044" s="34" t="str">
        <f>TEXT(Metas_Diarias[[#This Row],[data]],"dddd")</f>
        <v>terça-feira</v>
      </c>
      <c r="D1044" s="33">
        <v>5</v>
      </c>
      <c r="E1044" s="33">
        <v>5</v>
      </c>
      <c r="F1044" s="18"/>
      <c r="G1044" s="35">
        <f>WEEKDAY(Metas_Diarias[[#This Row],[data]])</f>
        <v>3</v>
      </c>
      <c r="H1044" s="35">
        <f>IF(Metas_Diarias[[#This Row],[dias_da_demana]]=1,"domingo",IF(Metas_Diarias[[#This Row],[dias_da_demana]]=7,0.5,1))</f>
        <v>1</v>
      </c>
      <c r="I1044" s="35">
        <f>_xlfn.XLOOKUP(Metas_Diarias[[#This Row],[data]],Feriados[Data],Feriados[Feriado],1)</f>
        <v>1</v>
      </c>
      <c r="J1044" s="33" cm="1">
        <f t="array" aca="1" ref="J1044" ca="1">SUMPRODUCT(IF((NOT(ISERROR(MATCH(ROW(INDIRECT(DATE(YEAR(B1044),MONTH(B1044),1)&amp;":"&amp;DATE(YEAR(B1044),MONTH(B1044)+1,0))),Feriados[Data],0))))=FALSE,
IF(WEEKDAY(ROW(INDIRECT(DATE(YEAR(B1044),MONTH(B1044),1)&amp;":"&amp;DATE(YEAR(B1044),MONTH(B1044)+1,0))),2)&lt;=5,1,IF(WEEKDAY(ROW(INDIRECT(DATE(YEAR(B1044),MONTH(B1044),1)&amp;":"&amp;DATE(YEAR(B1044),MONTH(B1044)+1,0))),2)=6,0.5,0)),0))</f>
        <v>22</v>
      </c>
      <c r="K1044" s="22" cm="1">
        <f t="array" ref="K1044">_xlfn.XLOOKUP(1,((Metas_Diarias[[#This Row],[tipo_equipe_id]]=Metas[equipe])*(Metas_Diarias[[#This Row],[data]]&gt;Metas[data_inicio])*(Metas_Diarias[[#This Row],[data]]&lt;Metas[data_fim])),Metas[meta_mensal],0)</f>
        <v>65000</v>
      </c>
      <c r="L1044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45" spans="2:12" x14ac:dyDescent="0.3">
      <c r="B1045" s="34">
        <v>45966</v>
      </c>
      <c r="C1045" s="34" t="str">
        <f>TEXT(Metas_Diarias[[#This Row],[data]],"dddd")</f>
        <v>quarta-feira</v>
      </c>
      <c r="D1045" s="33">
        <v>5</v>
      </c>
      <c r="E1045" s="33">
        <v>5</v>
      </c>
      <c r="F1045" s="18"/>
      <c r="G1045" s="35">
        <f>WEEKDAY(Metas_Diarias[[#This Row],[data]])</f>
        <v>4</v>
      </c>
      <c r="H1045" s="35">
        <f>IF(Metas_Diarias[[#This Row],[dias_da_demana]]=1,"domingo",IF(Metas_Diarias[[#This Row],[dias_da_demana]]=7,0.5,1))</f>
        <v>1</v>
      </c>
      <c r="I1045" s="35">
        <f>_xlfn.XLOOKUP(Metas_Diarias[[#This Row],[data]],Feriados[Data],Feriados[Feriado],1)</f>
        <v>1</v>
      </c>
      <c r="J1045" s="33" cm="1">
        <f t="array" aca="1" ref="J1045" ca="1">SUMPRODUCT(IF((NOT(ISERROR(MATCH(ROW(INDIRECT(DATE(YEAR(B1045),MONTH(B1045),1)&amp;":"&amp;DATE(YEAR(B1045),MONTH(B1045)+1,0))),Feriados[Data],0))))=FALSE,
IF(WEEKDAY(ROW(INDIRECT(DATE(YEAR(B1045),MONTH(B1045),1)&amp;":"&amp;DATE(YEAR(B1045),MONTH(B1045)+1,0))),2)&lt;=5,1,IF(WEEKDAY(ROW(INDIRECT(DATE(YEAR(B1045),MONTH(B1045),1)&amp;":"&amp;DATE(YEAR(B1045),MONTH(B1045)+1,0))),2)=6,0.5,0)),0))</f>
        <v>22</v>
      </c>
      <c r="K1045" s="22" cm="1">
        <f t="array" ref="K1045">_xlfn.XLOOKUP(1,((Metas_Diarias[[#This Row],[tipo_equipe_id]]=Metas[equipe])*(Metas_Diarias[[#This Row],[data]]&gt;Metas[data_inicio])*(Metas_Diarias[[#This Row],[data]]&lt;Metas[data_fim])),Metas[meta_mensal],0)</f>
        <v>65000</v>
      </c>
      <c r="L1045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46" spans="2:12" x14ac:dyDescent="0.3">
      <c r="B1046" s="34">
        <v>45967</v>
      </c>
      <c r="C1046" s="34" t="str">
        <f>TEXT(Metas_Diarias[[#This Row],[data]],"dddd")</f>
        <v>quinta-feira</v>
      </c>
      <c r="D1046" s="33">
        <v>5</v>
      </c>
      <c r="E1046" s="33">
        <v>5</v>
      </c>
      <c r="F1046" s="18"/>
      <c r="G1046" s="35">
        <f>WEEKDAY(Metas_Diarias[[#This Row],[data]])</f>
        <v>5</v>
      </c>
      <c r="H1046" s="35">
        <f>IF(Metas_Diarias[[#This Row],[dias_da_demana]]=1,"domingo",IF(Metas_Diarias[[#This Row],[dias_da_demana]]=7,0.5,1))</f>
        <v>1</v>
      </c>
      <c r="I1046" s="35">
        <f>_xlfn.XLOOKUP(Metas_Diarias[[#This Row],[data]],Feriados[Data],Feriados[Feriado],1)</f>
        <v>1</v>
      </c>
      <c r="J1046" s="33" cm="1">
        <f t="array" aca="1" ref="J1046" ca="1">SUMPRODUCT(IF((NOT(ISERROR(MATCH(ROW(INDIRECT(DATE(YEAR(B1046),MONTH(B1046),1)&amp;":"&amp;DATE(YEAR(B1046),MONTH(B1046)+1,0))),Feriados[Data],0))))=FALSE,
IF(WEEKDAY(ROW(INDIRECT(DATE(YEAR(B1046),MONTH(B1046),1)&amp;":"&amp;DATE(YEAR(B1046),MONTH(B1046)+1,0))),2)&lt;=5,1,IF(WEEKDAY(ROW(INDIRECT(DATE(YEAR(B1046),MONTH(B1046),1)&amp;":"&amp;DATE(YEAR(B1046),MONTH(B1046)+1,0))),2)=6,0.5,0)),0))</f>
        <v>22</v>
      </c>
      <c r="K1046" s="22" cm="1">
        <f t="array" ref="K1046">_xlfn.XLOOKUP(1,((Metas_Diarias[[#This Row],[tipo_equipe_id]]=Metas[equipe])*(Metas_Diarias[[#This Row],[data]]&gt;Metas[data_inicio])*(Metas_Diarias[[#This Row],[data]]&lt;Metas[data_fim])),Metas[meta_mensal],0)</f>
        <v>65000</v>
      </c>
      <c r="L1046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47" spans="2:12" x14ac:dyDescent="0.3">
      <c r="B1047" s="34">
        <v>45968</v>
      </c>
      <c r="C1047" s="34" t="str">
        <f>TEXT(Metas_Diarias[[#This Row],[data]],"dddd")</f>
        <v>sexta-feira</v>
      </c>
      <c r="D1047" s="33">
        <v>5</v>
      </c>
      <c r="E1047" s="33">
        <v>5</v>
      </c>
      <c r="F1047" s="18"/>
      <c r="G1047" s="35">
        <f>WEEKDAY(Metas_Diarias[[#This Row],[data]])</f>
        <v>6</v>
      </c>
      <c r="H1047" s="35">
        <f>IF(Metas_Diarias[[#This Row],[dias_da_demana]]=1,"domingo",IF(Metas_Diarias[[#This Row],[dias_da_demana]]=7,0.5,1))</f>
        <v>1</v>
      </c>
      <c r="I1047" s="35">
        <f>_xlfn.XLOOKUP(Metas_Diarias[[#This Row],[data]],Feriados[Data],Feriados[Feriado],1)</f>
        <v>1</v>
      </c>
      <c r="J1047" s="33" cm="1">
        <f t="array" aca="1" ref="J1047" ca="1">SUMPRODUCT(IF((NOT(ISERROR(MATCH(ROW(INDIRECT(DATE(YEAR(B1047),MONTH(B1047),1)&amp;":"&amp;DATE(YEAR(B1047),MONTH(B1047)+1,0))),Feriados[Data],0))))=FALSE,
IF(WEEKDAY(ROW(INDIRECT(DATE(YEAR(B1047),MONTH(B1047),1)&amp;":"&amp;DATE(YEAR(B1047),MONTH(B1047)+1,0))),2)&lt;=5,1,IF(WEEKDAY(ROW(INDIRECT(DATE(YEAR(B1047),MONTH(B1047),1)&amp;":"&amp;DATE(YEAR(B1047),MONTH(B1047)+1,0))),2)=6,0.5,0)),0))</f>
        <v>22</v>
      </c>
      <c r="K1047" s="22" cm="1">
        <f t="array" ref="K1047">_xlfn.XLOOKUP(1,((Metas_Diarias[[#This Row],[tipo_equipe_id]]=Metas[equipe])*(Metas_Diarias[[#This Row],[data]]&gt;Metas[data_inicio])*(Metas_Diarias[[#This Row],[data]]&lt;Metas[data_fim])),Metas[meta_mensal],0)</f>
        <v>65000</v>
      </c>
      <c r="L1047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48" spans="2:12" x14ac:dyDescent="0.3">
      <c r="B1048" s="34">
        <v>45969</v>
      </c>
      <c r="C1048" s="34" t="str">
        <f>TEXT(Metas_Diarias[[#This Row],[data]],"dddd")</f>
        <v>sábado</v>
      </c>
      <c r="D1048" s="33">
        <v>5</v>
      </c>
      <c r="E1048" s="33">
        <v>5</v>
      </c>
      <c r="F1048" s="18"/>
      <c r="G1048" s="35">
        <f>WEEKDAY(Metas_Diarias[[#This Row],[data]])</f>
        <v>7</v>
      </c>
      <c r="H1048" s="35">
        <f>IF(Metas_Diarias[[#This Row],[dias_da_demana]]=1,"domingo",IF(Metas_Diarias[[#This Row],[dias_da_demana]]=7,0.5,1))</f>
        <v>0.5</v>
      </c>
      <c r="I1048" s="35">
        <f>_xlfn.XLOOKUP(Metas_Diarias[[#This Row],[data]],Feriados[Data],Feriados[Feriado],1)</f>
        <v>1</v>
      </c>
      <c r="J1048" s="33" cm="1">
        <f t="array" aca="1" ref="J1048" ca="1">SUMPRODUCT(IF((NOT(ISERROR(MATCH(ROW(INDIRECT(DATE(YEAR(B1048),MONTH(B1048),1)&amp;":"&amp;DATE(YEAR(B1048),MONTH(B1048)+1,0))),Feriados[Data],0))))=FALSE,
IF(WEEKDAY(ROW(INDIRECT(DATE(YEAR(B1048),MONTH(B1048),1)&amp;":"&amp;DATE(YEAR(B1048),MONTH(B1048)+1,0))),2)&lt;=5,1,IF(WEEKDAY(ROW(INDIRECT(DATE(YEAR(B1048),MONTH(B1048),1)&amp;":"&amp;DATE(YEAR(B1048),MONTH(B1048)+1,0))),2)=6,0.5,0)),0))</f>
        <v>22</v>
      </c>
      <c r="K1048" s="22" cm="1">
        <f t="array" ref="K1048">_xlfn.XLOOKUP(1,((Metas_Diarias[[#This Row],[tipo_equipe_id]]=Metas[equipe])*(Metas_Diarias[[#This Row],[data]]&gt;Metas[data_inicio])*(Metas_Diarias[[#This Row],[data]]&lt;Metas[data_fim])),Metas[meta_mensal],0)</f>
        <v>65000</v>
      </c>
      <c r="L1048" s="24">
        <f ca="1">Metas_Diarias[[#This Row],[meta_mensal]]*IF(Metas_Diarias[[#This Row],[semana]]="domingo",0,Metas_Diarias[[#This Row],[semana]])*IF(Metas_Diarias[[#This Row],[feriado]]&lt;&gt;1,0,1)/Metas_Diarias[[#This Row],[dias_úteis_Mês]]</f>
        <v>1477.2727272727273</v>
      </c>
    </row>
    <row r="1049" spans="2:12" x14ac:dyDescent="0.3">
      <c r="B1049" s="34">
        <v>45970</v>
      </c>
      <c r="C1049" s="34" t="str">
        <f>TEXT(Metas_Diarias[[#This Row],[data]],"dddd")</f>
        <v>domingo</v>
      </c>
      <c r="D1049" s="33">
        <v>5</v>
      </c>
      <c r="E1049" s="33">
        <v>5</v>
      </c>
      <c r="F1049" s="18"/>
      <c r="G1049" s="35">
        <f>WEEKDAY(Metas_Diarias[[#This Row],[data]])</f>
        <v>1</v>
      </c>
      <c r="H1049" s="35" t="str">
        <f>IF(Metas_Diarias[[#This Row],[dias_da_demana]]=1,"domingo",IF(Metas_Diarias[[#This Row],[dias_da_demana]]=7,0.5,1))</f>
        <v>domingo</v>
      </c>
      <c r="I1049" s="35">
        <f>_xlfn.XLOOKUP(Metas_Diarias[[#This Row],[data]],Feriados[Data],Feriados[Feriado],1)</f>
        <v>1</v>
      </c>
      <c r="J1049" s="33" cm="1">
        <f t="array" aca="1" ref="J1049" ca="1">SUMPRODUCT(IF((NOT(ISERROR(MATCH(ROW(INDIRECT(DATE(YEAR(B1049),MONTH(B1049),1)&amp;":"&amp;DATE(YEAR(B1049),MONTH(B1049)+1,0))),Feriados[Data],0))))=FALSE,
IF(WEEKDAY(ROW(INDIRECT(DATE(YEAR(B1049),MONTH(B1049),1)&amp;":"&amp;DATE(YEAR(B1049),MONTH(B1049)+1,0))),2)&lt;=5,1,IF(WEEKDAY(ROW(INDIRECT(DATE(YEAR(B1049),MONTH(B1049),1)&amp;":"&amp;DATE(YEAR(B1049),MONTH(B1049)+1,0))),2)=6,0.5,0)),0))</f>
        <v>22</v>
      </c>
      <c r="K1049" s="22" cm="1">
        <f t="array" ref="K1049">_xlfn.XLOOKUP(1,((Metas_Diarias[[#This Row],[tipo_equipe_id]]=Metas[equipe])*(Metas_Diarias[[#This Row],[data]]&gt;Metas[data_inicio])*(Metas_Diarias[[#This Row],[data]]&lt;Metas[data_fim])),Metas[meta_mensal],0)</f>
        <v>65000</v>
      </c>
      <c r="L104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50" spans="2:12" x14ac:dyDescent="0.3">
      <c r="B1050" s="34">
        <v>45971</v>
      </c>
      <c r="C1050" s="34" t="str">
        <f>TEXT(Metas_Diarias[[#This Row],[data]],"dddd")</f>
        <v>segunda-feira</v>
      </c>
      <c r="D1050" s="33">
        <v>5</v>
      </c>
      <c r="E1050" s="33">
        <v>5</v>
      </c>
      <c r="F1050" s="18"/>
      <c r="G1050" s="35">
        <f>WEEKDAY(Metas_Diarias[[#This Row],[data]])</f>
        <v>2</v>
      </c>
      <c r="H1050" s="35">
        <f>IF(Metas_Diarias[[#This Row],[dias_da_demana]]=1,"domingo",IF(Metas_Diarias[[#This Row],[dias_da_demana]]=7,0.5,1))</f>
        <v>1</v>
      </c>
      <c r="I1050" s="35">
        <f>_xlfn.XLOOKUP(Metas_Diarias[[#This Row],[data]],Feriados[Data],Feriados[Feriado],1)</f>
        <v>1</v>
      </c>
      <c r="J1050" s="33" cm="1">
        <f t="array" aca="1" ref="J1050" ca="1">SUMPRODUCT(IF((NOT(ISERROR(MATCH(ROW(INDIRECT(DATE(YEAR(B1050),MONTH(B1050),1)&amp;":"&amp;DATE(YEAR(B1050),MONTH(B1050)+1,0))),Feriados[Data],0))))=FALSE,
IF(WEEKDAY(ROW(INDIRECT(DATE(YEAR(B1050),MONTH(B1050),1)&amp;":"&amp;DATE(YEAR(B1050),MONTH(B1050)+1,0))),2)&lt;=5,1,IF(WEEKDAY(ROW(INDIRECT(DATE(YEAR(B1050),MONTH(B1050),1)&amp;":"&amp;DATE(YEAR(B1050),MONTH(B1050)+1,0))),2)=6,0.5,0)),0))</f>
        <v>22</v>
      </c>
      <c r="K1050" s="22" cm="1">
        <f t="array" ref="K1050">_xlfn.XLOOKUP(1,((Metas_Diarias[[#This Row],[tipo_equipe_id]]=Metas[equipe])*(Metas_Diarias[[#This Row],[data]]&gt;Metas[data_inicio])*(Metas_Diarias[[#This Row],[data]]&lt;Metas[data_fim])),Metas[meta_mensal],0)</f>
        <v>65000</v>
      </c>
      <c r="L1050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51" spans="2:12" x14ac:dyDescent="0.3">
      <c r="B1051" s="34">
        <v>45972</v>
      </c>
      <c r="C1051" s="34" t="str">
        <f>TEXT(Metas_Diarias[[#This Row],[data]],"dddd")</f>
        <v>terça-feira</v>
      </c>
      <c r="D1051" s="33">
        <v>5</v>
      </c>
      <c r="E1051" s="33">
        <v>5</v>
      </c>
      <c r="F1051" s="18"/>
      <c r="G1051" s="35">
        <f>WEEKDAY(Metas_Diarias[[#This Row],[data]])</f>
        <v>3</v>
      </c>
      <c r="H1051" s="35">
        <f>IF(Metas_Diarias[[#This Row],[dias_da_demana]]=1,"domingo",IF(Metas_Diarias[[#This Row],[dias_da_demana]]=7,0.5,1))</f>
        <v>1</v>
      </c>
      <c r="I1051" s="35">
        <f>_xlfn.XLOOKUP(Metas_Diarias[[#This Row],[data]],Feriados[Data],Feriados[Feriado],1)</f>
        <v>1</v>
      </c>
      <c r="J1051" s="33" cm="1">
        <f t="array" aca="1" ref="J1051" ca="1">SUMPRODUCT(IF((NOT(ISERROR(MATCH(ROW(INDIRECT(DATE(YEAR(B1051),MONTH(B1051),1)&amp;":"&amp;DATE(YEAR(B1051),MONTH(B1051)+1,0))),Feriados[Data],0))))=FALSE,
IF(WEEKDAY(ROW(INDIRECT(DATE(YEAR(B1051),MONTH(B1051),1)&amp;":"&amp;DATE(YEAR(B1051),MONTH(B1051)+1,0))),2)&lt;=5,1,IF(WEEKDAY(ROW(INDIRECT(DATE(YEAR(B1051),MONTH(B1051),1)&amp;":"&amp;DATE(YEAR(B1051),MONTH(B1051)+1,0))),2)=6,0.5,0)),0))</f>
        <v>22</v>
      </c>
      <c r="K1051" s="22" cm="1">
        <f t="array" ref="K1051">_xlfn.XLOOKUP(1,((Metas_Diarias[[#This Row],[tipo_equipe_id]]=Metas[equipe])*(Metas_Diarias[[#This Row],[data]]&gt;Metas[data_inicio])*(Metas_Diarias[[#This Row],[data]]&lt;Metas[data_fim])),Metas[meta_mensal],0)</f>
        <v>65000</v>
      </c>
      <c r="L1051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52" spans="2:12" x14ac:dyDescent="0.3">
      <c r="B1052" s="34">
        <v>45973</v>
      </c>
      <c r="C1052" s="34" t="str">
        <f>TEXT(Metas_Diarias[[#This Row],[data]],"dddd")</f>
        <v>quarta-feira</v>
      </c>
      <c r="D1052" s="33">
        <v>5</v>
      </c>
      <c r="E1052" s="33">
        <v>5</v>
      </c>
      <c r="F1052" s="18"/>
      <c r="G1052" s="35">
        <f>WEEKDAY(Metas_Diarias[[#This Row],[data]])</f>
        <v>4</v>
      </c>
      <c r="H1052" s="35">
        <f>IF(Metas_Diarias[[#This Row],[dias_da_demana]]=1,"domingo",IF(Metas_Diarias[[#This Row],[dias_da_demana]]=7,0.5,1))</f>
        <v>1</v>
      </c>
      <c r="I1052" s="35">
        <f>_xlfn.XLOOKUP(Metas_Diarias[[#This Row],[data]],Feriados[Data],Feriados[Feriado],1)</f>
        <v>1</v>
      </c>
      <c r="J1052" s="33" cm="1">
        <f t="array" aca="1" ref="J1052" ca="1">SUMPRODUCT(IF((NOT(ISERROR(MATCH(ROW(INDIRECT(DATE(YEAR(B1052),MONTH(B1052),1)&amp;":"&amp;DATE(YEAR(B1052),MONTH(B1052)+1,0))),Feriados[Data],0))))=FALSE,
IF(WEEKDAY(ROW(INDIRECT(DATE(YEAR(B1052),MONTH(B1052),1)&amp;":"&amp;DATE(YEAR(B1052),MONTH(B1052)+1,0))),2)&lt;=5,1,IF(WEEKDAY(ROW(INDIRECT(DATE(YEAR(B1052),MONTH(B1052),1)&amp;":"&amp;DATE(YEAR(B1052),MONTH(B1052)+1,0))),2)=6,0.5,0)),0))</f>
        <v>22</v>
      </c>
      <c r="K1052" s="22" cm="1">
        <f t="array" ref="K1052">_xlfn.XLOOKUP(1,((Metas_Diarias[[#This Row],[tipo_equipe_id]]=Metas[equipe])*(Metas_Diarias[[#This Row],[data]]&gt;Metas[data_inicio])*(Metas_Diarias[[#This Row],[data]]&lt;Metas[data_fim])),Metas[meta_mensal],0)</f>
        <v>65000</v>
      </c>
      <c r="L1052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53" spans="2:12" x14ac:dyDescent="0.3">
      <c r="B1053" s="34">
        <v>45974</v>
      </c>
      <c r="C1053" s="34" t="str">
        <f>TEXT(Metas_Diarias[[#This Row],[data]],"dddd")</f>
        <v>quinta-feira</v>
      </c>
      <c r="D1053" s="33">
        <v>5</v>
      </c>
      <c r="E1053" s="33">
        <v>5</v>
      </c>
      <c r="F1053" s="18"/>
      <c r="G1053" s="35">
        <f>WEEKDAY(Metas_Diarias[[#This Row],[data]])</f>
        <v>5</v>
      </c>
      <c r="H1053" s="35">
        <f>IF(Metas_Diarias[[#This Row],[dias_da_demana]]=1,"domingo",IF(Metas_Diarias[[#This Row],[dias_da_demana]]=7,0.5,1))</f>
        <v>1</v>
      </c>
      <c r="I1053" s="35">
        <f>_xlfn.XLOOKUP(Metas_Diarias[[#This Row],[data]],Feriados[Data],Feriados[Feriado],1)</f>
        <v>1</v>
      </c>
      <c r="J1053" s="33" cm="1">
        <f t="array" aca="1" ref="J1053" ca="1">SUMPRODUCT(IF((NOT(ISERROR(MATCH(ROW(INDIRECT(DATE(YEAR(B1053),MONTH(B1053),1)&amp;":"&amp;DATE(YEAR(B1053),MONTH(B1053)+1,0))),Feriados[Data],0))))=FALSE,
IF(WEEKDAY(ROW(INDIRECT(DATE(YEAR(B1053),MONTH(B1053),1)&amp;":"&amp;DATE(YEAR(B1053),MONTH(B1053)+1,0))),2)&lt;=5,1,IF(WEEKDAY(ROW(INDIRECT(DATE(YEAR(B1053),MONTH(B1053),1)&amp;":"&amp;DATE(YEAR(B1053),MONTH(B1053)+1,0))),2)=6,0.5,0)),0))</f>
        <v>22</v>
      </c>
      <c r="K1053" s="22" cm="1">
        <f t="array" ref="K1053">_xlfn.XLOOKUP(1,((Metas_Diarias[[#This Row],[tipo_equipe_id]]=Metas[equipe])*(Metas_Diarias[[#This Row],[data]]&gt;Metas[data_inicio])*(Metas_Diarias[[#This Row],[data]]&lt;Metas[data_fim])),Metas[meta_mensal],0)</f>
        <v>65000</v>
      </c>
      <c r="L1053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54" spans="2:12" x14ac:dyDescent="0.3">
      <c r="B1054" s="34">
        <v>45975</v>
      </c>
      <c r="C1054" s="34" t="str">
        <f>TEXT(Metas_Diarias[[#This Row],[data]],"dddd")</f>
        <v>sexta-feira</v>
      </c>
      <c r="D1054" s="33">
        <v>5</v>
      </c>
      <c r="E1054" s="33">
        <v>5</v>
      </c>
      <c r="F1054" s="18"/>
      <c r="G1054" s="35">
        <f>WEEKDAY(Metas_Diarias[[#This Row],[data]])</f>
        <v>6</v>
      </c>
      <c r="H1054" s="35">
        <f>IF(Metas_Diarias[[#This Row],[dias_da_demana]]=1,"domingo",IF(Metas_Diarias[[#This Row],[dias_da_demana]]=7,0.5,1))</f>
        <v>1</v>
      </c>
      <c r="I1054" s="35">
        <f>_xlfn.XLOOKUP(Metas_Diarias[[#This Row],[data]],Feriados[Data],Feriados[Feriado],1)</f>
        <v>1</v>
      </c>
      <c r="J1054" s="33" cm="1">
        <f t="array" aca="1" ref="J1054" ca="1">SUMPRODUCT(IF((NOT(ISERROR(MATCH(ROW(INDIRECT(DATE(YEAR(B1054),MONTH(B1054),1)&amp;":"&amp;DATE(YEAR(B1054),MONTH(B1054)+1,0))),Feriados[Data],0))))=FALSE,
IF(WEEKDAY(ROW(INDIRECT(DATE(YEAR(B1054),MONTH(B1054),1)&amp;":"&amp;DATE(YEAR(B1054),MONTH(B1054)+1,0))),2)&lt;=5,1,IF(WEEKDAY(ROW(INDIRECT(DATE(YEAR(B1054),MONTH(B1054),1)&amp;":"&amp;DATE(YEAR(B1054),MONTH(B1054)+1,0))),2)=6,0.5,0)),0))</f>
        <v>22</v>
      </c>
      <c r="K1054" s="22" cm="1">
        <f t="array" ref="K1054">_xlfn.XLOOKUP(1,((Metas_Diarias[[#This Row],[tipo_equipe_id]]=Metas[equipe])*(Metas_Diarias[[#This Row],[data]]&gt;Metas[data_inicio])*(Metas_Diarias[[#This Row],[data]]&lt;Metas[data_fim])),Metas[meta_mensal],0)</f>
        <v>65000</v>
      </c>
      <c r="L1054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55" spans="2:12" x14ac:dyDescent="0.3">
      <c r="B1055" s="34">
        <v>45976</v>
      </c>
      <c r="C1055" s="34" t="str">
        <f>TEXT(Metas_Diarias[[#This Row],[data]],"dddd")</f>
        <v>sábado</v>
      </c>
      <c r="D1055" s="33">
        <v>5</v>
      </c>
      <c r="E1055" s="33">
        <v>5</v>
      </c>
      <c r="F1055" s="18"/>
      <c r="G1055" s="35">
        <f>WEEKDAY(Metas_Diarias[[#This Row],[data]])</f>
        <v>7</v>
      </c>
      <c r="H1055" s="35">
        <f>IF(Metas_Diarias[[#This Row],[dias_da_demana]]=1,"domingo",IF(Metas_Diarias[[#This Row],[dias_da_demana]]=7,0.5,1))</f>
        <v>0.5</v>
      </c>
      <c r="I1055" s="35" t="str">
        <f>_xlfn.XLOOKUP(Metas_Diarias[[#This Row],[data]],Feriados[Data],Feriados[Feriado],1)</f>
        <v>Proclamação da República</v>
      </c>
      <c r="J1055" s="33" cm="1">
        <f t="array" aca="1" ref="J1055" ca="1">SUMPRODUCT(IF((NOT(ISERROR(MATCH(ROW(INDIRECT(DATE(YEAR(B1055),MONTH(B1055),1)&amp;":"&amp;DATE(YEAR(B1055),MONTH(B1055)+1,0))),Feriados[Data],0))))=FALSE,
IF(WEEKDAY(ROW(INDIRECT(DATE(YEAR(B1055),MONTH(B1055),1)&amp;":"&amp;DATE(YEAR(B1055),MONTH(B1055)+1,0))),2)&lt;=5,1,IF(WEEKDAY(ROW(INDIRECT(DATE(YEAR(B1055),MONTH(B1055),1)&amp;":"&amp;DATE(YEAR(B1055),MONTH(B1055)+1,0))),2)=6,0.5,0)),0))</f>
        <v>22</v>
      </c>
      <c r="K1055" s="22" cm="1">
        <f t="array" ref="K1055">_xlfn.XLOOKUP(1,((Metas_Diarias[[#This Row],[tipo_equipe_id]]=Metas[equipe])*(Metas_Diarias[[#This Row],[data]]&gt;Metas[data_inicio])*(Metas_Diarias[[#This Row],[data]]&lt;Metas[data_fim])),Metas[meta_mensal],0)</f>
        <v>65000</v>
      </c>
      <c r="L105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56" spans="2:12" x14ac:dyDescent="0.3">
      <c r="B1056" s="34">
        <v>45977</v>
      </c>
      <c r="C1056" s="34" t="str">
        <f>TEXT(Metas_Diarias[[#This Row],[data]],"dddd")</f>
        <v>domingo</v>
      </c>
      <c r="D1056" s="33">
        <v>5</v>
      </c>
      <c r="E1056" s="33">
        <v>5</v>
      </c>
      <c r="F1056" s="18"/>
      <c r="G1056" s="35">
        <f>WEEKDAY(Metas_Diarias[[#This Row],[data]])</f>
        <v>1</v>
      </c>
      <c r="H1056" s="35" t="str">
        <f>IF(Metas_Diarias[[#This Row],[dias_da_demana]]=1,"domingo",IF(Metas_Diarias[[#This Row],[dias_da_demana]]=7,0.5,1))</f>
        <v>domingo</v>
      </c>
      <c r="I1056" s="35">
        <f>_xlfn.XLOOKUP(Metas_Diarias[[#This Row],[data]],Feriados[Data],Feriados[Feriado],1)</f>
        <v>1</v>
      </c>
      <c r="J1056" s="33" cm="1">
        <f t="array" aca="1" ref="J1056" ca="1">SUMPRODUCT(IF((NOT(ISERROR(MATCH(ROW(INDIRECT(DATE(YEAR(B1056),MONTH(B1056),1)&amp;":"&amp;DATE(YEAR(B1056),MONTH(B1056)+1,0))),Feriados[Data],0))))=FALSE,
IF(WEEKDAY(ROW(INDIRECT(DATE(YEAR(B1056),MONTH(B1056),1)&amp;":"&amp;DATE(YEAR(B1056),MONTH(B1056)+1,0))),2)&lt;=5,1,IF(WEEKDAY(ROW(INDIRECT(DATE(YEAR(B1056),MONTH(B1056),1)&amp;":"&amp;DATE(YEAR(B1056),MONTH(B1056)+1,0))),2)=6,0.5,0)),0))</f>
        <v>22</v>
      </c>
      <c r="K1056" s="22" cm="1">
        <f t="array" ref="K1056">_xlfn.XLOOKUP(1,((Metas_Diarias[[#This Row],[tipo_equipe_id]]=Metas[equipe])*(Metas_Diarias[[#This Row],[data]]&gt;Metas[data_inicio])*(Metas_Diarias[[#This Row],[data]]&lt;Metas[data_fim])),Metas[meta_mensal],0)</f>
        <v>65000</v>
      </c>
      <c r="L105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57" spans="2:12" x14ac:dyDescent="0.3">
      <c r="B1057" s="34">
        <v>45978</v>
      </c>
      <c r="C1057" s="34" t="str">
        <f>TEXT(Metas_Diarias[[#This Row],[data]],"dddd")</f>
        <v>segunda-feira</v>
      </c>
      <c r="D1057" s="33">
        <v>5</v>
      </c>
      <c r="E1057" s="33">
        <v>5</v>
      </c>
      <c r="F1057" s="18"/>
      <c r="G1057" s="35">
        <f>WEEKDAY(Metas_Diarias[[#This Row],[data]])</f>
        <v>2</v>
      </c>
      <c r="H1057" s="35">
        <f>IF(Metas_Diarias[[#This Row],[dias_da_demana]]=1,"domingo",IF(Metas_Diarias[[#This Row],[dias_da_demana]]=7,0.5,1))</f>
        <v>1</v>
      </c>
      <c r="I1057" s="35">
        <f>_xlfn.XLOOKUP(Metas_Diarias[[#This Row],[data]],Feriados[Data],Feriados[Feriado],1)</f>
        <v>1</v>
      </c>
      <c r="J1057" s="33" cm="1">
        <f t="array" aca="1" ref="J1057" ca="1">SUMPRODUCT(IF((NOT(ISERROR(MATCH(ROW(INDIRECT(DATE(YEAR(B1057),MONTH(B1057),1)&amp;":"&amp;DATE(YEAR(B1057),MONTH(B1057)+1,0))),Feriados[Data],0))))=FALSE,
IF(WEEKDAY(ROW(INDIRECT(DATE(YEAR(B1057),MONTH(B1057),1)&amp;":"&amp;DATE(YEAR(B1057),MONTH(B1057)+1,0))),2)&lt;=5,1,IF(WEEKDAY(ROW(INDIRECT(DATE(YEAR(B1057),MONTH(B1057),1)&amp;":"&amp;DATE(YEAR(B1057),MONTH(B1057)+1,0))),2)=6,0.5,0)),0))</f>
        <v>22</v>
      </c>
      <c r="K1057" s="22" cm="1">
        <f t="array" ref="K1057">_xlfn.XLOOKUP(1,((Metas_Diarias[[#This Row],[tipo_equipe_id]]=Metas[equipe])*(Metas_Diarias[[#This Row],[data]]&gt;Metas[data_inicio])*(Metas_Diarias[[#This Row],[data]]&lt;Metas[data_fim])),Metas[meta_mensal],0)</f>
        <v>65000</v>
      </c>
      <c r="L1057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58" spans="2:12" x14ac:dyDescent="0.3">
      <c r="B1058" s="34">
        <v>45979</v>
      </c>
      <c r="C1058" s="34" t="str">
        <f>TEXT(Metas_Diarias[[#This Row],[data]],"dddd")</f>
        <v>terça-feira</v>
      </c>
      <c r="D1058" s="33">
        <v>5</v>
      </c>
      <c r="E1058" s="33">
        <v>5</v>
      </c>
      <c r="F1058" s="18"/>
      <c r="G1058" s="35">
        <f>WEEKDAY(Metas_Diarias[[#This Row],[data]])</f>
        <v>3</v>
      </c>
      <c r="H1058" s="35">
        <f>IF(Metas_Diarias[[#This Row],[dias_da_demana]]=1,"domingo",IF(Metas_Diarias[[#This Row],[dias_da_demana]]=7,0.5,1))</f>
        <v>1</v>
      </c>
      <c r="I1058" s="35">
        <f>_xlfn.XLOOKUP(Metas_Diarias[[#This Row],[data]],Feriados[Data],Feriados[Feriado],1)</f>
        <v>1</v>
      </c>
      <c r="J1058" s="33" cm="1">
        <f t="array" aca="1" ref="J1058" ca="1">SUMPRODUCT(IF((NOT(ISERROR(MATCH(ROW(INDIRECT(DATE(YEAR(B1058),MONTH(B1058),1)&amp;":"&amp;DATE(YEAR(B1058),MONTH(B1058)+1,0))),Feriados[Data],0))))=FALSE,
IF(WEEKDAY(ROW(INDIRECT(DATE(YEAR(B1058),MONTH(B1058),1)&amp;":"&amp;DATE(YEAR(B1058),MONTH(B1058)+1,0))),2)&lt;=5,1,IF(WEEKDAY(ROW(INDIRECT(DATE(YEAR(B1058),MONTH(B1058),1)&amp;":"&amp;DATE(YEAR(B1058),MONTH(B1058)+1,0))),2)=6,0.5,0)),0))</f>
        <v>22</v>
      </c>
      <c r="K1058" s="22" cm="1">
        <f t="array" ref="K1058">_xlfn.XLOOKUP(1,((Metas_Diarias[[#This Row],[tipo_equipe_id]]=Metas[equipe])*(Metas_Diarias[[#This Row],[data]]&gt;Metas[data_inicio])*(Metas_Diarias[[#This Row],[data]]&lt;Metas[data_fim])),Metas[meta_mensal],0)</f>
        <v>65000</v>
      </c>
      <c r="L1058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59" spans="2:12" x14ac:dyDescent="0.3">
      <c r="B1059" s="34">
        <v>45980</v>
      </c>
      <c r="C1059" s="34" t="str">
        <f>TEXT(Metas_Diarias[[#This Row],[data]],"dddd")</f>
        <v>quarta-feira</v>
      </c>
      <c r="D1059" s="33">
        <v>5</v>
      </c>
      <c r="E1059" s="33">
        <v>5</v>
      </c>
      <c r="F1059" s="18"/>
      <c r="G1059" s="35">
        <f>WEEKDAY(Metas_Diarias[[#This Row],[data]])</f>
        <v>4</v>
      </c>
      <c r="H1059" s="35">
        <f>IF(Metas_Diarias[[#This Row],[dias_da_demana]]=1,"domingo",IF(Metas_Diarias[[#This Row],[dias_da_demana]]=7,0.5,1))</f>
        <v>1</v>
      </c>
      <c r="I1059" s="35">
        <f>_xlfn.XLOOKUP(Metas_Diarias[[#This Row],[data]],Feriados[Data],Feriados[Feriado],1)</f>
        <v>1</v>
      </c>
      <c r="J1059" s="33" cm="1">
        <f t="array" aca="1" ref="J1059" ca="1">SUMPRODUCT(IF((NOT(ISERROR(MATCH(ROW(INDIRECT(DATE(YEAR(B1059),MONTH(B1059),1)&amp;":"&amp;DATE(YEAR(B1059),MONTH(B1059)+1,0))),Feriados[Data],0))))=FALSE,
IF(WEEKDAY(ROW(INDIRECT(DATE(YEAR(B1059),MONTH(B1059),1)&amp;":"&amp;DATE(YEAR(B1059),MONTH(B1059)+1,0))),2)&lt;=5,1,IF(WEEKDAY(ROW(INDIRECT(DATE(YEAR(B1059),MONTH(B1059),1)&amp;":"&amp;DATE(YEAR(B1059),MONTH(B1059)+1,0))),2)=6,0.5,0)),0))</f>
        <v>22</v>
      </c>
      <c r="K1059" s="22" cm="1">
        <f t="array" ref="K1059">_xlfn.XLOOKUP(1,((Metas_Diarias[[#This Row],[tipo_equipe_id]]=Metas[equipe])*(Metas_Diarias[[#This Row],[data]]&gt;Metas[data_inicio])*(Metas_Diarias[[#This Row],[data]]&lt;Metas[data_fim])),Metas[meta_mensal],0)</f>
        <v>65000</v>
      </c>
      <c r="L1059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60" spans="2:12" x14ac:dyDescent="0.3">
      <c r="B1060" s="34">
        <v>45981</v>
      </c>
      <c r="C1060" s="34" t="str">
        <f>TEXT(Metas_Diarias[[#This Row],[data]],"dddd")</f>
        <v>quinta-feira</v>
      </c>
      <c r="D1060" s="33">
        <v>5</v>
      </c>
      <c r="E1060" s="33">
        <v>5</v>
      </c>
      <c r="F1060" s="18"/>
      <c r="G1060" s="35">
        <f>WEEKDAY(Metas_Diarias[[#This Row],[data]])</f>
        <v>5</v>
      </c>
      <c r="H1060" s="35">
        <f>IF(Metas_Diarias[[#This Row],[dias_da_demana]]=1,"domingo",IF(Metas_Diarias[[#This Row],[dias_da_demana]]=7,0.5,1))</f>
        <v>1</v>
      </c>
      <c r="I1060" s="35">
        <f>_xlfn.XLOOKUP(Metas_Diarias[[#This Row],[data]],Feriados[Data],Feriados[Feriado],1)</f>
        <v>1</v>
      </c>
      <c r="J1060" s="33" cm="1">
        <f t="array" aca="1" ref="J1060" ca="1">SUMPRODUCT(IF((NOT(ISERROR(MATCH(ROW(INDIRECT(DATE(YEAR(B1060),MONTH(B1060),1)&amp;":"&amp;DATE(YEAR(B1060),MONTH(B1060)+1,0))),Feriados[Data],0))))=FALSE,
IF(WEEKDAY(ROW(INDIRECT(DATE(YEAR(B1060),MONTH(B1060),1)&amp;":"&amp;DATE(YEAR(B1060),MONTH(B1060)+1,0))),2)&lt;=5,1,IF(WEEKDAY(ROW(INDIRECT(DATE(YEAR(B1060),MONTH(B1060),1)&amp;":"&amp;DATE(YEAR(B1060),MONTH(B1060)+1,0))),2)=6,0.5,0)),0))</f>
        <v>22</v>
      </c>
      <c r="K1060" s="22" cm="1">
        <f t="array" ref="K1060">_xlfn.XLOOKUP(1,((Metas_Diarias[[#This Row],[tipo_equipe_id]]=Metas[equipe])*(Metas_Diarias[[#This Row],[data]]&gt;Metas[data_inicio])*(Metas_Diarias[[#This Row],[data]]&lt;Metas[data_fim])),Metas[meta_mensal],0)</f>
        <v>65000</v>
      </c>
      <c r="L1060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61" spans="2:12" x14ac:dyDescent="0.3">
      <c r="B1061" s="34">
        <v>45982</v>
      </c>
      <c r="C1061" s="34" t="str">
        <f>TEXT(Metas_Diarias[[#This Row],[data]],"dddd")</f>
        <v>sexta-feira</v>
      </c>
      <c r="D1061" s="33">
        <v>5</v>
      </c>
      <c r="E1061" s="33">
        <v>5</v>
      </c>
      <c r="F1061" s="18"/>
      <c r="G1061" s="35">
        <f>WEEKDAY(Metas_Diarias[[#This Row],[data]])</f>
        <v>6</v>
      </c>
      <c r="H1061" s="35">
        <f>IF(Metas_Diarias[[#This Row],[dias_da_demana]]=1,"domingo",IF(Metas_Diarias[[#This Row],[dias_da_demana]]=7,0.5,1))</f>
        <v>1</v>
      </c>
      <c r="I1061" s="35">
        <f>_xlfn.XLOOKUP(Metas_Diarias[[#This Row],[data]],Feriados[Data],Feriados[Feriado],1)</f>
        <v>1</v>
      </c>
      <c r="J1061" s="33" cm="1">
        <f t="array" aca="1" ref="J1061" ca="1">SUMPRODUCT(IF((NOT(ISERROR(MATCH(ROW(INDIRECT(DATE(YEAR(B1061),MONTH(B1061),1)&amp;":"&amp;DATE(YEAR(B1061),MONTH(B1061)+1,0))),Feriados[Data],0))))=FALSE,
IF(WEEKDAY(ROW(INDIRECT(DATE(YEAR(B1061),MONTH(B1061),1)&amp;":"&amp;DATE(YEAR(B1061),MONTH(B1061)+1,0))),2)&lt;=5,1,IF(WEEKDAY(ROW(INDIRECT(DATE(YEAR(B1061),MONTH(B1061),1)&amp;":"&amp;DATE(YEAR(B1061),MONTH(B1061)+1,0))),2)=6,0.5,0)),0))</f>
        <v>22</v>
      </c>
      <c r="K1061" s="22" cm="1">
        <f t="array" ref="K1061">_xlfn.XLOOKUP(1,((Metas_Diarias[[#This Row],[tipo_equipe_id]]=Metas[equipe])*(Metas_Diarias[[#This Row],[data]]&gt;Metas[data_inicio])*(Metas_Diarias[[#This Row],[data]]&lt;Metas[data_fim])),Metas[meta_mensal],0)</f>
        <v>65000</v>
      </c>
      <c r="L1061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62" spans="2:12" x14ac:dyDescent="0.3">
      <c r="B1062" s="34">
        <v>45983</v>
      </c>
      <c r="C1062" s="34" t="str">
        <f>TEXT(Metas_Diarias[[#This Row],[data]],"dddd")</f>
        <v>sábado</v>
      </c>
      <c r="D1062" s="33">
        <v>5</v>
      </c>
      <c r="E1062" s="33">
        <v>5</v>
      </c>
      <c r="F1062" s="18"/>
      <c r="G1062" s="35">
        <f>WEEKDAY(Metas_Diarias[[#This Row],[data]])</f>
        <v>7</v>
      </c>
      <c r="H1062" s="35">
        <f>IF(Metas_Diarias[[#This Row],[dias_da_demana]]=1,"domingo",IF(Metas_Diarias[[#This Row],[dias_da_demana]]=7,0.5,1))</f>
        <v>0.5</v>
      </c>
      <c r="I1062" s="35">
        <f>_xlfn.XLOOKUP(Metas_Diarias[[#This Row],[data]],Feriados[Data],Feriados[Feriado],1)</f>
        <v>1</v>
      </c>
      <c r="J1062" s="33" cm="1">
        <f t="array" aca="1" ref="J1062" ca="1">SUMPRODUCT(IF((NOT(ISERROR(MATCH(ROW(INDIRECT(DATE(YEAR(B1062),MONTH(B1062),1)&amp;":"&amp;DATE(YEAR(B1062),MONTH(B1062)+1,0))),Feriados[Data],0))))=FALSE,
IF(WEEKDAY(ROW(INDIRECT(DATE(YEAR(B1062),MONTH(B1062),1)&amp;":"&amp;DATE(YEAR(B1062),MONTH(B1062)+1,0))),2)&lt;=5,1,IF(WEEKDAY(ROW(INDIRECT(DATE(YEAR(B1062),MONTH(B1062),1)&amp;":"&amp;DATE(YEAR(B1062),MONTH(B1062)+1,0))),2)=6,0.5,0)),0))</f>
        <v>22</v>
      </c>
      <c r="K1062" s="22" cm="1">
        <f t="array" ref="K1062">_xlfn.XLOOKUP(1,((Metas_Diarias[[#This Row],[tipo_equipe_id]]=Metas[equipe])*(Metas_Diarias[[#This Row],[data]]&gt;Metas[data_inicio])*(Metas_Diarias[[#This Row],[data]]&lt;Metas[data_fim])),Metas[meta_mensal],0)</f>
        <v>65000</v>
      </c>
      <c r="L1062" s="24">
        <f ca="1">Metas_Diarias[[#This Row],[meta_mensal]]*IF(Metas_Diarias[[#This Row],[semana]]="domingo",0,Metas_Diarias[[#This Row],[semana]])*IF(Metas_Diarias[[#This Row],[feriado]]&lt;&gt;1,0,1)/Metas_Diarias[[#This Row],[dias_úteis_Mês]]</f>
        <v>1477.2727272727273</v>
      </c>
    </row>
    <row r="1063" spans="2:12" x14ac:dyDescent="0.3">
      <c r="B1063" s="34">
        <v>45984</v>
      </c>
      <c r="C1063" s="34" t="str">
        <f>TEXT(Metas_Diarias[[#This Row],[data]],"dddd")</f>
        <v>domingo</v>
      </c>
      <c r="D1063" s="33">
        <v>5</v>
      </c>
      <c r="E1063" s="33">
        <v>5</v>
      </c>
      <c r="F1063" s="18"/>
      <c r="G1063" s="35">
        <f>WEEKDAY(Metas_Diarias[[#This Row],[data]])</f>
        <v>1</v>
      </c>
      <c r="H1063" s="35" t="str">
        <f>IF(Metas_Diarias[[#This Row],[dias_da_demana]]=1,"domingo",IF(Metas_Diarias[[#This Row],[dias_da_demana]]=7,0.5,1))</f>
        <v>domingo</v>
      </c>
      <c r="I1063" s="35">
        <f>_xlfn.XLOOKUP(Metas_Diarias[[#This Row],[data]],Feriados[Data],Feriados[Feriado],1)</f>
        <v>1</v>
      </c>
      <c r="J1063" s="33" cm="1">
        <f t="array" aca="1" ref="J1063" ca="1">SUMPRODUCT(IF((NOT(ISERROR(MATCH(ROW(INDIRECT(DATE(YEAR(B1063),MONTH(B1063),1)&amp;":"&amp;DATE(YEAR(B1063),MONTH(B1063)+1,0))),Feriados[Data],0))))=FALSE,
IF(WEEKDAY(ROW(INDIRECT(DATE(YEAR(B1063),MONTH(B1063),1)&amp;":"&amp;DATE(YEAR(B1063),MONTH(B1063)+1,0))),2)&lt;=5,1,IF(WEEKDAY(ROW(INDIRECT(DATE(YEAR(B1063),MONTH(B1063),1)&amp;":"&amp;DATE(YEAR(B1063),MONTH(B1063)+1,0))),2)=6,0.5,0)),0))</f>
        <v>22</v>
      </c>
      <c r="K1063" s="22" cm="1">
        <f t="array" ref="K1063">_xlfn.XLOOKUP(1,((Metas_Diarias[[#This Row],[tipo_equipe_id]]=Metas[equipe])*(Metas_Diarias[[#This Row],[data]]&gt;Metas[data_inicio])*(Metas_Diarias[[#This Row],[data]]&lt;Metas[data_fim])),Metas[meta_mensal],0)</f>
        <v>65000</v>
      </c>
      <c r="L106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64" spans="2:12" x14ac:dyDescent="0.3">
      <c r="B1064" s="34">
        <v>45985</v>
      </c>
      <c r="C1064" s="34" t="str">
        <f>TEXT(Metas_Diarias[[#This Row],[data]],"dddd")</f>
        <v>segunda-feira</v>
      </c>
      <c r="D1064" s="33">
        <v>5</v>
      </c>
      <c r="E1064" s="33">
        <v>5</v>
      </c>
      <c r="F1064" s="18"/>
      <c r="G1064" s="35">
        <f>WEEKDAY(Metas_Diarias[[#This Row],[data]])</f>
        <v>2</v>
      </c>
      <c r="H1064" s="35">
        <f>IF(Metas_Diarias[[#This Row],[dias_da_demana]]=1,"domingo",IF(Metas_Diarias[[#This Row],[dias_da_demana]]=7,0.5,1))</f>
        <v>1</v>
      </c>
      <c r="I1064" s="35">
        <f>_xlfn.XLOOKUP(Metas_Diarias[[#This Row],[data]],Feriados[Data],Feriados[Feriado],1)</f>
        <v>1</v>
      </c>
      <c r="J1064" s="33" cm="1">
        <f t="array" aca="1" ref="J1064" ca="1">SUMPRODUCT(IF((NOT(ISERROR(MATCH(ROW(INDIRECT(DATE(YEAR(B1064),MONTH(B1064),1)&amp;":"&amp;DATE(YEAR(B1064),MONTH(B1064)+1,0))),Feriados[Data],0))))=FALSE,
IF(WEEKDAY(ROW(INDIRECT(DATE(YEAR(B1064),MONTH(B1064),1)&amp;":"&amp;DATE(YEAR(B1064),MONTH(B1064)+1,0))),2)&lt;=5,1,IF(WEEKDAY(ROW(INDIRECT(DATE(YEAR(B1064),MONTH(B1064),1)&amp;":"&amp;DATE(YEAR(B1064),MONTH(B1064)+1,0))),2)=6,0.5,0)),0))</f>
        <v>22</v>
      </c>
      <c r="K1064" s="22" cm="1">
        <f t="array" ref="K1064">_xlfn.XLOOKUP(1,((Metas_Diarias[[#This Row],[tipo_equipe_id]]=Metas[equipe])*(Metas_Diarias[[#This Row],[data]]&gt;Metas[data_inicio])*(Metas_Diarias[[#This Row],[data]]&lt;Metas[data_fim])),Metas[meta_mensal],0)</f>
        <v>65000</v>
      </c>
      <c r="L1064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65" spans="2:12" x14ac:dyDescent="0.3">
      <c r="B1065" s="34">
        <v>45986</v>
      </c>
      <c r="C1065" s="34" t="str">
        <f>TEXT(Metas_Diarias[[#This Row],[data]],"dddd")</f>
        <v>terça-feira</v>
      </c>
      <c r="D1065" s="33">
        <v>5</v>
      </c>
      <c r="E1065" s="33">
        <v>5</v>
      </c>
      <c r="F1065" s="18"/>
      <c r="G1065" s="35">
        <f>WEEKDAY(Metas_Diarias[[#This Row],[data]])</f>
        <v>3</v>
      </c>
      <c r="H1065" s="35">
        <f>IF(Metas_Diarias[[#This Row],[dias_da_demana]]=1,"domingo",IF(Metas_Diarias[[#This Row],[dias_da_demana]]=7,0.5,1))</f>
        <v>1</v>
      </c>
      <c r="I1065" s="35">
        <f>_xlfn.XLOOKUP(Metas_Diarias[[#This Row],[data]],Feriados[Data],Feriados[Feriado],1)</f>
        <v>1</v>
      </c>
      <c r="J1065" s="33" cm="1">
        <f t="array" aca="1" ref="J1065" ca="1">SUMPRODUCT(IF((NOT(ISERROR(MATCH(ROW(INDIRECT(DATE(YEAR(B1065),MONTH(B1065),1)&amp;":"&amp;DATE(YEAR(B1065),MONTH(B1065)+1,0))),Feriados[Data],0))))=FALSE,
IF(WEEKDAY(ROW(INDIRECT(DATE(YEAR(B1065),MONTH(B1065),1)&amp;":"&amp;DATE(YEAR(B1065),MONTH(B1065)+1,0))),2)&lt;=5,1,IF(WEEKDAY(ROW(INDIRECT(DATE(YEAR(B1065),MONTH(B1065),1)&amp;":"&amp;DATE(YEAR(B1065),MONTH(B1065)+1,0))),2)=6,0.5,0)),0))</f>
        <v>22</v>
      </c>
      <c r="K1065" s="22" cm="1">
        <f t="array" ref="K1065">_xlfn.XLOOKUP(1,((Metas_Diarias[[#This Row],[tipo_equipe_id]]=Metas[equipe])*(Metas_Diarias[[#This Row],[data]]&gt;Metas[data_inicio])*(Metas_Diarias[[#This Row],[data]]&lt;Metas[data_fim])),Metas[meta_mensal],0)</f>
        <v>65000</v>
      </c>
      <c r="L1065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66" spans="2:12" x14ac:dyDescent="0.3">
      <c r="B1066" s="34">
        <v>45987</v>
      </c>
      <c r="C1066" s="34" t="str">
        <f>TEXT(Metas_Diarias[[#This Row],[data]],"dddd")</f>
        <v>quarta-feira</v>
      </c>
      <c r="D1066" s="33">
        <v>5</v>
      </c>
      <c r="E1066" s="33">
        <v>5</v>
      </c>
      <c r="F1066" s="18"/>
      <c r="G1066" s="35">
        <f>WEEKDAY(Metas_Diarias[[#This Row],[data]])</f>
        <v>4</v>
      </c>
      <c r="H1066" s="35">
        <f>IF(Metas_Diarias[[#This Row],[dias_da_demana]]=1,"domingo",IF(Metas_Diarias[[#This Row],[dias_da_demana]]=7,0.5,1))</f>
        <v>1</v>
      </c>
      <c r="I1066" s="35">
        <f>_xlfn.XLOOKUP(Metas_Diarias[[#This Row],[data]],Feriados[Data],Feriados[Feriado],1)</f>
        <v>1</v>
      </c>
      <c r="J1066" s="33" cm="1">
        <f t="array" aca="1" ref="J1066" ca="1">SUMPRODUCT(IF((NOT(ISERROR(MATCH(ROW(INDIRECT(DATE(YEAR(B1066),MONTH(B1066),1)&amp;":"&amp;DATE(YEAR(B1066),MONTH(B1066)+1,0))),Feriados[Data],0))))=FALSE,
IF(WEEKDAY(ROW(INDIRECT(DATE(YEAR(B1066),MONTH(B1066),1)&amp;":"&amp;DATE(YEAR(B1066),MONTH(B1066)+1,0))),2)&lt;=5,1,IF(WEEKDAY(ROW(INDIRECT(DATE(YEAR(B1066),MONTH(B1066),1)&amp;":"&amp;DATE(YEAR(B1066),MONTH(B1066)+1,0))),2)=6,0.5,0)),0))</f>
        <v>22</v>
      </c>
      <c r="K1066" s="22" cm="1">
        <f t="array" ref="K1066">_xlfn.XLOOKUP(1,((Metas_Diarias[[#This Row],[tipo_equipe_id]]=Metas[equipe])*(Metas_Diarias[[#This Row],[data]]&gt;Metas[data_inicio])*(Metas_Diarias[[#This Row],[data]]&lt;Metas[data_fim])),Metas[meta_mensal],0)</f>
        <v>65000</v>
      </c>
      <c r="L1066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67" spans="2:12" x14ac:dyDescent="0.3">
      <c r="B1067" s="34">
        <v>45988</v>
      </c>
      <c r="C1067" s="34" t="str">
        <f>TEXT(Metas_Diarias[[#This Row],[data]],"dddd")</f>
        <v>quinta-feira</v>
      </c>
      <c r="D1067" s="33">
        <v>5</v>
      </c>
      <c r="E1067" s="33">
        <v>5</v>
      </c>
      <c r="F1067" s="18"/>
      <c r="G1067" s="35">
        <f>WEEKDAY(Metas_Diarias[[#This Row],[data]])</f>
        <v>5</v>
      </c>
      <c r="H1067" s="35">
        <f>IF(Metas_Diarias[[#This Row],[dias_da_demana]]=1,"domingo",IF(Metas_Diarias[[#This Row],[dias_da_demana]]=7,0.5,1))</f>
        <v>1</v>
      </c>
      <c r="I1067" s="35">
        <f>_xlfn.XLOOKUP(Metas_Diarias[[#This Row],[data]],Feriados[Data],Feriados[Feriado],1)</f>
        <v>1</v>
      </c>
      <c r="J1067" s="33" cm="1">
        <f t="array" aca="1" ref="J1067" ca="1">SUMPRODUCT(IF((NOT(ISERROR(MATCH(ROW(INDIRECT(DATE(YEAR(B1067),MONTH(B1067),1)&amp;":"&amp;DATE(YEAR(B1067),MONTH(B1067)+1,0))),Feriados[Data],0))))=FALSE,
IF(WEEKDAY(ROW(INDIRECT(DATE(YEAR(B1067),MONTH(B1067),1)&amp;":"&amp;DATE(YEAR(B1067),MONTH(B1067)+1,0))),2)&lt;=5,1,IF(WEEKDAY(ROW(INDIRECT(DATE(YEAR(B1067),MONTH(B1067),1)&amp;":"&amp;DATE(YEAR(B1067),MONTH(B1067)+1,0))),2)=6,0.5,0)),0))</f>
        <v>22</v>
      </c>
      <c r="K1067" s="22" cm="1">
        <f t="array" ref="K1067">_xlfn.XLOOKUP(1,((Metas_Diarias[[#This Row],[tipo_equipe_id]]=Metas[equipe])*(Metas_Diarias[[#This Row],[data]]&gt;Metas[data_inicio])*(Metas_Diarias[[#This Row],[data]]&lt;Metas[data_fim])),Metas[meta_mensal],0)</f>
        <v>65000</v>
      </c>
      <c r="L1067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68" spans="2:12" x14ac:dyDescent="0.3">
      <c r="B1068" s="34">
        <v>45989</v>
      </c>
      <c r="C1068" s="34" t="str">
        <f>TEXT(Metas_Diarias[[#This Row],[data]],"dddd")</f>
        <v>sexta-feira</v>
      </c>
      <c r="D1068" s="33">
        <v>5</v>
      </c>
      <c r="E1068" s="33">
        <v>5</v>
      </c>
      <c r="F1068" s="18"/>
      <c r="G1068" s="35">
        <f>WEEKDAY(Metas_Diarias[[#This Row],[data]])</f>
        <v>6</v>
      </c>
      <c r="H1068" s="35">
        <f>IF(Metas_Diarias[[#This Row],[dias_da_demana]]=1,"domingo",IF(Metas_Diarias[[#This Row],[dias_da_demana]]=7,0.5,1))</f>
        <v>1</v>
      </c>
      <c r="I1068" s="35">
        <f>_xlfn.XLOOKUP(Metas_Diarias[[#This Row],[data]],Feriados[Data],Feriados[Feriado],1)</f>
        <v>1</v>
      </c>
      <c r="J1068" s="33" cm="1">
        <f t="array" aca="1" ref="J1068" ca="1">SUMPRODUCT(IF((NOT(ISERROR(MATCH(ROW(INDIRECT(DATE(YEAR(B1068),MONTH(B1068),1)&amp;":"&amp;DATE(YEAR(B1068),MONTH(B1068)+1,0))),Feriados[Data],0))))=FALSE,
IF(WEEKDAY(ROW(INDIRECT(DATE(YEAR(B1068),MONTH(B1068),1)&amp;":"&amp;DATE(YEAR(B1068),MONTH(B1068)+1,0))),2)&lt;=5,1,IF(WEEKDAY(ROW(INDIRECT(DATE(YEAR(B1068),MONTH(B1068),1)&amp;":"&amp;DATE(YEAR(B1068),MONTH(B1068)+1,0))),2)=6,0.5,0)),0))</f>
        <v>22</v>
      </c>
      <c r="K1068" s="22" cm="1">
        <f t="array" ref="K1068">_xlfn.XLOOKUP(1,((Metas_Diarias[[#This Row],[tipo_equipe_id]]=Metas[equipe])*(Metas_Diarias[[#This Row],[data]]&gt;Metas[data_inicio])*(Metas_Diarias[[#This Row],[data]]&lt;Metas[data_fim])),Metas[meta_mensal],0)</f>
        <v>65000</v>
      </c>
      <c r="L1068" s="24">
        <f ca="1">Metas_Diarias[[#This Row],[meta_mensal]]*IF(Metas_Diarias[[#This Row],[semana]]="domingo",0,Metas_Diarias[[#This Row],[semana]])*IF(Metas_Diarias[[#This Row],[feriado]]&lt;&gt;1,0,1)/Metas_Diarias[[#This Row],[dias_úteis_Mês]]</f>
        <v>2954.5454545454545</v>
      </c>
    </row>
    <row r="1069" spans="2:12" x14ac:dyDescent="0.3">
      <c r="B1069" s="34">
        <v>45990</v>
      </c>
      <c r="C1069" s="34" t="str">
        <f>TEXT(Metas_Diarias[[#This Row],[data]],"dddd")</f>
        <v>sábado</v>
      </c>
      <c r="D1069" s="33">
        <v>5</v>
      </c>
      <c r="E1069" s="33">
        <v>5</v>
      </c>
      <c r="F1069" s="18"/>
      <c r="G1069" s="35">
        <f>WEEKDAY(Metas_Diarias[[#This Row],[data]])</f>
        <v>7</v>
      </c>
      <c r="H1069" s="35">
        <f>IF(Metas_Diarias[[#This Row],[dias_da_demana]]=1,"domingo",IF(Metas_Diarias[[#This Row],[dias_da_demana]]=7,0.5,1))</f>
        <v>0.5</v>
      </c>
      <c r="I1069" s="35">
        <f>_xlfn.XLOOKUP(Metas_Diarias[[#This Row],[data]],Feriados[Data],Feriados[Feriado],1)</f>
        <v>1</v>
      </c>
      <c r="J1069" s="33" cm="1">
        <f t="array" aca="1" ref="J1069" ca="1">SUMPRODUCT(IF((NOT(ISERROR(MATCH(ROW(INDIRECT(DATE(YEAR(B1069),MONTH(B1069),1)&amp;":"&amp;DATE(YEAR(B1069),MONTH(B1069)+1,0))),Feriados[Data],0))))=FALSE,
IF(WEEKDAY(ROW(INDIRECT(DATE(YEAR(B1069),MONTH(B1069),1)&amp;":"&amp;DATE(YEAR(B1069),MONTH(B1069)+1,0))),2)&lt;=5,1,IF(WEEKDAY(ROW(INDIRECT(DATE(YEAR(B1069),MONTH(B1069),1)&amp;":"&amp;DATE(YEAR(B1069),MONTH(B1069)+1,0))),2)=6,0.5,0)),0))</f>
        <v>22</v>
      </c>
      <c r="K1069" s="22" cm="1">
        <f t="array" ref="K1069">_xlfn.XLOOKUP(1,((Metas_Diarias[[#This Row],[tipo_equipe_id]]=Metas[equipe])*(Metas_Diarias[[#This Row],[data]]&gt;Metas[data_inicio])*(Metas_Diarias[[#This Row],[data]]&lt;Metas[data_fim])),Metas[meta_mensal],0)</f>
        <v>65000</v>
      </c>
      <c r="L1069" s="24">
        <f ca="1">Metas_Diarias[[#This Row],[meta_mensal]]*IF(Metas_Diarias[[#This Row],[semana]]="domingo",0,Metas_Diarias[[#This Row],[semana]])*IF(Metas_Diarias[[#This Row],[feriado]]&lt;&gt;1,0,1)/Metas_Diarias[[#This Row],[dias_úteis_Mês]]</f>
        <v>1477.2727272727273</v>
      </c>
    </row>
    <row r="1070" spans="2:12" x14ac:dyDescent="0.3">
      <c r="B1070" s="34">
        <v>45991</v>
      </c>
      <c r="C1070" s="34" t="str">
        <f>TEXT(Metas_Diarias[[#This Row],[data]],"dddd")</f>
        <v>domingo</v>
      </c>
      <c r="D1070" s="33">
        <v>5</v>
      </c>
      <c r="E1070" s="33">
        <v>5</v>
      </c>
      <c r="F1070" s="18"/>
      <c r="G1070" s="35">
        <f>WEEKDAY(Metas_Diarias[[#This Row],[data]])</f>
        <v>1</v>
      </c>
      <c r="H1070" s="35" t="str">
        <f>IF(Metas_Diarias[[#This Row],[dias_da_demana]]=1,"domingo",IF(Metas_Diarias[[#This Row],[dias_da_demana]]=7,0.5,1))</f>
        <v>domingo</v>
      </c>
      <c r="I1070" s="35">
        <f>_xlfn.XLOOKUP(Metas_Diarias[[#This Row],[data]],Feriados[Data],Feriados[Feriado],1)</f>
        <v>1</v>
      </c>
      <c r="J1070" s="33" cm="1">
        <f t="array" aca="1" ref="J1070" ca="1">SUMPRODUCT(IF((NOT(ISERROR(MATCH(ROW(INDIRECT(DATE(YEAR(B1070),MONTH(B1070),1)&amp;":"&amp;DATE(YEAR(B1070),MONTH(B1070)+1,0))),Feriados[Data],0))))=FALSE,
IF(WEEKDAY(ROW(INDIRECT(DATE(YEAR(B1070),MONTH(B1070),1)&amp;":"&amp;DATE(YEAR(B1070),MONTH(B1070)+1,0))),2)&lt;=5,1,IF(WEEKDAY(ROW(INDIRECT(DATE(YEAR(B1070),MONTH(B1070),1)&amp;":"&amp;DATE(YEAR(B1070),MONTH(B1070)+1,0))),2)=6,0.5,0)),0))</f>
        <v>22</v>
      </c>
      <c r="K1070" s="22" cm="1">
        <f t="array" ref="K1070">_xlfn.XLOOKUP(1,((Metas_Diarias[[#This Row],[tipo_equipe_id]]=Metas[equipe])*(Metas_Diarias[[#This Row],[data]]&gt;Metas[data_inicio])*(Metas_Diarias[[#This Row],[data]]&lt;Metas[data_fim])),Metas[meta_mensal],0)</f>
        <v>65000</v>
      </c>
      <c r="L10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71" spans="2:12" x14ac:dyDescent="0.3">
      <c r="B1071" s="34">
        <v>45992</v>
      </c>
      <c r="C1071" s="34" t="str">
        <f>TEXT(Metas_Diarias[[#This Row],[data]],"dddd")</f>
        <v>segunda-feira</v>
      </c>
      <c r="D1071" s="33">
        <v>5</v>
      </c>
      <c r="E1071" s="33">
        <v>5</v>
      </c>
      <c r="F1071" s="18"/>
      <c r="G1071" s="35">
        <f>WEEKDAY(Metas_Diarias[[#This Row],[data]])</f>
        <v>2</v>
      </c>
      <c r="H1071" s="35">
        <f>IF(Metas_Diarias[[#This Row],[dias_da_demana]]=1,"domingo",IF(Metas_Diarias[[#This Row],[dias_da_demana]]=7,0.5,1))</f>
        <v>1</v>
      </c>
      <c r="I1071" s="35">
        <f>_xlfn.XLOOKUP(Metas_Diarias[[#This Row],[data]],Feriados[Data],Feriados[Feriado],1)</f>
        <v>1</v>
      </c>
      <c r="J1071" s="33" cm="1">
        <f t="array" aca="1" ref="J1071" ca="1">SUMPRODUCT(IF((NOT(ISERROR(MATCH(ROW(INDIRECT(DATE(YEAR(B1071),MONTH(B1071),1)&amp;":"&amp;DATE(YEAR(B1071),MONTH(B1071)+1,0))),Feriados[Data],0))))=FALSE,
IF(WEEKDAY(ROW(INDIRECT(DATE(YEAR(B1071),MONTH(B1071),1)&amp;":"&amp;DATE(YEAR(B1071),MONTH(B1071)+1,0))),2)&lt;=5,1,IF(WEEKDAY(ROW(INDIRECT(DATE(YEAR(B1071),MONTH(B1071),1)&amp;":"&amp;DATE(YEAR(B1071),MONTH(B1071)+1,0))),2)=6,0.5,0)),0))</f>
        <v>24</v>
      </c>
      <c r="K1071" s="22" cm="1">
        <f t="array" ref="K1071">_xlfn.XLOOKUP(1,((Metas_Diarias[[#This Row],[tipo_equipe_id]]=Metas[equipe])*(Metas_Diarias[[#This Row],[data]]&gt;Metas[data_inicio])*(Metas_Diarias[[#This Row],[data]]&lt;Metas[data_fim])),Metas[meta_mensal],0)</f>
        <v>65000</v>
      </c>
      <c r="L1071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72" spans="2:12" x14ac:dyDescent="0.3">
      <c r="B1072" s="34">
        <v>45993</v>
      </c>
      <c r="C1072" s="34" t="str">
        <f>TEXT(Metas_Diarias[[#This Row],[data]],"dddd")</f>
        <v>terça-feira</v>
      </c>
      <c r="D1072" s="33">
        <v>5</v>
      </c>
      <c r="E1072" s="33">
        <v>5</v>
      </c>
      <c r="F1072" s="18"/>
      <c r="G1072" s="35">
        <f>WEEKDAY(Metas_Diarias[[#This Row],[data]])</f>
        <v>3</v>
      </c>
      <c r="H1072" s="35">
        <f>IF(Metas_Diarias[[#This Row],[dias_da_demana]]=1,"domingo",IF(Metas_Diarias[[#This Row],[dias_da_demana]]=7,0.5,1))</f>
        <v>1</v>
      </c>
      <c r="I1072" s="35">
        <f>_xlfn.XLOOKUP(Metas_Diarias[[#This Row],[data]],Feriados[Data],Feriados[Feriado],1)</f>
        <v>1</v>
      </c>
      <c r="J1072" s="33" cm="1">
        <f t="array" aca="1" ref="J1072" ca="1">SUMPRODUCT(IF((NOT(ISERROR(MATCH(ROW(INDIRECT(DATE(YEAR(B1072),MONTH(B1072),1)&amp;":"&amp;DATE(YEAR(B1072),MONTH(B1072)+1,0))),Feriados[Data],0))))=FALSE,
IF(WEEKDAY(ROW(INDIRECT(DATE(YEAR(B1072),MONTH(B1072),1)&amp;":"&amp;DATE(YEAR(B1072),MONTH(B1072)+1,0))),2)&lt;=5,1,IF(WEEKDAY(ROW(INDIRECT(DATE(YEAR(B1072),MONTH(B1072),1)&amp;":"&amp;DATE(YEAR(B1072),MONTH(B1072)+1,0))),2)=6,0.5,0)),0))</f>
        <v>24</v>
      </c>
      <c r="K1072" s="22" cm="1">
        <f t="array" ref="K1072">_xlfn.XLOOKUP(1,((Metas_Diarias[[#This Row],[tipo_equipe_id]]=Metas[equipe])*(Metas_Diarias[[#This Row],[data]]&gt;Metas[data_inicio])*(Metas_Diarias[[#This Row],[data]]&lt;Metas[data_fim])),Metas[meta_mensal],0)</f>
        <v>65000</v>
      </c>
      <c r="L1072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73" spans="2:12" x14ac:dyDescent="0.3">
      <c r="B1073" s="34">
        <v>45994</v>
      </c>
      <c r="C1073" s="34" t="str">
        <f>TEXT(Metas_Diarias[[#This Row],[data]],"dddd")</f>
        <v>quarta-feira</v>
      </c>
      <c r="D1073" s="33">
        <v>5</v>
      </c>
      <c r="E1073" s="33">
        <v>5</v>
      </c>
      <c r="F1073" s="18"/>
      <c r="G1073" s="35">
        <f>WEEKDAY(Metas_Diarias[[#This Row],[data]])</f>
        <v>4</v>
      </c>
      <c r="H1073" s="35">
        <f>IF(Metas_Diarias[[#This Row],[dias_da_demana]]=1,"domingo",IF(Metas_Diarias[[#This Row],[dias_da_demana]]=7,0.5,1))</f>
        <v>1</v>
      </c>
      <c r="I1073" s="35">
        <f>_xlfn.XLOOKUP(Metas_Diarias[[#This Row],[data]],Feriados[Data],Feriados[Feriado],1)</f>
        <v>1</v>
      </c>
      <c r="J1073" s="33" cm="1">
        <f t="array" aca="1" ref="J1073" ca="1">SUMPRODUCT(IF((NOT(ISERROR(MATCH(ROW(INDIRECT(DATE(YEAR(B1073),MONTH(B1073),1)&amp;":"&amp;DATE(YEAR(B1073),MONTH(B1073)+1,0))),Feriados[Data],0))))=FALSE,
IF(WEEKDAY(ROW(INDIRECT(DATE(YEAR(B1073),MONTH(B1073),1)&amp;":"&amp;DATE(YEAR(B1073),MONTH(B1073)+1,0))),2)&lt;=5,1,IF(WEEKDAY(ROW(INDIRECT(DATE(YEAR(B1073),MONTH(B1073),1)&amp;":"&amp;DATE(YEAR(B1073),MONTH(B1073)+1,0))),2)=6,0.5,0)),0))</f>
        <v>24</v>
      </c>
      <c r="K1073" s="22" cm="1">
        <f t="array" ref="K1073">_xlfn.XLOOKUP(1,((Metas_Diarias[[#This Row],[tipo_equipe_id]]=Metas[equipe])*(Metas_Diarias[[#This Row],[data]]&gt;Metas[data_inicio])*(Metas_Diarias[[#This Row],[data]]&lt;Metas[data_fim])),Metas[meta_mensal],0)</f>
        <v>65000</v>
      </c>
      <c r="L1073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74" spans="2:12" x14ac:dyDescent="0.3">
      <c r="B1074" s="34">
        <v>45995</v>
      </c>
      <c r="C1074" s="34" t="str">
        <f>TEXT(Metas_Diarias[[#This Row],[data]],"dddd")</f>
        <v>quinta-feira</v>
      </c>
      <c r="D1074" s="33">
        <v>5</v>
      </c>
      <c r="E1074" s="33">
        <v>5</v>
      </c>
      <c r="F1074" s="18"/>
      <c r="G1074" s="35">
        <f>WEEKDAY(Metas_Diarias[[#This Row],[data]])</f>
        <v>5</v>
      </c>
      <c r="H1074" s="35">
        <f>IF(Metas_Diarias[[#This Row],[dias_da_demana]]=1,"domingo",IF(Metas_Diarias[[#This Row],[dias_da_demana]]=7,0.5,1))</f>
        <v>1</v>
      </c>
      <c r="I1074" s="35">
        <f>_xlfn.XLOOKUP(Metas_Diarias[[#This Row],[data]],Feriados[Data],Feriados[Feriado],1)</f>
        <v>1</v>
      </c>
      <c r="J1074" s="33" cm="1">
        <f t="array" aca="1" ref="J1074" ca="1">SUMPRODUCT(IF((NOT(ISERROR(MATCH(ROW(INDIRECT(DATE(YEAR(B1074),MONTH(B1074),1)&amp;":"&amp;DATE(YEAR(B1074),MONTH(B1074)+1,0))),Feriados[Data],0))))=FALSE,
IF(WEEKDAY(ROW(INDIRECT(DATE(YEAR(B1074),MONTH(B1074),1)&amp;":"&amp;DATE(YEAR(B1074),MONTH(B1074)+1,0))),2)&lt;=5,1,IF(WEEKDAY(ROW(INDIRECT(DATE(YEAR(B1074),MONTH(B1074),1)&amp;":"&amp;DATE(YEAR(B1074),MONTH(B1074)+1,0))),2)=6,0.5,0)),0))</f>
        <v>24</v>
      </c>
      <c r="K1074" s="22" cm="1">
        <f t="array" ref="K1074">_xlfn.XLOOKUP(1,((Metas_Diarias[[#This Row],[tipo_equipe_id]]=Metas[equipe])*(Metas_Diarias[[#This Row],[data]]&gt;Metas[data_inicio])*(Metas_Diarias[[#This Row],[data]]&lt;Metas[data_fim])),Metas[meta_mensal],0)</f>
        <v>65000</v>
      </c>
      <c r="L1074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75" spans="2:12" x14ac:dyDescent="0.3">
      <c r="B1075" s="34">
        <v>45996</v>
      </c>
      <c r="C1075" s="34" t="str">
        <f>TEXT(Metas_Diarias[[#This Row],[data]],"dddd")</f>
        <v>sexta-feira</v>
      </c>
      <c r="D1075" s="33">
        <v>5</v>
      </c>
      <c r="E1075" s="33">
        <v>5</v>
      </c>
      <c r="F1075" s="18"/>
      <c r="G1075" s="35">
        <f>WEEKDAY(Metas_Diarias[[#This Row],[data]])</f>
        <v>6</v>
      </c>
      <c r="H1075" s="35">
        <f>IF(Metas_Diarias[[#This Row],[dias_da_demana]]=1,"domingo",IF(Metas_Diarias[[#This Row],[dias_da_demana]]=7,0.5,1))</f>
        <v>1</v>
      </c>
      <c r="I1075" s="35">
        <f>_xlfn.XLOOKUP(Metas_Diarias[[#This Row],[data]],Feriados[Data],Feriados[Feriado],1)</f>
        <v>1</v>
      </c>
      <c r="J1075" s="33" cm="1">
        <f t="array" aca="1" ref="J1075" ca="1">SUMPRODUCT(IF((NOT(ISERROR(MATCH(ROW(INDIRECT(DATE(YEAR(B1075),MONTH(B1075),1)&amp;":"&amp;DATE(YEAR(B1075),MONTH(B1075)+1,0))),Feriados[Data],0))))=FALSE,
IF(WEEKDAY(ROW(INDIRECT(DATE(YEAR(B1075),MONTH(B1075),1)&amp;":"&amp;DATE(YEAR(B1075),MONTH(B1075)+1,0))),2)&lt;=5,1,IF(WEEKDAY(ROW(INDIRECT(DATE(YEAR(B1075),MONTH(B1075),1)&amp;":"&amp;DATE(YEAR(B1075),MONTH(B1075)+1,0))),2)=6,0.5,0)),0))</f>
        <v>24</v>
      </c>
      <c r="K1075" s="22" cm="1">
        <f t="array" ref="K1075">_xlfn.XLOOKUP(1,((Metas_Diarias[[#This Row],[tipo_equipe_id]]=Metas[equipe])*(Metas_Diarias[[#This Row],[data]]&gt;Metas[data_inicio])*(Metas_Diarias[[#This Row],[data]]&lt;Metas[data_fim])),Metas[meta_mensal],0)</f>
        <v>65000</v>
      </c>
      <c r="L1075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76" spans="2:12" x14ac:dyDescent="0.3">
      <c r="B1076" s="34">
        <v>45997</v>
      </c>
      <c r="C1076" s="34" t="str">
        <f>TEXT(Metas_Diarias[[#This Row],[data]],"dddd")</f>
        <v>sábado</v>
      </c>
      <c r="D1076" s="33">
        <v>5</v>
      </c>
      <c r="E1076" s="33">
        <v>5</v>
      </c>
      <c r="F1076" s="18"/>
      <c r="G1076" s="35">
        <f>WEEKDAY(Metas_Diarias[[#This Row],[data]])</f>
        <v>7</v>
      </c>
      <c r="H1076" s="35">
        <f>IF(Metas_Diarias[[#This Row],[dias_da_demana]]=1,"domingo",IF(Metas_Diarias[[#This Row],[dias_da_demana]]=7,0.5,1))</f>
        <v>0.5</v>
      </c>
      <c r="I1076" s="35">
        <f>_xlfn.XLOOKUP(Metas_Diarias[[#This Row],[data]],Feriados[Data],Feriados[Feriado],1)</f>
        <v>1</v>
      </c>
      <c r="J1076" s="33" cm="1">
        <f t="array" aca="1" ref="J1076" ca="1">SUMPRODUCT(IF((NOT(ISERROR(MATCH(ROW(INDIRECT(DATE(YEAR(B1076),MONTH(B1076),1)&amp;":"&amp;DATE(YEAR(B1076),MONTH(B1076)+1,0))),Feriados[Data],0))))=FALSE,
IF(WEEKDAY(ROW(INDIRECT(DATE(YEAR(B1076),MONTH(B1076),1)&amp;":"&amp;DATE(YEAR(B1076),MONTH(B1076)+1,0))),2)&lt;=5,1,IF(WEEKDAY(ROW(INDIRECT(DATE(YEAR(B1076),MONTH(B1076),1)&amp;":"&amp;DATE(YEAR(B1076),MONTH(B1076)+1,0))),2)=6,0.5,0)),0))</f>
        <v>24</v>
      </c>
      <c r="K1076" s="22" cm="1">
        <f t="array" ref="K1076">_xlfn.XLOOKUP(1,((Metas_Diarias[[#This Row],[tipo_equipe_id]]=Metas[equipe])*(Metas_Diarias[[#This Row],[data]]&gt;Metas[data_inicio])*(Metas_Diarias[[#This Row],[data]]&lt;Metas[data_fim])),Metas[meta_mensal],0)</f>
        <v>65000</v>
      </c>
      <c r="L1076" s="24">
        <f ca="1">Metas_Diarias[[#This Row],[meta_mensal]]*IF(Metas_Diarias[[#This Row],[semana]]="domingo",0,Metas_Diarias[[#This Row],[semana]])*IF(Metas_Diarias[[#This Row],[feriado]]&lt;&gt;1,0,1)/Metas_Diarias[[#This Row],[dias_úteis_Mês]]</f>
        <v>1354.1666666666667</v>
      </c>
    </row>
    <row r="1077" spans="2:12" x14ac:dyDescent="0.3">
      <c r="B1077" s="34">
        <v>45998</v>
      </c>
      <c r="C1077" s="34" t="str">
        <f>TEXT(Metas_Diarias[[#This Row],[data]],"dddd")</f>
        <v>domingo</v>
      </c>
      <c r="D1077" s="33">
        <v>5</v>
      </c>
      <c r="E1077" s="33">
        <v>5</v>
      </c>
      <c r="F1077" s="18"/>
      <c r="G1077" s="35">
        <f>WEEKDAY(Metas_Diarias[[#This Row],[data]])</f>
        <v>1</v>
      </c>
      <c r="H1077" s="35" t="str">
        <f>IF(Metas_Diarias[[#This Row],[dias_da_demana]]=1,"domingo",IF(Metas_Diarias[[#This Row],[dias_da_demana]]=7,0.5,1))</f>
        <v>domingo</v>
      </c>
      <c r="I1077" s="35">
        <f>_xlfn.XLOOKUP(Metas_Diarias[[#This Row],[data]],Feriados[Data],Feriados[Feriado],1)</f>
        <v>1</v>
      </c>
      <c r="J1077" s="33" cm="1">
        <f t="array" aca="1" ref="J1077" ca="1">SUMPRODUCT(IF((NOT(ISERROR(MATCH(ROW(INDIRECT(DATE(YEAR(B1077),MONTH(B1077),1)&amp;":"&amp;DATE(YEAR(B1077),MONTH(B1077)+1,0))),Feriados[Data],0))))=FALSE,
IF(WEEKDAY(ROW(INDIRECT(DATE(YEAR(B1077),MONTH(B1077),1)&amp;":"&amp;DATE(YEAR(B1077),MONTH(B1077)+1,0))),2)&lt;=5,1,IF(WEEKDAY(ROW(INDIRECT(DATE(YEAR(B1077),MONTH(B1077),1)&amp;":"&amp;DATE(YEAR(B1077),MONTH(B1077)+1,0))),2)=6,0.5,0)),0))</f>
        <v>24</v>
      </c>
      <c r="K1077" s="22" cm="1">
        <f t="array" ref="K1077">_xlfn.XLOOKUP(1,((Metas_Diarias[[#This Row],[tipo_equipe_id]]=Metas[equipe])*(Metas_Diarias[[#This Row],[data]]&gt;Metas[data_inicio])*(Metas_Diarias[[#This Row],[data]]&lt;Metas[data_fim])),Metas[meta_mensal],0)</f>
        <v>65000</v>
      </c>
      <c r="L10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78" spans="2:12" x14ac:dyDescent="0.3">
      <c r="B1078" s="34">
        <v>45999</v>
      </c>
      <c r="C1078" s="34" t="str">
        <f>TEXT(Metas_Diarias[[#This Row],[data]],"dddd")</f>
        <v>segunda-feira</v>
      </c>
      <c r="D1078" s="33">
        <v>5</v>
      </c>
      <c r="E1078" s="33">
        <v>5</v>
      </c>
      <c r="F1078" s="18"/>
      <c r="G1078" s="35">
        <f>WEEKDAY(Metas_Diarias[[#This Row],[data]])</f>
        <v>2</v>
      </c>
      <c r="H1078" s="35">
        <f>IF(Metas_Diarias[[#This Row],[dias_da_demana]]=1,"domingo",IF(Metas_Diarias[[#This Row],[dias_da_demana]]=7,0.5,1))</f>
        <v>1</v>
      </c>
      <c r="I1078" s="35">
        <f>_xlfn.XLOOKUP(Metas_Diarias[[#This Row],[data]],Feriados[Data],Feriados[Feriado],1)</f>
        <v>1</v>
      </c>
      <c r="J1078" s="33" cm="1">
        <f t="array" aca="1" ref="J1078" ca="1">SUMPRODUCT(IF((NOT(ISERROR(MATCH(ROW(INDIRECT(DATE(YEAR(B1078),MONTH(B1078),1)&amp;":"&amp;DATE(YEAR(B1078),MONTH(B1078)+1,0))),Feriados[Data],0))))=FALSE,
IF(WEEKDAY(ROW(INDIRECT(DATE(YEAR(B1078),MONTH(B1078),1)&amp;":"&amp;DATE(YEAR(B1078),MONTH(B1078)+1,0))),2)&lt;=5,1,IF(WEEKDAY(ROW(INDIRECT(DATE(YEAR(B1078),MONTH(B1078),1)&amp;":"&amp;DATE(YEAR(B1078),MONTH(B1078)+1,0))),2)=6,0.5,0)),0))</f>
        <v>24</v>
      </c>
      <c r="K1078" s="22" cm="1">
        <f t="array" ref="K1078">_xlfn.XLOOKUP(1,((Metas_Diarias[[#This Row],[tipo_equipe_id]]=Metas[equipe])*(Metas_Diarias[[#This Row],[data]]&gt;Metas[data_inicio])*(Metas_Diarias[[#This Row],[data]]&lt;Metas[data_fim])),Metas[meta_mensal],0)</f>
        <v>65000</v>
      </c>
      <c r="L1078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79" spans="2:12" x14ac:dyDescent="0.3">
      <c r="B1079" s="34">
        <v>46000</v>
      </c>
      <c r="C1079" s="34" t="str">
        <f>TEXT(Metas_Diarias[[#This Row],[data]],"dddd")</f>
        <v>terça-feira</v>
      </c>
      <c r="D1079" s="33">
        <v>5</v>
      </c>
      <c r="E1079" s="33">
        <v>5</v>
      </c>
      <c r="F1079" s="18"/>
      <c r="G1079" s="35">
        <f>WEEKDAY(Metas_Diarias[[#This Row],[data]])</f>
        <v>3</v>
      </c>
      <c r="H1079" s="35">
        <f>IF(Metas_Diarias[[#This Row],[dias_da_demana]]=1,"domingo",IF(Metas_Diarias[[#This Row],[dias_da_demana]]=7,0.5,1))</f>
        <v>1</v>
      </c>
      <c r="I1079" s="35">
        <f>_xlfn.XLOOKUP(Metas_Diarias[[#This Row],[data]],Feriados[Data],Feriados[Feriado],1)</f>
        <v>1</v>
      </c>
      <c r="J1079" s="33" cm="1">
        <f t="array" aca="1" ref="J1079" ca="1">SUMPRODUCT(IF((NOT(ISERROR(MATCH(ROW(INDIRECT(DATE(YEAR(B1079),MONTH(B1079),1)&amp;":"&amp;DATE(YEAR(B1079),MONTH(B1079)+1,0))),Feriados[Data],0))))=FALSE,
IF(WEEKDAY(ROW(INDIRECT(DATE(YEAR(B1079),MONTH(B1079),1)&amp;":"&amp;DATE(YEAR(B1079),MONTH(B1079)+1,0))),2)&lt;=5,1,IF(WEEKDAY(ROW(INDIRECT(DATE(YEAR(B1079),MONTH(B1079),1)&amp;":"&amp;DATE(YEAR(B1079),MONTH(B1079)+1,0))),2)=6,0.5,0)),0))</f>
        <v>24</v>
      </c>
      <c r="K1079" s="22" cm="1">
        <f t="array" ref="K1079">_xlfn.XLOOKUP(1,((Metas_Diarias[[#This Row],[tipo_equipe_id]]=Metas[equipe])*(Metas_Diarias[[#This Row],[data]]&gt;Metas[data_inicio])*(Metas_Diarias[[#This Row],[data]]&lt;Metas[data_fim])),Metas[meta_mensal],0)</f>
        <v>65000</v>
      </c>
      <c r="L1079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80" spans="2:12" x14ac:dyDescent="0.3">
      <c r="B1080" s="34">
        <v>46001</v>
      </c>
      <c r="C1080" s="34" t="str">
        <f>TEXT(Metas_Diarias[[#This Row],[data]],"dddd")</f>
        <v>quarta-feira</v>
      </c>
      <c r="D1080" s="33">
        <v>5</v>
      </c>
      <c r="E1080" s="33">
        <v>5</v>
      </c>
      <c r="F1080" s="18"/>
      <c r="G1080" s="35">
        <f>WEEKDAY(Metas_Diarias[[#This Row],[data]])</f>
        <v>4</v>
      </c>
      <c r="H1080" s="35">
        <f>IF(Metas_Diarias[[#This Row],[dias_da_demana]]=1,"domingo",IF(Metas_Diarias[[#This Row],[dias_da_demana]]=7,0.5,1))</f>
        <v>1</v>
      </c>
      <c r="I1080" s="35">
        <f>_xlfn.XLOOKUP(Metas_Diarias[[#This Row],[data]],Feriados[Data],Feriados[Feriado],1)</f>
        <v>1</v>
      </c>
      <c r="J1080" s="33" cm="1">
        <f t="array" aca="1" ref="J1080" ca="1">SUMPRODUCT(IF((NOT(ISERROR(MATCH(ROW(INDIRECT(DATE(YEAR(B1080),MONTH(B1080),1)&amp;":"&amp;DATE(YEAR(B1080),MONTH(B1080)+1,0))),Feriados[Data],0))))=FALSE,
IF(WEEKDAY(ROW(INDIRECT(DATE(YEAR(B1080),MONTH(B1080),1)&amp;":"&amp;DATE(YEAR(B1080),MONTH(B1080)+1,0))),2)&lt;=5,1,IF(WEEKDAY(ROW(INDIRECT(DATE(YEAR(B1080),MONTH(B1080),1)&amp;":"&amp;DATE(YEAR(B1080),MONTH(B1080)+1,0))),2)=6,0.5,0)),0))</f>
        <v>24</v>
      </c>
      <c r="K1080" s="22" cm="1">
        <f t="array" ref="K1080">_xlfn.XLOOKUP(1,((Metas_Diarias[[#This Row],[tipo_equipe_id]]=Metas[equipe])*(Metas_Diarias[[#This Row],[data]]&gt;Metas[data_inicio])*(Metas_Diarias[[#This Row],[data]]&lt;Metas[data_fim])),Metas[meta_mensal],0)</f>
        <v>65000</v>
      </c>
      <c r="L1080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81" spans="2:12" x14ac:dyDescent="0.3">
      <c r="B1081" s="34">
        <v>46002</v>
      </c>
      <c r="C1081" s="34" t="str">
        <f>TEXT(Metas_Diarias[[#This Row],[data]],"dddd")</f>
        <v>quinta-feira</v>
      </c>
      <c r="D1081" s="33">
        <v>5</v>
      </c>
      <c r="E1081" s="33">
        <v>5</v>
      </c>
      <c r="F1081" s="18"/>
      <c r="G1081" s="35">
        <f>WEEKDAY(Metas_Diarias[[#This Row],[data]])</f>
        <v>5</v>
      </c>
      <c r="H1081" s="35">
        <f>IF(Metas_Diarias[[#This Row],[dias_da_demana]]=1,"domingo",IF(Metas_Diarias[[#This Row],[dias_da_demana]]=7,0.5,1))</f>
        <v>1</v>
      </c>
      <c r="I1081" s="35">
        <f>_xlfn.XLOOKUP(Metas_Diarias[[#This Row],[data]],Feriados[Data],Feriados[Feriado],1)</f>
        <v>1</v>
      </c>
      <c r="J1081" s="33" cm="1">
        <f t="array" aca="1" ref="J1081" ca="1">SUMPRODUCT(IF((NOT(ISERROR(MATCH(ROW(INDIRECT(DATE(YEAR(B1081),MONTH(B1081),1)&amp;":"&amp;DATE(YEAR(B1081),MONTH(B1081)+1,0))),Feriados[Data],0))))=FALSE,
IF(WEEKDAY(ROW(INDIRECT(DATE(YEAR(B1081),MONTH(B1081),1)&amp;":"&amp;DATE(YEAR(B1081),MONTH(B1081)+1,0))),2)&lt;=5,1,IF(WEEKDAY(ROW(INDIRECT(DATE(YEAR(B1081),MONTH(B1081),1)&amp;":"&amp;DATE(YEAR(B1081),MONTH(B1081)+1,0))),2)=6,0.5,0)),0))</f>
        <v>24</v>
      </c>
      <c r="K1081" s="22" cm="1">
        <f t="array" ref="K1081">_xlfn.XLOOKUP(1,((Metas_Diarias[[#This Row],[tipo_equipe_id]]=Metas[equipe])*(Metas_Diarias[[#This Row],[data]]&gt;Metas[data_inicio])*(Metas_Diarias[[#This Row],[data]]&lt;Metas[data_fim])),Metas[meta_mensal],0)</f>
        <v>65000</v>
      </c>
      <c r="L1081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82" spans="2:12" x14ac:dyDescent="0.3">
      <c r="B1082" s="34">
        <v>46003</v>
      </c>
      <c r="C1082" s="34" t="str">
        <f>TEXT(Metas_Diarias[[#This Row],[data]],"dddd")</f>
        <v>sexta-feira</v>
      </c>
      <c r="D1082" s="33">
        <v>5</v>
      </c>
      <c r="E1082" s="33">
        <v>5</v>
      </c>
      <c r="F1082" s="18"/>
      <c r="G1082" s="35">
        <f>WEEKDAY(Metas_Diarias[[#This Row],[data]])</f>
        <v>6</v>
      </c>
      <c r="H1082" s="35">
        <f>IF(Metas_Diarias[[#This Row],[dias_da_demana]]=1,"domingo",IF(Metas_Diarias[[#This Row],[dias_da_demana]]=7,0.5,1))</f>
        <v>1</v>
      </c>
      <c r="I1082" s="35">
        <f>_xlfn.XLOOKUP(Metas_Diarias[[#This Row],[data]],Feriados[Data],Feriados[Feriado],1)</f>
        <v>1</v>
      </c>
      <c r="J1082" s="33" cm="1">
        <f t="array" aca="1" ref="J1082" ca="1">SUMPRODUCT(IF((NOT(ISERROR(MATCH(ROW(INDIRECT(DATE(YEAR(B1082),MONTH(B1082),1)&amp;":"&amp;DATE(YEAR(B1082),MONTH(B1082)+1,0))),Feriados[Data],0))))=FALSE,
IF(WEEKDAY(ROW(INDIRECT(DATE(YEAR(B1082),MONTH(B1082),1)&amp;":"&amp;DATE(YEAR(B1082),MONTH(B1082)+1,0))),2)&lt;=5,1,IF(WEEKDAY(ROW(INDIRECT(DATE(YEAR(B1082),MONTH(B1082),1)&amp;":"&amp;DATE(YEAR(B1082),MONTH(B1082)+1,0))),2)=6,0.5,0)),0))</f>
        <v>24</v>
      </c>
      <c r="K1082" s="22" cm="1">
        <f t="array" ref="K1082">_xlfn.XLOOKUP(1,((Metas_Diarias[[#This Row],[tipo_equipe_id]]=Metas[equipe])*(Metas_Diarias[[#This Row],[data]]&gt;Metas[data_inicio])*(Metas_Diarias[[#This Row],[data]]&lt;Metas[data_fim])),Metas[meta_mensal],0)</f>
        <v>65000</v>
      </c>
      <c r="L1082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83" spans="2:12" x14ac:dyDescent="0.3">
      <c r="B1083" s="34">
        <v>46004</v>
      </c>
      <c r="C1083" s="34" t="str">
        <f>TEXT(Metas_Diarias[[#This Row],[data]],"dddd")</f>
        <v>sábado</v>
      </c>
      <c r="D1083" s="33">
        <v>5</v>
      </c>
      <c r="E1083" s="33">
        <v>5</v>
      </c>
      <c r="F1083" s="18"/>
      <c r="G1083" s="35">
        <f>WEEKDAY(Metas_Diarias[[#This Row],[data]])</f>
        <v>7</v>
      </c>
      <c r="H1083" s="35">
        <f>IF(Metas_Diarias[[#This Row],[dias_da_demana]]=1,"domingo",IF(Metas_Diarias[[#This Row],[dias_da_demana]]=7,0.5,1))</f>
        <v>0.5</v>
      </c>
      <c r="I1083" s="35">
        <f>_xlfn.XLOOKUP(Metas_Diarias[[#This Row],[data]],Feriados[Data],Feriados[Feriado],1)</f>
        <v>1</v>
      </c>
      <c r="J1083" s="33" cm="1">
        <f t="array" aca="1" ref="J1083" ca="1">SUMPRODUCT(IF((NOT(ISERROR(MATCH(ROW(INDIRECT(DATE(YEAR(B1083),MONTH(B1083),1)&amp;":"&amp;DATE(YEAR(B1083),MONTH(B1083)+1,0))),Feriados[Data],0))))=FALSE,
IF(WEEKDAY(ROW(INDIRECT(DATE(YEAR(B1083),MONTH(B1083),1)&amp;":"&amp;DATE(YEAR(B1083),MONTH(B1083)+1,0))),2)&lt;=5,1,IF(WEEKDAY(ROW(INDIRECT(DATE(YEAR(B1083),MONTH(B1083),1)&amp;":"&amp;DATE(YEAR(B1083),MONTH(B1083)+1,0))),2)=6,0.5,0)),0))</f>
        <v>24</v>
      </c>
      <c r="K1083" s="22" cm="1">
        <f t="array" ref="K1083">_xlfn.XLOOKUP(1,((Metas_Diarias[[#This Row],[tipo_equipe_id]]=Metas[equipe])*(Metas_Diarias[[#This Row],[data]]&gt;Metas[data_inicio])*(Metas_Diarias[[#This Row],[data]]&lt;Metas[data_fim])),Metas[meta_mensal],0)</f>
        <v>65000</v>
      </c>
      <c r="L1083" s="24">
        <f ca="1">Metas_Diarias[[#This Row],[meta_mensal]]*IF(Metas_Diarias[[#This Row],[semana]]="domingo",0,Metas_Diarias[[#This Row],[semana]])*IF(Metas_Diarias[[#This Row],[feriado]]&lt;&gt;1,0,1)/Metas_Diarias[[#This Row],[dias_úteis_Mês]]</f>
        <v>1354.1666666666667</v>
      </c>
    </row>
    <row r="1084" spans="2:12" x14ac:dyDescent="0.3">
      <c r="B1084" s="34">
        <v>46005</v>
      </c>
      <c r="C1084" s="34" t="str">
        <f>TEXT(Metas_Diarias[[#This Row],[data]],"dddd")</f>
        <v>domingo</v>
      </c>
      <c r="D1084" s="33">
        <v>5</v>
      </c>
      <c r="E1084" s="33">
        <v>5</v>
      </c>
      <c r="F1084" s="18"/>
      <c r="G1084" s="35">
        <f>WEEKDAY(Metas_Diarias[[#This Row],[data]])</f>
        <v>1</v>
      </c>
      <c r="H1084" s="35" t="str">
        <f>IF(Metas_Diarias[[#This Row],[dias_da_demana]]=1,"domingo",IF(Metas_Diarias[[#This Row],[dias_da_demana]]=7,0.5,1))</f>
        <v>domingo</v>
      </c>
      <c r="I1084" s="35">
        <f>_xlfn.XLOOKUP(Metas_Diarias[[#This Row],[data]],Feriados[Data],Feriados[Feriado],1)</f>
        <v>1</v>
      </c>
      <c r="J1084" s="33" cm="1">
        <f t="array" aca="1" ref="J1084" ca="1">SUMPRODUCT(IF((NOT(ISERROR(MATCH(ROW(INDIRECT(DATE(YEAR(B1084),MONTH(B1084),1)&amp;":"&amp;DATE(YEAR(B1084),MONTH(B1084)+1,0))),Feriados[Data],0))))=FALSE,
IF(WEEKDAY(ROW(INDIRECT(DATE(YEAR(B1084),MONTH(B1084),1)&amp;":"&amp;DATE(YEAR(B1084),MONTH(B1084)+1,0))),2)&lt;=5,1,IF(WEEKDAY(ROW(INDIRECT(DATE(YEAR(B1084),MONTH(B1084),1)&amp;":"&amp;DATE(YEAR(B1084),MONTH(B1084)+1,0))),2)=6,0.5,0)),0))</f>
        <v>24</v>
      </c>
      <c r="K1084" s="22" cm="1">
        <f t="array" ref="K1084">_xlfn.XLOOKUP(1,((Metas_Diarias[[#This Row],[tipo_equipe_id]]=Metas[equipe])*(Metas_Diarias[[#This Row],[data]]&gt;Metas[data_inicio])*(Metas_Diarias[[#This Row],[data]]&lt;Metas[data_fim])),Metas[meta_mensal],0)</f>
        <v>65000</v>
      </c>
      <c r="L10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85" spans="2:12" x14ac:dyDescent="0.3">
      <c r="B1085" s="34">
        <v>46006</v>
      </c>
      <c r="C1085" s="34" t="str">
        <f>TEXT(Metas_Diarias[[#This Row],[data]],"dddd")</f>
        <v>segunda-feira</v>
      </c>
      <c r="D1085" s="33">
        <v>5</v>
      </c>
      <c r="E1085" s="33">
        <v>5</v>
      </c>
      <c r="F1085" s="18"/>
      <c r="G1085" s="35">
        <f>WEEKDAY(Metas_Diarias[[#This Row],[data]])</f>
        <v>2</v>
      </c>
      <c r="H1085" s="35">
        <f>IF(Metas_Diarias[[#This Row],[dias_da_demana]]=1,"domingo",IF(Metas_Diarias[[#This Row],[dias_da_demana]]=7,0.5,1))</f>
        <v>1</v>
      </c>
      <c r="I1085" s="35">
        <f>_xlfn.XLOOKUP(Metas_Diarias[[#This Row],[data]],Feriados[Data],Feriados[Feriado],1)</f>
        <v>1</v>
      </c>
      <c r="J1085" s="33" cm="1">
        <f t="array" aca="1" ref="J1085" ca="1">SUMPRODUCT(IF((NOT(ISERROR(MATCH(ROW(INDIRECT(DATE(YEAR(B1085),MONTH(B1085),1)&amp;":"&amp;DATE(YEAR(B1085),MONTH(B1085)+1,0))),Feriados[Data],0))))=FALSE,
IF(WEEKDAY(ROW(INDIRECT(DATE(YEAR(B1085),MONTH(B1085),1)&amp;":"&amp;DATE(YEAR(B1085),MONTH(B1085)+1,0))),2)&lt;=5,1,IF(WEEKDAY(ROW(INDIRECT(DATE(YEAR(B1085),MONTH(B1085),1)&amp;":"&amp;DATE(YEAR(B1085),MONTH(B1085)+1,0))),2)=6,0.5,0)),0))</f>
        <v>24</v>
      </c>
      <c r="K1085" s="22" cm="1">
        <f t="array" ref="K1085">_xlfn.XLOOKUP(1,((Metas_Diarias[[#This Row],[tipo_equipe_id]]=Metas[equipe])*(Metas_Diarias[[#This Row],[data]]&gt;Metas[data_inicio])*(Metas_Diarias[[#This Row],[data]]&lt;Metas[data_fim])),Metas[meta_mensal],0)</f>
        <v>65000</v>
      </c>
      <c r="L1085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86" spans="2:12" x14ac:dyDescent="0.3">
      <c r="B1086" s="34">
        <v>46007</v>
      </c>
      <c r="C1086" s="34" t="str">
        <f>TEXT(Metas_Diarias[[#This Row],[data]],"dddd")</f>
        <v>terça-feira</v>
      </c>
      <c r="D1086" s="33">
        <v>5</v>
      </c>
      <c r="E1086" s="33">
        <v>5</v>
      </c>
      <c r="F1086" s="18"/>
      <c r="G1086" s="35">
        <f>WEEKDAY(Metas_Diarias[[#This Row],[data]])</f>
        <v>3</v>
      </c>
      <c r="H1086" s="35">
        <f>IF(Metas_Diarias[[#This Row],[dias_da_demana]]=1,"domingo",IF(Metas_Diarias[[#This Row],[dias_da_demana]]=7,0.5,1))</f>
        <v>1</v>
      </c>
      <c r="I1086" s="35">
        <f>_xlfn.XLOOKUP(Metas_Diarias[[#This Row],[data]],Feriados[Data],Feriados[Feriado],1)</f>
        <v>1</v>
      </c>
      <c r="J1086" s="33" cm="1">
        <f t="array" aca="1" ref="J1086" ca="1">SUMPRODUCT(IF((NOT(ISERROR(MATCH(ROW(INDIRECT(DATE(YEAR(B1086),MONTH(B1086),1)&amp;":"&amp;DATE(YEAR(B1086),MONTH(B1086)+1,0))),Feriados[Data],0))))=FALSE,
IF(WEEKDAY(ROW(INDIRECT(DATE(YEAR(B1086),MONTH(B1086),1)&amp;":"&amp;DATE(YEAR(B1086),MONTH(B1086)+1,0))),2)&lt;=5,1,IF(WEEKDAY(ROW(INDIRECT(DATE(YEAR(B1086),MONTH(B1086),1)&amp;":"&amp;DATE(YEAR(B1086),MONTH(B1086)+1,0))),2)=6,0.5,0)),0))</f>
        <v>24</v>
      </c>
      <c r="K1086" s="22" cm="1">
        <f t="array" ref="K1086">_xlfn.XLOOKUP(1,((Metas_Diarias[[#This Row],[tipo_equipe_id]]=Metas[equipe])*(Metas_Diarias[[#This Row],[data]]&gt;Metas[data_inicio])*(Metas_Diarias[[#This Row],[data]]&lt;Metas[data_fim])),Metas[meta_mensal],0)</f>
        <v>65000</v>
      </c>
      <c r="L1086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87" spans="2:12" x14ac:dyDescent="0.3">
      <c r="B1087" s="34">
        <v>46008</v>
      </c>
      <c r="C1087" s="34" t="str">
        <f>TEXT(Metas_Diarias[[#This Row],[data]],"dddd")</f>
        <v>quarta-feira</v>
      </c>
      <c r="D1087" s="33">
        <v>5</v>
      </c>
      <c r="E1087" s="33">
        <v>5</v>
      </c>
      <c r="F1087" s="18"/>
      <c r="G1087" s="35">
        <f>WEEKDAY(Metas_Diarias[[#This Row],[data]])</f>
        <v>4</v>
      </c>
      <c r="H1087" s="35">
        <f>IF(Metas_Diarias[[#This Row],[dias_da_demana]]=1,"domingo",IF(Metas_Diarias[[#This Row],[dias_da_demana]]=7,0.5,1))</f>
        <v>1</v>
      </c>
      <c r="I1087" s="35">
        <f>_xlfn.XLOOKUP(Metas_Diarias[[#This Row],[data]],Feriados[Data],Feriados[Feriado],1)</f>
        <v>1</v>
      </c>
      <c r="J1087" s="33" cm="1">
        <f t="array" aca="1" ref="J1087" ca="1">SUMPRODUCT(IF((NOT(ISERROR(MATCH(ROW(INDIRECT(DATE(YEAR(B1087),MONTH(B1087),1)&amp;":"&amp;DATE(YEAR(B1087),MONTH(B1087)+1,0))),Feriados[Data],0))))=FALSE,
IF(WEEKDAY(ROW(INDIRECT(DATE(YEAR(B1087),MONTH(B1087),1)&amp;":"&amp;DATE(YEAR(B1087),MONTH(B1087)+1,0))),2)&lt;=5,1,IF(WEEKDAY(ROW(INDIRECT(DATE(YEAR(B1087),MONTH(B1087),1)&amp;":"&amp;DATE(YEAR(B1087),MONTH(B1087)+1,0))),2)=6,0.5,0)),0))</f>
        <v>24</v>
      </c>
      <c r="K1087" s="22" cm="1">
        <f t="array" ref="K1087">_xlfn.XLOOKUP(1,((Metas_Diarias[[#This Row],[tipo_equipe_id]]=Metas[equipe])*(Metas_Diarias[[#This Row],[data]]&gt;Metas[data_inicio])*(Metas_Diarias[[#This Row],[data]]&lt;Metas[data_fim])),Metas[meta_mensal],0)</f>
        <v>65000</v>
      </c>
      <c r="L1087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88" spans="2:12" x14ac:dyDescent="0.3">
      <c r="B1088" s="34">
        <v>46009</v>
      </c>
      <c r="C1088" s="34" t="str">
        <f>TEXT(Metas_Diarias[[#This Row],[data]],"dddd")</f>
        <v>quinta-feira</v>
      </c>
      <c r="D1088" s="33">
        <v>5</v>
      </c>
      <c r="E1088" s="33">
        <v>5</v>
      </c>
      <c r="F1088" s="18"/>
      <c r="G1088" s="35">
        <f>WEEKDAY(Metas_Diarias[[#This Row],[data]])</f>
        <v>5</v>
      </c>
      <c r="H1088" s="35">
        <f>IF(Metas_Diarias[[#This Row],[dias_da_demana]]=1,"domingo",IF(Metas_Diarias[[#This Row],[dias_da_demana]]=7,0.5,1))</f>
        <v>1</v>
      </c>
      <c r="I1088" s="35">
        <f>_xlfn.XLOOKUP(Metas_Diarias[[#This Row],[data]],Feriados[Data],Feriados[Feriado],1)</f>
        <v>1</v>
      </c>
      <c r="J1088" s="33" cm="1">
        <f t="array" aca="1" ref="J1088" ca="1">SUMPRODUCT(IF((NOT(ISERROR(MATCH(ROW(INDIRECT(DATE(YEAR(B1088),MONTH(B1088),1)&amp;":"&amp;DATE(YEAR(B1088),MONTH(B1088)+1,0))),Feriados[Data],0))))=FALSE,
IF(WEEKDAY(ROW(INDIRECT(DATE(YEAR(B1088),MONTH(B1088),1)&amp;":"&amp;DATE(YEAR(B1088),MONTH(B1088)+1,0))),2)&lt;=5,1,IF(WEEKDAY(ROW(INDIRECT(DATE(YEAR(B1088),MONTH(B1088),1)&amp;":"&amp;DATE(YEAR(B1088),MONTH(B1088)+1,0))),2)=6,0.5,0)),0))</f>
        <v>24</v>
      </c>
      <c r="K1088" s="22" cm="1">
        <f t="array" ref="K1088">_xlfn.XLOOKUP(1,((Metas_Diarias[[#This Row],[tipo_equipe_id]]=Metas[equipe])*(Metas_Diarias[[#This Row],[data]]&gt;Metas[data_inicio])*(Metas_Diarias[[#This Row],[data]]&lt;Metas[data_fim])),Metas[meta_mensal],0)</f>
        <v>65000</v>
      </c>
      <c r="L1088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89" spans="2:12" x14ac:dyDescent="0.3">
      <c r="B1089" s="34">
        <v>46010</v>
      </c>
      <c r="C1089" s="34" t="str">
        <f>TEXT(Metas_Diarias[[#This Row],[data]],"dddd")</f>
        <v>sexta-feira</v>
      </c>
      <c r="D1089" s="33">
        <v>5</v>
      </c>
      <c r="E1089" s="33">
        <v>5</v>
      </c>
      <c r="F1089" s="18"/>
      <c r="G1089" s="35">
        <f>WEEKDAY(Metas_Diarias[[#This Row],[data]])</f>
        <v>6</v>
      </c>
      <c r="H1089" s="35">
        <f>IF(Metas_Diarias[[#This Row],[dias_da_demana]]=1,"domingo",IF(Metas_Diarias[[#This Row],[dias_da_demana]]=7,0.5,1))</f>
        <v>1</v>
      </c>
      <c r="I1089" s="35">
        <f>_xlfn.XLOOKUP(Metas_Diarias[[#This Row],[data]],Feriados[Data],Feriados[Feriado],1)</f>
        <v>1</v>
      </c>
      <c r="J1089" s="33" cm="1">
        <f t="array" aca="1" ref="J1089" ca="1">SUMPRODUCT(IF((NOT(ISERROR(MATCH(ROW(INDIRECT(DATE(YEAR(B1089),MONTH(B1089),1)&amp;":"&amp;DATE(YEAR(B1089),MONTH(B1089)+1,0))),Feriados[Data],0))))=FALSE,
IF(WEEKDAY(ROW(INDIRECT(DATE(YEAR(B1089),MONTH(B1089),1)&amp;":"&amp;DATE(YEAR(B1089),MONTH(B1089)+1,0))),2)&lt;=5,1,IF(WEEKDAY(ROW(INDIRECT(DATE(YEAR(B1089),MONTH(B1089),1)&amp;":"&amp;DATE(YEAR(B1089),MONTH(B1089)+1,0))),2)=6,0.5,0)),0))</f>
        <v>24</v>
      </c>
      <c r="K1089" s="22" cm="1">
        <f t="array" ref="K1089">_xlfn.XLOOKUP(1,((Metas_Diarias[[#This Row],[tipo_equipe_id]]=Metas[equipe])*(Metas_Diarias[[#This Row],[data]]&gt;Metas[data_inicio])*(Metas_Diarias[[#This Row],[data]]&lt;Metas[data_fim])),Metas[meta_mensal],0)</f>
        <v>65000</v>
      </c>
      <c r="L1089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90" spans="2:12" x14ac:dyDescent="0.3">
      <c r="B1090" s="34">
        <v>46011</v>
      </c>
      <c r="C1090" s="34" t="str">
        <f>TEXT(Metas_Diarias[[#This Row],[data]],"dddd")</f>
        <v>sábado</v>
      </c>
      <c r="D1090" s="33">
        <v>5</v>
      </c>
      <c r="E1090" s="33">
        <v>5</v>
      </c>
      <c r="F1090" s="18"/>
      <c r="G1090" s="35">
        <f>WEEKDAY(Metas_Diarias[[#This Row],[data]])</f>
        <v>7</v>
      </c>
      <c r="H1090" s="35">
        <f>IF(Metas_Diarias[[#This Row],[dias_da_demana]]=1,"domingo",IF(Metas_Diarias[[#This Row],[dias_da_demana]]=7,0.5,1))</f>
        <v>0.5</v>
      </c>
      <c r="I1090" s="35">
        <f>_xlfn.XLOOKUP(Metas_Diarias[[#This Row],[data]],Feriados[Data],Feriados[Feriado],1)</f>
        <v>1</v>
      </c>
      <c r="J1090" s="33" cm="1">
        <f t="array" aca="1" ref="J1090" ca="1">SUMPRODUCT(IF((NOT(ISERROR(MATCH(ROW(INDIRECT(DATE(YEAR(B1090),MONTH(B1090),1)&amp;":"&amp;DATE(YEAR(B1090),MONTH(B1090)+1,0))),Feriados[Data],0))))=FALSE,
IF(WEEKDAY(ROW(INDIRECT(DATE(YEAR(B1090),MONTH(B1090),1)&amp;":"&amp;DATE(YEAR(B1090),MONTH(B1090)+1,0))),2)&lt;=5,1,IF(WEEKDAY(ROW(INDIRECT(DATE(YEAR(B1090),MONTH(B1090),1)&amp;":"&amp;DATE(YEAR(B1090),MONTH(B1090)+1,0))),2)=6,0.5,0)),0))</f>
        <v>24</v>
      </c>
      <c r="K1090" s="22" cm="1">
        <f t="array" ref="K1090">_xlfn.XLOOKUP(1,((Metas_Diarias[[#This Row],[tipo_equipe_id]]=Metas[equipe])*(Metas_Diarias[[#This Row],[data]]&gt;Metas[data_inicio])*(Metas_Diarias[[#This Row],[data]]&lt;Metas[data_fim])),Metas[meta_mensal],0)</f>
        <v>65000</v>
      </c>
      <c r="L1090" s="24">
        <f ca="1">Metas_Diarias[[#This Row],[meta_mensal]]*IF(Metas_Diarias[[#This Row],[semana]]="domingo",0,Metas_Diarias[[#This Row],[semana]])*IF(Metas_Diarias[[#This Row],[feriado]]&lt;&gt;1,0,1)/Metas_Diarias[[#This Row],[dias_úteis_Mês]]</f>
        <v>1354.1666666666667</v>
      </c>
    </row>
    <row r="1091" spans="2:12" x14ac:dyDescent="0.3">
      <c r="B1091" s="34">
        <v>46012</v>
      </c>
      <c r="C1091" s="34" t="str">
        <f>TEXT(Metas_Diarias[[#This Row],[data]],"dddd")</f>
        <v>domingo</v>
      </c>
      <c r="D1091" s="33">
        <v>5</v>
      </c>
      <c r="E1091" s="33">
        <v>5</v>
      </c>
      <c r="F1091" s="18"/>
      <c r="G1091" s="35">
        <f>WEEKDAY(Metas_Diarias[[#This Row],[data]])</f>
        <v>1</v>
      </c>
      <c r="H1091" s="35" t="str">
        <f>IF(Metas_Diarias[[#This Row],[dias_da_demana]]=1,"domingo",IF(Metas_Diarias[[#This Row],[dias_da_demana]]=7,0.5,1))</f>
        <v>domingo</v>
      </c>
      <c r="I1091" s="35">
        <f>_xlfn.XLOOKUP(Metas_Diarias[[#This Row],[data]],Feriados[Data],Feriados[Feriado],1)</f>
        <v>1</v>
      </c>
      <c r="J1091" s="33" cm="1">
        <f t="array" aca="1" ref="J1091" ca="1">SUMPRODUCT(IF((NOT(ISERROR(MATCH(ROW(INDIRECT(DATE(YEAR(B1091),MONTH(B1091),1)&amp;":"&amp;DATE(YEAR(B1091),MONTH(B1091)+1,0))),Feriados[Data],0))))=FALSE,
IF(WEEKDAY(ROW(INDIRECT(DATE(YEAR(B1091),MONTH(B1091),1)&amp;":"&amp;DATE(YEAR(B1091),MONTH(B1091)+1,0))),2)&lt;=5,1,IF(WEEKDAY(ROW(INDIRECT(DATE(YEAR(B1091),MONTH(B1091),1)&amp;":"&amp;DATE(YEAR(B1091),MONTH(B1091)+1,0))),2)=6,0.5,0)),0))</f>
        <v>24</v>
      </c>
      <c r="K1091" s="22" cm="1">
        <f t="array" ref="K1091">_xlfn.XLOOKUP(1,((Metas_Diarias[[#This Row],[tipo_equipe_id]]=Metas[equipe])*(Metas_Diarias[[#This Row],[data]]&gt;Metas[data_inicio])*(Metas_Diarias[[#This Row],[data]]&lt;Metas[data_fim])),Metas[meta_mensal],0)</f>
        <v>65000</v>
      </c>
      <c r="L10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92" spans="2:12" x14ac:dyDescent="0.3">
      <c r="B1092" s="34">
        <v>46013</v>
      </c>
      <c r="C1092" s="34" t="str">
        <f>TEXT(Metas_Diarias[[#This Row],[data]],"dddd")</f>
        <v>segunda-feira</v>
      </c>
      <c r="D1092" s="33">
        <v>5</v>
      </c>
      <c r="E1092" s="33">
        <v>5</v>
      </c>
      <c r="F1092" s="18"/>
      <c r="G1092" s="35">
        <f>WEEKDAY(Metas_Diarias[[#This Row],[data]])</f>
        <v>2</v>
      </c>
      <c r="H1092" s="35">
        <f>IF(Metas_Diarias[[#This Row],[dias_da_demana]]=1,"domingo",IF(Metas_Diarias[[#This Row],[dias_da_demana]]=7,0.5,1))</f>
        <v>1</v>
      </c>
      <c r="I1092" s="35">
        <f>_xlfn.XLOOKUP(Metas_Diarias[[#This Row],[data]],Feriados[Data],Feriados[Feriado],1)</f>
        <v>1</v>
      </c>
      <c r="J1092" s="33" cm="1">
        <f t="array" aca="1" ref="J1092" ca="1">SUMPRODUCT(IF((NOT(ISERROR(MATCH(ROW(INDIRECT(DATE(YEAR(B1092),MONTH(B1092),1)&amp;":"&amp;DATE(YEAR(B1092),MONTH(B1092)+1,0))),Feriados[Data],0))))=FALSE,
IF(WEEKDAY(ROW(INDIRECT(DATE(YEAR(B1092),MONTH(B1092),1)&amp;":"&amp;DATE(YEAR(B1092),MONTH(B1092)+1,0))),2)&lt;=5,1,IF(WEEKDAY(ROW(INDIRECT(DATE(YEAR(B1092),MONTH(B1092),1)&amp;":"&amp;DATE(YEAR(B1092),MONTH(B1092)+1,0))),2)=6,0.5,0)),0))</f>
        <v>24</v>
      </c>
      <c r="K1092" s="22" cm="1">
        <f t="array" ref="K1092">_xlfn.XLOOKUP(1,((Metas_Diarias[[#This Row],[tipo_equipe_id]]=Metas[equipe])*(Metas_Diarias[[#This Row],[data]]&gt;Metas[data_inicio])*(Metas_Diarias[[#This Row],[data]]&lt;Metas[data_fim])),Metas[meta_mensal],0)</f>
        <v>65000</v>
      </c>
      <c r="L1092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93" spans="2:12" x14ac:dyDescent="0.3">
      <c r="B1093" s="34">
        <v>46014</v>
      </c>
      <c r="C1093" s="34" t="str">
        <f>TEXT(Metas_Diarias[[#This Row],[data]],"dddd")</f>
        <v>terça-feira</v>
      </c>
      <c r="D1093" s="33">
        <v>5</v>
      </c>
      <c r="E1093" s="33">
        <v>5</v>
      </c>
      <c r="F1093" s="18"/>
      <c r="G1093" s="35">
        <f>WEEKDAY(Metas_Diarias[[#This Row],[data]])</f>
        <v>3</v>
      </c>
      <c r="H1093" s="35">
        <f>IF(Metas_Diarias[[#This Row],[dias_da_demana]]=1,"domingo",IF(Metas_Diarias[[#This Row],[dias_da_demana]]=7,0.5,1))</f>
        <v>1</v>
      </c>
      <c r="I1093" s="35">
        <f>_xlfn.XLOOKUP(Metas_Diarias[[#This Row],[data]],Feriados[Data],Feriados[Feriado],1)</f>
        <v>1</v>
      </c>
      <c r="J1093" s="33" cm="1">
        <f t="array" aca="1" ref="J1093" ca="1">SUMPRODUCT(IF((NOT(ISERROR(MATCH(ROW(INDIRECT(DATE(YEAR(B1093),MONTH(B1093),1)&amp;":"&amp;DATE(YEAR(B1093),MONTH(B1093)+1,0))),Feriados[Data],0))))=FALSE,
IF(WEEKDAY(ROW(INDIRECT(DATE(YEAR(B1093),MONTH(B1093),1)&amp;":"&amp;DATE(YEAR(B1093),MONTH(B1093)+1,0))),2)&lt;=5,1,IF(WEEKDAY(ROW(INDIRECT(DATE(YEAR(B1093),MONTH(B1093),1)&amp;":"&amp;DATE(YEAR(B1093),MONTH(B1093)+1,0))),2)=6,0.5,0)),0))</f>
        <v>24</v>
      </c>
      <c r="K1093" s="22" cm="1">
        <f t="array" ref="K1093">_xlfn.XLOOKUP(1,((Metas_Diarias[[#This Row],[tipo_equipe_id]]=Metas[equipe])*(Metas_Diarias[[#This Row],[data]]&gt;Metas[data_inicio])*(Metas_Diarias[[#This Row],[data]]&lt;Metas[data_fim])),Metas[meta_mensal],0)</f>
        <v>65000</v>
      </c>
      <c r="L1093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94" spans="2:12" x14ac:dyDescent="0.3">
      <c r="B1094" s="34">
        <v>46015</v>
      </c>
      <c r="C1094" s="34" t="str">
        <f>TEXT(Metas_Diarias[[#This Row],[data]],"dddd")</f>
        <v>quarta-feira</v>
      </c>
      <c r="D1094" s="33">
        <v>5</v>
      </c>
      <c r="E1094" s="33">
        <v>5</v>
      </c>
      <c r="F1094" s="18"/>
      <c r="G1094" s="35">
        <f>WEEKDAY(Metas_Diarias[[#This Row],[data]])</f>
        <v>4</v>
      </c>
      <c r="H1094" s="35">
        <f>IF(Metas_Diarias[[#This Row],[dias_da_demana]]=1,"domingo",IF(Metas_Diarias[[#This Row],[dias_da_demana]]=7,0.5,1))</f>
        <v>1</v>
      </c>
      <c r="I1094" s="35">
        <f>_xlfn.XLOOKUP(Metas_Diarias[[#This Row],[data]],Feriados[Data],Feriados[Feriado],1)</f>
        <v>1</v>
      </c>
      <c r="J1094" s="33" cm="1">
        <f t="array" aca="1" ref="J1094" ca="1">SUMPRODUCT(IF((NOT(ISERROR(MATCH(ROW(INDIRECT(DATE(YEAR(B1094),MONTH(B1094),1)&amp;":"&amp;DATE(YEAR(B1094),MONTH(B1094)+1,0))),Feriados[Data],0))))=FALSE,
IF(WEEKDAY(ROW(INDIRECT(DATE(YEAR(B1094),MONTH(B1094),1)&amp;":"&amp;DATE(YEAR(B1094),MONTH(B1094)+1,0))),2)&lt;=5,1,IF(WEEKDAY(ROW(INDIRECT(DATE(YEAR(B1094),MONTH(B1094),1)&amp;":"&amp;DATE(YEAR(B1094),MONTH(B1094)+1,0))),2)=6,0.5,0)),0))</f>
        <v>24</v>
      </c>
      <c r="K1094" s="22" cm="1">
        <f t="array" ref="K1094">_xlfn.XLOOKUP(1,((Metas_Diarias[[#This Row],[tipo_equipe_id]]=Metas[equipe])*(Metas_Diarias[[#This Row],[data]]&gt;Metas[data_inicio])*(Metas_Diarias[[#This Row],[data]]&lt;Metas[data_fim])),Metas[meta_mensal],0)</f>
        <v>65000</v>
      </c>
      <c r="L1094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95" spans="2:12" x14ac:dyDescent="0.3">
      <c r="B1095" s="34">
        <v>46016</v>
      </c>
      <c r="C1095" s="34" t="str">
        <f>TEXT(Metas_Diarias[[#This Row],[data]],"dddd")</f>
        <v>quinta-feira</v>
      </c>
      <c r="D1095" s="33">
        <v>5</v>
      </c>
      <c r="E1095" s="33">
        <v>5</v>
      </c>
      <c r="F1095" s="18"/>
      <c r="G1095" s="35">
        <f>WEEKDAY(Metas_Diarias[[#This Row],[data]])</f>
        <v>5</v>
      </c>
      <c r="H1095" s="35">
        <f>IF(Metas_Diarias[[#This Row],[dias_da_demana]]=1,"domingo",IF(Metas_Diarias[[#This Row],[dias_da_demana]]=7,0.5,1))</f>
        <v>1</v>
      </c>
      <c r="I1095" s="35" t="str">
        <f>_xlfn.XLOOKUP(Metas_Diarias[[#This Row],[data]],Feriados[Data],Feriados[Feriado],1)</f>
        <v>Natal</v>
      </c>
      <c r="J1095" s="33" cm="1">
        <f t="array" aca="1" ref="J1095" ca="1">SUMPRODUCT(IF((NOT(ISERROR(MATCH(ROW(INDIRECT(DATE(YEAR(B1095),MONTH(B1095),1)&amp;":"&amp;DATE(YEAR(B1095),MONTH(B1095)+1,0))),Feriados[Data],0))))=FALSE,
IF(WEEKDAY(ROW(INDIRECT(DATE(YEAR(B1095),MONTH(B1095),1)&amp;":"&amp;DATE(YEAR(B1095),MONTH(B1095)+1,0))),2)&lt;=5,1,IF(WEEKDAY(ROW(INDIRECT(DATE(YEAR(B1095),MONTH(B1095),1)&amp;":"&amp;DATE(YEAR(B1095),MONTH(B1095)+1,0))),2)=6,0.5,0)),0))</f>
        <v>24</v>
      </c>
      <c r="K1095" s="22" cm="1">
        <f t="array" ref="K1095">_xlfn.XLOOKUP(1,((Metas_Diarias[[#This Row],[tipo_equipe_id]]=Metas[equipe])*(Metas_Diarias[[#This Row],[data]]&gt;Metas[data_inicio])*(Metas_Diarias[[#This Row],[data]]&lt;Metas[data_fim])),Metas[meta_mensal],0)</f>
        <v>65000</v>
      </c>
      <c r="L109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96" spans="2:12" x14ac:dyDescent="0.3">
      <c r="B1096" s="34">
        <v>46017</v>
      </c>
      <c r="C1096" s="34" t="str">
        <f>TEXT(Metas_Diarias[[#This Row],[data]],"dddd")</f>
        <v>sexta-feira</v>
      </c>
      <c r="D1096" s="33">
        <v>5</v>
      </c>
      <c r="E1096" s="33">
        <v>5</v>
      </c>
      <c r="F1096" s="18"/>
      <c r="G1096" s="35">
        <f>WEEKDAY(Metas_Diarias[[#This Row],[data]])</f>
        <v>6</v>
      </c>
      <c r="H1096" s="35">
        <f>IF(Metas_Diarias[[#This Row],[dias_da_demana]]=1,"domingo",IF(Metas_Diarias[[#This Row],[dias_da_demana]]=7,0.5,1))</f>
        <v>1</v>
      </c>
      <c r="I1096" s="35">
        <f>_xlfn.XLOOKUP(Metas_Diarias[[#This Row],[data]],Feriados[Data],Feriados[Feriado],1)</f>
        <v>1</v>
      </c>
      <c r="J1096" s="33" cm="1">
        <f t="array" aca="1" ref="J1096" ca="1">SUMPRODUCT(IF((NOT(ISERROR(MATCH(ROW(INDIRECT(DATE(YEAR(B1096),MONTH(B1096),1)&amp;":"&amp;DATE(YEAR(B1096),MONTH(B1096)+1,0))),Feriados[Data],0))))=FALSE,
IF(WEEKDAY(ROW(INDIRECT(DATE(YEAR(B1096),MONTH(B1096),1)&amp;":"&amp;DATE(YEAR(B1096),MONTH(B1096)+1,0))),2)&lt;=5,1,IF(WEEKDAY(ROW(INDIRECT(DATE(YEAR(B1096),MONTH(B1096),1)&amp;":"&amp;DATE(YEAR(B1096),MONTH(B1096)+1,0))),2)=6,0.5,0)),0))</f>
        <v>24</v>
      </c>
      <c r="K1096" s="22" cm="1">
        <f t="array" ref="K1096">_xlfn.XLOOKUP(1,((Metas_Diarias[[#This Row],[tipo_equipe_id]]=Metas[equipe])*(Metas_Diarias[[#This Row],[data]]&gt;Metas[data_inicio])*(Metas_Diarias[[#This Row],[data]]&lt;Metas[data_fim])),Metas[meta_mensal],0)</f>
        <v>65000</v>
      </c>
      <c r="L1096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097" spans="2:12" x14ac:dyDescent="0.3">
      <c r="B1097" s="34">
        <v>46018</v>
      </c>
      <c r="C1097" s="34" t="str">
        <f>TEXT(Metas_Diarias[[#This Row],[data]],"dddd")</f>
        <v>sábado</v>
      </c>
      <c r="D1097" s="33">
        <v>5</v>
      </c>
      <c r="E1097" s="33">
        <v>5</v>
      </c>
      <c r="F1097" s="18"/>
      <c r="G1097" s="35">
        <f>WEEKDAY(Metas_Diarias[[#This Row],[data]])</f>
        <v>7</v>
      </c>
      <c r="H1097" s="35">
        <f>IF(Metas_Diarias[[#This Row],[dias_da_demana]]=1,"domingo",IF(Metas_Diarias[[#This Row],[dias_da_demana]]=7,0.5,1))</f>
        <v>0.5</v>
      </c>
      <c r="I1097" s="35">
        <f>_xlfn.XLOOKUP(Metas_Diarias[[#This Row],[data]],Feriados[Data],Feriados[Feriado],1)</f>
        <v>1</v>
      </c>
      <c r="J1097" s="33" cm="1">
        <f t="array" aca="1" ref="J1097" ca="1">SUMPRODUCT(IF((NOT(ISERROR(MATCH(ROW(INDIRECT(DATE(YEAR(B1097),MONTH(B1097),1)&amp;":"&amp;DATE(YEAR(B1097),MONTH(B1097)+1,0))),Feriados[Data],0))))=FALSE,
IF(WEEKDAY(ROW(INDIRECT(DATE(YEAR(B1097),MONTH(B1097),1)&amp;":"&amp;DATE(YEAR(B1097),MONTH(B1097)+1,0))),2)&lt;=5,1,IF(WEEKDAY(ROW(INDIRECT(DATE(YEAR(B1097),MONTH(B1097),1)&amp;":"&amp;DATE(YEAR(B1097),MONTH(B1097)+1,0))),2)=6,0.5,0)),0))</f>
        <v>24</v>
      </c>
      <c r="K1097" s="22" cm="1">
        <f t="array" ref="K1097">_xlfn.XLOOKUP(1,((Metas_Diarias[[#This Row],[tipo_equipe_id]]=Metas[equipe])*(Metas_Diarias[[#This Row],[data]]&gt;Metas[data_inicio])*(Metas_Diarias[[#This Row],[data]]&lt;Metas[data_fim])),Metas[meta_mensal],0)</f>
        <v>65000</v>
      </c>
      <c r="L1097" s="24">
        <f ca="1">Metas_Diarias[[#This Row],[meta_mensal]]*IF(Metas_Diarias[[#This Row],[semana]]="domingo",0,Metas_Diarias[[#This Row],[semana]])*IF(Metas_Diarias[[#This Row],[feriado]]&lt;&gt;1,0,1)/Metas_Diarias[[#This Row],[dias_úteis_Mês]]</f>
        <v>1354.1666666666667</v>
      </c>
    </row>
    <row r="1098" spans="2:12" x14ac:dyDescent="0.3">
      <c r="B1098" s="34">
        <v>46019</v>
      </c>
      <c r="C1098" s="34" t="str">
        <f>TEXT(Metas_Diarias[[#This Row],[data]],"dddd")</f>
        <v>domingo</v>
      </c>
      <c r="D1098" s="33">
        <v>5</v>
      </c>
      <c r="E1098" s="33">
        <v>5</v>
      </c>
      <c r="F1098" s="18"/>
      <c r="G1098" s="35">
        <f>WEEKDAY(Metas_Diarias[[#This Row],[data]])</f>
        <v>1</v>
      </c>
      <c r="H1098" s="35" t="str">
        <f>IF(Metas_Diarias[[#This Row],[dias_da_demana]]=1,"domingo",IF(Metas_Diarias[[#This Row],[dias_da_demana]]=7,0.5,1))</f>
        <v>domingo</v>
      </c>
      <c r="I1098" s="35">
        <f>_xlfn.XLOOKUP(Metas_Diarias[[#This Row],[data]],Feriados[Data],Feriados[Feriado],1)</f>
        <v>1</v>
      </c>
      <c r="J1098" s="33" cm="1">
        <f t="array" aca="1" ref="J1098" ca="1">SUMPRODUCT(IF((NOT(ISERROR(MATCH(ROW(INDIRECT(DATE(YEAR(B1098),MONTH(B1098),1)&amp;":"&amp;DATE(YEAR(B1098),MONTH(B1098)+1,0))),Feriados[Data],0))))=FALSE,
IF(WEEKDAY(ROW(INDIRECT(DATE(YEAR(B1098),MONTH(B1098),1)&amp;":"&amp;DATE(YEAR(B1098),MONTH(B1098)+1,0))),2)&lt;=5,1,IF(WEEKDAY(ROW(INDIRECT(DATE(YEAR(B1098),MONTH(B1098),1)&amp;":"&amp;DATE(YEAR(B1098),MONTH(B1098)+1,0))),2)=6,0.5,0)),0))</f>
        <v>24</v>
      </c>
      <c r="K1098" s="22" cm="1">
        <f t="array" ref="K1098">_xlfn.XLOOKUP(1,((Metas_Diarias[[#This Row],[tipo_equipe_id]]=Metas[equipe])*(Metas_Diarias[[#This Row],[data]]&gt;Metas[data_inicio])*(Metas_Diarias[[#This Row],[data]]&lt;Metas[data_fim])),Metas[meta_mensal],0)</f>
        <v>65000</v>
      </c>
      <c r="L10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099" spans="2:12" x14ac:dyDescent="0.3">
      <c r="B1099" s="34">
        <v>46020</v>
      </c>
      <c r="C1099" s="34" t="str">
        <f>TEXT(Metas_Diarias[[#This Row],[data]],"dddd")</f>
        <v>segunda-feira</v>
      </c>
      <c r="D1099" s="33">
        <v>5</v>
      </c>
      <c r="E1099" s="33">
        <v>5</v>
      </c>
      <c r="F1099" s="18"/>
      <c r="G1099" s="35">
        <f>WEEKDAY(Metas_Diarias[[#This Row],[data]])</f>
        <v>2</v>
      </c>
      <c r="H1099" s="35">
        <f>IF(Metas_Diarias[[#This Row],[dias_da_demana]]=1,"domingo",IF(Metas_Diarias[[#This Row],[dias_da_demana]]=7,0.5,1))</f>
        <v>1</v>
      </c>
      <c r="I1099" s="35">
        <f>_xlfn.XLOOKUP(Metas_Diarias[[#This Row],[data]],Feriados[Data],Feriados[Feriado],1)</f>
        <v>1</v>
      </c>
      <c r="J1099" s="33" cm="1">
        <f t="array" aca="1" ref="J1099" ca="1">SUMPRODUCT(IF((NOT(ISERROR(MATCH(ROW(INDIRECT(DATE(YEAR(B1099),MONTH(B1099),1)&amp;":"&amp;DATE(YEAR(B1099),MONTH(B1099)+1,0))),Feriados[Data],0))))=FALSE,
IF(WEEKDAY(ROW(INDIRECT(DATE(YEAR(B1099),MONTH(B1099),1)&amp;":"&amp;DATE(YEAR(B1099),MONTH(B1099)+1,0))),2)&lt;=5,1,IF(WEEKDAY(ROW(INDIRECT(DATE(YEAR(B1099),MONTH(B1099),1)&amp;":"&amp;DATE(YEAR(B1099),MONTH(B1099)+1,0))),2)=6,0.5,0)),0))</f>
        <v>24</v>
      </c>
      <c r="K1099" s="22" cm="1">
        <f t="array" ref="K1099">_xlfn.XLOOKUP(1,((Metas_Diarias[[#This Row],[tipo_equipe_id]]=Metas[equipe])*(Metas_Diarias[[#This Row],[data]]&gt;Metas[data_inicio])*(Metas_Diarias[[#This Row],[data]]&lt;Metas[data_fim])),Metas[meta_mensal],0)</f>
        <v>65000</v>
      </c>
      <c r="L1099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100" spans="2:12" x14ac:dyDescent="0.3">
      <c r="B1100" s="34">
        <v>46021</v>
      </c>
      <c r="C1100" s="34" t="str">
        <f>TEXT(Metas_Diarias[[#This Row],[data]],"dddd")</f>
        <v>terça-feira</v>
      </c>
      <c r="D1100" s="33">
        <v>5</v>
      </c>
      <c r="E1100" s="33">
        <v>5</v>
      </c>
      <c r="F1100" s="18"/>
      <c r="G1100" s="35">
        <f>WEEKDAY(Metas_Diarias[[#This Row],[data]])</f>
        <v>3</v>
      </c>
      <c r="H1100" s="35">
        <f>IF(Metas_Diarias[[#This Row],[dias_da_demana]]=1,"domingo",IF(Metas_Diarias[[#This Row],[dias_da_demana]]=7,0.5,1))</f>
        <v>1</v>
      </c>
      <c r="I1100" s="35">
        <f>_xlfn.XLOOKUP(Metas_Diarias[[#This Row],[data]],Feriados[Data],Feriados[Feriado],1)</f>
        <v>1</v>
      </c>
      <c r="J1100" s="33" cm="1">
        <f t="array" aca="1" ref="J1100" ca="1">SUMPRODUCT(IF((NOT(ISERROR(MATCH(ROW(INDIRECT(DATE(YEAR(B1100),MONTH(B1100),1)&amp;":"&amp;DATE(YEAR(B1100),MONTH(B1100)+1,0))),Feriados[Data],0))))=FALSE,
IF(WEEKDAY(ROW(INDIRECT(DATE(YEAR(B1100),MONTH(B1100),1)&amp;":"&amp;DATE(YEAR(B1100),MONTH(B1100)+1,0))),2)&lt;=5,1,IF(WEEKDAY(ROW(INDIRECT(DATE(YEAR(B1100),MONTH(B1100),1)&amp;":"&amp;DATE(YEAR(B1100),MONTH(B1100)+1,0))),2)=6,0.5,0)),0))</f>
        <v>24</v>
      </c>
      <c r="K1100" s="22" cm="1">
        <f t="array" ref="K1100">_xlfn.XLOOKUP(1,((Metas_Diarias[[#This Row],[tipo_equipe_id]]=Metas[equipe])*(Metas_Diarias[[#This Row],[data]]&gt;Metas[data_inicio])*(Metas_Diarias[[#This Row],[data]]&lt;Metas[data_fim])),Metas[meta_mensal],0)</f>
        <v>65000</v>
      </c>
      <c r="L1100" s="24">
        <f ca="1">Metas_Diarias[[#This Row],[meta_mensal]]*IF(Metas_Diarias[[#This Row],[semana]]="domingo",0,Metas_Diarias[[#This Row],[semana]])*IF(Metas_Diarias[[#This Row],[feriado]]&lt;&gt;1,0,1)/Metas_Diarias[[#This Row],[dias_úteis_Mês]]</f>
        <v>2708.3333333333335</v>
      </c>
    </row>
    <row r="1101" spans="2:12" x14ac:dyDescent="0.3">
      <c r="B1101" s="34">
        <v>46022</v>
      </c>
      <c r="C1101" s="34" t="str">
        <f>TEXT(Metas_Diarias[[#This Row],[data]],"dddd")</f>
        <v>quarta-feira</v>
      </c>
      <c r="D1101" s="33">
        <v>5</v>
      </c>
      <c r="E1101" s="33">
        <v>5</v>
      </c>
      <c r="F1101" s="18"/>
      <c r="G1101" s="35">
        <f>WEEKDAY(Metas_Diarias[[#This Row],[data]])</f>
        <v>4</v>
      </c>
      <c r="H1101" s="35">
        <f>IF(Metas_Diarias[[#This Row],[dias_da_demana]]=1,"domingo",IF(Metas_Diarias[[#This Row],[dias_da_demana]]=7,0.5,1))</f>
        <v>1</v>
      </c>
      <c r="I1101" s="35">
        <f>_xlfn.XLOOKUP(Metas_Diarias[[#This Row],[data]],Feriados[Data],Feriados[Feriado],1)</f>
        <v>1</v>
      </c>
      <c r="J1101" s="33" cm="1">
        <f t="array" aca="1" ref="J1101" ca="1">SUMPRODUCT(IF((NOT(ISERROR(MATCH(ROW(INDIRECT(DATE(YEAR(B1101),MONTH(B1101),1)&amp;":"&amp;DATE(YEAR(B1101),MONTH(B1101)+1,0))),Feriados[Data],0))))=FALSE,
IF(WEEKDAY(ROW(INDIRECT(DATE(YEAR(B1101),MONTH(B1101),1)&amp;":"&amp;DATE(YEAR(B1101),MONTH(B1101)+1,0))),2)&lt;=5,1,IF(WEEKDAY(ROW(INDIRECT(DATE(YEAR(B1101),MONTH(B1101),1)&amp;":"&amp;DATE(YEAR(B1101),MONTH(B1101)+1,0))),2)=6,0.5,0)),0))</f>
        <v>24</v>
      </c>
      <c r="K1101" s="22" cm="1">
        <f t="array" ref="K1101">_xlfn.XLOOKUP(1,((Metas_Diarias[[#This Row],[tipo_equipe_id]]=Metas[equipe])*(Metas_Diarias[[#This Row],[data]]&gt;Metas[data_inicio])*(Metas_Diarias[[#This Row],[data]]&lt;Metas[data_fim])),Metas[meta_mensal],0)</f>
        <v>0</v>
      </c>
      <c r="L11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02" spans="2:12" x14ac:dyDescent="0.3">
      <c r="B1102" s="34">
        <v>46023</v>
      </c>
      <c r="C1102" s="34" t="str">
        <f>TEXT(Metas_Diarias[[#This Row],[data]],"dddd")</f>
        <v>quinta-feira</v>
      </c>
      <c r="D1102" s="33">
        <v>1</v>
      </c>
      <c r="E1102" s="33">
        <v>1</v>
      </c>
      <c r="F1102" s="18"/>
      <c r="G1102" s="35">
        <f>WEEKDAY(Metas_Diarias[[#This Row],[data]])</f>
        <v>5</v>
      </c>
      <c r="H1102" s="35">
        <f>IF(Metas_Diarias[[#This Row],[dias_da_demana]]=1,"domingo",IF(Metas_Diarias[[#This Row],[dias_da_demana]]=7,0.5,1))</f>
        <v>1</v>
      </c>
      <c r="I1102" s="35" t="str">
        <f>_xlfn.XLOOKUP(Metas_Diarias[[#This Row],[data]],Feriados[Data],Feriados[Feriado],1)</f>
        <v>Confraternização Universal</v>
      </c>
      <c r="J1102" s="33" cm="1">
        <f t="array" aca="1" ref="J1102" ca="1">SUMPRODUCT(IF((NOT(ISERROR(MATCH(ROW(INDIRECT(DATE(YEAR(B1102),MONTH(B1102),1)&amp;":"&amp;DATE(YEAR(B1102),MONTH(B1102)+1,0))),Feriados[Data],0))))=FALSE,
IF(WEEKDAY(ROW(INDIRECT(DATE(YEAR(B1102),MONTH(B1102),1)&amp;":"&amp;DATE(YEAR(B1102),MONTH(B1102)+1,0))),2)&lt;=5,1,IF(WEEKDAY(ROW(INDIRECT(DATE(YEAR(B1102),MONTH(B1102),1)&amp;":"&amp;DATE(YEAR(B1102),MONTH(B1102)+1,0))),2)=6,0.5,0)),0))</f>
        <v>23.5</v>
      </c>
      <c r="K1102" s="22" cm="1">
        <f t="array" ref="K1102">_xlfn.XLOOKUP(1,((Metas_Diarias[[#This Row],[tipo_equipe_id]]=Metas[equipe])*(Metas_Diarias[[#This Row],[data]]&gt;Metas[data_inicio])*(Metas_Diarias[[#This Row],[data]]&lt;Metas[data_fim])),Metas[meta_mensal],0)</f>
        <v>0</v>
      </c>
      <c r="L110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03" spans="2:12" x14ac:dyDescent="0.3">
      <c r="B1103" s="34">
        <v>46024</v>
      </c>
      <c r="C1103" s="34" t="str">
        <f>TEXT(Metas_Diarias[[#This Row],[data]],"dddd")</f>
        <v>sexta-feira</v>
      </c>
      <c r="D1103" s="33">
        <v>1</v>
      </c>
      <c r="E1103" s="33">
        <v>1</v>
      </c>
      <c r="F1103" s="18"/>
      <c r="G1103" s="35">
        <f>WEEKDAY(Metas_Diarias[[#This Row],[data]])</f>
        <v>6</v>
      </c>
      <c r="H1103" s="35">
        <f>IF(Metas_Diarias[[#This Row],[dias_da_demana]]=1,"domingo",IF(Metas_Diarias[[#This Row],[dias_da_demana]]=7,0.5,1))</f>
        <v>1</v>
      </c>
      <c r="I1103" s="35">
        <f>_xlfn.XLOOKUP(Metas_Diarias[[#This Row],[data]],Feriados[Data],Feriados[Feriado],1)</f>
        <v>1</v>
      </c>
      <c r="J1103" s="33" cm="1">
        <f t="array" aca="1" ref="J1103" ca="1">SUMPRODUCT(IF((NOT(ISERROR(MATCH(ROW(INDIRECT(DATE(YEAR(B1103),MONTH(B1103),1)&amp;":"&amp;DATE(YEAR(B1103),MONTH(B1103)+1,0))),Feriados[Data],0))))=FALSE,
IF(WEEKDAY(ROW(INDIRECT(DATE(YEAR(B1103),MONTH(B1103),1)&amp;":"&amp;DATE(YEAR(B1103),MONTH(B1103)+1,0))),2)&lt;=5,1,IF(WEEKDAY(ROW(INDIRECT(DATE(YEAR(B1103),MONTH(B1103),1)&amp;":"&amp;DATE(YEAR(B1103),MONTH(B1103)+1,0))),2)=6,0.5,0)),0))</f>
        <v>23.5</v>
      </c>
      <c r="K1103" s="22" cm="1">
        <f t="array" ref="K1103">_xlfn.XLOOKUP(1,((Metas_Diarias[[#This Row],[tipo_equipe_id]]=Metas[equipe])*(Metas_Diarias[[#This Row],[data]]&gt;Metas[data_inicio])*(Metas_Diarias[[#This Row],[data]]&lt;Metas[data_fim])),Metas[meta_mensal],0)</f>
        <v>168000</v>
      </c>
      <c r="L1103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04" spans="2:12" x14ac:dyDescent="0.3">
      <c r="B1104" s="34">
        <v>46025</v>
      </c>
      <c r="C1104" s="34" t="str">
        <f>TEXT(Metas_Diarias[[#This Row],[data]],"dddd")</f>
        <v>sábado</v>
      </c>
      <c r="D1104" s="33">
        <v>1</v>
      </c>
      <c r="E1104" s="33">
        <v>1</v>
      </c>
      <c r="F1104" s="18"/>
      <c r="G1104" s="35">
        <f>WEEKDAY(Metas_Diarias[[#This Row],[data]])</f>
        <v>7</v>
      </c>
      <c r="H1104" s="35">
        <f>IF(Metas_Diarias[[#This Row],[dias_da_demana]]=1,"domingo",IF(Metas_Diarias[[#This Row],[dias_da_demana]]=7,0.5,1))</f>
        <v>0.5</v>
      </c>
      <c r="I1104" s="35">
        <f>_xlfn.XLOOKUP(Metas_Diarias[[#This Row],[data]],Feriados[Data],Feriados[Feriado],1)</f>
        <v>1</v>
      </c>
      <c r="J1104" s="33" cm="1">
        <f t="array" aca="1" ref="J1104" ca="1">SUMPRODUCT(IF((NOT(ISERROR(MATCH(ROW(INDIRECT(DATE(YEAR(B1104),MONTH(B1104),1)&amp;":"&amp;DATE(YEAR(B1104),MONTH(B1104)+1,0))),Feriados[Data],0))))=FALSE,
IF(WEEKDAY(ROW(INDIRECT(DATE(YEAR(B1104),MONTH(B1104),1)&amp;":"&amp;DATE(YEAR(B1104),MONTH(B1104)+1,0))),2)&lt;=5,1,IF(WEEKDAY(ROW(INDIRECT(DATE(YEAR(B1104),MONTH(B1104),1)&amp;":"&amp;DATE(YEAR(B1104),MONTH(B1104)+1,0))),2)=6,0.5,0)),0))</f>
        <v>23.5</v>
      </c>
      <c r="K1104" s="22" cm="1">
        <f t="array" ref="K1104">_xlfn.XLOOKUP(1,((Metas_Diarias[[#This Row],[tipo_equipe_id]]=Metas[equipe])*(Metas_Diarias[[#This Row],[data]]&gt;Metas[data_inicio])*(Metas_Diarias[[#This Row],[data]]&lt;Metas[data_fim])),Metas[meta_mensal],0)</f>
        <v>168000</v>
      </c>
      <c r="L1104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105" spans="2:12" x14ac:dyDescent="0.3">
      <c r="B1105" s="34">
        <v>46026</v>
      </c>
      <c r="C1105" s="34" t="str">
        <f>TEXT(Metas_Diarias[[#This Row],[data]],"dddd")</f>
        <v>domingo</v>
      </c>
      <c r="D1105" s="33">
        <v>1</v>
      </c>
      <c r="E1105" s="33">
        <v>1</v>
      </c>
      <c r="F1105" s="18"/>
      <c r="G1105" s="35">
        <f>WEEKDAY(Metas_Diarias[[#This Row],[data]])</f>
        <v>1</v>
      </c>
      <c r="H1105" s="35" t="str">
        <f>IF(Metas_Diarias[[#This Row],[dias_da_demana]]=1,"domingo",IF(Metas_Diarias[[#This Row],[dias_da_demana]]=7,0.5,1))</f>
        <v>domingo</v>
      </c>
      <c r="I1105" s="35">
        <f>_xlfn.XLOOKUP(Metas_Diarias[[#This Row],[data]],Feriados[Data],Feriados[Feriado],1)</f>
        <v>1</v>
      </c>
      <c r="J1105" s="33" cm="1">
        <f t="array" aca="1" ref="J1105" ca="1">SUMPRODUCT(IF((NOT(ISERROR(MATCH(ROW(INDIRECT(DATE(YEAR(B1105),MONTH(B1105),1)&amp;":"&amp;DATE(YEAR(B1105),MONTH(B1105)+1,0))),Feriados[Data],0))))=FALSE,
IF(WEEKDAY(ROW(INDIRECT(DATE(YEAR(B1105),MONTH(B1105),1)&amp;":"&amp;DATE(YEAR(B1105),MONTH(B1105)+1,0))),2)&lt;=5,1,IF(WEEKDAY(ROW(INDIRECT(DATE(YEAR(B1105),MONTH(B1105),1)&amp;":"&amp;DATE(YEAR(B1105),MONTH(B1105)+1,0))),2)=6,0.5,0)),0))</f>
        <v>23.5</v>
      </c>
      <c r="K1105" s="22" cm="1">
        <f t="array" ref="K1105">_xlfn.XLOOKUP(1,((Metas_Diarias[[#This Row],[tipo_equipe_id]]=Metas[equipe])*(Metas_Diarias[[#This Row],[data]]&gt;Metas[data_inicio])*(Metas_Diarias[[#This Row],[data]]&lt;Metas[data_fim])),Metas[meta_mensal],0)</f>
        <v>168000</v>
      </c>
      <c r="L11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06" spans="2:12" x14ac:dyDescent="0.3">
      <c r="B1106" s="34">
        <v>46027</v>
      </c>
      <c r="C1106" s="34" t="str">
        <f>TEXT(Metas_Diarias[[#This Row],[data]],"dddd")</f>
        <v>segunda-feira</v>
      </c>
      <c r="D1106" s="33">
        <v>1</v>
      </c>
      <c r="E1106" s="33">
        <v>1</v>
      </c>
      <c r="F1106" s="18"/>
      <c r="G1106" s="35">
        <f>WEEKDAY(Metas_Diarias[[#This Row],[data]])</f>
        <v>2</v>
      </c>
      <c r="H1106" s="35">
        <f>IF(Metas_Diarias[[#This Row],[dias_da_demana]]=1,"domingo",IF(Metas_Diarias[[#This Row],[dias_da_demana]]=7,0.5,1))</f>
        <v>1</v>
      </c>
      <c r="I1106" s="35">
        <f>_xlfn.XLOOKUP(Metas_Diarias[[#This Row],[data]],Feriados[Data],Feriados[Feriado],1)</f>
        <v>1</v>
      </c>
      <c r="J1106" s="33" cm="1">
        <f t="array" aca="1" ref="J1106" ca="1">SUMPRODUCT(IF((NOT(ISERROR(MATCH(ROW(INDIRECT(DATE(YEAR(B1106),MONTH(B1106),1)&amp;":"&amp;DATE(YEAR(B1106),MONTH(B1106)+1,0))),Feriados[Data],0))))=FALSE,
IF(WEEKDAY(ROW(INDIRECT(DATE(YEAR(B1106),MONTH(B1106),1)&amp;":"&amp;DATE(YEAR(B1106),MONTH(B1106)+1,0))),2)&lt;=5,1,IF(WEEKDAY(ROW(INDIRECT(DATE(YEAR(B1106),MONTH(B1106),1)&amp;":"&amp;DATE(YEAR(B1106),MONTH(B1106)+1,0))),2)=6,0.5,0)),0))</f>
        <v>23.5</v>
      </c>
      <c r="K1106" s="22" cm="1">
        <f t="array" ref="K1106">_xlfn.XLOOKUP(1,((Metas_Diarias[[#This Row],[tipo_equipe_id]]=Metas[equipe])*(Metas_Diarias[[#This Row],[data]]&gt;Metas[data_inicio])*(Metas_Diarias[[#This Row],[data]]&lt;Metas[data_fim])),Metas[meta_mensal],0)</f>
        <v>168000</v>
      </c>
      <c r="L1106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07" spans="2:12" x14ac:dyDescent="0.3">
      <c r="B1107" s="34">
        <v>46028</v>
      </c>
      <c r="C1107" s="34" t="str">
        <f>TEXT(Metas_Diarias[[#This Row],[data]],"dddd")</f>
        <v>terça-feira</v>
      </c>
      <c r="D1107" s="33">
        <v>1</v>
      </c>
      <c r="E1107" s="33">
        <v>1</v>
      </c>
      <c r="F1107" s="18"/>
      <c r="G1107" s="35">
        <f>WEEKDAY(Metas_Diarias[[#This Row],[data]])</f>
        <v>3</v>
      </c>
      <c r="H1107" s="35">
        <f>IF(Metas_Diarias[[#This Row],[dias_da_demana]]=1,"domingo",IF(Metas_Diarias[[#This Row],[dias_da_demana]]=7,0.5,1))</f>
        <v>1</v>
      </c>
      <c r="I1107" s="35">
        <f>_xlfn.XLOOKUP(Metas_Diarias[[#This Row],[data]],Feriados[Data],Feriados[Feriado],1)</f>
        <v>1</v>
      </c>
      <c r="J1107" s="33" cm="1">
        <f t="array" aca="1" ref="J1107" ca="1">SUMPRODUCT(IF((NOT(ISERROR(MATCH(ROW(INDIRECT(DATE(YEAR(B1107),MONTH(B1107),1)&amp;":"&amp;DATE(YEAR(B1107),MONTH(B1107)+1,0))),Feriados[Data],0))))=FALSE,
IF(WEEKDAY(ROW(INDIRECT(DATE(YEAR(B1107),MONTH(B1107),1)&amp;":"&amp;DATE(YEAR(B1107),MONTH(B1107)+1,0))),2)&lt;=5,1,IF(WEEKDAY(ROW(INDIRECT(DATE(YEAR(B1107),MONTH(B1107),1)&amp;":"&amp;DATE(YEAR(B1107),MONTH(B1107)+1,0))),2)=6,0.5,0)),0))</f>
        <v>23.5</v>
      </c>
      <c r="K1107" s="22" cm="1">
        <f t="array" ref="K1107">_xlfn.XLOOKUP(1,((Metas_Diarias[[#This Row],[tipo_equipe_id]]=Metas[equipe])*(Metas_Diarias[[#This Row],[data]]&gt;Metas[data_inicio])*(Metas_Diarias[[#This Row],[data]]&lt;Metas[data_fim])),Metas[meta_mensal],0)</f>
        <v>168000</v>
      </c>
      <c r="L1107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08" spans="2:12" x14ac:dyDescent="0.3">
      <c r="B1108" s="34">
        <v>46029</v>
      </c>
      <c r="C1108" s="34" t="str">
        <f>TEXT(Metas_Diarias[[#This Row],[data]],"dddd")</f>
        <v>quarta-feira</v>
      </c>
      <c r="D1108" s="33">
        <v>1</v>
      </c>
      <c r="E1108" s="33">
        <v>1</v>
      </c>
      <c r="F1108" s="18"/>
      <c r="G1108" s="35">
        <f>WEEKDAY(Metas_Diarias[[#This Row],[data]])</f>
        <v>4</v>
      </c>
      <c r="H1108" s="35">
        <f>IF(Metas_Diarias[[#This Row],[dias_da_demana]]=1,"domingo",IF(Metas_Diarias[[#This Row],[dias_da_demana]]=7,0.5,1))</f>
        <v>1</v>
      </c>
      <c r="I1108" s="35">
        <f>_xlfn.XLOOKUP(Metas_Diarias[[#This Row],[data]],Feriados[Data],Feriados[Feriado],1)</f>
        <v>1</v>
      </c>
      <c r="J1108" s="33" cm="1">
        <f t="array" aca="1" ref="J1108" ca="1">SUMPRODUCT(IF((NOT(ISERROR(MATCH(ROW(INDIRECT(DATE(YEAR(B1108),MONTH(B1108),1)&amp;":"&amp;DATE(YEAR(B1108),MONTH(B1108)+1,0))),Feriados[Data],0))))=FALSE,
IF(WEEKDAY(ROW(INDIRECT(DATE(YEAR(B1108),MONTH(B1108),1)&amp;":"&amp;DATE(YEAR(B1108),MONTH(B1108)+1,0))),2)&lt;=5,1,IF(WEEKDAY(ROW(INDIRECT(DATE(YEAR(B1108),MONTH(B1108),1)&amp;":"&amp;DATE(YEAR(B1108),MONTH(B1108)+1,0))),2)=6,0.5,0)),0))</f>
        <v>23.5</v>
      </c>
      <c r="K1108" s="22" cm="1">
        <f t="array" ref="K1108">_xlfn.XLOOKUP(1,((Metas_Diarias[[#This Row],[tipo_equipe_id]]=Metas[equipe])*(Metas_Diarias[[#This Row],[data]]&gt;Metas[data_inicio])*(Metas_Diarias[[#This Row],[data]]&lt;Metas[data_fim])),Metas[meta_mensal],0)</f>
        <v>168000</v>
      </c>
      <c r="L1108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09" spans="2:12" x14ac:dyDescent="0.3">
      <c r="B1109" s="34">
        <v>46030</v>
      </c>
      <c r="C1109" s="34" t="str">
        <f>TEXT(Metas_Diarias[[#This Row],[data]],"dddd")</f>
        <v>quinta-feira</v>
      </c>
      <c r="D1109" s="33">
        <v>1</v>
      </c>
      <c r="E1109" s="33">
        <v>1</v>
      </c>
      <c r="F1109" s="18"/>
      <c r="G1109" s="35">
        <f>WEEKDAY(Metas_Diarias[[#This Row],[data]])</f>
        <v>5</v>
      </c>
      <c r="H1109" s="35">
        <f>IF(Metas_Diarias[[#This Row],[dias_da_demana]]=1,"domingo",IF(Metas_Diarias[[#This Row],[dias_da_demana]]=7,0.5,1))</f>
        <v>1</v>
      </c>
      <c r="I1109" s="35">
        <f>_xlfn.XLOOKUP(Metas_Diarias[[#This Row],[data]],Feriados[Data],Feriados[Feriado],1)</f>
        <v>1</v>
      </c>
      <c r="J1109" s="33" cm="1">
        <f t="array" aca="1" ref="J1109" ca="1">SUMPRODUCT(IF((NOT(ISERROR(MATCH(ROW(INDIRECT(DATE(YEAR(B1109),MONTH(B1109),1)&amp;":"&amp;DATE(YEAR(B1109),MONTH(B1109)+1,0))),Feriados[Data],0))))=FALSE,
IF(WEEKDAY(ROW(INDIRECT(DATE(YEAR(B1109),MONTH(B1109),1)&amp;":"&amp;DATE(YEAR(B1109),MONTH(B1109)+1,0))),2)&lt;=5,1,IF(WEEKDAY(ROW(INDIRECT(DATE(YEAR(B1109),MONTH(B1109),1)&amp;":"&amp;DATE(YEAR(B1109),MONTH(B1109)+1,0))),2)=6,0.5,0)),0))</f>
        <v>23.5</v>
      </c>
      <c r="K1109" s="22" cm="1">
        <f t="array" ref="K1109">_xlfn.XLOOKUP(1,((Metas_Diarias[[#This Row],[tipo_equipe_id]]=Metas[equipe])*(Metas_Diarias[[#This Row],[data]]&gt;Metas[data_inicio])*(Metas_Diarias[[#This Row],[data]]&lt;Metas[data_fim])),Metas[meta_mensal],0)</f>
        <v>168000</v>
      </c>
      <c r="L1109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10" spans="2:12" x14ac:dyDescent="0.3">
      <c r="B1110" s="34">
        <v>46031</v>
      </c>
      <c r="C1110" s="34" t="str">
        <f>TEXT(Metas_Diarias[[#This Row],[data]],"dddd")</f>
        <v>sexta-feira</v>
      </c>
      <c r="D1110" s="33">
        <v>1</v>
      </c>
      <c r="E1110" s="33">
        <v>1</v>
      </c>
      <c r="F1110" s="18"/>
      <c r="G1110" s="35">
        <f>WEEKDAY(Metas_Diarias[[#This Row],[data]])</f>
        <v>6</v>
      </c>
      <c r="H1110" s="35">
        <f>IF(Metas_Diarias[[#This Row],[dias_da_demana]]=1,"domingo",IF(Metas_Diarias[[#This Row],[dias_da_demana]]=7,0.5,1))</f>
        <v>1</v>
      </c>
      <c r="I1110" s="35">
        <f>_xlfn.XLOOKUP(Metas_Diarias[[#This Row],[data]],Feriados[Data],Feriados[Feriado],1)</f>
        <v>1</v>
      </c>
      <c r="J1110" s="33" cm="1">
        <f t="array" aca="1" ref="J1110" ca="1">SUMPRODUCT(IF((NOT(ISERROR(MATCH(ROW(INDIRECT(DATE(YEAR(B1110),MONTH(B1110),1)&amp;":"&amp;DATE(YEAR(B1110),MONTH(B1110)+1,0))),Feriados[Data],0))))=FALSE,
IF(WEEKDAY(ROW(INDIRECT(DATE(YEAR(B1110),MONTH(B1110),1)&amp;":"&amp;DATE(YEAR(B1110),MONTH(B1110)+1,0))),2)&lt;=5,1,IF(WEEKDAY(ROW(INDIRECT(DATE(YEAR(B1110),MONTH(B1110),1)&amp;":"&amp;DATE(YEAR(B1110),MONTH(B1110)+1,0))),2)=6,0.5,0)),0))</f>
        <v>23.5</v>
      </c>
      <c r="K1110" s="22" cm="1">
        <f t="array" ref="K1110">_xlfn.XLOOKUP(1,((Metas_Diarias[[#This Row],[tipo_equipe_id]]=Metas[equipe])*(Metas_Diarias[[#This Row],[data]]&gt;Metas[data_inicio])*(Metas_Diarias[[#This Row],[data]]&lt;Metas[data_fim])),Metas[meta_mensal],0)</f>
        <v>168000</v>
      </c>
      <c r="L111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11" spans="2:12" x14ac:dyDescent="0.3">
      <c r="B1111" s="34">
        <v>46032</v>
      </c>
      <c r="C1111" s="34" t="str">
        <f>TEXT(Metas_Diarias[[#This Row],[data]],"dddd")</f>
        <v>sábado</v>
      </c>
      <c r="D1111" s="33">
        <v>1</v>
      </c>
      <c r="E1111" s="33">
        <v>1</v>
      </c>
      <c r="F1111" s="18"/>
      <c r="G1111" s="35">
        <f>WEEKDAY(Metas_Diarias[[#This Row],[data]])</f>
        <v>7</v>
      </c>
      <c r="H1111" s="35">
        <f>IF(Metas_Diarias[[#This Row],[dias_da_demana]]=1,"domingo",IF(Metas_Diarias[[#This Row],[dias_da_demana]]=7,0.5,1))</f>
        <v>0.5</v>
      </c>
      <c r="I1111" s="35">
        <f>_xlfn.XLOOKUP(Metas_Diarias[[#This Row],[data]],Feriados[Data],Feriados[Feriado],1)</f>
        <v>1</v>
      </c>
      <c r="J1111" s="33" cm="1">
        <f t="array" aca="1" ref="J1111" ca="1">SUMPRODUCT(IF((NOT(ISERROR(MATCH(ROW(INDIRECT(DATE(YEAR(B1111),MONTH(B1111),1)&amp;":"&amp;DATE(YEAR(B1111),MONTH(B1111)+1,0))),Feriados[Data],0))))=FALSE,
IF(WEEKDAY(ROW(INDIRECT(DATE(YEAR(B1111),MONTH(B1111),1)&amp;":"&amp;DATE(YEAR(B1111),MONTH(B1111)+1,0))),2)&lt;=5,1,IF(WEEKDAY(ROW(INDIRECT(DATE(YEAR(B1111),MONTH(B1111),1)&amp;":"&amp;DATE(YEAR(B1111),MONTH(B1111)+1,0))),2)=6,0.5,0)),0))</f>
        <v>23.5</v>
      </c>
      <c r="K1111" s="22" cm="1">
        <f t="array" ref="K1111">_xlfn.XLOOKUP(1,((Metas_Diarias[[#This Row],[tipo_equipe_id]]=Metas[equipe])*(Metas_Diarias[[#This Row],[data]]&gt;Metas[data_inicio])*(Metas_Diarias[[#This Row],[data]]&lt;Metas[data_fim])),Metas[meta_mensal],0)</f>
        <v>168000</v>
      </c>
      <c r="L1111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112" spans="2:12" x14ac:dyDescent="0.3">
      <c r="B1112" s="34">
        <v>46033</v>
      </c>
      <c r="C1112" s="34" t="str">
        <f>TEXT(Metas_Diarias[[#This Row],[data]],"dddd")</f>
        <v>domingo</v>
      </c>
      <c r="D1112" s="33">
        <v>1</v>
      </c>
      <c r="E1112" s="33">
        <v>1</v>
      </c>
      <c r="F1112" s="18"/>
      <c r="G1112" s="35">
        <f>WEEKDAY(Metas_Diarias[[#This Row],[data]])</f>
        <v>1</v>
      </c>
      <c r="H1112" s="35" t="str">
        <f>IF(Metas_Diarias[[#This Row],[dias_da_demana]]=1,"domingo",IF(Metas_Diarias[[#This Row],[dias_da_demana]]=7,0.5,1))</f>
        <v>domingo</v>
      </c>
      <c r="I1112" s="35">
        <f>_xlfn.XLOOKUP(Metas_Diarias[[#This Row],[data]],Feriados[Data],Feriados[Feriado],1)</f>
        <v>1</v>
      </c>
      <c r="J1112" s="33" cm="1">
        <f t="array" aca="1" ref="J1112" ca="1">SUMPRODUCT(IF((NOT(ISERROR(MATCH(ROW(INDIRECT(DATE(YEAR(B1112),MONTH(B1112),1)&amp;":"&amp;DATE(YEAR(B1112),MONTH(B1112)+1,0))),Feriados[Data],0))))=FALSE,
IF(WEEKDAY(ROW(INDIRECT(DATE(YEAR(B1112),MONTH(B1112),1)&amp;":"&amp;DATE(YEAR(B1112),MONTH(B1112)+1,0))),2)&lt;=5,1,IF(WEEKDAY(ROW(INDIRECT(DATE(YEAR(B1112),MONTH(B1112),1)&amp;":"&amp;DATE(YEAR(B1112),MONTH(B1112)+1,0))),2)=6,0.5,0)),0))</f>
        <v>23.5</v>
      </c>
      <c r="K1112" s="22" cm="1">
        <f t="array" ref="K1112">_xlfn.XLOOKUP(1,((Metas_Diarias[[#This Row],[tipo_equipe_id]]=Metas[equipe])*(Metas_Diarias[[#This Row],[data]]&gt;Metas[data_inicio])*(Metas_Diarias[[#This Row],[data]]&lt;Metas[data_fim])),Metas[meta_mensal],0)</f>
        <v>168000</v>
      </c>
      <c r="L11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13" spans="2:12" x14ac:dyDescent="0.3">
      <c r="B1113" s="34">
        <v>46034</v>
      </c>
      <c r="C1113" s="34" t="str">
        <f>TEXT(Metas_Diarias[[#This Row],[data]],"dddd")</f>
        <v>segunda-feira</v>
      </c>
      <c r="D1113" s="33">
        <v>1</v>
      </c>
      <c r="E1113" s="33">
        <v>1</v>
      </c>
      <c r="F1113" s="18"/>
      <c r="G1113" s="35">
        <f>WEEKDAY(Metas_Diarias[[#This Row],[data]])</f>
        <v>2</v>
      </c>
      <c r="H1113" s="35">
        <f>IF(Metas_Diarias[[#This Row],[dias_da_demana]]=1,"domingo",IF(Metas_Diarias[[#This Row],[dias_da_demana]]=7,0.5,1))</f>
        <v>1</v>
      </c>
      <c r="I1113" s="35">
        <f>_xlfn.XLOOKUP(Metas_Diarias[[#This Row],[data]],Feriados[Data],Feriados[Feriado],1)</f>
        <v>1</v>
      </c>
      <c r="J1113" s="33" cm="1">
        <f t="array" aca="1" ref="J1113" ca="1">SUMPRODUCT(IF((NOT(ISERROR(MATCH(ROW(INDIRECT(DATE(YEAR(B1113),MONTH(B1113),1)&amp;":"&amp;DATE(YEAR(B1113),MONTH(B1113)+1,0))),Feriados[Data],0))))=FALSE,
IF(WEEKDAY(ROW(INDIRECT(DATE(YEAR(B1113),MONTH(B1113),1)&amp;":"&amp;DATE(YEAR(B1113),MONTH(B1113)+1,0))),2)&lt;=5,1,IF(WEEKDAY(ROW(INDIRECT(DATE(YEAR(B1113),MONTH(B1113),1)&amp;":"&amp;DATE(YEAR(B1113),MONTH(B1113)+1,0))),2)=6,0.5,0)),0))</f>
        <v>23.5</v>
      </c>
      <c r="K1113" s="22" cm="1">
        <f t="array" ref="K1113">_xlfn.XLOOKUP(1,((Metas_Diarias[[#This Row],[tipo_equipe_id]]=Metas[equipe])*(Metas_Diarias[[#This Row],[data]]&gt;Metas[data_inicio])*(Metas_Diarias[[#This Row],[data]]&lt;Metas[data_fim])),Metas[meta_mensal],0)</f>
        <v>168000</v>
      </c>
      <c r="L1113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14" spans="2:12" x14ac:dyDescent="0.3">
      <c r="B1114" s="34">
        <v>46035</v>
      </c>
      <c r="C1114" s="34" t="str">
        <f>TEXT(Metas_Diarias[[#This Row],[data]],"dddd")</f>
        <v>terça-feira</v>
      </c>
      <c r="D1114" s="33">
        <v>1</v>
      </c>
      <c r="E1114" s="33">
        <v>1</v>
      </c>
      <c r="F1114" s="18"/>
      <c r="G1114" s="35">
        <f>WEEKDAY(Metas_Diarias[[#This Row],[data]])</f>
        <v>3</v>
      </c>
      <c r="H1114" s="35">
        <f>IF(Metas_Diarias[[#This Row],[dias_da_demana]]=1,"domingo",IF(Metas_Diarias[[#This Row],[dias_da_demana]]=7,0.5,1))</f>
        <v>1</v>
      </c>
      <c r="I1114" s="35">
        <f>_xlfn.XLOOKUP(Metas_Diarias[[#This Row],[data]],Feriados[Data],Feriados[Feriado],1)</f>
        <v>1</v>
      </c>
      <c r="J1114" s="33" cm="1">
        <f t="array" aca="1" ref="J1114" ca="1">SUMPRODUCT(IF((NOT(ISERROR(MATCH(ROW(INDIRECT(DATE(YEAR(B1114),MONTH(B1114),1)&amp;":"&amp;DATE(YEAR(B1114),MONTH(B1114)+1,0))),Feriados[Data],0))))=FALSE,
IF(WEEKDAY(ROW(INDIRECT(DATE(YEAR(B1114),MONTH(B1114),1)&amp;":"&amp;DATE(YEAR(B1114),MONTH(B1114)+1,0))),2)&lt;=5,1,IF(WEEKDAY(ROW(INDIRECT(DATE(YEAR(B1114),MONTH(B1114),1)&amp;":"&amp;DATE(YEAR(B1114),MONTH(B1114)+1,0))),2)=6,0.5,0)),0))</f>
        <v>23.5</v>
      </c>
      <c r="K1114" s="22" cm="1">
        <f t="array" ref="K1114">_xlfn.XLOOKUP(1,((Metas_Diarias[[#This Row],[tipo_equipe_id]]=Metas[equipe])*(Metas_Diarias[[#This Row],[data]]&gt;Metas[data_inicio])*(Metas_Diarias[[#This Row],[data]]&lt;Metas[data_fim])),Metas[meta_mensal],0)</f>
        <v>168000</v>
      </c>
      <c r="L1114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15" spans="2:12" x14ac:dyDescent="0.3">
      <c r="B1115" s="34">
        <v>46036</v>
      </c>
      <c r="C1115" s="34" t="str">
        <f>TEXT(Metas_Diarias[[#This Row],[data]],"dddd")</f>
        <v>quarta-feira</v>
      </c>
      <c r="D1115" s="33">
        <v>1</v>
      </c>
      <c r="E1115" s="33">
        <v>1</v>
      </c>
      <c r="F1115" s="18"/>
      <c r="G1115" s="35">
        <f>WEEKDAY(Metas_Diarias[[#This Row],[data]])</f>
        <v>4</v>
      </c>
      <c r="H1115" s="35">
        <f>IF(Metas_Diarias[[#This Row],[dias_da_demana]]=1,"domingo",IF(Metas_Diarias[[#This Row],[dias_da_demana]]=7,0.5,1))</f>
        <v>1</v>
      </c>
      <c r="I1115" s="35">
        <f>_xlfn.XLOOKUP(Metas_Diarias[[#This Row],[data]],Feriados[Data],Feriados[Feriado],1)</f>
        <v>1</v>
      </c>
      <c r="J1115" s="33" cm="1">
        <f t="array" aca="1" ref="J1115" ca="1">SUMPRODUCT(IF((NOT(ISERROR(MATCH(ROW(INDIRECT(DATE(YEAR(B1115),MONTH(B1115),1)&amp;":"&amp;DATE(YEAR(B1115),MONTH(B1115)+1,0))),Feriados[Data],0))))=FALSE,
IF(WEEKDAY(ROW(INDIRECT(DATE(YEAR(B1115),MONTH(B1115),1)&amp;":"&amp;DATE(YEAR(B1115),MONTH(B1115)+1,0))),2)&lt;=5,1,IF(WEEKDAY(ROW(INDIRECT(DATE(YEAR(B1115),MONTH(B1115),1)&amp;":"&amp;DATE(YEAR(B1115),MONTH(B1115)+1,0))),2)=6,0.5,0)),0))</f>
        <v>23.5</v>
      </c>
      <c r="K1115" s="22" cm="1">
        <f t="array" ref="K1115">_xlfn.XLOOKUP(1,((Metas_Diarias[[#This Row],[tipo_equipe_id]]=Metas[equipe])*(Metas_Diarias[[#This Row],[data]]&gt;Metas[data_inicio])*(Metas_Diarias[[#This Row],[data]]&lt;Metas[data_fim])),Metas[meta_mensal],0)</f>
        <v>168000</v>
      </c>
      <c r="L1115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16" spans="2:12" x14ac:dyDescent="0.3">
      <c r="B1116" s="34">
        <v>46037</v>
      </c>
      <c r="C1116" s="34" t="str">
        <f>TEXT(Metas_Diarias[[#This Row],[data]],"dddd")</f>
        <v>quinta-feira</v>
      </c>
      <c r="D1116" s="33">
        <v>1</v>
      </c>
      <c r="E1116" s="33">
        <v>1</v>
      </c>
      <c r="F1116" s="18"/>
      <c r="G1116" s="35">
        <f>WEEKDAY(Metas_Diarias[[#This Row],[data]])</f>
        <v>5</v>
      </c>
      <c r="H1116" s="35">
        <f>IF(Metas_Diarias[[#This Row],[dias_da_demana]]=1,"domingo",IF(Metas_Diarias[[#This Row],[dias_da_demana]]=7,0.5,1))</f>
        <v>1</v>
      </c>
      <c r="I1116" s="35">
        <f>_xlfn.XLOOKUP(Metas_Diarias[[#This Row],[data]],Feriados[Data],Feriados[Feriado],1)</f>
        <v>1</v>
      </c>
      <c r="J1116" s="33" cm="1">
        <f t="array" aca="1" ref="J1116" ca="1">SUMPRODUCT(IF((NOT(ISERROR(MATCH(ROW(INDIRECT(DATE(YEAR(B1116),MONTH(B1116),1)&amp;":"&amp;DATE(YEAR(B1116),MONTH(B1116)+1,0))),Feriados[Data],0))))=FALSE,
IF(WEEKDAY(ROW(INDIRECT(DATE(YEAR(B1116),MONTH(B1116),1)&amp;":"&amp;DATE(YEAR(B1116),MONTH(B1116)+1,0))),2)&lt;=5,1,IF(WEEKDAY(ROW(INDIRECT(DATE(YEAR(B1116),MONTH(B1116),1)&amp;":"&amp;DATE(YEAR(B1116),MONTH(B1116)+1,0))),2)=6,0.5,0)),0))</f>
        <v>23.5</v>
      </c>
      <c r="K1116" s="22" cm="1">
        <f t="array" ref="K1116">_xlfn.XLOOKUP(1,((Metas_Diarias[[#This Row],[tipo_equipe_id]]=Metas[equipe])*(Metas_Diarias[[#This Row],[data]]&gt;Metas[data_inicio])*(Metas_Diarias[[#This Row],[data]]&lt;Metas[data_fim])),Metas[meta_mensal],0)</f>
        <v>168000</v>
      </c>
      <c r="L1116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17" spans="2:12" x14ac:dyDescent="0.3">
      <c r="B1117" s="34">
        <v>46038</v>
      </c>
      <c r="C1117" s="34" t="str">
        <f>TEXT(Metas_Diarias[[#This Row],[data]],"dddd")</f>
        <v>sexta-feira</v>
      </c>
      <c r="D1117" s="33">
        <v>1</v>
      </c>
      <c r="E1117" s="33">
        <v>1</v>
      </c>
      <c r="F1117" s="18"/>
      <c r="G1117" s="35">
        <f>WEEKDAY(Metas_Diarias[[#This Row],[data]])</f>
        <v>6</v>
      </c>
      <c r="H1117" s="35">
        <f>IF(Metas_Diarias[[#This Row],[dias_da_demana]]=1,"domingo",IF(Metas_Diarias[[#This Row],[dias_da_demana]]=7,0.5,1))</f>
        <v>1</v>
      </c>
      <c r="I1117" s="35">
        <f>_xlfn.XLOOKUP(Metas_Diarias[[#This Row],[data]],Feriados[Data],Feriados[Feriado],1)</f>
        <v>1</v>
      </c>
      <c r="J1117" s="33" cm="1">
        <f t="array" aca="1" ref="J1117" ca="1">SUMPRODUCT(IF((NOT(ISERROR(MATCH(ROW(INDIRECT(DATE(YEAR(B1117),MONTH(B1117),1)&amp;":"&amp;DATE(YEAR(B1117),MONTH(B1117)+1,0))),Feriados[Data],0))))=FALSE,
IF(WEEKDAY(ROW(INDIRECT(DATE(YEAR(B1117),MONTH(B1117),1)&amp;":"&amp;DATE(YEAR(B1117),MONTH(B1117)+1,0))),2)&lt;=5,1,IF(WEEKDAY(ROW(INDIRECT(DATE(YEAR(B1117),MONTH(B1117),1)&amp;":"&amp;DATE(YEAR(B1117),MONTH(B1117)+1,0))),2)=6,0.5,0)),0))</f>
        <v>23.5</v>
      </c>
      <c r="K1117" s="22" cm="1">
        <f t="array" ref="K1117">_xlfn.XLOOKUP(1,((Metas_Diarias[[#This Row],[tipo_equipe_id]]=Metas[equipe])*(Metas_Diarias[[#This Row],[data]]&gt;Metas[data_inicio])*(Metas_Diarias[[#This Row],[data]]&lt;Metas[data_fim])),Metas[meta_mensal],0)</f>
        <v>168000</v>
      </c>
      <c r="L1117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18" spans="2:12" x14ac:dyDescent="0.3">
      <c r="B1118" s="34">
        <v>46039</v>
      </c>
      <c r="C1118" s="34" t="str">
        <f>TEXT(Metas_Diarias[[#This Row],[data]],"dddd")</f>
        <v>sábado</v>
      </c>
      <c r="D1118" s="33">
        <v>1</v>
      </c>
      <c r="E1118" s="33">
        <v>1</v>
      </c>
      <c r="F1118" s="18"/>
      <c r="G1118" s="35">
        <f>WEEKDAY(Metas_Diarias[[#This Row],[data]])</f>
        <v>7</v>
      </c>
      <c r="H1118" s="35">
        <f>IF(Metas_Diarias[[#This Row],[dias_da_demana]]=1,"domingo",IF(Metas_Diarias[[#This Row],[dias_da_demana]]=7,0.5,1))</f>
        <v>0.5</v>
      </c>
      <c r="I1118" s="35">
        <f>_xlfn.XLOOKUP(Metas_Diarias[[#This Row],[data]],Feriados[Data],Feriados[Feriado],1)</f>
        <v>1</v>
      </c>
      <c r="J1118" s="33" cm="1">
        <f t="array" aca="1" ref="J1118" ca="1">SUMPRODUCT(IF((NOT(ISERROR(MATCH(ROW(INDIRECT(DATE(YEAR(B1118),MONTH(B1118),1)&amp;":"&amp;DATE(YEAR(B1118),MONTH(B1118)+1,0))),Feriados[Data],0))))=FALSE,
IF(WEEKDAY(ROW(INDIRECT(DATE(YEAR(B1118),MONTH(B1118),1)&amp;":"&amp;DATE(YEAR(B1118),MONTH(B1118)+1,0))),2)&lt;=5,1,IF(WEEKDAY(ROW(INDIRECT(DATE(YEAR(B1118),MONTH(B1118),1)&amp;":"&amp;DATE(YEAR(B1118),MONTH(B1118)+1,0))),2)=6,0.5,0)),0))</f>
        <v>23.5</v>
      </c>
      <c r="K1118" s="22" cm="1">
        <f t="array" ref="K1118">_xlfn.XLOOKUP(1,((Metas_Diarias[[#This Row],[tipo_equipe_id]]=Metas[equipe])*(Metas_Diarias[[#This Row],[data]]&gt;Metas[data_inicio])*(Metas_Diarias[[#This Row],[data]]&lt;Metas[data_fim])),Metas[meta_mensal],0)</f>
        <v>168000</v>
      </c>
      <c r="L1118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119" spans="2:12" x14ac:dyDescent="0.3">
      <c r="B1119" s="34">
        <v>46040</v>
      </c>
      <c r="C1119" s="34" t="str">
        <f>TEXT(Metas_Diarias[[#This Row],[data]],"dddd")</f>
        <v>domingo</v>
      </c>
      <c r="D1119" s="33">
        <v>1</v>
      </c>
      <c r="E1119" s="33">
        <v>1</v>
      </c>
      <c r="F1119" s="18"/>
      <c r="G1119" s="35">
        <f>WEEKDAY(Metas_Diarias[[#This Row],[data]])</f>
        <v>1</v>
      </c>
      <c r="H1119" s="35" t="str">
        <f>IF(Metas_Diarias[[#This Row],[dias_da_demana]]=1,"domingo",IF(Metas_Diarias[[#This Row],[dias_da_demana]]=7,0.5,1))</f>
        <v>domingo</v>
      </c>
      <c r="I1119" s="35">
        <f>_xlfn.XLOOKUP(Metas_Diarias[[#This Row],[data]],Feriados[Data],Feriados[Feriado],1)</f>
        <v>1</v>
      </c>
      <c r="J1119" s="33" cm="1">
        <f t="array" aca="1" ref="J1119" ca="1">SUMPRODUCT(IF((NOT(ISERROR(MATCH(ROW(INDIRECT(DATE(YEAR(B1119),MONTH(B1119),1)&amp;":"&amp;DATE(YEAR(B1119),MONTH(B1119)+1,0))),Feriados[Data],0))))=FALSE,
IF(WEEKDAY(ROW(INDIRECT(DATE(YEAR(B1119),MONTH(B1119),1)&amp;":"&amp;DATE(YEAR(B1119),MONTH(B1119)+1,0))),2)&lt;=5,1,IF(WEEKDAY(ROW(INDIRECT(DATE(YEAR(B1119),MONTH(B1119),1)&amp;":"&amp;DATE(YEAR(B1119),MONTH(B1119)+1,0))),2)=6,0.5,0)),0))</f>
        <v>23.5</v>
      </c>
      <c r="K1119" s="22" cm="1">
        <f t="array" ref="K1119">_xlfn.XLOOKUP(1,((Metas_Diarias[[#This Row],[tipo_equipe_id]]=Metas[equipe])*(Metas_Diarias[[#This Row],[data]]&gt;Metas[data_inicio])*(Metas_Diarias[[#This Row],[data]]&lt;Metas[data_fim])),Metas[meta_mensal],0)</f>
        <v>168000</v>
      </c>
      <c r="L11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20" spans="2:12" x14ac:dyDescent="0.3">
      <c r="B1120" s="34">
        <v>46041</v>
      </c>
      <c r="C1120" s="34" t="str">
        <f>TEXT(Metas_Diarias[[#This Row],[data]],"dddd")</f>
        <v>segunda-feira</v>
      </c>
      <c r="D1120" s="33">
        <v>1</v>
      </c>
      <c r="E1120" s="33">
        <v>1</v>
      </c>
      <c r="F1120" s="18"/>
      <c r="G1120" s="35">
        <f>WEEKDAY(Metas_Diarias[[#This Row],[data]])</f>
        <v>2</v>
      </c>
      <c r="H1120" s="35">
        <f>IF(Metas_Diarias[[#This Row],[dias_da_demana]]=1,"domingo",IF(Metas_Diarias[[#This Row],[dias_da_demana]]=7,0.5,1))</f>
        <v>1</v>
      </c>
      <c r="I1120" s="35">
        <f>_xlfn.XLOOKUP(Metas_Diarias[[#This Row],[data]],Feriados[Data],Feriados[Feriado],1)</f>
        <v>1</v>
      </c>
      <c r="J1120" s="33" cm="1">
        <f t="array" aca="1" ref="J1120" ca="1">SUMPRODUCT(IF((NOT(ISERROR(MATCH(ROW(INDIRECT(DATE(YEAR(B1120),MONTH(B1120),1)&amp;":"&amp;DATE(YEAR(B1120),MONTH(B1120)+1,0))),Feriados[Data],0))))=FALSE,
IF(WEEKDAY(ROW(INDIRECT(DATE(YEAR(B1120),MONTH(B1120),1)&amp;":"&amp;DATE(YEAR(B1120),MONTH(B1120)+1,0))),2)&lt;=5,1,IF(WEEKDAY(ROW(INDIRECT(DATE(YEAR(B1120),MONTH(B1120),1)&amp;":"&amp;DATE(YEAR(B1120),MONTH(B1120)+1,0))),2)=6,0.5,0)),0))</f>
        <v>23.5</v>
      </c>
      <c r="K1120" s="22" cm="1">
        <f t="array" ref="K1120">_xlfn.XLOOKUP(1,((Metas_Diarias[[#This Row],[tipo_equipe_id]]=Metas[equipe])*(Metas_Diarias[[#This Row],[data]]&gt;Metas[data_inicio])*(Metas_Diarias[[#This Row],[data]]&lt;Metas[data_fim])),Metas[meta_mensal],0)</f>
        <v>168000</v>
      </c>
      <c r="L112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21" spans="2:12" x14ac:dyDescent="0.3">
      <c r="B1121" s="34">
        <v>46042</v>
      </c>
      <c r="C1121" s="34" t="str">
        <f>TEXT(Metas_Diarias[[#This Row],[data]],"dddd")</f>
        <v>terça-feira</v>
      </c>
      <c r="D1121" s="33">
        <v>1</v>
      </c>
      <c r="E1121" s="33">
        <v>1</v>
      </c>
      <c r="F1121" s="18"/>
      <c r="G1121" s="35">
        <f>WEEKDAY(Metas_Diarias[[#This Row],[data]])</f>
        <v>3</v>
      </c>
      <c r="H1121" s="35">
        <f>IF(Metas_Diarias[[#This Row],[dias_da_demana]]=1,"domingo",IF(Metas_Diarias[[#This Row],[dias_da_demana]]=7,0.5,1))</f>
        <v>1</v>
      </c>
      <c r="I1121" s="35">
        <f>_xlfn.XLOOKUP(Metas_Diarias[[#This Row],[data]],Feriados[Data],Feriados[Feriado],1)</f>
        <v>1</v>
      </c>
      <c r="J1121" s="33" cm="1">
        <f t="array" aca="1" ref="J1121" ca="1">SUMPRODUCT(IF((NOT(ISERROR(MATCH(ROW(INDIRECT(DATE(YEAR(B1121),MONTH(B1121),1)&amp;":"&amp;DATE(YEAR(B1121),MONTH(B1121)+1,0))),Feriados[Data],0))))=FALSE,
IF(WEEKDAY(ROW(INDIRECT(DATE(YEAR(B1121),MONTH(B1121),1)&amp;":"&amp;DATE(YEAR(B1121),MONTH(B1121)+1,0))),2)&lt;=5,1,IF(WEEKDAY(ROW(INDIRECT(DATE(YEAR(B1121),MONTH(B1121),1)&amp;":"&amp;DATE(YEAR(B1121),MONTH(B1121)+1,0))),2)=6,0.5,0)),0))</f>
        <v>23.5</v>
      </c>
      <c r="K1121" s="22" cm="1">
        <f t="array" ref="K1121">_xlfn.XLOOKUP(1,((Metas_Diarias[[#This Row],[tipo_equipe_id]]=Metas[equipe])*(Metas_Diarias[[#This Row],[data]]&gt;Metas[data_inicio])*(Metas_Diarias[[#This Row],[data]]&lt;Metas[data_fim])),Metas[meta_mensal],0)</f>
        <v>168000</v>
      </c>
      <c r="L1121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22" spans="2:12" x14ac:dyDescent="0.3">
      <c r="B1122" s="34">
        <v>46043</v>
      </c>
      <c r="C1122" s="34" t="str">
        <f>TEXT(Metas_Diarias[[#This Row],[data]],"dddd")</f>
        <v>quarta-feira</v>
      </c>
      <c r="D1122" s="33">
        <v>1</v>
      </c>
      <c r="E1122" s="33">
        <v>1</v>
      </c>
      <c r="F1122" s="18"/>
      <c r="G1122" s="35">
        <f>WEEKDAY(Metas_Diarias[[#This Row],[data]])</f>
        <v>4</v>
      </c>
      <c r="H1122" s="35">
        <f>IF(Metas_Diarias[[#This Row],[dias_da_demana]]=1,"domingo",IF(Metas_Diarias[[#This Row],[dias_da_demana]]=7,0.5,1))</f>
        <v>1</v>
      </c>
      <c r="I1122" s="35">
        <f>_xlfn.XLOOKUP(Metas_Diarias[[#This Row],[data]],Feriados[Data],Feriados[Feriado],1)</f>
        <v>1</v>
      </c>
      <c r="J1122" s="33" cm="1">
        <f t="array" aca="1" ref="J1122" ca="1">SUMPRODUCT(IF((NOT(ISERROR(MATCH(ROW(INDIRECT(DATE(YEAR(B1122),MONTH(B1122),1)&amp;":"&amp;DATE(YEAR(B1122),MONTH(B1122)+1,0))),Feriados[Data],0))))=FALSE,
IF(WEEKDAY(ROW(INDIRECT(DATE(YEAR(B1122),MONTH(B1122),1)&amp;":"&amp;DATE(YEAR(B1122),MONTH(B1122)+1,0))),2)&lt;=5,1,IF(WEEKDAY(ROW(INDIRECT(DATE(YEAR(B1122),MONTH(B1122),1)&amp;":"&amp;DATE(YEAR(B1122),MONTH(B1122)+1,0))),2)=6,0.5,0)),0))</f>
        <v>23.5</v>
      </c>
      <c r="K1122" s="22" cm="1">
        <f t="array" ref="K1122">_xlfn.XLOOKUP(1,((Metas_Diarias[[#This Row],[tipo_equipe_id]]=Metas[equipe])*(Metas_Diarias[[#This Row],[data]]&gt;Metas[data_inicio])*(Metas_Diarias[[#This Row],[data]]&lt;Metas[data_fim])),Metas[meta_mensal],0)</f>
        <v>168000</v>
      </c>
      <c r="L1122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23" spans="2:12" x14ac:dyDescent="0.3">
      <c r="B1123" s="34">
        <v>46044</v>
      </c>
      <c r="C1123" s="34" t="str">
        <f>TEXT(Metas_Diarias[[#This Row],[data]],"dddd")</f>
        <v>quinta-feira</v>
      </c>
      <c r="D1123" s="33">
        <v>1</v>
      </c>
      <c r="E1123" s="33">
        <v>1</v>
      </c>
      <c r="F1123" s="18"/>
      <c r="G1123" s="35">
        <f>WEEKDAY(Metas_Diarias[[#This Row],[data]])</f>
        <v>5</v>
      </c>
      <c r="H1123" s="35">
        <f>IF(Metas_Diarias[[#This Row],[dias_da_demana]]=1,"domingo",IF(Metas_Diarias[[#This Row],[dias_da_demana]]=7,0.5,1))</f>
        <v>1</v>
      </c>
      <c r="I1123" s="35">
        <f>_xlfn.XLOOKUP(Metas_Diarias[[#This Row],[data]],Feriados[Data],Feriados[Feriado],1)</f>
        <v>1</v>
      </c>
      <c r="J1123" s="33" cm="1">
        <f t="array" aca="1" ref="J1123" ca="1">SUMPRODUCT(IF((NOT(ISERROR(MATCH(ROW(INDIRECT(DATE(YEAR(B1123),MONTH(B1123),1)&amp;":"&amp;DATE(YEAR(B1123),MONTH(B1123)+1,0))),Feriados[Data],0))))=FALSE,
IF(WEEKDAY(ROW(INDIRECT(DATE(YEAR(B1123),MONTH(B1123),1)&amp;":"&amp;DATE(YEAR(B1123),MONTH(B1123)+1,0))),2)&lt;=5,1,IF(WEEKDAY(ROW(INDIRECT(DATE(YEAR(B1123),MONTH(B1123),1)&amp;":"&amp;DATE(YEAR(B1123),MONTH(B1123)+1,0))),2)=6,0.5,0)),0))</f>
        <v>23.5</v>
      </c>
      <c r="K1123" s="22" cm="1">
        <f t="array" ref="K1123">_xlfn.XLOOKUP(1,((Metas_Diarias[[#This Row],[tipo_equipe_id]]=Metas[equipe])*(Metas_Diarias[[#This Row],[data]]&gt;Metas[data_inicio])*(Metas_Diarias[[#This Row],[data]]&lt;Metas[data_fim])),Metas[meta_mensal],0)</f>
        <v>168000</v>
      </c>
      <c r="L1123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24" spans="2:12" x14ac:dyDescent="0.3">
      <c r="B1124" s="34">
        <v>46045</v>
      </c>
      <c r="C1124" s="34" t="str">
        <f>TEXT(Metas_Diarias[[#This Row],[data]],"dddd")</f>
        <v>sexta-feira</v>
      </c>
      <c r="D1124" s="33">
        <v>1</v>
      </c>
      <c r="E1124" s="33">
        <v>1</v>
      </c>
      <c r="F1124" s="18"/>
      <c r="G1124" s="35">
        <f>WEEKDAY(Metas_Diarias[[#This Row],[data]])</f>
        <v>6</v>
      </c>
      <c r="H1124" s="35">
        <f>IF(Metas_Diarias[[#This Row],[dias_da_demana]]=1,"domingo",IF(Metas_Diarias[[#This Row],[dias_da_demana]]=7,0.5,1))</f>
        <v>1</v>
      </c>
      <c r="I1124" s="35">
        <f>_xlfn.XLOOKUP(Metas_Diarias[[#This Row],[data]],Feriados[Data],Feriados[Feriado],1)</f>
        <v>1</v>
      </c>
      <c r="J1124" s="33" cm="1">
        <f t="array" aca="1" ref="J1124" ca="1">SUMPRODUCT(IF((NOT(ISERROR(MATCH(ROW(INDIRECT(DATE(YEAR(B1124),MONTH(B1124),1)&amp;":"&amp;DATE(YEAR(B1124),MONTH(B1124)+1,0))),Feriados[Data],0))))=FALSE,
IF(WEEKDAY(ROW(INDIRECT(DATE(YEAR(B1124),MONTH(B1124),1)&amp;":"&amp;DATE(YEAR(B1124),MONTH(B1124)+1,0))),2)&lt;=5,1,IF(WEEKDAY(ROW(INDIRECT(DATE(YEAR(B1124),MONTH(B1124),1)&amp;":"&amp;DATE(YEAR(B1124),MONTH(B1124)+1,0))),2)=6,0.5,0)),0))</f>
        <v>23.5</v>
      </c>
      <c r="K1124" s="22" cm="1">
        <f t="array" ref="K1124">_xlfn.XLOOKUP(1,((Metas_Diarias[[#This Row],[tipo_equipe_id]]=Metas[equipe])*(Metas_Diarias[[#This Row],[data]]&gt;Metas[data_inicio])*(Metas_Diarias[[#This Row],[data]]&lt;Metas[data_fim])),Metas[meta_mensal],0)</f>
        <v>168000</v>
      </c>
      <c r="L1124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25" spans="2:12" x14ac:dyDescent="0.3">
      <c r="B1125" s="34">
        <v>46046</v>
      </c>
      <c r="C1125" s="34" t="str">
        <f>TEXT(Metas_Diarias[[#This Row],[data]],"dddd")</f>
        <v>sábado</v>
      </c>
      <c r="D1125" s="33">
        <v>1</v>
      </c>
      <c r="E1125" s="33">
        <v>1</v>
      </c>
      <c r="F1125" s="18"/>
      <c r="G1125" s="35">
        <f>WEEKDAY(Metas_Diarias[[#This Row],[data]])</f>
        <v>7</v>
      </c>
      <c r="H1125" s="35">
        <f>IF(Metas_Diarias[[#This Row],[dias_da_demana]]=1,"domingo",IF(Metas_Diarias[[#This Row],[dias_da_demana]]=7,0.5,1))</f>
        <v>0.5</v>
      </c>
      <c r="I1125" s="35">
        <f>_xlfn.XLOOKUP(Metas_Diarias[[#This Row],[data]],Feriados[Data],Feriados[Feriado],1)</f>
        <v>1</v>
      </c>
      <c r="J1125" s="33" cm="1">
        <f t="array" aca="1" ref="J1125" ca="1">SUMPRODUCT(IF((NOT(ISERROR(MATCH(ROW(INDIRECT(DATE(YEAR(B1125),MONTH(B1125),1)&amp;":"&amp;DATE(YEAR(B1125),MONTH(B1125)+1,0))),Feriados[Data],0))))=FALSE,
IF(WEEKDAY(ROW(INDIRECT(DATE(YEAR(B1125),MONTH(B1125),1)&amp;":"&amp;DATE(YEAR(B1125),MONTH(B1125)+1,0))),2)&lt;=5,1,IF(WEEKDAY(ROW(INDIRECT(DATE(YEAR(B1125),MONTH(B1125),1)&amp;":"&amp;DATE(YEAR(B1125),MONTH(B1125)+1,0))),2)=6,0.5,0)),0))</f>
        <v>23.5</v>
      </c>
      <c r="K1125" s="22" cm="1">
        <f t="array" ref="K1125">_xlfn.XLOOKUP(1,((Metas_Diarias[[#This Row],[tipo_equipe_id]]=Metas[equipe])*(Metas_Diarias[[#This Row],[data]]&gt;Metas[data_inicio])*(Metas_Diarias[[#This Row],[data]]&lt;Metas[data_fim])),Metas[meta_mensal],0)</f>
        <v>168000</v>
      </c>
      <c r="L1125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126" spans="2:12" x14ac:dyDescent="0.3">
      <c r="B1126" s="34">
        <v>46047</v>
      </c>
      <c r="C1126" s="34" t="str">
        <f>TEXT(Metas_Diarias[[#This Row],[data]],"dddd")</f>
        <v>domingo</v>
      </c>
      <c r="D1126" s="33">
        <v>1</v>
      </c>
      <c r="E1126" s="33">
        <v>1</v>
      </c>
      <c r="F1126" s="18"/>
      <c r="G1126" s="35">
        <f>WEEKDAY(Metas_Diarias[[#This Row],[data]])</f>
        <v>1</v>
      </c>
      <c r="H1126" s="35" t="str">
        <f>IF(Metas_Diarias[[#This Row],[dias_da_demana]]=1,"domingo",IF(Metas_Diarias[[#This Row],[dias_da_demana]]=7,0.5,1))</f>
        <v>domingo</v>
      </c>
      <c r="I1126" s="35">
        <f>_xlfn.XLOOKUP(Metas_Diarias[[#This Row],[data]],Feriados[Data],Feriados[Feriado],1)</f>
        <v>1</v>
      </c>
      <c r="J1126" s="33" cm="1">
        <f t="array" aca="1" ref="J1126" ca="1">SUMPRODUCT(IF((NOT(ISERROR(MATCH(ROW(INDIRECT(DATE(YEAR(B1126),MONTH(B1126),1)&amp;":"&amp;DATE(YEAR(B1126),MONTH(B1126)+1,0))),Feriados[Data],0))))=FALSE,
IF(WEEKDAY(ROW(INDIRECT(DATE(YEAR(B1126),MONTH(B1126),1)&amp;":"&amp;DATE(YEAR(B1126),MONTH(B1126)+1,0))),2)&lt;=5,1,IF(WEEKDAY(ROW(INDIRECT(DATE(YEAR(B1126),MONTH(B1126),1)&amp;":"&amp;DATE(YEAR(B1126),MONTH(B1126)+1,0))),2)=6,0.5,0)),0))</f>
        <v>23.5</v>
      </c>
      <c r="K1126" s="22" cm="1">
        <f t="array" ref="K1126">_xlfn.XLOOKUP(1,((Metas_Diarias[[#This Row],[tipo_equipe_id]]=Metas[equipe])*(Metas_Diarias[[#This Row],[data]]&gt;Metas[data_inicio])*(Metas_Diarias[[#This Row],[data]]&lt;Metas[data_fim])),Metas[meta_mensal],0)</f>
        <v>168000</v>
      </c>
      <c r="L11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27" spans="2:12" x14ac:dyDescent="0.3">
      <c r="B1127" s="34">
        <v>46048</v>
      </c>
      <c r="C1127" s="34" t="str">
        <f>TEXT(Metas_Diarias[[#This Row],[data]],"dddd")</f>
        <v>segunda-feira</v>
      </c>
      <c r="D1127" s="33">
        <v>1</v>
      </c>
      <c r="E1127" s="33">
        <v>1</v>
      </c>
      <c r="F1127" s="18"/>
      <c r="G1127" s="35">
        <f>WEEKDAY(Metas_Diarias[[#This Row],[data]])</f>
        <v>2</v>
      </c>
      <c r="H1127" s="35">
        <f>IF(Metas_Diarias[[#This Row],[dias_da_demana]]=1,"domingo",IF(Metas_Diarias[[#This Row],[dias_da_demana]]=7,0.5,1))</f>
        <v>1</v>
      </c>
      <c r="I1127" s="35">
        <f>_xlfn.XLOOKUP(Metas_Diarias[[#This Row],[data]],Feriados[Data],Feriados[Feriado],1)</f>
        <v>1</v>
      </c>
      <c r="J1127" s="33" cm="1">
        <f t="array" aca="1" ref="J1127" ca="1">SUMPRODUCT(IF((NOT(ISERROR(MATCH(ROW(INDIRECT(DATE(YEAR(B1127),MONTH(B1127),1)&amp;":"&amp;DATE(YEAR(B1127),MONTH(B1127)+1,0))),Feriados[Data],0))))=FALSE,
IF(WEEKDAY(ROW(INDIRECT(DATE(YEAR(B1127),MONTH(B1127),1)&amp;":"&amp;DATE(YEAR(B1127),MONTH(B1127)+1,0))),2)&lt;=5,1,IF(WEEKDAY(ROW(INDIRECT(DATE(YEAR(B1127),MONTH(B1127),1)&amp;":"&amp;DATE(YEAR(B1127),MONTH(B1127)+1,0))),2)=6,0.5,0)),0))</f>
        <v>23.5</v>
      </c>
      <c r="K1127" s="22" cm="1">
        <f t="array" ref="K1127">_xlfn.XLOOKUP(1,((Metas_Diarias[[#This Row],[tipo_equipe_id]]=Metas[equipe])*(Metas_Diarias[[#This Row],[data]]&gt;Metas[data_inicio])*(Metas_Diarias[[#This Row],[data]]&lt;Metas[data_fim])),Metas[meta_mensal],0)</f>
        <v>168000</v>
      </c>
      <c r="L1127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28" spans="2:12" x14ac:dyDescent="0.3">
      <c r="B1128" s="34">
        <v>46049</v>
      </c>
      <c r="C1128" s="34" t="str">
        <f>TEXT(Metas_Diarias[[#This Row],[data]],"dddd")</f>
        <v>terça-feira</v>
      </c>
      <c r="D1128" s="33">
        <v>1</v>
      </c>
      <c r="E1128" s="33">
        <v>1</v>
      </c>
      <c r="F1128" s="18"/>
      <c r="G1128" s="35">
        <f>WEEKDAY(Metas_Diarias[[#This Row],[data]])</f>
        <v>3</v>
      </c>
      <c r="H1128" s="35">
        <f>IF(Metas_Diarias[[#This Row],[dias_da_demana]]=1,"domingo",IF(Metas_Diarias[[#This Row],[dias_da_demana]]=7,0.5,1))</f>
        <v>1</v>
      </c>
      <c r="I1128" s="35">
        <f>_xlfn.XLOOKUP(Metas_Diarias[[#This Row],[data]],Feriados[Data],Feriados[Feriado],1)</f>
        <v>1</v>
      </c>
      <c r="J1128" s="33" cm="1">
        <f t="array" aca="1" ref="J1128" ca="1">SUMPRODUCT(IF((NOT(ISERROR(MATCH(ROW(INDIRECT(DATE(YEAR(B1128),MONTH(B1128),1)&amp;":"&amp;DATE(YEAR(B1128),MONTH(B1128)+1,0))),Feriados[Data],0))))=FALSE,
IF(WEEKDAY(ROW(INDIRECT(DATE(YEAR(B1128),MONTH(B1128),1)&amp;":"&amp;DATE(YEAR(B1128),MONTH(B1128)+1,0))),2)&lt;=5,1,IF(WEEKDAY(ROW(INDIRECT(DATE(YEAR(B1128),MONTH(B1128),1)&amp;":"&amp;DATE(YEAR(B1128),MONTH(B1128)+1,0))),2)=6,0.5,0)),0))</f>
        <v>23.5</v>
      </c>
      <c r="K1128" s="22" cm="1">
        <f t="array" ref="K1128">_xlfn.XLOOKUP(1,((Metas_Diarias[[#This Row],[tipo_equipe_id]]=Metas[equipe])*(Metas_Diarias[[#This Row],[data]]&gt;Metas[data_inicio])*(Metas_Diarias[[#This Row],[data]]&lt;Metas[data_fim])),Metas[meta_mensal],0)</f>
        <v>168000</v>
      </c>
      <c r="L1128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29" spans="2:12" x14ac:dyDescent="0.3">
      <c r="B1129" s="34">
        <v>46050</v>
      </c>
      <c r="C1129" s="34" t="str">
        <f>TEXT(Metas_Diarias[[#This Row],[data]],"dddd")</f>
        <v>quarta-feira</v>
      </c>
      <c r="D1129" s="33">
        <v>1</v>
      </c>
      <c r="E1129" s="33">
        <v>1</v>
      </c>
      <c r="F1129" s="18"/>
      <c r="G1129" s="35">
        <f>WEEKDAY(Metas_Diarias[[#This Row],[data]])</f>
        <v>4</v>
      </c>
      <c r="H1129" s="35">
        <f>IF(Metas_Diarias[[#This Row],[dias_da_demana]]=1,"domingo",IF(Metas_Diarias[[#This Row],[dias_da_demana]]=7,0.5,1))</f>
        <v>1</v>
      </c>
      <c r="I1129" s="35">
        <f>_xlfn.XLOOKUP(Metas_Diarias[[#This Row],[data]],Feriados[Data],Feriados[Feriado],1)</f>
        <v>1</v>
      </c>
      <c r="J1129" s="33" cm="1">
        <f t="array" aca="1" ref="J1129" ca="1">SUMPRODUCT(IF((NOT(ISERROR(MATCH(ROW(INDIRECT(DATE(YEAR(B1129),MONTH(B1129),1)&amp;":"&amp;DATE(YEAR(B1129),MONTH(B1129)+1,0))),Feriados[Data],0))))=FALSE,
IF(WEEKDAY(ROW(INDIRECT(DATE(YEAR(B1129),MONTH(B1129),1)&amp;":"&amp;DATE(YEAR(B1129),MONTH(B1129)+1,0))),2)&lt;=5,1,IF(WEEKDAY(ROW(INDIRECT(DATE(YEAR(B1129),MONTH(B1129),1)&amp;":"&amp;DATE(YEAR(B1129),MONTH(B1129)+1,0))),2)=6,0.5,0)),0))</f>
        <v>23.5</v>
      </c>
      <c r="K1129" s="22" cm="1">
        <f t="array" ref="K1129">_xlfn.XLOOKUP(1,((Metas_Diarias[[#This Row],[tipo_equipe_id]]=Metas[equipe])*(Metas_Diarias[[#This Row],[data]]&gt;Metas[data_inicio])*(Metas_Diarias[[#This Row],[data]]&lt;Metas[data_fim])),Metas[meta_mensal],0)</f>
        <v>168000</v>
      </c>
      <c r="L1129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30" spans="2:12" x14ac:dyDescent="0.3">
      <c r="B1130" s="34">
        <v>46051</v>
      </c>
      <c r="C1130" s="34" t="str">
        <f>TEXT(Metas_Diarias[[#This Row],[data]],"dddd")</f>
        <v>quinta-feira</v>
      </c>
      <c r="D1130" s="33">
        <v>1</v>
      </c>
      <c r="E1130" s="33">
        <v>1</v>
      </c>
      <c r="F1130" s="18"/>
      <c r="G1130" s="35">
        <f>WEEKDAY(Metas_Diarias[[#This Row],[data]])</f>
        <v>5</v>
      </c>
      <c r="H1130" s="35">
        <f>IF(Metas_Diarias[[#This Row],[dias_da_demana]]=1,"domingo",IF(Metas_Diarias[[#This Row],[dias_da_demana]]=7,0.5,1))</f>
        <v>1</v>
      </c>
      <c r="I1130" s="35">
        <f>_xlfn.XLOOKUP(Metas_Diarias[[#This Row],[data]],Feriados[Data],Feriados[Feriado],1)</f>
        <v>1</v>
      </c>
      <c r="J1130" s="33" cm="1">
        <f t="array" aca="1" ref="J1130" ca="1">SUMPRODUCT(IF((NOT(ISERROR(MATCH(ROW(INDIRECT(DATE(YEAR(B1130),MONTH(B1130),1)&amp;":"&amp;DATE(YEAR(B1130),MONTH(B1130)+1,0))),Feriados[Data],0))))=FALSE,
IF(WEEKDAY(ROW(INDIRECT(DATE(YEAR(B1130),MONTH(B1130),1)&amp;":"&amp;DATE(YEAR(B1130),MONTH(B1130)+1,0))),2)&lt;=5,1,IF(WEEKDAY(ROW(INDIRECT(DATE(YEAR(B1130),MONTH(B1130),1)&amp;":"&amp;DATE(YEAR(B1130),MONTH(B1130)+1,0))),2)=6,0.5,0)),0))</f>
        <v>23.5</v>
      </c>
      <c r="K1130" s="22" cm="1">
        <f t="array" ref="K1130">_xlfn.XLOOKUP(1,((Metas_Diarias[[#This Row],[tipo_equipe_id]]=Metas[equipe])*(Metas_Diarias[[#This Row],[data]]&gt;Metas[data_inicio])*(Metas_Diarias[[#This Row],[data]]&lt;Metas[data_fim])),Metas[meta_mensal],0)</f>
        <v>168000</v>
      </c>
      <c r="L113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31" spans="2:12" x14ac:dyDescent="0.3">
      <c r="B1131" s="34">
        <v>46052</v>
      </c>
      <c r="C1131" s="34" t="str">
        <f>TEXT(Metas_Diarias[[#This Row],[data]],"dddd")</f>
        <v>sexta-feira</v>
      </c>
      <c r="D1131" s="33">
        <v>1</v>
      </c>
      <c r="E1131" s="33">
        <v>1</v>
      </c>
      <c r="F1131" s="18"/>
      <c r="G1131" s="35">
        <f>WEEKDAY(Metas_Diarias[[#This Row],[data]])</f>
        <v>6</v>
      </c>
      <c r="H1131" s="35">
        <f>IF(Metas_Diarias[[#This Row],[dias_da_demana]]=1,"domingo",IF(Metas_Diarias[[#This Row],[dias_da_demana]]=7,0.5,1))</f>
        <v>1</v>
      </c>
      <c r="I1131" s="35">
        <f>_xlfn.XLOOKUP(Metas_Diarias[[#This Row],[data]],Feriados[Data],Feriados[Feriado],1)</f>
        <v>1</v>
      </c>
      <c r="J1131" s="33" cm="1">
        <f t="array" aca="1" ref="J1131" ca="1">SUMPRODUCT(IF((NOT(ISERROR(MATCH(ROW(INDIRECT(DATE(YEAR(B1131),MONTH(B1131),1)&amp;":"&amp;DATE(YEAR(B1131),MONTH(B1131)+1,0))),Feriados[Data],0))))=FALSE,
IF(WEEKDAY(ROW(INDIRECT(DATE(YEAR(B1131),MONTH(B1131),1)&amp;":"&amp;DATE(YEAR(B1131),MONTH(B1131)+1,0))),2)&lt;=5,1,IF(WEEKDAY(ROW(INDIRECT(DATE(YEAR(B1131),MONTH(B1131),1)&amp;":"&amp;DATE(YEAR(B1131),MONTH(B1131)+1,0))),2)=6,0.5,0)),0))</f>
        <v>23.5</v>
      </c>
      <c r="K1131" s="22" cm="1">
        <f t="array" ref="K1131">_xlfn.XLOOKUP(1,((Metas_Diarias[[#This Row],[tipo_equipe_id]]=Metas[equipe])*(Metas_Diarias[[#This Row],[data]]&gt;Metas[data_inicio])*(Metas_Diarias[[#This Row],[data]]&lt;Metas[data_fim])),Metas[meta_mensal],0)</f>
        <v>168000</v>
      </c>
      <c r="L1131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132" spans="2:12" x14ac:dyDescent="0.3">
      <c r="B1132" s="34">
        <v>46053</v>
      </c>
      <c r="C1132" s="34" t="str">
        <f>TEXT(Metas_Diarias[[#This Row],[data]],"dddd")</f>
        <v>sábado</v>
      </c>
      <c r="D1132" s="33">
        <v>1</v>
      </c>
      <c r="E1132" s="33">
        <v>1</v>
      </c>
      <c r="F1132" s="18"/>
      <c r="G1132" s="35">
        <f>WEEKDAY(Metas_Diarias[[#This Row],[data]])</f>
        <v>7</v>
      </c>
      <c r="H1132" s="35">
        <f>IF(Metas_Diarias[[#This Row],[dias_da_demana]]=1,"domingo",IF(Metas_Diarias[[#This Row],[dias_da_demana]]=7,0.5,1))</f>
        <v>0.5</v>
      </c>
      <c r="I1132" s="35">
        <f>_xlfn.XLOOKUP(Metas_Diarias[[#This Row],[data]],Feriados[Data],Feriados[Feriado],1)</f>
        <v>1</v>
      </c>
      <c r="J1132" s="33" cm="1">
        <f t="array" aca="1" ref="J1132" ca="1">SUMPRODUCT(IF((NOT(ISERROR(MATCH(ROW(INDIRECT(DATE(YEAR(B1132),MONTH(B1132),1)&amp;":"&amp;DATE(YEAR(B1132),MONTH(B1132)+1,0))),Feriados[Data],0))))=FALSE,
IF(WEEKDAY(ROW(INDIRECT(DATE(YEAR(B1132),MONTH(B1132),1)&amp;":"&amp;DATE(YEAR(B1132),MONTH(B1132)+1,0))),2)&lt;=5,1,IF(WEEKDAY(ROW(INDIRECT(DATE(YEAR(B1132),MONTH(B1132),1)&amp;":"&amp;DATE(YEAR(B1132),MONTH(B1132)+1,0))),2)=6,0.5,0)),0))</f>
        <v>23.5</v>
      </c>
      <c r="K1132" s="22" cm="1">
        <f t="array" ref="K1132">_xlfn.XLOOKUP(1,((Metas_Diarias[[#This Row],[tipo_equipe_id]]=Metas[equipe])*(Metas_Diarias[[#This Row],[data]]&gt;Metas[data_inicio])*(Metas_Diarias[[#This Row],[data]]&lt;Metas[data_fim])),Metas[meta_mensal],0)</f>
        <v>168000</v>
      </c>
      <c r="L1132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133" spans="2:12" x14ac:dyDescent="0.3">
      <c r="B1133" s="34">
        <v>46054</v>
      </c>
      <c r="C1133" s="34" t="str">
        <f>TEXT(Metas_Diarias[[#This Row],[data]],"dddd")</f>
        <v>domingo</v>
      </c>
      <c r="D1133" s="33">
        <v>1</v>
      </c>
      <c r="E1133" s="33">
        <v>1</v>
      </c>
      <c r="F1133" s="18"/>
      <c r="G1133" s="35">
        <f>WEEKDAY(Metas_Diarias[[#This Row],[data]])</f>
        <v>1</v>
      </c>
      <c r="H1133" s="35" t="str">
        <f>IF(Metas_Diarias[[#This Row],[dias_da_demana]]=1,"domingo",IF(Metas_Diarias[[#This Row],[dias_da_demana]]=7,0.5,1))</f>
        <v>domingo</v>
      </c>
      <c r="I1133" s="35">
        <f>_xlfn.XLOOKUP(Metas_Diarias[[#This Row],[data]],Feriados[Data],Feriados[Feriado],1)</f>
        <v>1</v>
      </c>
      <c r="J1133" s="33" cm="1">
        <f t="array" aca="1" ref="J1133" ca="1">SUMPRODUCT(IF((NOT(ISERROR(MATCH(ROW(INDIRECT(DATE(YEAR(B1133),MONTH(B1133),1)&amp;":"&amp;DATE(YEAR(B1133),MONTH(B1133)+1,0))),Feriados[Data],0))))=FALSE,
IF(WEEKDAY(ROW(INDIRECT(DATE(YEAR(B1133),MONTH(B1133),1)&amp;":"&amp;DATE(YEAR(B1133),MONTH(B1133)+1,0))),2)&lt;=5,1,IF(WEEKDAY(ROW(INDIRECT(DATE(YEAR(B1133),MONTH(B1133),1)&amp;":"&amp;DATE(YEAR(B1133),MONTH(B1133)+1,0))),2)=6,0.5,0)),0))</f>
        <v>20</v>
      </c>
      <c r="K1133" s="22" cm="1">
        <f t="array" ref="K1133">_xlfn.XLOOKUP(1,((Metas_Diarias[[#This Row],[tipo_equipe_id]]=Metas[equipe])*(Metas_Diarias[[#This Row],[data]]&gt;Metas[data_inicio])*(Metas_Diarias[[#This Row],[data]]&lt;Metas[data_fim])),Metas[meta_mensal],0)</f>
        <v>168000</v>
      </c>
      <c r="L11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34" spans="2:12" x14ac:dyDescent="0.3">
      <c r="B1134" s="34">
        <v>46055</v>
      </c>
      <c r="C1134" s="34" t="str">
        <f>TEXT(Metas_Diarias[[#This Row],[data]],"dddd")</f>
        <v>segunda-feira</v>
      </c>
      <c r="D1134" s="33">
        <v>1</v>
      </c>
      <c r="E1134" s="33">
        <v>1</v>
      </c>
      <c r="F1134" s="18"/>
      <c r="G1134" s="35">
        <f>WEEKDAY(Metas_Diarias[[#This Row],[data]])</f>
        <v>2</v>
      </c>
      <c r="H1134" s="35">
        <f>IF(Metas_Diarias[[#This Row],[dias_da_demana]]=1,"domingo",IF(Metas_Diarias[[#This Row],[dias_da_demana]]=7,0.5,1))</f>
        <v>1</v>
      </c>
      <c r="I1134" s="35">
        <f>_xlfn.XLOOKUP(Metas_Diarias[[#This Row],[data]],Feriados[Data],Feriados[Feriado],1)</f>
        <v>1</v>
      </c>
      <c r="J1134" s="33" cm="1">
        <f t="array" aca="1" ref="J1134" ca="1">SUMPRODUCT(IF((NOT(ISERROR(MATCH(ROW(INDIRECT(DATE(YEAR(B1134),MONTH(B1134),1)&amp;":"&amp;DATE(YEAR(B1134),MONTH(B1134)+1,0))),Feriados[Data],0))))=FALSE,
IF(WEEKDAY(ROW(INDIRECT(DATE(YEAR(B1134),MONTH(B1134),1)&amp;":"&amp;DATE(YEAR(B1134),MONTH(B1134)+1,0))),2)&lt;=5,1,IF(WEEKDAY(ROW(INDIRECT(DATE(YEAR(B1134),MONTH(B1134),1)&amp;":"&amp;DATE(YEAR(B1134),MONTH(B1134)+1,0))),2)=6,0.5,0)),0))</f>
        <v>20</v>
      </c>
      <c r="K1134" s="22" cm="1">
        <f t="array" ref="K1134">_xlfn.XLOOKUP(1,((Metas_Diarias[[#This Row],[tipo_equipe_id]]=Metas[equipe])*(Metas_Diarias[[#This Row],[data]]&gt;Metas[data_inicio])*(Metas_Diarias[[#This Row],[data]]&lt;Metas[data_fim])),Metas[meta_mensal],0)</f>
        <v>168000</v>
      </c>
      <c r="L1134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35" spans="2:12" x14ac:dyDescent="0.3">
      <c r="B1135" s="34">
        <v>46056</v>
      </c>
      <c r="C1135" s="34" t="str">
        <f>TEXT(Metas_Diarias[[#This Row],[data]],"dddd")</f>
        <v>terça-feira</v>
      </c>
      <c r="D1135" s="33">
        <v>1</v>
      </c>
      <c r="E1135" s="33">
        <v>1</v>
      </c>
      <c r="F1135" s="18"/>
      <c r="G1135" s="35">
        <f>WEEKDAY(Metas_Diarias[[#This Row],[data]])</f>
        <v>3</v>
      </c>
      <c r="H1135" s="35">
        <f>IF(Metas_Diarias[[#This Row],[dias_da_demana]]=1,"domingo",IF(Metas_Diarias[[#This Row],[dias_da_demana]]=7,0.5,1))</f>
        <v>1</v>
      </c>
      <c r="I1135" s="35">
        <f>_xlfn.XLOOKUP(Metas_Diarias[[#This Row],[data]],Feriados[Data],Feriados[Feriado],1)</f>
        <v>1</v>
      </c>
      <c r="J1135" s="33" cm="1">
        <f t="array" aca="1" ref="J1135" ca="1">SUMPRODUCT(IF((NOT(ISERROR(MATCH(ROW(INDIRECT(DATE(YEAR(B1135),MONTH(B1135),1)&amp;":"&amp;DATE(YEAR(B1135),MONTH(B1135)+1,0))),Feriados[Data],0))))=FALSE,
IF(WEEKDAY(ROW(INDIRECT(DATE(YEAR(B1135),MONTH(B1135),1)&amp;":"&amp;DATE(YEAR(B1135),MONTH(B1135)+1,0))),2)&lt;=5,1,IF(WEEKDAY(ROW(INDIRECT(DATE(YEAR(B1135),MONTH(B1135),1)&amp;":"&amp;DATE(YEAR(B1135),MONTH(B1135)+1,0))),2)=6,0.5,0)),0))</f>
        <v>20</v>
      </c>
      <c r="K1135" s="22" cm="1">
        <f t="array" ref="K1135">_xlfn.XLOOKUP(1,((Metas_Diarias[[#This Row],[tipo_equipe_id]]=Metas[equipe])*(Metas_Diarias[[#This Row],[data]]&gt;Metas[data_inicio])*(Metas_Diarias[[#This Row],[data]]&lt;Metas[data_fim])),Metas[meta_mensal],0)</f>
        <v>168000</v>
      </c>
      <c r="L1135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36" spans="2:12" x14ac:dyDescent="0.3">
      <c r="B1136" s="34">
        <v>46057</v>
      </c>
      <c r="C1136" s="34" t="str">
        <f>TEXT(Metas_Diarias[[#This Row],[data]],"dddd")</f>
        <v>quarta-feira</v>
      </c>
      <c r="D1136" s="33">
        <v>1</v>
      </c>
      <c r="E1136" s="33">
        <v>1</v>
      </c>
      <c r="F1136" s="18"/>
      <c r="G1136" s="35">
        <f>WEEKDAY(Metas_Diarias[[#This Row],[data]])</f>
        <v>4</v>
      </c>
      <c r="H1136" s="35">
        <f>IF(Metas_Diarias[[#This Row],[dias_da_demana]]=1,"domingo",IF(Metas_Diarias[[#This Row],[dias_da_demana]]=7,0.5,1))</f>
        <v>1</v>
      </c>
      <c r="I1136" s="35">
        <f>_xlfn.XLOOKUP(Metas_Diarias[[#This Row],[data]],Feriados[Data],Feriados[Feriado],1)</f>
        <v>1</v>
      </c>
      <c r="J1136" s="33" cm="1">
        <f t="array" aca="1" ref="J1136" ca="1">SUMPRODUCT(IF((NOT(ISERROR(MATCH(ROW(INDIRECT(DATE(YEAR(B1136),MONTH(B1136),1)&amp;":"&amp;DATE(YEAR(B1136),MONTH(B1136)+1,0))),Feriados[Data],0))))=FALSE,
IF(WEEKDAY(ROW(INDIRECT(DATE(YEAR(B1136),MONTH(B1136),1)&amp;":"&amp;DATE(YEAR(B1136),MONTH(B1136)+1,0))),2)&lt;=5,1,IF(WEEKDAY(ROW(INDIRECT(DATE(YEAR(B1136),MONTH(B1136),1)&amp;":"&amp;DATE(YEAR(B1136),MONTH(B1136)+1,0))),2)=6,0.5,0)),0))</f>
        <v>20</v>
      </c>
      <c r="K1136" s="22" cm="1">
        <f t="array" ref="K1136">_xlfn.XLOOKUP(1,((Metas_Diarias[[#This Row],[tipo_equipe_id]]=Metas[equipe])*(Metas_Diarias[[#This Row],[data]]&gt;Metas[data_inicio])*(Metas_Diarias[[#This Row],[data]]&lt;Metas[data_fim])),Metas[meta_mensal],0)</f>
        <v>168000</v>
      </c>
      <c r="L1136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37" spans="2:12" x14ac:dyDescent="0.3">
      <c r="B1137" s="34">
        <v>46058</v>
      </c>
      <c r="C1137" s="34" t="str">
        <f>TEXT(Metas_Diarias[[#This Row],[data]],"dddd")</f>
        <v>quinta-feira</v>
      </c>
      <c r="D1137" s="33">
        <v>1</v>
      </c>
      <c r="E1137" s="33">
        <v>1</v>
      </c>
      <c r="F1137" s="18"/>
      <c r="G1137" s="35">
        <f>WEEKDAY(Metas_Diarias[[#This Row],[data]])</f>
        <v>5</v>
      </c>
      <c r="H1137" s="35">
        <f>IF(Metas_Diarias[[#This Row],[dias_da_demana]]=1,"domingo",IF(Metas_Diarias[[#This Row],[dias_da_demana]]=7,0.5,1))</f>
        <v>1</v>
      </c>
      <c r="I1137" s="35">
        <f>_xlfn.XLOOKUP(Metas_Diarias[[#This Row],[data]],Feriados[Data],Feriados[Feriado],1)</f>
        <v>1</v>
      </c>
      <c r="J1137" s="33" cm="1">
        <f t="array" aca="1" ref="J1137" ca="1">SUMPRODUCT(IF((NOT(ISERROR(MATCH(ROW(INDIRECT(DATE(YEAR(B1137),MONTH(B1137),1)&amp;":"&amp;DATE(YEAR(B1137),MONTH(B1137)+1,0))),Feriados[Data],0))))=FALSE,
IF(WEEKDAY(ROW(INDIRECT(DATE(YEAR(B1137),MONTH(B1137),1)&amp;":"&amp;DATE(YEAR(B1137),MONTH(B1137)+1,0))),2)&lt;=5,1,IF(WEEKDAY(ROW(INDIRECT(DATE(YEAR(B1137),MONTH(B1137),1)&amp;":"&amp;DATE(YEAR(B1137),MONTH(B1137)+1,0))),2)=6,0.5,0)),0))</f>
        <v>20</v>
      </c>
      <c r="K1137" s="22" cm="1">
        <f t="array" ref="K1137">_xlfn.XLOOKUP(1,((Metas_Diarias[[#This Row],[tipo_equipe_id]]=Metas[equipe])*(Metas_Diarias[[#This Row],[data]]&gt;Metas[data_inicio])*(Metas_Diarias[[#This Row],[data]]&lt;Metas[data_fim])),Metas[meta_mensal],0)</f>
        <v>168000</v>
      </c>
      <c r="L1137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38" spans="2:12" x14ac:dyDescent="0.3">
      <c r="B1138" s="34">
        <v>46059</v>
      </c>
      <c r="C1138" s="34" t="str">
        <f>TEXT(Metas_Diarias[[#This Row],[data]],"dddd")</f>
        <v>sexta-feira</v>
      </c>
      <c r="D1138" s="33">
        <v>1</v>
      </c>
      <c r="E1138" s="33">
        <v>1</v>
      </c>
      <c r="F1138" s="18"/>
      <c r="G1138" s="35">
        <f>WEEKDAY(Metas_Diarias[[#This Row],[data]])</f>
        <v>6</v>
      </c>
      <c r="H1138" s="35">
        <f>IF(Metas_Diarias[[#This Row],[dias_da_demana]]=1,"domingo",IF(Metas_Diarias[[#This Row],[dias_da_demana]]=7,0.5,1))</f>
        <v>1</v>
      </c>
      <c r="I1138" s="35">
        <f>_xlfn.XLOOKUP(Metas_Diarias[[#This Row],[data]],Feriados[Data],Feriados[Feriado],1)</f>
        <v>1</v>
      </c>
      <c r="J1138" s="33" cm="1">
        <f t="array" aca="1" ref="J1138" ca="1">SUMPRODUCT(IF((NOT(ISERROR(MATCH(ROW(INDIRECT(DATE(YEAR(B1138),MONTH(B1138),1)&amp;":"&amp;DATE(YEAR(B1138),MONTH(B1138)+1,0))),Feriados[Data],0))))=FALSE,
IF(WEEKDAY(ROW(INDIRECT(DATE(YEAR(B1138),MONTH(B1138),1)&amp;":"&amp;DATE(YEAR(B1138),MONTH(B1138)+1,0))),2)&lt;=5,1,IF(WEEKDAY(ROW(INDIRECT(DATE(YEAR(B1138),MONTH(B1138),1)&amp;":"&amp;DATE(YEAR(B1138),MONTH(B1138)+1,0))),2)=6,0.5,0)),0))</f>
        <v>20</v>
      </c>
      <c r="K1138" s="22" cm="1">
        <f t="array" ref="K1138">_xlfn.XLOOKUP(1,((Metas_Diarias[[#This Row],[tipo_equipe_id]]=Metas[equipe])*(Metas_Diarias[[#This Row],[data]]&gt;Metas[data_inicio])*(Metas_Diarias[[#This Row],[data]]&lt;Metas[data_fim])),Metas[meta_mensal],0)</f>
        <v>168000</v>
      </c>
      <c r="L1138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39" spans="2:12" x14ac:dyDescent="0.3">
      <c r="B1139" s="34">
        <v>46060</v>
      </c>
      <c r="C1139" s="34" t="str">
        <f>TEXT(Metas_Diarias[[#This Row],[data]],"dddd")</f>
        <v>sábado</v>
      </c>
      <c r="D1139" s="33">
        <v>1</v>
      </c>
      <c r="E1139" s="33">
        <v>1</v>
      </c>
      <c r="F1139" s="18"/>
      <c r="G1139" s="35">
        <f>WEEKDAY(Metas_Diarias[[#This Row],[data]])</f>
        <v>7</v>
      </c>
      <c r="H1139" s="35">
        <f>IF(Metas_Diarias[[#This Row],[dias_da_demana]]=1,"domingo",IF(Metas_Diarias[[#This Row],[dias_da_demana]]=7,0.5,1))</f>
        <v>0.5</v>
      </c>
      <c r="I1139" s="35">
        <f>_xlfn.XLOOKUP(Metas_Diarias[[#This Row],[data]],Feriados[Data],Feriados[Feriado],1)</f>
        <v>1</v>
      </c>
      <c r="J1139" s="33" cm="1">
        <f t="array" aca="1" ref="J1139" ca="1">SUMPRODUCT(IF((NOT(ISERROR(MATCH(ROW(INDIRECT(DATE(YEAR(B1139),MONTH(B1139),1)&amp;":"&amp;DATE(YEAR(B1139),MONTH(B1139)+1,0))),Feriados[Data],0))))=FALSE,
IF(WEEKDAY(ROW(INDIRECT(DATE(YEAR(B1139),MONTH(B1139),1)&amp;":"&amp;DATE(YEAR(B1139),MONTH(B1139)+1,0))),2)&lt;=5,1,IF(WEEKDAY(ROW(INDIRECT(DATE(YEAR(B1139),MONTH(B1139),1)&amp;":"&amp;DATE(YEAR(B1139),MONTH(B1139)+1,0))),2)=6,0.5,0)),0))</f>
        <v>20</v>
      </c>
      <c r="K1139" s="22" cm="1">
        <f t="array" ref="K1139">_xlfn.XLOOKUP(1,((Metas_Diarias[[#This Row],[tipo_equipe_id]]=Metas[equipe])*(Metas_Diarias[[#This Row],[data]]&gt;Metas[data_inicio])*(Metas_Diarias[[#This Row],[data]]&lt;Metas[data_fim])),Metas[meta_mensal],0)</f>
        <v>168000</v>
      </c>
      <c r="L1139" s="24">
        <f ca="1">Metas_Diarias[[#This Row],[meta_mensal]]*IF(Metas_Diarias[[#This Row],[semana]]="domingo",0,Metas_Diarias[[#This Row],[semana]])*IF(Metas_Diarias[[#This Row],[feriado]]&lt;&gt;1,0,1)/Metas_Diarias[[#This Row],[dias_úteis_Mês]]</f>
        <v>4200</v>
      </c>
    </row>
    <row r="1140" spans="2:12" x14ac:dyDescent="0.3">
      <c r="B1140" s="34">
        <v>46061</v>
      </c>
      <c r="C1140" s="34" t="str">
        <f>TEXT(Metas_Diarias[[#This Row],[data]],"dddd")</f>
        <v>domingo</v>
      </c>
      <c r="D1140" s="33">
        <v>1</v>
      </c>
      <c r="E1140" s="33">
        <v>1</v>
      </c>
      <c r="F1140" s="18"/>
      <c r="G1140" s="35">
        <f>WEEKDAY(Metas_Diarias[[#This Row],[data]])</f>
        <v>1</v>
      </c>
      <c r="H1140" s="35" t="str">
        <f>IF(Metas_Diarias[[#This Row],[dias_da_demana]]=1,"domingo",IF(Metas_Diarias[[#This Row],[dias_da_demana]]=7,0.5,1))</f>
        <v>domingo</v>
      </c>
      <c r="I1140" s="35">
        <f>_xlfn.XLOOKUP(Metas_Diarias[[#This Row],[data]],Feriados[Data],Feriados[Feriado],1)</f>
        <v>1</v>
      </c>
      <c r="J1140" s="33" cm="1">
        <f t="array" aca="1" ref="J1140" ca="1">SUMPRODUCT(IF((NOT(ISERROR(MATCH(ROW(INDIRECT(DATE(YEAR(B1140),MONTH(B1140),1)&amp;":"&amp;DATE(YEAR(B1140),MONTH(B1140)+1,0))),Feriados[Data],0))))=FALSE,
IF(WEEKDAY(ROW(INDIRECT(DATE(YEAR(B1140),MONTH(B1140),1)&amp;":"&amp;DATE(YEAR(B1140),MONTH(B1140)+1,0))),2)&lt;=5,1,IF(WEEKDAY(ROW(INDIRECT(DATE(YEAR(B1140),MONTH(B1140),1)&amp;":"&amp;DATE(YEAR(B1140),MONTH(B1140)+1,0))),2)=6,0.5,0)),0))</f>
        <v>20</v>
      </c>
      <c r="K1140" s="22" cm="1">
        <f t="array" ref="K1140">_xlfn.XLOOKUP(1,((Metas_Diarias[[#This Row],[tipo_equipe_id]]=Metas[equipe])*(Metas_Diarias[[#This Row],[data]]&gt;Metas[data_inicio])*(Metas_Diarias[[#This Row],[data]]&lt;Metas[data_fim])),Metas[meta_mensal],0)</f>
        <v>168000</v>
      </c>
      <c r="L114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41" spans="2:12" x14ac:dyDescent="0.3">
      <c r="B1141" s="34">
        <v>46062</v>
      </c>
      <c r="C1141" s="34" t="str">
        <f>TEXT(Metas_Diarias[[#This Row],[data]],"dddd")</f>
        <v>segunda-feira</v>
      </c>
      <c r="D1141" s="33">
        <v>1</v>
      </c>
      <c r="E1141" s="33">
        <v>1</v>
      </c>
      <c r="F1141" s="18"/>
      <c r="G1141" s="35">
        <f>WEEKDAY(Metas_Diarias[[#This Row],[data]])</f>
        <v>2</v>
      </c>
      <c r="H1141" s="35">
        <f>IF(Metas_Diarias[[#This Row],[dias_da_demana]]=1,"domingo",IF(Metas_Diarias[[#This Row],[dias_da_demana]]=7,0.5,1))</f>
        <v>1</v>
      </c>
      <c r="I1141" s="35">
        <f>_xlfn.XLOOKUP(Metas_Diarias[[#This Row],[data]],Feriados[Data],Feriados[Feriado],1)</f>
        <v>1</v>
      </c>
      <c r="J1141" s="33" cm="1">
        <f t="array" aca="1" ref="J1141" ca="1">SUMPRODUCT(IF((NOT(ISERROR(MATCH(ROW(INDIRECT(DATE(YEAR(B1141),MONTH(B1141),1)&amp;":"&amp;DATE(YEAR(B1141),MONTH(B1141)+1,0))),Feriados[Data],0))))=FALSE,
IF(WEEKDAY(ROW(INDIRECT(DATE(YEAR(B1141),MONTH(B1141),1)&amp;":"&amp;DATE(YEAR(B1141),MONTH(B1141)+1,0))),2)&lt;=5,1,IF(WEEKDAY(ROW(INDIRECT(DATE(YEAR(B1141),MONTH(B1141),1)&amp;":"&amp;DATE(YEAR(B1141),MONTH(B1141)+1,0))),2)=6,0.5,0)),0))</f>
        <v>20</v>
      </c>
      <c r="K1141" s="22" cm="1">
        <f t="array" ref="K1141">_xlfn.XLOOKUP(1,((Metas_Diarias[[#This Row],[tipo_equipe_id]]=Metas[equipe])*(Metas_Diarias[[#This Row],[data]]&gt;Metas[data_inicio])*(Metas_Diarias[[#This Row],[data]]&lt;Metas[data_fim])),Metas[meta_mensal],0)</f>
        <v>168000</v>
      </c>
      <c r="L1141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42" spans="2:12" x14ac:dyDescent="0.3">
      <c r="B1142" s="34">
        <v>46063</v>
      </c>
      <c r="C1142" s="34" t="str">
        <f>TEXT(Metas_Diarias[[#This Row],[data]],"dddd")</f>
        <v>terça-feira</v>
      </c>
      <c r="D1142" s="33">
        <v>1</v>
      </c>
      <c r="E1142" s="33">
        <v>1</v>
      </c>
      <c r="F1142" s="18"/>
      <c r="G1142" s="35">
        <f>WEEKDAY(Metas_Diarias[[#This Row],[data]])</f>
        <v>3</v>
      </c>
      <c r="H1142" s="35">
        <f>IF(Metas_Diarias[[#This Row],[dias_da_demana]]=1,"domingo",IF(Metas_Diarias[[#This Row],[dias_da_demana]]=7,0.5,1))</f>
        <v>1</v>
      </c>
      <c r="I1142" s="35">
        <f>_xlfn.XLOOKUP(Metas_Diarias[[#This Row],[data]],Feriados[Data],Feriados[Feriado],1)</f>
        <v>1</v>
      </c>
      <c r="J1142" s="33" cm="1">
        <f t="array" aca="1" ref="J1142" ca="1">SUMPRODUCT(IF((NOT(ISERROR(MATCH(ROW(INDIRECT(DATE(YEAR(B1142),MONTH(B1142),1)&amp;":"&amp;DATE(YEAR(B1142),MONTH(B1142)+1,0))),Feriados[Data],0))))=FALSE,
IF(WEEKDAY(ROW(INDIRECT(DATE(YEAR(B1142),MONTH(B1142),1)&amp;":"&amp;DATE(YEAR(B1142),MONTH(B1142)+1,0))),2)&lt;=5,1,IF(WEEKDAY(ROW(INDIRECT(DATE(YEAR(B1142),MONTH(B1142),1)&amp;":"&amp;DATE(YEAR(B1142),MONTH(B1142)+1,0))),2)=6,0.5,0)),0))</f>
        <v>20</v>
      </c>
      <c r="K1142" s="22" cm="1">
        <f t="array" ref="K1142">_xlfn.XLOOKUP(1,((Metas_Diarias[[#This Row],[tipo_equipe_id]]=Metas[equipe])*(Metas_Diarias[[#This Row],[data]]&gt;Metas[data_inicio])*(Metas_Diarias[[#This Row],[data]]&lt;Metas[data_fim])),Metas[meta_mensal],0)</f>
        <v>168000</v>
      </c>
      <c r="L1142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43" spans="2:12" x14ac:dyDescent="0.3">
      <c r="B1143" s="34">
        <v>46064</v>
      </c>
      <c r="C1143" s="34" t="str">
        <f>TEXT(Metas_Diarias[[#This Row],[data]],"dddd")</f>
        <v>quarta-feira</v>
      </c>
      <c r="D1143" s="33">
        <v>1</v>
      </c>
      <c r="E1143" s="33">
        <v>1</v>
      </c>
      <c r="F1143" s="18"/>
      <c r="G1143" s="35">
        <f>WEEKDAY(Metas_Diarias[[#This Row],[data]])</f>
        <v>4</v>
      </c>
      <c r="H1143" s="35">
        <f>IF(Metas_Diarias[[#This Row],[dias_da_demana]]=1,"domingo",IF(Metas_Diarias[[#This Row],[dias_da_demana]]=7,0.5,1))</f>
        <v>1</v>
      </c>
      <c r="I1143" s="35">
        <f>_xlfn.XLOOKUP(Metas_Diarias[[#This Row],[data]],Feriados[Data],Feriados[Feriado],1)</f>
        <v>1</v>
      </c>
      <c r="J1143" s="33" cm="1">
        <f t="array" aca="1" ref="J1143" ca="1">SUMPRODUCT(IF((NOT(ISERROR(MATCH(ROW(INDIRECT(DATE(YEAR(B1143),MONTH(B1143),1)&amp;":"&amp;DATE(YEAR(B1143),MONTH(B1143)+1,0))),Feriados[Data],0))))=FALSE,
IF(WEEKDAY(ROW(INDIRECT(DATE(YEAR(B1143),MONTH(B1143),1)&amp;":"&amp;DATE(YEAR(B1143),MONTH(B1143)+1,0))),2)&lt;=5,1,IF(WEEKDAY(ROW(INDIRECT(DATE(YEAR(B1143),MONTH(B1143),1)&amp;":"&amp;DATE(YEAR(B1143),MONTH(B1143)+1,0))),2)=6,0.5,0)),0))</f>
        <v>20</v>
      </c>
      <c r="K1143" s="22" cm="1">
        <f t="array" ref="K1143">_xlfn.XLOOKUP(1,((Metas_Diarias[[#This Row],[tipo_equipe_id]]=Metas[equipe])*(Metas_Diarias[[#This Row],[data]]&gt;Metas[data_inicio])*(Metas_Diarias[[#This Row],[data]]&lt;Metas[data_fim])),Metas[meta_mensal],0)</f>
        <v>168000</v>
      </c>
      <c r="L1143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44" spans="2:12" x14ac:dyDescent="0.3">
      <c r="B1144" s="34">
        <v>46065</v>
      </c>
      <c r="C1144" s="34" t="str">
        <f>TEXT(Metas_Diarias[[#This Row],[data]],"dddd")</f>
        <v>quinta-feira</v>
      </c>
      <c r="D1144" s="33">
        <v>1</v>
      </c>
      <c r="E1144" s="33">
        <v>1</v>
      </c>
      <c r="F1144" s="18"/>
      <c r="G1144" s="35">
        <f>WEEKDAY(Metas_Diarias[[#This Row],[data]])</f>
        <v>5</v>
      </c>
      <c r="H1144" s="35">
        <f>IF(Metas_Diarias[[#This Row],[dias_da_demana]]=1,"domingo",IF(Metas_Diarias[[#This Row],[dias_da_demana]]=7,0.5,1))</f>
        <v>1</v>
      </c>
      <c r="I1144" s="35">
        <f>_xlfn.XLOOKUP(Metas_Diarias[[#This Row],[data]],Feriados[Data],Feriados[Feriado],1)</f>
        <v>1</v>
      </c>
      <c r="J1144" s="33" cm="1">
        <f t="array" aca="1" ref="J1144" ca="1">SUMPRODUCT(IF((NOT(ISERROR(MATCH(ROW(INDIRECT(DATE(YEAR(B1144),MONTH(B1144),1)&amp;":"&amp;DATE(YEAR(B1144),MONTH(B1144)+1,0))),Feriados[Data],0))))=FALSE,
IF(WEEKDAY(ROW(INDIRECT(DATE(YEAR(B1144),MONTH(B1144),1)&amp;":"&amp;DATE(YEAR(B1144),MONTH(B1144)+1,0))),2)&lt;=5,1,IF(WEEKDAY(ROW(INDIRECT(DATE(YEAR(B1144),MONTH(B1144),1)&amp;":"&amp;DATE(YEAR(B1144),MONTH(B1144)+1,0))),2)=6,0.5,0)),0))</f>
        <v>20</v>
      </c>
      <c r="K1144" s="22" cm="1">
        <f t="array" ref="K1144">_xlfn.XLOOKUP(1,((Metas_Diarias[[#This Row],[tipo_equipe_id]]=Metas[equipe])*(Metas_Diarias[[#This Row],[data]]&gt;Metas[data_inicio])*(Metas_Diarias[[#This Row],[data]]&lt;Metas[data_fim])),Metas[meta_mensal],0)</f>
        <v>168000</v>
      </c>
      <c r="L1144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45" spans="2:12" x14ac:dyDescent="0.3">
      <c r="B1145" s="34">
        <v>46066</v>
      </c>
      <c r="C1145" s="34" t="str">
        <f>TEXT(Metas_Diarias[[#This Row],[data]],"dddd")</f>
        <v>sexta-feira</v>
      </c>
      <c r="D1145" s="33">
        <v>1</v>
      </c>
      <c r="E1145" s="33">
        <v>1</v>
      </c>
      <c r="F1145" s="18"/>
      <c r="G1145" s="35">
        <f>WEEKDAY(Metas_Diarias[[#This Row],[data]])</f>
        <v>6</v>
      </c>
      <c r="H1145" s="35">
        <f>IF(Metas_Diarias[[#This Row],[dias_da_demana]]=1,"domingo",IF(Metas_Diarias[[#This Row],[dias_da_demana]]=7,0.5,1))</f>
        <v>1</v>
      </c>
      <c r="I1145" s="35">
        <f>_xlfn.XLOOKUP(Metas_Diarias[[#This Row],[data]],Feriados[Data],Feriados[Feriado],1)</f>
        <v>1</v>
      </c>
      <c r="J1145" s="33" cm="1">
        <f t="array" aca="1" ref="J1145" ca="1">SUMPRODUCT(IF((NOT(ISERROR(MATCH(ROW(INDIRECT(DATE(YEAR(B1145),MONTH(B1145),1)&amp;":"&amp;DATE(YEAR(B1145),MONTH(B1145)+1,0))),Feriados[Data],0))))=FALSE,
IF(WEEKDAY(ROW(INDIRECT(DATE(YEAR(B1145),MONTH(B1145),1)&amp;":"&amp;DATE(YEAR(B1145),MONTH(B1145)+1,0))),2)&lt;=5,1,IF(WEEKDAY(ROW(INDIRECT(DATE(YEAR(B1145),MONTH(B1145),1)&amp;":"&amp;DATE(YEAR(B1145),MONTH(B1145)+1,0))),2)=6,0.5,0)),0))</f>
        <v>20</v>
      </c>
      <c r="K1145" s="22" cm="1">
        <f t="array" ref="K1145">_xlfn.XLOOKUP(1,((Metas_Diarias[[#This Row],[tipo_equipe_id]]=Metas[equipe])*(Metas_Diarias[[#This Row],[data]]&gt;Metas[data_inicio])*(Metas_Diarias[[#This Row],[data]]&lt;Metas[data_fim])),Metas[meta_mensal],0)</f>
        <v>168000</v>
      </c>
      <c r="L1145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46" spans="2:12" x14ac:dyDescent="0.3">
      <c r="B1146" s="34">
        <v>46067</v>
      </c>
      <c r="C1146" s="34" t="str">
        <f>TEXT(Metas_Diarias[[#This Row],[data]],"dddd")</f>
        <v>sábado</v>
      </c>
      <c r="D1146" s="33">
        <v>1</v>
      </c>
      <c r="E1146" s="33">
        <v>1</v>
      </c>
      <c r="F1146" s="18"/>
      <c r="G1146" s="35">
        <f>WEEKDAY(Metas_Diarias[[#This Row],[data]])</f>
        <v>7</v>
      </c>
      <c r="H1146" s="35">
        <f>IF(Metas_Diarias[[#This Row],[dias_da_demana]]=1,"domingo",IF(Metas_Diarias[[#This Row],[dias_da_demana]]=7,0.5,1))</f>
        <v>0.5</v>
      </c>
      <c r="I1146" s="35">
        <f>_xlfn.XLOOKUP(Metas_Diarias[[#This Row],[data]],Feriados[Data],Feriados[Feriado],1)</f>
        <v>1</v>
      </c>
      <c r="J1146" s="33" cm="1">
        <f t="array" aca="1" ref="J1146" ca="1">SUMPRODUCT(IF((NOT(ISERROR(MATCH(ROW(INDIRECT(DATE(YEAR(B1146),MONTH(B1146),1)&amp;":"&amp;DATE(YEAR(B1146),MONTH(B1146)+1,0))),Feriados[Data],0))))=FALSE,
IF(WEEKDAY(ROW(INDIRECT(DATE(YEAR(B1146),MONTH(B1146),1)&amp;":"&amp;DATE(YEAR(B1146),MONTH(B1146)+1,0))),2)&lt;=5,1,IF(WEEKDAY(ROW(INDIRECT(DATE(YEAR(B1146),MONTH(B1146),1)&amp;":"&amp;DATE(YEAR(B1146),MONTH(B1146)+1,0))),2)=6,0.5,0)),0))</f>
        <v>20</v>
      </c>
      <c r="K1146" s="22" cm="1">
        <f t="array" ref="K1146">_xlfn.XLOOKUP(1,((Metas_Diarias[[#This Row],[tipo_equipe_id]]=Metas[equipe])*(Metas_Diarias[[#This Row],[data]]&gt;Metas[data_inicio])*(Metas_Diarias[[#This Row],[data]]&lt;Metas[data_fim])),Metas[meta_mensal],0)</f>
        <v>168000</v>
      </c>
      <c r="L1146" s="24">
        <f ca="1">Metas_Diarias[[#This Row],[meta_mensal]]*IF(Metas_Diarias[[#This Row],[semana]]="domingo",0,Metas_Diarias[[#This Row],[semana]])*IF(Metas_Diarias[[#This Row],[feriado]]&lt;&gt;1,0,1)/Metas_Diarias[[#This Row],[dias_úteis_Mês]]</f>
        <v>4200</v>
      </c>
    </row>
    <row r="1147" spans="2:12" x14ac:dyDescent="0.3">
      <c r="B1147" s="34">
        <v>46068</v>
      </c>
      <c r="C1147" s="34" t="str">
        <f>TEXT(Metas_Diarias[[#This Row],[data]],"dddd")</f>
        <v>domingo</v>
      </c>
      <c r="D1147" s="33">
        <v>1</v>
      </c>
      <c r="E1147" s="33">
        <v>1</v>
      </c>
      <c r="F1147" s="18"/>
      <c r="G1147" s="35">
        <f>WEEKDAY(Metas_Diarias[[#This Row],[data]])</f>
        <v>1</v>
      </c>
      <c r="H1147" s="35" t="str">
        <f>IF(Metas_Diarias[[#This Row],[dias_da_demana]]=1,"domingo",IF(Metas_Diarias[[#This Row],[dias_da_demana]]=7,0.5,1))</f>
        <v>domingo</v>
      </c>
      <c r="I1147" s="35">
        <f>_xlfn.XLOOKUP(Metas_Diarias[[#This Row],[data]],Feriados[Data],Feriados[Feriado],1)</f>
        <v>1</v>
      </c>
      <c r="J1147" s="33" cm="1">
        <f t="array" aca="1" ref="J1147" ca="1">SUMPRODUCT(IF((NOT(ISERROR(MATCH(ROW(INDIRECT(DATE(YEAR(B1147),MONTH(B1147),1)&amp;":"&amp;DATE(YEAR(B1147),MONTH(B1147)+1,0))),Feriados[Data],0))))=FALSE,
IF(WEEKDAY(ROW(INDIRECT(DATE(YEAR(B1147),MONTH(B1147),1)&amp;":"&amp;DATE(YEAR(B1147),MONTH(B1147)+1,0))),2)&lt;=5,1,IF(WEEKDAY(ROW(INDIRECT(DATE(YEAR(B1147),MONTH(B1147),1)&amp;":"&amp;DATE(YEAR(B1147),MONTH(B1147)+1,0))),2)=6,0.5,0)),0))</f>
        <v>20</v>
      </c>
      <c r="K1147" s="22" cm="1">
        <f t="array" ref="K1147">_xlfn.XLOOKUP(1,((Metas_Diarias[[#This Row],[tipo_equipe_id]]=Metas[equipe])*(Metas_Diarias[[#This Row],[data]]&gt;Metas[data_inicio])*(Metas_Diarias[[#This Row],[data]]&lt;Metas[data_fim])),Metas[meta_mensal],0)</f>
        <v>168000</v>
      </c>
      <c r="L114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48" spans="2:12" x14ac:dyDescent="0.3">
      <c r="B1148" s="34">
        <v>46069</v>
      </c>
      <c r="C1148" s="34" t="str">
        <f>TEXT(Metas_Diarias[[#This Row],[data]],"dddd")</f>
        <v>segunda-feira</v>
      </c>
      <c r="D1148" s="33">
        <v>1</v>
      </c>
      <c r="E1148" s="33">
        <v>1</v>
      </c>
      <c r="F1148" s="18"/>
      <c r="G1148" s="35">
        <f>WEEKDAY(Metas_Diarias[[#This Row],[data]])</f>
        <v>2</v>
      </c>
      <c r="H1148" s="35">
        <f>IF(Metas_Diarias[[#This Row],[dias_da_demana]]=1,"domingo",IF(Metas_Diarias[[#This Row],[dias_da_demana]]=7,0.5,1))</f>
        <v>1</v>
      </c>
      <c r="I1148" s="35" t="str">
        <f>_xlfn.XLOOKUP(Metas_Diarias[[#This Row],[data]],Feriados[Data],Feriados[Feriado],1)</f>
        <v>Carnaval</v>
      </c>
      <c r="J1148" s="33" cm="1">
        <f t="array" aca="1" ref="J1148" ca="1">SUMPRODUCT(IF((NOT(ISERROR(MATCH(ROW(INDIRECT(DATE(YEAR(B1148),MONTH(B1148),1)&amp;":"&amp;DATE(YEAR(B1148),MONTH(B1148)+1,0))),Feriados[Data],0))))=FALSE,
IF(WEEKDAY(ROW(INDIRECT(DATE(YEAR(B1148),MONTH(B1148),1)&amp;":"&amp;DATE(YEAR(B1148),MONTH(B1148)+1,0))),2)&lt;=5,1,IF(WEEKDAY(ROW(INDIRECT(DATE(YEAR(B1148),MONTH(B1148),1)&amp;":"&amp;DATE(YEAR(B1148),MONTH(B1148)+1,0))),2)=6,0.5,0)),0))</f>
        <v>20</v>
      </c>
      <c r="K1148" s="22" cm="1">
        <f t="array" ref="K1148">_xlfn.XLOOKUP(1,((Metas_Diarias[[#This Row],[tipo_equipe_id]]=Metas[equipe])*(Metas_Diarias[[#This Row],[data]]&gt;Metas[data_inicio])*(Metas_Diarias[[#This Row],[data]]&lt;Metas[data_fim])),Metas[meta_mensal],0)</f>
        <v>168000</v>
      </c>
      <c r="L114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49" spans="2:12" x14ac:dyDescent="0.3">
      <c r="B1149" s="34">
        <v>46070</v>
      </c>
      <c r="C1149" s="34" t="str">
        <f>TEXT(Metas_Diarias[[#This Row],[data]],"dddd")</f>
        <v>terça-feira</v>
      </c>
      <c r="D1149" s="33">
        <v>1</v>
      </c>
      <c r="E1149" s="33">
        <v>1</v>
      </c>
      <c r="F1149" s="18"/>
      <c r="G1149" s="35">
        <f>WEEKDAY(Metas_Diarias[[#This Row],[data]])</f>
        <v>3</v>
      </c>
      <c r="H1149" s="35">
        <f>IF(Metas_Diarias[[#This Row],[dias_da_demana]]=1,"domingo",IF(Metas_Diarias[[#This Row],[dias_da_demana]]=7,0.5,1))</f>
        <v>1</v>
      </c>
      <c r="I1149" s="35" t="str">
        <f>_xlfn.XLOOKUP(Metas_Diarias[[#This Row],[data]],Feriados[Data],Feriados[Feriado],1)</f>
        <v>Carnaval</v>
      </c>
      <c r="J1149" s="33" cm="1">
        <f t="array" aca="1" ref="J1149" ca="1">SUMPRODUCT(IF((NOT(ISERROR(MATCH(ROW(INDIRECT(DATE(YEAR(B1149),MONTH(B1149),1)&amp;":"&amp;DATE(YEAR(B1149),MONTH(B1149)+1,0))),Feriados[Data],0))))=FALSE,
IF(WEEKDAY(ROW(INDIRECT(DATE(YEAR(B1149),MONTH(B1149),1)&amp;":"&amp;DATE(YEAR(B1149),MONTH(B1149)+1,0))),2)&lt;=5,1,IF(WEEKDAY(ROW(INDIRECT(DATE(YEAR(B1149),MONTH(B1149),1)&amp;":"&amp;DATE(YEAR(B1149),MONTH(B1149)+1,0))),2)=6,0.5,0)),0))</f>
        <v>20</v>
      </c>
      <c r="K1149" s="22" cm="1">
        <f t="array" ref="K1149">_xlfn.XLOOKUP(1,((Metas_Diarias[[#This Row],[tipo_equipe_id]]=Metas[equipe])*(Metas_Diarias[[#This Row],[data]]&gt;Metas[data_inicio])*(Metas_Diarias[[#This Row],[data]]&lt;Metas[data_fim])),Metas[meta_mensal],0)</f>
        <v>168000</v>
      </c>
      <c r="L114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50" spans="2:12" x14ac:dyDescent="0.3">
      <c r="B1150" s="34">
        <v>46071</v>
      </c>
      <c r="C1150" s="34" t="str">
        <f>TEXT(Metas_Diarias[[#This Row],[data]],"dddd")</f>
        <v>quarta-feira</v>
      </c>
      <c r="D1150" s="33">
        <v>1</v>
      </c>
      <c r="E1150" s="33">
        <v>1</v>
      </c>
      <c r="F1150" s="18"/>
      <c r="G1150" s="35">
        <f>WEEKDAY(Metas_Diarias[[#This Row],[data]])</f>
        <v>4</v>
      </c>
      <c r="H1150" s="35">
        <f>IF(Metas_Diarias[[#This Row],[dias_da_demana]]=1,"domingo",IF(Metas_Diarias[[#This Row],[dias_da_demana]]=7,0.5,1))</f>
        <v>1</v>
      </c>
      <c r="I1150" s="35">
        <f>_xlfn.XLOOKUP(Metas_Diarias[[#This Row],[data]],Feriados[Data],Feriados[Feriado],1)</f>
        <v>1</v>
      </c>
      <c r="J1150" s="33" cm="1">
        <f t="array" aca="1" ref="J1150" ca="1">SUMPRODUCT(IF((NOT(ISERROR(MATCH(ROW(INDIRECT(DATE(YEAR(B1150),MONTH(B1150),1)&amp;":"&amp;DATE(YEAR(B1150),MONTH(B1150)+1,0))),Feriados[Data],0))))=FALSE,
IF(WEEKDAY(ROW(INDIRECT(DATE(YEAR(B1150),MONTH(B1150),1)&amp;":"&amp;DATE(YEAR(B1150),MONTH(B1150)+1,0))),2)&lt;=5,1,IF(WEEKDAY(ROW(INDIRECT(DATE(YEAR(B1150),MONTH(B1150),1)&amp;":"&amp;DATE(YEAR(B1150),MONTH(B1150)+1,0))),2)=6,0.5,0)),0))</f>
        <v>20</v>
      </c>
      <c r="K1150" s="22" cm="1">
        <f t="array" ref="K1150">_xlfn.XLOOKUP(1,((Metas_Diarias[[#This Row],[tipo_equipe_id]]=Metas[equipe])*(Metas_Diarias[[#This Row],[data]]&gt;Metas[data_inicio])*(Metas_Diarias[[#This Row],[data]]&lt;Metas[data_fim])),Metas[meta_mensal],0)</f>
        <v>168000</v>
      </c>
      <c r="L1150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51" spans="2:12" x14ac:dyDescent="0.3">
      <c r="B1151" s="34">
        <v>46072</v>
      </c>
      <c r="C1151" s="34" t="str">
        <f>TEXT(Metas_Diarias[[#This Row],[data]],"dddd")</f>
        <v>quinta-feira</v>
      </c>
      <c r="D1151" s="33">
        <v>1</v>
      </c>
      <c r="E1151" s="33">
        <v>1</v>
      </c>
      <c r="F1151" s="18"/>
      <c r="G1151" s="35">
        <f>WEEKDAY(Metas_Diarias[[#This Row],[data]])</f>
        <v>5</v>
      </c>
      <c r="H1151" s="35">
        <f>IF(Metas_Diarias[[#This Row],[dias_da_demana]]=1,"domingo",IF(Metas_Diarias[[#This Row],[dias_da_demana]]=7,0.5,1))</f>
        <v>1</v>
      </c>
      <c r="I1151" s="35">
        <f>_xlfn.XLOOKUP(Metas_Diarias[[#This Row],[data]],Feriados[Data],Feriados[Feriado],1)</f>
        <v>1</v>
      </c>
      <c r="J1151" s="33" cm="1">
        <f t="array" aca="1" ref="J1151" ca="1">SUMPRODUCT(IF((NOT(ISERROR(MATCH(ROW(INDIRECT(DATE(YEAR(B1151),MONTH(B1151),1)&amp;":"&amp;DATE(YEAR(B1151),MONTH(B1151)+1,0))),Feriados[Data],0))))=FALSE,
IF(WEEKDAY(ROW(INDIRECT(DATE(YEAR(B1151),MONTH(B1151),1)&amp;":"&amp;DATE(YEAR(B1151),MONTH(B1151)+1,0))),2)&lt;=5,1,IF(WEEKDAY(ROW(INDIRECT(DATE(YEAR(B1151),MONTH(B1151),1)&amp;":"&amp;DATE(YEAR(B1151),MONTH(B1151)+1,0))),2)=6,0.5,0)),0))</f>
        <v>20</v>
      </c>
      <c r="K1151" s="22" cm="1">
        <f t="array" ref="K1151">_xlfn.XLOOKUP(1,((Metas_Diarias[[#This Row],[tipo_equipe_id]]=Metas[equipe])*(Metas_Diarias[[#This Row],[data]]&gt;Metas[data_inicio])*(Metas_Diarias[[#This Row],[data]]&lt;Metas[data_fim])),Metas[meta_mensal],0)</f>
        <v>168000</v>
      </c>
      <c r="L1151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52" spans="2:12" x14ac:dyDescent="0.3">
      <c r="B1152" s="34">
        <v>46073</v>
      </c>
      <c r="C1152" s="34" t="str">
        <f>TEXT(Metas_Diarias[[#This Row],[data]],"dddd")</f>
        <v>sexta-feira</v>
      </c>
      <c r="D1152" s="33">
        <v>1</v>
      </c>
      <c r="E1152" s="33">
        <v>1</v>
      </c>
      <c r="F1152" s="18"/>
      <c r="G1152" s="35">
        <f>WEEKDAY(Metas_Diarias[[#This Row],[data]])</f>
        <v>6</v>
      </c>
      <c r="H1152" s="35">
        <f>IF(Metas_Diarias[[#This Row],[dias_da_demana]]=1,"domingo",IF(Metas_Diarias[[#This Row],[dias_da_demana]]=7,0.5,1))</f>
        <v>1</v>
      </c>
      <c r="I1152" s="35">
        <f>_xlfn.XLOOKUP(Metas_Diarias[[#This Row],[data]],Feriados[Data],Feriados[Feriado],1)</f>
        <v>1</v>
      </c>
      <c r="J1152" s="33" cm="1">
        <f t="array" aca="1" ref="J1152" ca="1">SUMPRODUCT(IF((NOT(ISERROR(MATCH(ROW(INDIRECT(DATE(YEAR(B1152),MONTH(B1152),1)&amp;":"&amp;DATE(YEAR(B1152),MONTH(B1152)+1,0))),Feriados[Data],0))))=FALSE,
IF(WEEKDAY(ROW(INDIRECT(DATE(YEAR(B1152),MONTH(B1152),1)&amp;":"&amp;DATE(YEAR(B1152),MONTH(B1152)+1,0))),2)&lt;=5,1,IF(WEEKDAY(ROW(INDIRECT(DATE(YEAR(B1152),MONTH(B1152),1)&amp;":"&amp;DATE(YEAR(B1152),MONTH(B1152)+1,0))),2)=6,0.5,0)),0))</f>
        <v>20</v>
      </c>
      <c r="K1152" s="22" cm="1">
        <f t="array" ref="K1152">_xlfn.XLOOKUP(1,((Metas_Diarias[[#This Row],[tipo_equipe_id]]=Metas[equipe])*(Metas_Diarias[[#This Row],[data]]&gt;Metas[data_inicio])*(Metas_Diarias[[#This Row],[data]]&lt;Metas[data_fim])),Metas[meta_mensal],0)</f>
        <v>168000</v>
      </c>
      <c r="L1152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53" spans="2:12" x14ac:dyDescent="0.3">
      <c r="B1153" s="34">
        <v>46074</v>
      </c>
      <c r="C1153" s="34" t="str">
        <f>TEXT(Metas_Diarias[[#This Row],[data]],"dddd")</f>
        <v>sábado</v>
      </c>
      <c r="D1153" s="33">
        <v>1</v>
      </c>
      <c r="E1153" s="33">
        <v>1</v>
      </c>
      <c r="F1153" s="18"/>
      <c r="G1153" s="35">
        <f>WEEKDAY(Metas_Diarias[[#This Row],[data]])</f>
        <v>7</v>
      </c>
      <c r="H1153" s="35">
        <f>IF(Metas_Diarias[[#This Row],[dias_da_demana]]=1,"domingo",IF(Metas_Diarias[[#This Row],[dias_da_demana]]=7,0.5,1))</f>
        <v>0.5</v>
      </c>
      <c r="I1153" s="35">
        <f>_xlfn.XLOOKUP(Metas_Diarias[[#This Row],[data]],Feriados[Data],Feriados[Feriado],1)</f>
        <v>1</v>
      </c>
      <c r="J1153" s="33" cm="1">
        <f t="array" aca="1" ref="J1153" ca="1">SUMPRODUCT(IF((NOT(ISERROR(MATCH(ROW(INDIRECT(DATE(YEAR(B1153),MONTH(B1153),1)&amp;":"&amp;DATE(YEAR(B1153),MONTH(B1153)+1,0))),Feriados[Data],0))))=FALSE,
IF(WEEKDAY(ROW(INDIRECT(DATE(YEAR(B1153),MONTH(B1153),1)&amp;":"&amp;DATE(YEAR(B1153),MONTH(B1153)+1,0))),2)&lt;=5,1,IF(WEEKDAY(ROW(INDIRECT(DATE(YEAR(B1153),MONTH(B1153),1)&amp;":"&amp;DATE(YEAR(B1153),MONTH(B1153)+1,0))),2)=6,0.5,0)),0))</f>
        <v>20</v>
      </c>
      <c r="K1153" s="22" cm="1">
        <f t="array" ref="K1153">_xlfn.XLOOKUP(1,((Metas_Diarias[[#This Row],[tipo_equipe_id]]=Metas[equipe])*(Metas_Diarias[[#This Row],[data]]&gt;Metas[data_inicio])*(Metas_Diarias[[#This Row],[data]]&lt;Metas[data_fim])),Metas[meta_mensal],0)</f>
        <v>168000</v>
      </c>
      <c r="L1153" s="24">
        <f ca="1">Metas_Diarias[[#This Row],[meta_mensal]]*IF(Metas_Diarias[[#This Row],[semana]]="domingo",0,Metas_Diarias[[#This Row],[semana]])*IF(Metas_Diarias[[#This Row],[feriado]]&lt;&gt;1,0,1)/Metas_Diarias[[#This Row],[dias_úteis_Mês]]</f>
        <v>4200</v>
      </c>
    </row>
    <row r="1154" spans="2:12" x14ac:dyDescent="0.3">
      <c r="B1154" s="34">
        <v>46075</v>
      </c>
      <c r="C1154" s="34" t="str">
        <f>TEXT(Metas_Diarias[[#This Row],[data]],"dddd")</f>
        <v>domingo</v>
      </c>
      <c r="D1154" s="33">
        <v>1</v>
      </c>
      <c r="E1154" s="33">
        <v>1</v>
      </c>
      <c r="F1154" s="18"/>
      <c r="G1154" s="35">
        <f>WEEKDAY(Metas_Diarias[[#This Row],[data]])</f>
        <v>1</v>
      </c>
      <c r="H1154" s="35" t="str">
        <f>IF(Metas_Diarias[[#This Row],[dias_da_demana]]=1,"domingo",IF(Metas_Diarias[[#This Row],[dias_da_demana]]=7,0.5,1))</f>
        <v>domingo</v>
      </c>
      <c r="I1154" s="35">
        <f>_xlfn.XLOOKUP(Metas_Diarias[[#This Row],[data]],Feriados[Data],Feriados[Feriado],1)</f>
        <v>1</v>
      </c>
      <c r="J1154" s="33" cm="1">
        <f t="array" aca="1" ref="J1154" ca="1">SUMPRODUCT(IF((NOT(ISERROR(MATCH(ROW(INDIRECT(DATE(YEAR(B1154),MONTH(B1154),1)&amp;":"&amp;DATE(YEAR(B1154),MONTH(B1154)+1,0))),Feriados[Data],0))))=FALSE,
IF(WEEKDAY(ROW(INDIRECT(DATE(YEAR(B1154),MONTH(B1154),1)&amp;":"&amp;DATE(YEAR(B1154),MONTH(B1154)+1,0))),2)&lt;=5,1,IF(WEEKDAY(ROW(INDIRECT(DATE(YEAR(B1154),MONTH(B1154),1)&amp;":"&amp;DATE(YEAR(B1154),MONTH(B1154)+1,0))),2)=6,0.5,0)),0))</f>
        <v>20</v>
      </c>
      <c r="K1154" s="22" cm="1">
        <f t="array" ref="K1154">_xlfn.XLOOKUP(1,((Metas_Diarias[[#This Row],[tipo_equipe_id]]=Metas[equipe])*(Metas_Diarias[[#This Row],[data]]&gt;Metas[data_inicio])*(Metas_Diarias[[#This Row],[data]]&lt;Metas[data_fim])),Metas[meta_mensal],0)</f>
        <v>168000</v>
      </c>
      <c r="L115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55" spans="2:12" x14ac:dyDescent="0.3">
      <c r="B1155" s="34">
        <v>46076</v>
      </c>
      <c r="C1155" s="34" t="str">
        <f>TEXT(Metas_Diarias[[#This Row],[data]],"dddd")</f>
        <v>segunda-feira</v>
      </c>
      <c r="D1155" s="33">
        <v>1</v>
      </c>
      <c r="E1155" s="33">
        <v>1</v>
      </c>
      <c r="F1155" s="18"/>
      <c r="G1155" s="35">
        <f>WEEKDAY(Metas_Diarias[[#This Row],[data]])</f>
        <v>2</v>
      </c>
      <c r="H1155" s="35">
        <f>IF(Metas_Diarias[[#This Row],[dias_da_demana]]=1,"domingo",IF(Metas_Diarias[[#This Row],[dias_da_demana]]=7,0.5,1))</f>
        <v>1</v>
      </c>
      <c r="I1155" s="35">
        <f>_xlfn.XLOOKUP(Metas_Diarias[[#This Row],[data]],Feriados[Data],Feriados[Feriado],1)</f>
        <v>1</v>
      </c>
      <c r="J1155" s="33" cm="1">
        <f t="array" aca="1" ref="J1155" ca="1">SUMPRODUCT(IF((NOT(ISERROR(MATCH(ROW(INDIRECT(DATE(YEAR(B1155),MONTH(B1155),1)&amp;":"&amp;DATE(YEAR(B1155),MONTH(B1155)+1,0))),Feriados[Data],0))))=FALSE,
IF(WEEKDAY(ROW(INDIRECT(DATE(YEAR(B1155),MONTH(B1155),1)&amp;":"&amp;DATE(YEAR(B1155),MONTH(B1155)+1,0))),2)&lt;=5,1,IF(WEEKDAY(ROW(INDIRECT(DATE(YEAR(B1155),MONTH(B1155),1)&amp;":"&amp;DATE(YEAR(B1155),MONTH(B1155)+1,0))),2)=6,0.5,0)),0))</f>
        <v>20</v>
      </c>
      <c r="K1155" s="22" cm="1">
        <f t="array" ref="K1155">_xlfn.XLOOKUP(1,((Metas_Diarias[[#This Row],[tipo_equipe_id]]=Metas[equipe])*(Metas_Diarias[[#This Row],[data]]&gt;Metas[data_inicio])*(Metas_Diarias[[#This Row],[data]]&lt;Metas[data_fim])),Metas[meta_mensal],0)</f>
        <v>168000</v>
      </c>
      <c r="L1155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56" spans="2:12" x14ac:dyDescent="0.3">
      <c r="B1156" s="34">
        <v>46077</v>
      </c>
      <c r="C1156" s="34" t="str">
        <f>TEXT(Metas_Diarias[[#This Row],[data]],"dddd")</f>
        <v>terça-feira</v>
      </c>
      <c r="D1156" s="33">
        <v>1</v>
      </c>
      <c r="E1156" s="33">
        <v>1</v>
      </c>
      <c r="F1156" s="18"/>
      <c r="G1156" s="35">
        <f>WEEKDAY(Metas_Diarias[[#This Row],[data]])</f>
        <v>3</v>
      </c>
      <c r="H1156" s="35">
        <f>IF(Metas_Diarias[[#This Row],[dias_da_demana]]=1,"domingo",IF(Metas_Diarias[[#This Row],[dias_da_demana]]=7,0.5,1))</f>
        <v>1</v>
      </c>
      <c r="I1156" s="35">
        <f>_xlfn.XLOOKUP(Metas_Diarias[[#This Row],[data]],Feriados[Data],Feriados[Feriado],1)</f>
        <v>1</v>
      </c>
      <c r="J1156" s="33" cm="1">
        <f t="array" aca="1" ref="J1156" ca="1">SUMPRODUCT(IF((NOT(ISERROR(MATCH(ROW(INDIRECT(DATE(YEAR(B1156),MONTH(B1156),1)&amp;":"&amp;DATE(YEAR(B1156),MONTH(B1156)+1,0))),Feriados[Data],0))))=FALSE,
IF(WEEKDAY(ROW(INDIRECT(DATE(YEAR(B1156),MONTH(B1156),1)&amp;":"&amp;DATE(YEAR(B1156),MONTH(B1156)+1,0))),2)&lt;=5,1,IF(WEEKDAY(ROW(INDIRECT(DATE(YEAR(B1156),MONTH(B1156),1)&amp;":"&amp;DATE(YEAR(B1156),MONTH(B1156)+1,0))),2)=6,0.5,0)),0))</f>
        <v>20</v>
      </c>
      <c r="K1156" s="22" cm="1">
        <f t="array" ref="K1156">_xlfn.XLOOKUP(1,((Metas_Diarias[[#This Row],[tipo_equipe_id]]=Metas[equipe])*(Metas_Diarias[[#This Row],[data]]&gt;Metas[data_inicio])*(Metas_Diarias[[#This Row],[data]]&lt;Metas[data_fim])),Metas[meta_mensal],0)</f>
        <v>168000</v>
      </c>
      <c r="L1156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57" spans="2:12" x14ac:dyDescent="0.3">
      <c r="B1157" s="34">
        <v>46078</v>
      </c>
      <c r="C1157" s="34" t="str">
        <f>TEXT(Metas_Diarias[[#This Row],[data]],"dddd")</f>
        <v>quarta-feira</v>
      </c>
      <c r="D1157" s="33">
        <v>1</v>
      </c>
      <c r="E1157" s="33">
        <v>1</v>
      </c>
      <c r="F1157" s="18"/>
      <c r="G1157" s="35">
        <f>WEEKDAY(Metas_Diarias[[#This Row],[data]])</f>
        <v>4</v>
      </c>
      <c r="H1157" s="35">
        <f>IF(Metas_Diarias[[#This Row],[dias_da_demana]]=1,"domingo",IF(Metas_Diarias[[#This Row],[dias_da_demana]]=7,0.5,1))</f>
        <v>1</v>
      </c>
      <c r="I1157" s="35">
        <f>_xlfn.XLOOKUP(Metas_Diarias[[#This Row],[data]],Feriados[Data],Feriados[Feriado],1)</f>
        <v>1</v>
      </c>
      <c r="J1157" s="33" cm="1">
        <f t="array" aca="1" ref="J1157" ca="1">SUMPRODUCT(IF((NOT(ISERROR(MATCH(ROW(INDIRECT(DATE(YEAR(B1157),MONTH(B1157),1)&amp;":"&amp;DATE(YEAR(B1157),MONTH(B1157)+1,0))),Feriados[Data],0))))=FALSE,
IF(WEEKDAY(ROW(INDIRECT(DATE(YEAR(B1157),MONTH(B1157),1)&amp;":"&amp;DATE(YEAR(B1157),MONTH(B1157)+1,0))),2)&lt;=5,1,IF(WEEKDAY(ROW(INDIRECT(DATE(YEAR(B1157),MONTH(B1157),1)&amp;":"&amp;DATE(YEAR(B1157),MONTH(B1157)+1,0))),2)=6,0.5,0)),0))</f>
        <v>20</v>
      </c>
      <c r="K1157" s="22" cm="1">
        <f t="array" ref="K1157">_xlfn.XLOOKUP(1,((Metas_Diarias[[#This Row],[tipo_equipe_id]]=Metas[equipe])*(Metas_Diarias[[#This Row],[data]]&gt;Metas[data_inicio])*(Metas_Diarias[[#This Row],[data]]&lt;Metas[data_fim])),Metas[meta_mensal],0)</f>
        <v>168000</v>
      </c>
      <c r="L1157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58" spans="2:12" x14ac:dyDescent="0.3">
      <c r="B1158" s="34">
        <v>46079</v>
      </c>
      <c r="C1158" s="34" t="str">
        <f>TEXT(Metas_Diarias[[#This Row],[data]],"dddd")</f>
        <v>quinta-feira</v>
      </c>
      <c r="D1158" s="33">
        <v>1</v>
      </c>
      <c r="E1158" s="33">
        <v>1</v>
      </c>
      <c r="F1158" s="18"/>
      <c r="G1158" s="35">
        <f>WEEKDAY(Metas_Diarias[[#This Row],[data]])</f>
        <v>5</v>
      </c>
      <c r="H1158" s="35">
        <f>IF(Metas_Diarias[[#This Row],[dias_da_demana]]=1,"domingo",IF(Metas_Diarias[[#This Row],[dias_da_demana]]=7,0.5,1))</f>
        <v>1</v>
      </c>
      <c r="I1158" s="35">
        <f>_xlfn.XLOOKUP(Metas_Diarias[[#This Row],[data]],Feriados[Data],Feriados[Feriado],1)</f>
        <v>1</v>
      </c>
      <c r="J1158" s="33" cm="1">
        <f t="array" aca="1" ref="J1158" ca="1">SUMPRODUCT(IF((NOT(ISERROR(MATCH(ROW(INDIRECT(DATE(YEAR(B1158),MONTH(B1158),1)&amp;":"&amp;DATE(YEAR(B1158),MONTH(B1158)+1,0))),Feriados[Data],0))))=FALSE,
IF(WEEKDAY(ROW(INDIRECT(DATE(YEAR(B1158),MONTH(B1158),1)&amp;":"&amp;DATE(YEAR(B1158),MONTH(B1158)+1,0))),2)&lt;=5,1,IF(WEEKDAY(ROW(INDIRECT(DATE(YEAR(B1158),MONTH(B1158),1)&amp;":"&amp;DATE(YEAR(B1158),MONTH(B1158)+1,0))),2)=6,0.5,0)),0))</f>
        <v>20</v>
      </c>
      <c r="K1158" s="22" cm="1">
        <f t="array" ref="K1158">_xlfn.XLOOKUP(1,((Metas_Diarias[[#This Row],[tipo_equipe_id]]=Metas[equipe])*(Metas_Diarias[[#This Row],[data]]&gt;Metas[data_inicio])*(Metas_Diarias[[#This Row],[data]]&lt;Metas[data_fim])),Metas[meta_mensal],0)</f>
        <v>168000</v>
      </c>
      <c r="L1158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59" spans="2:12" x14ac:dyDescent="0.3">
      <c r="B1159" s="34">
        <v>46080</v>
      </c>
      <c r="C1159" s="34" t="str">
        <f>TEXT(Metas_Diarias[[#This Row],[data]],"dddd")</f>
        <v>sexta-feira</v>
      </c>
      <c r="D1159" s="33">
        <v>1</v>
      </c>
      <c r="E1159" s="33">
        <v>1</v>
      </c>
      <c r="F1159" s="18"/>
      <c r="G1159" s="35">
        <f>WEEKDAY(Metas_Diarias[[#This Row],[data]])</f>
        <v>6</v>
      </c>
      <c r="H1159" s="35">
        <f>IF(Metas_Diarias[[#This Row],[dias_da_demana]]=1,"domingo",IF(Metas_Diarias[[#This Row],[dias_da_demana]]=7,0.5,1))</f>
        <v>1</v>
      </c>
      <c r="I1159" s="35">
        <f>_xlfn.XLOOKUP(Metas_Diarias[[#This Row],[data]],Feriados[Data],Feriados[Feriado],1)</f>
        <v>1</v>
      </c>
      <c r="J1159" s="33" cm="1">
        <f t="array" aca="1" ref="J1159" ca="1">SUMPRODUCT(IF((NOT(ISERROR(MATCH(ROW(INDIRECT(DATE(YEAR(B1159),MONTH(B1159),1)&amp;":"&amp;DATE(YEAR(B1159),MONTH(B1159)+1,0))),Feriados[Data],0))))=FALSE,
IF(WEEKDAY(ROW(INDIRECT(DATE(YEAR(B1159),MONTH(B1159),1)&amp;":"&amp;DATE(YEAR(B1159),MONTH(B1159)+1,0))),2)&lt;=5,1,IF(WEEKDAY(ROW(INDIRECT(DATE(YEAR(B1159),MONTH(B1159),1)&amp;":"&amp;DATE(YEAR(B1159),MONTH(B1159)+1,0))),2)=6,0.5,0)),0))</f>
        <v>20</v>
      </c>
      <c r="K1159" s="22" cm="1">
        <f t="array" ref="K1159">_xlfn.XLOOKUP(1,((Metas_Diarias[[#This Row],[tipo_equipe_id]]=Metas[equipe])*(Metas_Diarias[[#This Row],[data]]&gt;Metas[data_inicio])*(Metas_Diarias[[#This Row],[data]]&lt;Metas[data_fim])),Metas[meta_mensal],0)</f>
        <v>168000</v>
      </c>
      <c r="L1159" s="24">
        <f ca="1">Metas_Diarias[[#This Row],[meta_mensal]]*IF(Metas_Diarias[[#This Row],[semana]]="domingo",0,Metas_Diarias[[#This Row],[semana]])*IF(Metas_Diarias[[#This Row],[feriado]]&lt;&gt;1,0,1)/Metas_Diarias[[#This Row],[dias_úteis_Mês]]</f>
        <v>8400</v>
      </c>
    </row>
    <row r="1160" spans="2:12" x14ac:dyDescent="0.3">
      <c r="B1160" s="34">
        <v>46081</v>
      </c>
      <c r="C1160" s="34" t="str">
        <f>TEXT(Metas_Diarias[[#This Row],[data]],"dddd")</f>
        <v>sábado</v>
      </c>
      <c r="D1160" s="33">
        <v>1</v>
      </c>
      <c r="E1160" s="33">
        <v>1</v>
      </c>
      <c r="F1160" s="18"/>
      <c r="G1160" s="35">
        <f>WEEKDAY(Metas_Diarias[[#This Row],[data]])</f>
        <v>7</v>
      </c>
      <c r="H1160" s="35">
        <f>IF(Metas_Diarias[[#This Row],[dias_da_demana]]=1,"domingo",IF(Metas_Diarias[[#This Row],[dias_da_demana]]=7,0.5,1))</f>
        <v>0.5</v>
      </c>
      <c r="I1160" s="35">
        <f>_xlfn.XLOOKUP(Metas_Diarias[[#This Row],[data]],Feriados[Data],Feriados[Feriado],1)</f>
        <v>1</v>
      </c>
      <c r="J1160" s="33" cm="1">
        <f t="array" aca="1" ref="J1160" ca="1">SUMPRODUCT(IF((NOT(ISERROR(MATCH(ROW(INDIRECT(DATE(YEAR(B1160),MONTH(B1160),1)&amp;":"&amp;DATE(YEAR(B1160),MONTH(B1160)+1,0))),Feriados[Data],0))))=FALSE,
IF(WEEKDAY(ROW(INDIRECT(DATE(YEAR(B1160),MONTH(B1160),1)&amp;":"&amp;DATE(YEAR(B1160),MONTH(B1160)+1,0))),2)&lt;=5,1,IF(WEEKDAY(ROW(INDIRECT(DATE(YEAR(B1160),MONTH(B1160),1)&amp;":"&amp;DATE(YEAR(B1160),MONTH(B1160)+1,0))),2)=6,0.5,0)),0))</f>
        <v>20</v>
      </c>
      <c r="K1160" s="22" cm="1">
        <f t="array" ref="K1160">_xlfn.XLOOKUP(1,((Metas_Diarias[[#This Row],[tipo_equipe_id]]=Metas[equipe])*(Metas_Diarias[[#This Row],[data]]&gt;Metas[data_inicio])*(Metas_Diarias[[#This Row],[data]]&lt;Metas[data_fim])),Metas[meta_mensal],0)</f>
        <v>168000</v>
      </c>
      <c r="L1160" s="24">
        <f ca="1">Metas_Diarias[[#This Row],[meta_mensal]]*IF(Metas_Diarias[[#This Row],[semana]]="domingo",0,Metas_Diarias[[#This Row],[semana]])*IF(Metas_Diarias[[#This Row],[feriado]]&lt;&gt;1,0,1)/Metas_Diarias[[#This Row],[dias_úteis_Mês]]</f>
        <v>4200</v>
      </c>
    </row>
    <row r="1161" spans="2:12" x14ac:dyDescent="0.3">
      <c r="B1161" s="34">
        <v>46082</v>
      </c>
      <c r="C1161" s="34" t="str">
        <f>TEXT(Metas_Diarias[[#This Row],[data]],"dddd")</f>
        <v>domingo</v>
      </c>
      <c r="D1161" s="33">
        <v>1</v>
      </c>
      <c r="E1161" s="33">
        <v>1</v>
      </c>
      <c r="F1161" s="18"/>
      <c r="G1161" s="35">
        <f>WEEKDAY(Metas_Diarias[[#This Row],[data]])</f>
        <v>1</v>
      </c>
      <c r="H1161" s="35" t="str">
        <f>IF(Metas_Diarias[[#This Row],[dias_da_demana]]=1,"domingo",IF(Metas_Diarias[[#This Row],[dias_da_demana]]=7,0.5,1))</f>
        <v>domingo</v>
      </c>
      <c r="I1161" s="35">
        <f>_xlfn.XLOOKUP(Metas_Diarias[[#This Row],[data]],Feriados[Data],Feriados[Feriado],1)</f>
        <v>1</v>
      </c>
      <c r="J1161" s="33" cm="1">
        <f t="array" aca="1" ref="J1161" ca="1">SUMPRODUCT(IF((NOT(ISERROR(MATCH(ROW(INDIRECT(DATE(YEAR(B1161),MONTH(B1161),1)&amp;":"&amp;DATE(YEAR(B1161),MONTH(B1161)+1,0))),Feriados[Data],0))))=FALSE,
IF(WEEKDAY(ROW(INDIRECT(DATE(YEAR(B1161),MONTH(B1161),1)&amp;":"&amp;DATE(YEAR(B1161),MONTH(B1161)+1,0))),2)&lt;=5,1,IF(WEEKDAY(ROW(INDIRECT(DATE(YEAR(B1161),MONTH(B1161),1)&amp;":"&amp;DATE(YEAR(B1161),MONTH(B1161)+1,0))),2)=6,0.5,0)),0))</f>
        <v>24</v>
      </c>
      <c r="K1161" s="22" cm="1">
        <f t="array" ref="K1161">_xlfn.XLOOKUP(1,((Metas_Diarias[[#This Row],[tipo_equipe_id]]=Metas[equipe])*(Metas_Diarias[[#This Row],[data]]&gt;Metas[data_inicio])*(Metas_Diarias[[#This Row],[data]]&lt;Metas[data_fim])),Metas[meta_mensal],0)</f>
        <v>168000</v>
      </c>
      <c r="L11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62" spans="2:12" x14ac:dyDescent="0.3">
      <c r="B1162" s="34">
        <v>46083</v>
      </c>
      <c r="C1162" s="34" t="str">
        <f>TEXT(Metas_Diarias[[#This Row],[data]],"dddd")</f>
        <v>segunda-feira</v>
      </c>
      <c r="D1162" s="33">
        <v>1</v>
      </c>
      <c r="E1162" s="33">
        <v>1</v>
      </c>
      <c r="F1162" s="18"/>
      <c r="G1162" s="35">
        <f>WEEKDAY(Metas_Diarias[[#This Row],[data]])</f>
        <v>2</v>
      </c>
      <c r="H1162" s="35">
        <f>IF(Metas_Diarias[[#This Row],[dias_da_demana]]=1,"domingo",IF(Metas_Diarias[[#This Row],[dias_da_demana]]=7,0.5,1))</f>
        <v>1</v>
      </c>
      <c r="I1162" s="35">
        <f>_xlfn.XLOOKUP(Metas_Diarias[[#This Row],[data]],Feriados[Data],Feriados[Feriado],1)</f>
        <v>1</v>
      </c>
      <c r="J1162" s="33" cm="1">
        <f t="array" aca="1" ref="J1162" ca="1">SUMPRODUCT(IF((NOT(ISERROR(MATCH(ROW(INDIRECT(DATE(YEAR(B1162),MONTH(B1162),1)&amp;":"&amp;DATE(YEAR(B1162),MONTH(B1162)+1,0))),Feriados[Data],0))))=FALSE,
IF(WEEKDAY(ROW(INDIRECT(DATE(YEAR(B1162),MONTH(B1162),1)&amp;":"&amp;DATE(YEAR(B1162),MONTH(B1162)+1,0))),2)&lt;=5,1,IF(WEEKDAY(ROW(INDIRECT(DATE(YEAR(B1162),MONTH(B1162),1)&amp;":"&amp;DATE(YEAR(B1162),MONTH(B1162)+1,0))),2)=6,0.5,0)),0))</f>
        <v>24</v>
      </c>
      <c r="K1162" s="22" cm="1">
        <f t="array" ref="K1162">_xlfn.XLOOKUP(1,((Metas_Diarias[[#This Row],[tipo_equipe_id]]=Metas[equipe])*(Metas_Diarias[[#This Row],[data]]&gt;Metas[data_inicio])*(Metas_Diarias[[#This Row],[data]]&lt;Metas[data_fim])),Metas[meta_mensal],0)</f>
        <v>168000</v>
      </c>
      <c r="L1162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63" spans="2:12" x14ac:dyDescent="0.3">
      <c r="B1163" s="34">
        <v>46084</v>
      </c>
      <c r="C1163" s="34" t="str">
        <f>TEXT(Metas_Diarias[[#This Row],[data]],"dddd")</f>
        <v>terça-feira</v>
      </c>
      <c r="D1163" s="33">
        <v>1</v>
      </c>
      <c r="E1163" s="33">
        <v>1</v>
      </c>
      <c r="F1163" s="18"/>
      <c r="G1163" s="35">
        <f>WEEKDAY(Metas_Diarias[[#This Row],[data]])</f>
        <v>3</v>
      </c>
      <c r="H1163" s="35">
        <f>IF(Metas_Diarias[[#This Row],[dias_da_demana]]=1,"domingo",IF(Metas_Diarias[[#This Row],[dias_da_demana]]=7,0.5,1))</f>
        <v>1</v>
      </c>
      <c r="I1163" s="35">
        <f>_xlfn.XLOOKUP(Metas_Diarias[[#This Row],[data]],Feriados[Data],Feriados[Feriado],1)</f>
        <v>1</v>
      </c>
      <c r="J1163" s="33" cm="1">
        <f t="array" aca="1" ref="J1163" ca="1">SUMPRODUCT(IF((NOT(ISERROR(MATCH(ROW(INDIRECT(DATE(YEAR(B1163),MONTH(B1163),1)&amp;":"&amp;DATE(YEAR(B1163),MONTH(B1163)+1,0))),Feriados[Data],0))))=FALSE,
IF(WEEKDAY(ROW(INDIRECT(DATE(YEAR(B1163),MONTH(B1163),1)&amp;":"&amp;DATE(YEAR(B1163),MONTH(B1163)+1,0))),2)&lt;=5,1,IF(WEEKDAY(ROW(INDIRECT(DATE(YEAR(B1163),MONTH(B1163),1)&amp;":"&amp;DATE(YEAR(B1163),MONTH(B1163)+1,0))),2)=6,0.5,0)),0))</f>
        <v>24</v>
      </c>
      <c r="K1163" s="22" cm="1">
        <f t="array" ref="K1163">_xlfn.XLOOKUP(1,((Metas_Diarias[[#This Row],[tipo_equipe_id]]=Metas[equipe])*(Metas_Diarias[[#This Row],[data]]&gt;Metas[data_inicio])*(Metas_Diarias[[#This Row],[data]]&lt;Metas[data_fim])),Metas[meta_mensal],0)</f>
        <v>168000</v>
      </c>
      <c r="L1163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64" spans="2:12" x14ac:dyDescent="0.3">
      <c r="B1164" s="34">
        <v>46085</v>
      </c>
      <c r="C1164" s="34" t="str">
        <f>TEXT(Metas_Diarias[[#This Row],[data]],"dddd")</f>
        <v>quarta-feira</v>
      </c>
      <c r="D1164" s="33">
        <v>1</v>
      </c>
      <c r="E1164" s="33">
        <v>1</v>
      </c>
      <c r="F1164" s="18"/>
      <c r="G1164" s="35">
        <f>WEEKDAY(Metas_Diarias[[#This Row],[data]])</f>
        <v>4</v>
      </c>
      <c r="H1164" s="35">
        <f>IF(Metas_Diarias[[#This Row],[dias_da_demana]]=1,"domingo",IF(Metas_Diarias[[#This Row],[dias_da_demana]]=7,0.5,1))</f>
        <v>1</v>
      </c>
      <c r="I1164" s="35">
        <f>_xlfn.XLOOKUP(Metas_Diarias[[#This Row],[data]],Feriados[Data],Feriados[Feriado],1)</f>
        <v>1</v>
      </c>
      <c r="J1164" s="33" cm="1">
        <f t="array" aca="1" ref="J1164" ca="1">SUMPRODUCT(IF((NOT(ISERROR(MATCH(ROW(INDIRECT(DATE(YEAR(B1164),MONTH(B1164),1)&amp;":"&amp;DATE(YEAR(B1164),MONTH(B1164)+1,0))),Feriados[Data],0))))=FALSE,
IF(WEEKDAY(ROW(INDIRECT(DATE(YEAR(B1164),MONTH(B1164),1)&amp;":"&amp;DATE(YEAR(B1164),MONTH(B1164)+1,0))),2)&lt;=5,1,IF(WEEKDAY(ROW(INDIRECT(DATE(YEAR(B1164),MONTH(B1164),1)&amp;":"&amp;DATE(YEAR(B1164),MONTH(B1164)+1,0))),2)=6,0.5,0)),0))</f>
        <v>24</v>
      </c>
      <c r="K1164" s="22" cm="1">
        <f t="array" ref="K1164">_xlfn.XLOOKUP(1,((Metas_Diarias[[#This Row],[tipo_equipe_id]]=Metas[equipe])*(Metas_Diarias[[#This Row],[data]]&gt;Metas[data_inicio])*(Metas_Diarias[[#This Row],[data]]&lt;Metas[data_fim])),Metas[meta_mensal],0)</f>
        <v>168000</v>
      </c>
      <c r="L1164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65" spans="2:12" x14ac:dyDescent="0.3">
      <c r="B1165" s="34">
        <v>46086</v>
      </c>
      <c r="C1165" s="34" t="str">
        <f>TEXT(Metas_Diarias[[#This Row],[data]],"dddd")</f>
        <v>quinta-feira</v>
      </c>
      <c r="D1165" s="33">
        <v>1</v>
      </c>
      <c r="E1165" s="33">
        <v>1</v>
      </c>
      <c r="F1165" s="18"/>
      <c r="G1165" s="35">
        <f>WEEKDAY(Metas_Diarias[[#This Row],[data]])</f>
        <v>5</v>
      </c>
      <c r="H1165" s="35">
        <f>IF(Metas_Diarias[[#This Row],[dias_da_demana]]=1,"domingo",IF(Metas_Diarias[[#This Row],[dias_da_demana]]=7,0.5,1))</f>
        <v>1</v>
      </c>
      <c r="I1165" s="35">
        <f>_xlfn.XLOOKUP(Metas_Diarias[[#This Row],[data]],Feriados[Data],Feriados[Feriado],1)</f>
        <v>1</v>
      </c>
      <c r="J1165" s="33" cm="1">
        <f t="array" aca="1" ref="J1165" ca="1">SUMPRODUCT(IF((NOT(ISERROR(MATCH(ROW(INDIRECT(DATE(YEAR(B1165),MONTH(B1165),1)&amp;":"&amp;DATE(YEAR(B1165),MONTH(B1165)+1,0))),Feriados[Data],0))))=FALSE,
IF(WEEKDAY(ROW(INDIRECT(DATE(YEAR(B1165),MONTH(B1165),1)&amp;":"&amp;DATE(YEAR(B1165),MONTH(B1165)+1,0))),2)&lt;=5,1,IF(WEEKDAY(ROW(INDIRECT(DATE(YEAR(B1165),MONTH(B1165),1)&amp;":"&amp;DATE(YEAR(B1165),MONTH(B1165)+1,0))),2)=6,0.5,0)),0))</f>
        <v>24</v>
      </c>
      <c r="K1165" s="22" cm="1">
        <f t="array" ref="K1165">_xlfn.XLOOKUP(1,((Metas_Diarias[[#This Row],[tipo_equipe_id]]=Metas[equipe])*(Metas_Diarias[[#This Row],[data]]&gt;Metas[data_inicio])*(Metas_Diarias[[#This Row],[data]]&lt;Metas[data_fim])),Metas[meta_mensal],0)</f>
        <v>168000</v>
      </c>
      <c r="L1165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66" spans="2:12" x14ac:dyDescent="0.3">
      <c r="B1166" s="34">
        <v>46087</v>
      </c>
      <c r="C1166" s="34" t="str">
        <f>TEXT(Metas_Diarias[[#This Row],[data]],"dddd")</f>
        <v>sexta-feira</v>
      </c>
      <c r="D1166" s="33">
        <v>1</v>
      </c>
      <c r="E1166" s="33">
        <v>1</v>
      </c>
      <c r="F1166" s="18"/>
      <c r="G1166" s="35">
        <f>WEEKDAY(Metas_Diarias[[#This Row],[data]])</f>
        <v>6</v>
      </c>
      <c r="H1166" s="35">
        <f>IF(Metas_Diarias[[#This Row],[dias_da_demana]]=1,"domingo",IF(Metas_Diarias[[#This Row],[dias_da_demana]]=7,0.5,1))</f>
        <v>1</v>
      </c>
      <c r="I1166" s="35">
        <f>_xlfn.XLOOKUP(Metas_Diarias[[#This Row],[data]],Feriados[Data],Feriados[Feriado],1)</f>
        <v>1</v>
      </c>
      <c r="J1166" s="33" cm="1">
        <f t="array" aca="1" ref="J1166" ca="1">SUMPRODUCT(IF((NOT(ISERROR(MATCH(ROW(INDIRECT(DATE(YEAR(B1166),MONTH(B1166),1)&amp;":"&amp;DATE(YEAR(B1166),MONTH(B1166)+1,0))),Feriados[Data],0))))=FALSE,
IF(WEEKDAY(ROW(INDIRECT(DATE(YEAR(B1166),MONTH(B1166),1)&amp;":"&amp;DATE(YEAR(B1166),MONTH(B1166)+1,0))),2)&lt;=5,1,IF(WEEKDAY(ROW(INDIRECT(DATE(YEAR(B1166),MONTH(B1166),1)&amp;":"&amp;DATE(YEAR(B1166),MONTH(B1166)+1,0))),2)=6,0.5,0)),0))</f>
        <v>24</v>
      </c>
      <c r="K1166" s="22" cm="1">
        <f t="array" ref="K1166">_xlfn.XLOOKUP(1,((Metas_Diarias[[#This Row],[tipo_equipe_id]]=Metas[equipe])*(Metas_Diarias[[#This Row],[data]]&gt;Metas[data_inicio])*(Metas_Diarias[[#This Row],[data]]&lt;Metas[data_fim])),Metas[meta_mensal],0)</f>
        <v>168000</v>
      </c>
      <c r="L1166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67" spans="2:12" x14ac:dyDescent="0.3">
      <c r="B1167" s="34">
        <v>46088</v>
      </c>
      <c r="C1167" s="34" t="str">
        <f>TEXT(Metas_Diarias[[#This Row],[data]],"dddd")</f>
        <v>sábado</v>
      </c>
      <c r="D1167" s="33">
        <v>1</v>
      </c>
      <c r="E1167" s="33">
        <v>1</v>
      </c>
      <c r="F1167" s="18"/>
      <c r="G1167" s="35">
        <f>WEEKDAY(Metas_Diarias[[#This Row],[data]])</f>
        <v>7</v>
      </c>
      <c r="H1167" s="35">
        <f>IF(Metas_Diarias[[#This Row],[dias_da_demana]]=1,"domingo",IF(Metas_Diarias[[#This Row],[dias_da_demana]]=7,0.5,1))</f>
        <v>0.5</v>
      </c>
      <c r="I1167" s="35">
        <f>_xlfn.XLOOKUP(Metas_Diarias[[#This Row],[data]],Feriados[Data],Feriados[Feriado],1)</f>
        <v>1</v>
      </c>
      <c r="J1167" s="33" cm="1">
        <f t="array" aca="1" ref="J1167" ca="1">SUMPRODUCT(IF((NOT(ISERROR(MATCH(ROW(INDIRECT(DATE(YEAR(B1167),MONTH(B1167),1)&amp;":"&amp;DATE(YEAR(B1167),MONTH(B1167)+1,0))),Feriados[Data],0))))=FALSE,
IF(WEEKDAY(ROW(INDIRECT(DATE(YEAR(B1167),MONTH(B1167),1)&amp;":"&amp;DATE(YEAR(B1167),MONTH(B1167)+1,0))),2)&lt;=5,1,IF(WEEKDAY(ROW(INDIRECT(DATE(YEAR(B1167),MONTH(B1167),1)&amp;":"&amp;DATE(YEAR(B1167),MONTH(B1167)+1,0))),2)=6,0.5,0)),0))</f>
        <v>24</v>
      </c>
      <c r="K1167" s="22" cm="1">
        <f t="array" ref="K1167">_xlfn.XLOOKUP(1,((Metas_Diarias[[#This Row],[tipo_equipe_id]]=Metas[equipe])*(Metas_Diarias[[#This Row],[data]]&gt;Metas[data_inicio])*(Metas_Diarias[[#This Row],[data]]&lt;Metas[data_fim])),Metas[meta_mensal],0)</f>
        <v>168000</v>
      </c>
      <c r="L1167" s="24">
        <f ca="1">Metas_Diarias[[#This Row],[meta_mensal]]*IF(Metas_Diarias[[#This Row],[semana]]="domingo",0,Metas_Diarias[[#This Row],[semana]])*IF(Metas_Diarias[[#This Row],[feriado]]&lt;&gt;1,0,1)/Metas_Diarias[[#This Row],[dias_úteis_Mês]]</f>
        <v>3500</v>
      </c>
    </row>
    <row r="1168" spans="2:12" x14ac:dyDescent="0.3">
      <c r="B1168" s="34">
        <v>46089</v>
      </c>
      <c r="C1168" s="34" t="str">
        <f>TEXT(Metas_Diarias[[#This Row],[data]],"dddd")</f>
        <v>domingo</v>
      </c>
      <c r="D1168" s="33">
        <v>1</v>
      </c>
      <c r="E1168" s="33">
        <v>1</v>
      </c>
      <c r="F1168" s="18"/>
      <c r="G1168" s="35">
        <f>WEEKDAY(Metas_Diarias[[#This Row],[data]])</f>
        <v>1</v>
      </c>
      <c r="H1168" s="35" t="str">
        <f>IF(Metas_Diarias[[#This Row],[dias_da_demana]]=1,"domingo",IF(Metas_Diarias[[#This Row],[dias_da_demana]]=7,0.5,1))</f>
        <v>domingo</v>
      </c>
      <c r="I1168" s="35">
        <f>_xlfn.XLOOKUP(Metas_Diarias[[#This Row],[data]],Feriados[Data],Feriados[Feriado],1)</f>
        <v>1</v>
      </c>
      <c r="J1168" s="33" cm="1">
        <f t="array" aca="1" ref="J1168" ca="1">SUMPRODUCT(IF((NOT(ISERROR(MATCH(ROW(INDIRECT(DATE(YEAR(B1168),MONTH(B1168),1)&amp;":"&amp;DATE(YEAR(B1168),MONTH(B1168)+1,0))),Feriados[Data],0))))=FALSE,
IF(WEEKDAY(ROW(INDIRECT(DATE(YEAR(B1168),MONTH(B1168),1)&amp;":"&amp;DATE(YEAR(B1168),MONTH(B1168)+1,0))),2)&lt;=5,1,IF(WEEKDAY(ROW(INDIRECT(DATE(YEAR(B1168),MONTH(B1168),1)&amp;":"&amp;DATE(YEAR(B1168),MONTH(B1168)+1,0))),2)=6,0.5,0)),0))</f>
        <v>24</v>
      </c>
      <c r="K1168" s="22" cm="1">
        <f t="array" ref="K1168">_xlfn.XLOOKUP(1,((Metas_Diarias[[#This Row],[tipo_equipe_id]]=Metas[equipe])*(Metas_Diarias[[#This Row],[data]]&gt;Metas[data_inicio])*(Metas_Diarias[[#This Row],[data]]&lt;Metas[data_fim])),Metas[meta_mensal],0)</f>
        <v>168000</v>
      </c>
      <c r="L11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69" spans="2:12" x14ac:dyDescent="0.3">
      <c r="B1169" s="34">
        <v>46090</v>
      </c>
      <c r="C1169" s="34" t="str">
        <f>TEXT(Metas_Diarias[[#This Row],[data]],"dddd")</f>
        <v>segunda-feira</v>
      </c>
      <c r="D1169" s="33">
        <v>1</v>
      </c>
      <c r="E1169" s="33">
        <v>1</v>
      </c>
      <c r="F1169" s="18"/>
      <c r="G1169" s="35">
        <f>WEEKDAY(Metas_Diarias[[#This Row],[data]])</f>
        <v>2</v>
      </c>
      <c r="H1169" s="35">
        <f>IF(Metas_Diarias[[#This Row],[dias_da_demana]]=1,"domingo",IF(Metas_Diarias[[#This Row],[dias_da_demana]]=7,0.5,1))</f>
        <v>1</v>
      </c>
      <c r="I1169" s="35">
        <f>_xlfn.XLOOKUP(Metas_Diarias[[#This Row],[data]],Feriados[Data],Feriados[Feriado],1)</f>
        <v>1</v>
      </c>
      <c r="J1169" s="33" cm="1">
        <f t="array" aca="1" ref="J1169" ca="1">SUMPRODUCT(IF((NOT(ISERROR(MATCH(ROW(INDIRECT(DATE(YEAR(B1169),MONTH(B1169),1)&amp;":"&amp;DATE(YEAR(B1169),MONTH(B1169)+1,0))),Feriados[Data],0))))=FALSE,
IF(WEEKDAY(ROW(INDIRECT(DATE(YEAR(B1169),MONTH(B1169),1)&amp;":"&amp;DATE(YEAR(B1169),MONTH(B1169)+1,0))),2)&lt;=5,1,IF(WEEKDAY(ROW(INDIRECT(DATE(YEAR(B1169),MONTH(B1169),1)&amp;":"&amp;DATE(YEAR(B1169),MONTH(B1169)+1,0))),2)=6,0.5,0)),0))</f>
        <v>24</v>
      </c>
      <c r="K1169" s="22" cm="1">
        <f t="array" ref="K1169">_xlfn.XLOOKUP(1,((Metas_Diarias[[#This Row],[tipo_equipe_id]]=Metas[equipe])*(Metas_Diarias[[#This Row],[data]]&gt;Metas[data_inicio])*(Metas_Diarias[[#This Row],[data]]&lt;Metas[data_fim])),Metas[meta_mensal],0)</f>
        <v>168000</v>
      </c>
      <c r="L1169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70" spans="2:12" x14ac:dyDescent="0.3">
      <c r="B1170" s="34">
        <v>46091</v>
      </c>
      <c r="C1170" s="34" t="str">
        <f>TEXT(Metas_Diarias[[#This Row],[data]],"dddd")</f>
        <v>terça-feira</v>
      </c>
      <c r="D1170" s="33">
        <v>1</v>
      </c>
      <c r="E1170" s="33">
        <v>1</v>
      </c>
      <c r="F1170" s="18"/>
      <c r="G1170" s="35">
        <f>WEEKDAY(Metas_Diarias[[#This Row],[data]])</f>
        <v>3</v>
      </c>
      <c r="H1170" s="35">
        <f>IF(Metas_Diarias[[#This Row],[dias_da_demana]]=1,"domingo",IF(Metas_Diarias[[#This Row],[dias_da_demana]]=7,0.5,1))</f>
        <v>1</v>
      </c>
      <c r="I1170" s="35">
        <f>_xlfn.XLOOKUP(Metas_Diarias[[#This Row],[data]],Feriados[Data],Feriados[Feriado],1)</f>
        <v>1</v>
      </c>
      <c r="J1170" s="33" cm="1">
        <f t="array" aca="1" ref="J1170" ca="1">SUMPRODUCT(IF((NOT(ISERROR(MATCH(ROW(INDIRECT(DATE(YEAR(B1170),MONTH(B1170),1)&amp;":"&amp;DATE(YEAR(B1170),MONTH(B1170)+1,0))),Feriados[Data],0))))=FALSE,
IF(WEEKDAY(ROW(INDIRECT(DATE(YEAR(B1170),MONTH(B1170),1)&amp;":"&amp;DATE(YEAR(B1170),MONTH(B1170)+1,0))),2)&lt;=5,1,IF(WEEKDAY(ROW(INDIRECT(DATE(YEAR(B1170),MONTH(B1170),1)&amp;":"&amp;DATE(YEAR(B1170),MONTH(B1170)+1,0))),2)=6,0.5,0)),0))</f>
        <v>24</v>
      </c>
      <c r="K1170" s="22" cm="1">
        <f t="array" ref="K1170">_xlfn.XLOOKUP(1,((Metas_Diarias[[#This Row],[tipo_equipe_id]]=Metas[equipe])*(Metas_Diarias[[#This Row],[data]]&gt;Metas[data_inicio])*(Metas_Diarias[[#This Row],[data]]&lt;Metas[data_fim])),Metas[meta_mensal],0)</f>
        <v>168000</v>
      </c>
      <c r="L1170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71" spans="2:12" x14ac:dyDescent="0.3">
      <c r="B1171" s="34">
        <v>46092</v>
      </c>
      <c r="C1171" s="34" t="str">
        <f>TEXT(Metas_Diarias[[#This Row],[data]],"dddd")</f>
        <v>quarta-feira</v>
      </c>
      <c r="D1171" s="33">
        <v>1</v>
      </c>
      <c r="E1171" s="33">
        <v>1</v>
      </c>
      <c r="F1171" s="18"/>
      <c r="G1171" s="35">
        <f>WEEKDAY(Metas_Diarias[[#This Row],[data]])</f>
        <v>4</v>
      </c>
      <c r="H1171" s="35">
        <f>IF(Metas_Diarias[[#This Row],[dias_da_demana]]=1,"domingo",IF(Metas_Diarias[[#This Row],[dias_da_demana]]=7,0.5,1))</f>
        <v>1</v>
      </c>
      <c r="I1171" s="35">
        <f>_xlfn.XLOOKUP(Metas_Diarias[[#This Row],[data]],Feriados[Data],Feriados[Feriado],1)</f>
        <v>1</v>
      </c>
      <c r="J1171" s="33" cm="1">
        <f t="array" aca="1" ref="J1171" ca="1">SUMPRODUCT(IF((NOT(ISERROR(MATCH(ROW(INDIRECT(DATE(YEAR(B1171),MONTH(B1171),1)&amp;":"&amp;DATE(YEAR(B1171),MONTH(B1171)+1,0))),Feriados[Data],0))))=FALSE,
IF(WEEKDAY(ROW(INDIRECT(DATE(YEAR(B1171),MONTH(B1171),1)&amp;":"&amp;DATE(YEAR(B1171),MONTH(B1171)+1,0))),2)&lt;=5,1,IF(WEEKDAY(ROW(INDIRECT(DATE(YEAR(B1171),MONTH(B1171),1)&amp;":"&amp;DATE(YEAR(B1171),MONTH(B1171)+1,0))),2)=6,0.5,0)),0))</f>
        <v>24</v>
      </c>
      <c r="K1171" s="22" cm="1">
        <f t="array" ref="K1171">_xlfn.XLOOKUP(1,((Metas_Diarias[[#This Row],[tipo_equipe_id]]=Metas[equipe])*(Metas_Diarias[[#This Row],[data]]&gt;Metas[data_inicio])*(Metas_Diarias[[#This Row],[data]]&lt;Metas[data_fim])),Metas[meta_mensal],0)</f>
        <v>168000</v>
      </c>
      <c r="L1171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72" spans="2:12" x14ac:dyDescent="0.3">
      <c r="B1172" s="34">
        <v>46093</v>
      </c>
      <c r="C1172" s="34" t="str">
        <f>TEXT(Metas_Diarias[[#This Row],[data]],"dddd")</f>
        <v>quinta-feira</v>
      </c>
      <c r="D1172" s="33">
        <v>1</v>
      </c>
      <c r="E1172" s="33">
        <v>1</v>
      </c>
      <c r="F1172" s="18"/>
      <c r="G1172" s="35">
        <f>WEEKDAY(Metas_Diarias[[#This Row],[data]])</f>
        <v>5</v>
      </c>
      <c r="H1172" s="35">
        <f>IF(Metas_Diarias[[#This Row],[dias_da_demana]]=1,"domingo",IF(Metas_Diarias[[#This Row],[dias_da_demana]]=7,0.5,1))</f>
        <v>1</v>
      </c>
      <c r="I1172" s="35">
        <f>_xlfn.XLOOKUP(Metas_Diarias[[#This Row],[data]],Feriados[Data],Feriados[Feriado],1)</f>
        <v>1</v>
      </c>
      <c r="J1172" s="33" cm="1">
        <f t="array" aca="1" ref="J1172" ca="1">SUMPRODUCT(IF((NOT(ISERROR(MATCH(ROW(INDIRECT(DATE(YEAR(B1172),MONTH(B1172),1)&amp;":"&amp;DATE(YEAR(B1172),MONTH(B1172)+1,0))),Feriados[Data],0))))=FALSE,
IF(WEEKDAY(ROW(INDIRECT(DATE(YEAR(B1172),MONTH(B1172),1)&amp;":"&amp;DATE(YEAR(B1172),MONTH(B1172)+1,0))),2)&lt;=5,1,IF(WEEKDAY(ROW(INDIRECT(DATE(YEAR(B1172),MONTH(B1172),1)&amp;":"&amp;DATE(YEAR(B1172),MONTH(B1172)+1,0))),2)=6,0.5,0)),0))</f>
        <v>24</v>
      </c>
      <c r="K1172" s="22" cm="1">
        <f t="array" ref="K1172">_xlfn.XLOOKUP(1,((Metas_Diarias[[#This Row],[tipo_equipe_id]]=Metas[equipe])*(Metas_Diarias[[#This Row],[data]]&gt;Metas[data_inicio])*(Metas_Diarias[[#This Row],[data]]&lt;Metas[data_fim])),Metas[meta_mensal],0)</f>
        <v>168000</v>
      </c>
      <c r="L1172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73" spans="2:12" x14ac:dyDescent="0.3">
      <c r="B1173" s="34">
        <v>46094</v>
      </c>
      <c r="C1173" s="34" t="str">
        <f>TEXT(Metas_Diarias[[#This Row],[data]],"dddd")</f>
        <v>sexta-feira</v>
      </c>
      <c r="D1173" s="33">
        <v>1</v>
      </c>
      <c r="E1173" s="33">
        <v>1</v>
      </c>
      <c r="F1173" s="18"/>
      <c r="G1173" s="35">
        <f>WEEKDAY(Metas_Diarias[[#This Row],[data]])</f>
        <v>6</v>
      </c>
      <c r="H1173" s="35">
        <f>IF(Metas_Diarias[[#This Row],[dias_da_demana]]=1,"domingo",IF(Metas_Diarias[[#This Row],[dias_da_demana]]=7,0.5,1))</f>
        <v>1</v>
      </c>
      <c r="I1173" s="35">
        <f>_xlfn.XLOOKUP(Metas_Diarias[[#This Row],[data]],Feriados[Data],Feriados[Feriado],1)</f>
        <v>1</v>
      </c>
      <c r="J1173" s="33" cm="1">
        <f t="array" aca="1" ref="J1173" ca="1">SUMPRODUCT(IF((NOT(ISERROR(MATCH(ROW(INDIRECT(DATE(YEAR(B1173),MONTH(B1173),1)&amp;":"&amp;DATE(YEAR(B1173),MONTH(B1173)+1,0))),Feriados[Data],0))))=FALSE,
IF(WEEKDAY(ROW(INDIRECT(DATE(YEAR(B1173),MONTH(B1173),1)&amp;":"&amp;DATE(YEAR(B1173),MONTH(B1173)+1,0))),2)&lt;=5,1,IF(WEEKDAY(ROW(INDIRECT(DATE(YEAR(B1173),MONTH(B1173),1)&amp;":"&amp;DATE(YEAR(B1173),MONTH(B1173)+1,0))),2)=6,0.5,0)),0))</f>
        <v>24</v>
      </c>
      <c r="K1173" s="22" cm="1">
        <f t="array" ref="K1173">_xlfn.XLOOKUP(1,((Metas_Diarias[[#This Row],[tipo_equipe_id]]=Metas[equipe])*(Metas_Diarias[[#This Row],[data]]&gt;Metas[data_inicio])*(Metas_Diarias[[#This Row],[data]]&lt;Metas[data_fim])),Metas[meta_mensal],0)</f>
        <v>168000</v>
      </c>
      <c r="L1173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74" spans="2:12" x14ac:dyDescent="0.3">
      <c r="B1174" s="34">
        <v>46095</v>
      </c>
      <c r="C1174" s="34" t="str">
        <f>TEXT(Metas_Diarias[[#This Row],[data]],"dddd")</f>
        <v>sábado</v>
      </c>
      <c r="D1174" s="33">
        <v>1</v>
      </c>
      <c r="E1174" s="33">
        <v>1</v>
      </c>
      <c r="F1174" s="18"/>
      <c r="G1174" s="35">
        <f>WEEKDAY(Metas_Diarias[[#This Row],[data]])</f>
        <v>7</v>
      </c>
      <c r="H1174" s="35">
        <f>IF(Metas_Diarias[[#This Row],[dias_da_demana]]=1,"domingo",IF(Metas_Diarias[[#This Row],[dias_da_demana]]=7,0.5,1))</f>
        <v>0.5</v>
      </c>
      <c r="I1174" s="35">
        <f>_xlfn.XLOOKUP(Metas_Diarias[[#This Row],[data]],Feriados[Data],Feriados[Feriado],1)</f>
        <v>1</v>
      </c>
      <c r="J1174" s="33" cm="1">
        <f t="array" aca="1" ref="J1174" ca="1">SUMPRODUCT(IF((NOT(ISERROR(MATCH(ROW(INDIRECT(DATE(YEAR(B1174),MONTH(B1174),1)&amp;":"&amp;DATE(YEAR(B1174),MONTH(B1174)+1,0))),Feriados[Data],0))))=FALSE,
IF(WEEKDAY(ROW(INDIRECT(DATE(YEAR(B1174),MONTH(B1174),1)&amp;":"&amp;DATE(YEAR(B1174),MONTH(B1174)+1,0))),2)&lt;=5,1,IF(WEEKDAY(ROW(INDIRECT(DATE(YEAR(B1174),MONTH(B1174),1)&amp;":"&amp;DATE(YEAR(B1174),MONTH(B1174)+1,0))),2)=6,0.5,0)),0))</f>
        <v>24</v>
      </c>
      <c r="K1174" s="22" cm="1">
        <f t="array" ref="K1174">_xlfn.XLOOKUP(1,((Metas_Diarias[[#This Row],[tipo_equipe_id]]=Metas[equipe])*(Metas_Diarias[[#This Row],[data]]&gt;Metas[data_inicio])*(Metas_Diarias[[#This Row],[data]]&lt;Metas[data_fim])),Metas[meta_mensal],0)</f>
        <v>168000</v>
      </c>
      <c r="L1174" s="24">
        <f ca="1">Metas_Diarias[[#This Row],[meta_mensal]]*IF(Metas_Diarias[[#This Row],[semana]]="domingo",0,Metas_Diarias[[#This Row],[semana]])*IF(Metas_Diarias[[#This Row],[feriado]]&lt;&gt;1,0,1)/Metas_Diarias[[#This Row],[dias_úteis_Mês]]</f>
        <v>3500</v>
      </c>
    </row>
    <row r="1175" spans="2:12" x14ac:dyDescent="0.3">
      <c r="B1175" s="34">
        <v>46096</v>
      </c>
      <c r="C1175" s="34" t="str">
        <f>TEXT(Metas_Diarias[[#This Row],[data]],"dddd")</f>
        <v>domingo</v>
      </c>
      <c r="D1175" s="33">
        <v>1</v>
      </c>
      <c r="E1175" s="33">
        <v>1</v>
      </c>
      <c r="F1175" s="18"/>
      <c r="G1175" s="35">
        <f>WEEKDAY(Metas_Diarias[[#This Row],[data]])</f>
        <v>1</v>
      </c>
      <c r="H1175" s="35" t="str">
        <f>IF(Metas_Diarias[[#This Row],[dias_da_demana]]=1,"domingo",IF(Metas_Diarias[[#This Row],[dias_da_demana]]=7,0.5,1))</f>
        <v>domingo</v>
      </c>
      <c r="I1175" s="35">
        <f>_xlfn.XLOOKUP(Metas_Diarias[[#This Row],[data]],Feriados[Data],Feriados[Feriado],1)</f>
        <v>1</v>
      </c>
      <c r="J1175" s="33" cm="1">
        <f t="array" aca="1" ref="J1175" ca="1">SUMPRODUCT(IF((NOT(ISERROR(MATCH(ROW(INDIRECT(DATE(YEAR(B1175),MONTH(B1175),1)&amp;":"&amp;DATE(YEAR(B1175),MONTH(B1175)+1,0))),Feriados[Data],0))))=FALSE,
IF(WEEKDAY(ROW(INDIRECT(DATE(YEAR(B1175),MONTH(B1175),1)&amp;":"&amp;DATE(YEAR(B1175),MONTH(B1175)+1,0))),2)&lt;=5,1,IF(WEEKDAY(ROW(INDIRECT(DATE(YEAR(B1175),MONTH(B1175),1)&amp;":"&amp;DATE(YEAR(B1175),MONTH(B1175)+1,0))),2)=6,0.5,0)),0))</f>
        <v>24</v>
      </c>
      <c r="K1175" s="22" cm="1">
        <f t="array" ref="K1175">_xlfn.XLOOKUP(1,((Metas_Diarias[[#This Row],[tipo_equipe_id]]=Metas[equipe])*(Metas_Diarias[[#This Row],[data]]&gt;Metas[data_inicio])*(Metas_Diarias[[#This Row],[data]]&lt;Metas[data_fim])),Metas[meta_mensal],0)</f>
        <v>168000</v>
      </c>
      <c r="L11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76" spans="2:12" x14ac:dyDescent="0.3">
      <c r="B1176" s="34">
        <v>46097</v>
      </c>
      <c r="C1176" s="34" t="str">
        <f>TEXT(Metas_Diarias[[#This Row],[data]],"dddd")</f>
        <v>segunda-feira</v>
      </c>
      <c r="D1176" s="33">
        <v>1</v>
      </c>
      <c r="E1176" s="33">
        <v>1</v>
      </c>
      <c r="F1176" s="18"/>
      <c r="G1176" s="35">
        <f>WEEKDAY(Metas_Diarias[[#This Row],[data]])</f>
        <v>2</v>
      </c>
      <c r="H1176" s="35">
        <f>IF(Metas_Diarias[[#This Row],[dias_da_demana]]=1,"domingo",IF(Metas_Diarias[[#This Row],[dias_da_demana]]=7,0.5,1))</f>
        <v>1</v>
      </c>
      <c r="I1176" s="35">
        <f>_xlfn.XLOOKUP(Metas_Diarias[[#This Row],[data]],Feriados[Data],Feriados[Feriado],1)</f>
        <v>1</v>
      </c>
      <c r="J1176" s="33" cm="1">
        <f t="array" aca="1" ref="J1176" ca="1">SUMPRODUCT(IF((NOT(ISERROR(MATCH(ROW(INDIRECT(DATE(YEAR(B1176),MONTH(B1176),1)&amp;":"&amp;DATE(YEAR(B1176),MONTH(B1176)+1,0))),Feriados[Data],0))))=FALSE,
IF(WEEKDAY(ROW(INDIRECT(DATE(YEAR(B1176),MONTH(B1176),1)&amp;":"&amp;DATE(YEAR(B1176),MONTH(B1176)+1,0))),2)&lt;=5,1,IF(WEEKDAY(ROW(INDIRECT(DATE(YEAR(B1176),MONTH(B1176),1)&amp;":"&amp;DATE(YEAR(B1176),MONTH(B1176)+1,0))),2)=6,0.5,0)),0))</f>
        <v>24</v>
      </c>
      <c r="K1176" s="22" cm="1">
        <f t="array" ref="K1176">_xlfn.XLOOKUP(1,((Metas_Diarias[[#This Row],[tipo_equipe_id]]=Metas[equipe])*(Metas_Diarias[[#This Row],[data]]&gt;Metas[data_inicio])*(Metas_Diarias[[#This Row],[data]]&lt;Metas[data_fim])),Metas[meta_mensal],0)</f>
        <v>168000</v>
      </c>
      <c r="L1176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77" spans="2:12" x14ac:dyDescent="0.3">
      <c r="B1177" s="34">
        <v>46098</v>
      </c>
      <c r="C1177" s="34" t="str">
        <f>TEXT(Metas_Diarias[[#This Row],[data]],"dddd")</f>
        <v>terça-feira</v>
      </c>
      <c r="D1177" s="33">
        <v>1</v>
      </c>
      <c r="E1177" s="33">
        <v>1</v>
      </c>
      <c r="F1177" s="18"/>
      <c r="G1177" s="35">
        <f>WEEKDAY(Metas_Diarias[[#This Row],[data]])</f>
        <v>3</v>
      </c>
      <c r="H1177" s="35">
        <f>IF(Metas_Diarias[[#This Row],[dias_da_demana]]=1,"domingo",IF(Metas_Diarias[[#This Row],[dias_da_demana]]=7,0.5,1))</f>
        <v>1</v>
      </c>
      <c r="I1177" s="35">
        <f>_xlfn.XLOOKUP(Metas_Diarias[[#This Row],[data]],Feriados[Data],Feriados[Feriado],1)</f>
        <v>1</v>
      </c>
      <c r="J1177" s="33" cm="1">
        <f t="array" aca="1" ref="J1177" ca="1">SUMPRODUCT(IF((NOT(ISERROR(MATCH(ROW(INDIRECT(DATE(YEAR(B1177),MONTH(B1177),1)&amp;":"&amp;DATE(YEAR(B1177),MONTH(B1177)+1,0))),Feriados[Data],0))))=FALSE,
IF(WEEKDAY(ROW(INDIRECT(DATE(YEAR(B1177),MONTH(B1177),1)&amp;":"&amp;DATE(YEAR(B1177),MONTH(B1177)+1,0))),2)&lt;=5,1,IF(WEEKDAY(ROW(INDIRECT(DATE(YEAR(B1177),MONTH(B1177),1)&amp;":"&amp;DATE(YEAR(B1177),MONTH(B1177)+1,0))),2)=6,0.5,0)),0))</f>
        <v>24</v>
      </c>
      <c r="K1177" s="22" cm="1">
        <f t="array" ref="K1177">_xlfn.XLOOKUP(1,((Metas_Diarias[[#This Row],[tipo_equipe_id]]=Metas[equipe])*(Metas_Diarias[[#This Row],[data]]&gt;Metas[data_inicio])*(Metas_Diarias[[#This Row],[data]]&lt;Metas[data_fim])),Metas[meta_mensal],0)</f>
        <v>168000</v>
      </c>
      <c r="L1177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78" spans="2:12" x14ac:dyDescent="0.3">
      <c r="B1178" s="34">
        <v>46099</v>
      </c>
      <c r="C1178" s="34" t="str">
        <f>TEXT(Metas_Diarias[[#This Row],[data]],"dddd")</f>
        <v>quarta-feira</v>
      </c>
      <c r="D1178" s="33">
        <v>1</v>
      </c>
      <c r="E1178" s="33">
        <v>1</v>
      </c>
      <c r="F1178" s="18"/>
      <c r="G1178" s="35">
        <f>WEEKDAY(Metas_Diarias[[#This Row],[data]])</f>
        <v>4</v>
      </c>
      <c r="H1178" s="35">
        <f>IF(Metas_Diarias[[#This Row],[dias_da_demana]]=1,"domingo",IF(Metas_Diarias[[#This Row],[dias_da_demana]]=7,0.5,1))</f>
        <v>1</v>
      </c>
      <c r="I1178" s="35">
        <f>_xlfn.XLOOKUP(Metas_Diarias[[#This Row],[data]],Feriados[Data],Feriados[Feriado],1)</f>
        <v>1</v>
      </c>
      <c r="J1178" s="33" cm="1">
        <f t="array" aca="1" ref="J1178" ca="1">SUMPRODUCT(IF((NOT(ISERROR(MATCH(ROW(INDIRECT(DATE(YEAR(B1178),MONTH(B1178),1)&amp;":"&amp;DATE(YEAR(B1178),MONTH(B1178)+1,0))),Feriados[Data],0))))=FALSE,
IF(WEEKDAY(ROW(INDIRECT(DATE(YEAR(B1178),MONTH(B1178),1)&amp;":"&amp;DATE(YEAR(B1178),MONTH(B1178)+1,0))),2)&lt;=5,1,IF(WEEKDAY(ROW(INDIRECT(DATE(YEAR(B1178),MONTH(B1178),1)&amp;":"&amp;DATE(YEAR(B1178),MONTH(B1178)+1,0))),2)=6,0.5,0)),0))</f>
        <v>24</v>
      </c>
      <c r="K1178" s="22" cm="1">
        <f t="array" ref="K1178">_xlfn.XLOOKUP(1,((Metas_Diarias[[#This Row],[tipo_equipe_id]]=Metas[equipe])*(Metas_Diarias[[#This Row],[data]]&gt;Metas[data_inicio])*(Metas_Diarias[[#This Row],[data]]&lt;Metas[data_fim])),Metas[meta_mensal],0)</f>
        <v>168000</v>
      </c>
      <c r="L1178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79" spans="2:12" x14ac:dyDescent="0.3">
      <c r="B1179" s="34">
        <v>46100</v>
      </c>
      <c r="C1179" s="34" t="str">
        <f>TEXT(Metas_Diarias[[#This Row],[data]],"dddd")</f>
        <v>quinta-feira</v>
      </c>
      <c r="D1179" s="33">
        <v>1</v>
      </c>
      <c r="E1179" s="33">
        <v>1</v>
      </c>
      <c r="F1179" s="18"/>
      <c r="G1179" s="35">
        <f>WEEKDAY(Metas_Diarias[[#This Row],[data]])</f>
        <v>5</v>
      </c>
      <c r="H1179" s="35">
        <f>IF(Metas_Diarias[[#This Row],[dias_da_demana]]=1,"domingo",IF(Metas_Diarias[[#This Row],[dias_da_demana]]=7,0.5,1))</f>
        <v>1</v>
      </c>
      <c r="I1179" s="35">
        <f>_xlfn.XLOOKUP(Metas_Diarias[[#This Row],[data]],Feriados[Data],Feriados[Feriado],1)</f>
        <v>1</v>
      </c>
      <c r="J1179" s="33" cm="1">
        <f t="array" aca="1" ref="J1179" ca="1">SUMPRODUCT(IF((NOT(ISERROR(MATCH(ROW(INDIRECT(DATE(YEAR(B1179),MONTH(B1179),1)&amp;":"&amp;DATE(YEAR(B1179),MONTH(B1179)+1,0))),Feriados[Data],0))))=FALSE,
IF(WEEKDAY(ROW(INDIRECT(DATE(YEAR(B1179),MONTH(B1179),1)&amp;":"&amp;DATE(YEAR(B1179),MONTH(B1179)+1,0))),2)&lt;=5,1,IF(WEEKDAY(ROW(INDIRECT(DATE(YEAR(B1179),MONTH(B1179),1)&amp;":"&amp;DATE(YEAR(B1179),MONTH(B1179)+1,0))),2)=6,0.5,0)),0))</f>
        <v>24</v>
      </c>
      <c r="K1179" s="22" cm="1">
        <f t="array" ref="K1179">_xlfn.XLOOKUP(1,((Metas_Diarias[[#This Row],[tipo_equipe_id]]=Metas[equipe])*(Metas_Diarias[[#This Row],[data]]&gt;Metas[data_inicio])*(Metas_Diarias[[#This Row],[data]]&lt;Metas[data_fim])),Metas[meta_mensal],0)</f>
        <v>168000</v>
      </c>
      <c r="L1179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80" spans="2:12" x14ac:dyDescent="0.3">
      <c r="B1180" s="34">
        <v>46101</v>
      </c>
      <c r="C1180" s="34" t="str">
        <f>TEXT(Metas_Diarias[[#This Row],[data]],"dddd")</f>
        <v>sexta-feira</v>
      </c>
      <c r="D1180" s="33">
        <v>1</v>
      </c>
      <c r="E1180" s="33">
        <v>1</v>
      </c>
      <c r="F1180" s="18"/>
      <c r="G1180" s="35">
        <f>WEEKDAY(Metas_Diarias[[#This Row],[data]])</f>
        <v>6</v>
      </c>
      <c r="H1180" s="35">
        <f>IF(Metas_Diarias[[#This Row],[dias_da_demana]]=1,"domingo",IF(Metas_Diarias[[#This Row],[dias_da_demana]]=7,0.5,1))</f>
        <v>1</v>
      </c>
      <c r="I1180" s="35">
        <f>_xlfn.XLOOKUP(Metas_Diarias[[#This Row],[data]],Feriados[Data],Feriados[Feriado],1)</f>
        <v>1</v>
      </c>
      <c r="J1180" s="33" cm="1">
        <f t="array" aca="1" ref="J1180" ca="1">SUMPRODUCT(IF((NOT(ISERROR(MATCH(ROW(INDIRECT(DATE(YEAR(B1180),MONTH(B1180),1)&amp;":"&amp;DATE(YEAR(B1180),MONTH(B1180)+1,0))),Feriados[Data],0))))=FALSE,
IF(WEEKDAY(ROW(INDIRECT(DATE(YEAR(B1180),MONTH(B1180),1)&amp;":"&amp;DATE(YEAR(B1180),MONTH(B1180)+1,0))),2)&lt;=5,1,IF(WEEKDAY(ROW(INDIRECT(DATE(YEAR(B1180),MONTH(B1180),1)&amp;":"&amp;DATE(YEAR(B1180),MONTH(B1180)+1,0))),2)=6,0.5,0)),0))</f>
        <v>24</v>
      </c>
      <c r="K1180" s="22" cm="1">
        <f t="array" ref="K1180">_xlfn.XLOOKUP(1,((Metas_Diarias[[#This Row],[tipo_equipe_id]]=Metas[equipe])*(Metas_Diarias[[#This Row],[data]]&gt;Metas[data_inicio])*(Metas_Diarias[[#This Row],[data]]&lt;Metas[data_fim])),Metas[meta_mensal],0)</f>
        <v>168000</v>
      </c>
      <c r="L1180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81" spans="2:12" x14ac:dyDescent="0.3">
      <c r="B1181" s="34">
        <v>46102</v>
      </c>
      <c r="C1181" s="34" t="str">
        <f>TEXT(Metas_Diarias[[#This Row],[data]],"dddd")</f>
        <v>sábado</v>
      </c>
      <c r="D1181" s="33">
        <v>1</v>
      </c>
      <c r="E1181" s="33">
        <v>1</v>
      </c>
      <c r="F1181" s="18"/>
      <c r="G1181" s="35">
        <f>WEEKDAY(Metas_Diarias[[#This Row],[data]])</f>
        <v>7</v>
      </c>
      <c r="H1181" s="35">
        <f>IF(Metas_Diarias[[#This Row],[dias_da_demana]]=1,"domingo",IF(Metas_Diarias[[#This Row],[dias_da_demana]]=7,0.5,1))</f>
        <v>0.5</v>
      </c>
      <c r="I1181" s="35">
        <f>_xlfn.XLOOKUP(Metas_Diarias[[#This Row],[data]],Feriados[Data],Feriados[Feriado],1)</f>
        <v>1</v>
      </c>
      <c r="J1181" s="33" cm="1">
        <f t="array" aca="1" ref="J1181" ca="1">SUMPRODUCT(IF((NOT(ISERROR(MATCH(ROW(INDIRECT(DATE(YEAR(B1181),MONTH(B1181),1)&amp;":"&amp;DATE(YEAR(B1181),MONTH(B1181)+1,0))),Feriados[Data],0))))=FALSE,
IF(WEEKDAY(ROW(INDIRECT(DATE(YEAR(B1181),MONTH(B1181),1)&amp;":"&amp;DATE(YEAR(B1181),MONTH(B1181)+1,0))),2)&lt;=5,1,IF(WEEKDAY(ROW(INDIRECT(DATE(YEAR(B1181),MONTH(B1181),1)&amp;":"&amp;DATE(YEAR(B1181),MONTH(B1181)+1,0))),2)=6,0.5,0)),0))</f>
        <v>24</v>
      </c>
      <c r="K1181" s="22" cm="1">
        <f t="array" ref="K1181">_xlfn.XLOOKUP(1,((Metas_Diarias[[#This Row],[tipo_equipe_id]]=Metas[equipe])*(Metas_Diarias[[#This Row],[data]]&gt;Metas[data_inicio])*(Metas_Diarias[[#This Row],[data]]&lt;Metas[data_fim])),Metas[meta_mensal],0)</f>
        <v>168000</v>
      </c>
      <c r="L1181" s="24">
        <f ca="1">Metas_Diarias[[#This Row],[meta_mensal]]*IF(Metas_Diarias[[#This Row],[semana]]="domingo",0,Metas_Diarias[[#This Row],[semana]])*IF(Metas_Diarias[[#This Row],[feriado]]&lt;&gt;1,0,1)/Metas_Diarias[[#This Row],[dias_úteis_Mês]]</f>
        <v>3500</v>
      </c>
    </row>
    <row r="1182" spans="2:12" x14ac:dyDescent="0.3">
      <c r="B1182" s="34">
        <v>46103</v>
      </c>
      <c r="C1182" s="34" t="str">
        <f>TEXT(Metas_Diarias[[#This Row],[data]],"dddd")</f>
        <v>domingo</v>
      </c>
      <c r="D1182" s="33">
        <v>1</v>
      </c>
      <c r="E1182" s="33">
        <v>1</v>
      </c>
      <c r="F1182" s="18"/>
      <c r="G1182" s="35">
        <f>WEEKDAY(Metas_Diarias[[#This Row],[data]])</f>
        <v>1</v>
      </c>
      <c r="H1182" s="35" t="str">
        <f>IF(Metas_Diarias[[#This Row],[dias_da_demana]]=1,"domingo",IF(Metas_Diarias[[#This Row],[dias_da_demana]]=7,0.5,1))</f>
        <v>domingo</v>
      </c>
      <c r="I1182" s="35">
        <f>_xlfn.XLOOKUP(Metas_Diarias[[#This Row],[data]],Feriados[Data],Feriados[Feriado],1)</f>
        <v>1</v>
      </c>
      <c r="J1182" s="33" cm="1">
        <f t="array" aca="1" ref="J1182" ca="1">SUMPRODUCT(IF((NOT(ISERROR(MATCH(ROW(INDIRECT(DATE(YEAR(B1182),MONTH(B1182),1)&amp;":"&amp;DATE(YEAR(B1182),MONTH(B1182)+1,0))),Feriados[Data],0))))=FALSE,
IF(WEEKDAY(ROW(INDIRECT(DATE(YEAR(B1182),MONTH(B1182),1)&amp;":"&amp;DATE(YEAR(B1182),MONTH(B1182)+1,0))),2)&lt;=5,1,IF(WEEKDAY(ROW(INDIRECT(DATE(YEAR(B1182),MONTH(B1182),1)&amp;":"&amp;DATE(YEAR(B1182),MONTH(B1182)+1,0))),2)=6,0.5,0)),0))</f>
        <v>24</v>
      </c>
      <c r="K1182" s="22" cm="1">
        <f t="array" ref="K1182">_xlfn.XLOOKUP(1,((Metas_Diarias[[#This Row],[tipo_equipe_id]]=Metas[equipe])*(Metas_Diarias[[#This Row],[data]]&gt;Metas[data_inicio])*(Metas_Diarias[[#This Row],[data]]&lt;Metas[data_fim])),Metas[meta_mensal],0)</f>
        <v>168000</v>
      </c>
      <c r="L11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83" spans="2:12" x14ac:dyDescent="0.3">
      <c r="B1183" s="34">
        <v>46104</v>
      </c>
      <c r="C1183" s="34" t="str">
        <f>TEXT(Metas_Diarias[[#This Row],[data]],"dddd")</f>
        <v>segunda-feira</v>
      </c>
      <c r="D1183" s="33">
        <v>1</v>
      </c>
      <c r="E1183" s="33">
        <v>1</v>
      </c>
      <c r="F1183" s="18"/>
      <c r="G1183" s="35">
        <f>WEEKDAY(Metas_Diarias[[#This Row],[data]])</f>
        <v>2</v>
      </c>
      <c r="H1183" s="35">
        <f>IF(Metas_Diarias[[#This Row],[dias_da_demana]]=1,"domingo",IF(Metas_Diarias[[#This Row],[dias_da_demana]]=7,0.5,1))</f>
        <v>1</v>
      </c>
      <c r="I1183" s="35">
        <f>_xlfn.XLOOKUP(Metas_Diarias[[#This Row],[data]],Feriados[Data],Feriados[Feriado],1)</f>
        <v>1</v>
      </c>
      <c r="J1183" s="33" cm="1">
        <f t="array" aca="1" ref="J1183" ca="1">SUMPRODUCT(IF((NOT(ISERROR(MATCH(ROW(INDIRECT(DATE(YEAR(B1183),MONTH(B1183),1)&amp;":"&amp;DATE(YEAR(B1183),MONTH(B1183)+1,0))),Feriados[Data],0))))=FALSE,
IF(WEEKDAY(ROW(INDIRECT(DATE(YEAR(B1183),MONTH(B1183),1)&amp;":"&amp;DATE(YEAR(B1183),MONTH(B1183)+1,0))),2)&lt;=5,1,IF(WEEKDAY(ROW(INDIRECT(DATE(YEAR(B1183),MONTH(B1183),1)&amp;":"&amp;DATE(YEAR(B1183),MONTH(B1183)+1,0))),2)=6,0.5,0)),0))</f>
        <v>24</v>
      </c>
      <c r="K1183" s="22" cm="1">
        <f t="array" ref="K1183">_xlfn.XLOOKUP(1,((Metas_Diarias[[#This Row],[tipo_equipe_id]]=Metas[equipe])*(Metas_Diarias[[#This Row],[data]]&gt;Metas[data_inicio])*(Metas_Diarias[[#This Row],[data]]&lt;Metas[data_fim])),Metas[meta_mensal],0)</f>
        <v>168000</v>
      </c>
      <c r="L1183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84" spans="2:12" x14ac:dyDescent="0.3">
      <c r="B1184" s="34">
        <v>46105</v>
      </c>
      <c r="C1184" s="34" t="str">
        <f>TEXT(Metas_Diarias[[#This Row],[data]],"dddd")</f>
        <v>terça-feira</v>
      </c>
      <c r="D1184" s="33">
        <v>1</v>
      </c>
      <c r="E1184" s="33">
        <v>1</v>
      </c>
      <c r="F1184" s="18"/>
      <c r="G1184" s="35">
        <f>WEEKDAY(Metas_Diarias[[#This Row],[data]])</f>
        <v>3</v>
      </c>
      <c r="H1184" s="35">
        <f>IF(Metas_Diarias[[#This Row],[dias_da_demana]]=1,"domingo",IF(Metas_Diarias[[#This Row],[dias_da_demana]]=7,0.5,1))</f>
        <v>1</v>
      </c>
      <c r="I1184" s="35">
        <f>_xlfn.XLOOKUP(Metas_Diarias[[#This Row],[data]],Feriados[Data],Feriados[Feriado],1)</f>
        <v>1</v>
      </c>
      <c r="J1184" s="33" cm="1">
        <f t="array" aca="1" ref="J1184" ca="1">SUMPRODUCT(IF((NOT(ISERROR(MATCH(ROW(INDIRECT(DATE(YEAR(B1184),MONTH(B1184),1)&amp;":"&amp;DATE(YEAR(B1184),MONTH(B1184)+1,0))),Feriados[Data],0))))=FALSE,
IF(WEEKDAY(ROW(INDIRECT(DATE(YEAR(B1184),MONTH(B1184),1)&amp;":"&amp;DATE(YEAR(B1184),MONTH(B1184)+1,0))),2)&lt;=5,1,IF(WEEKDAY(ROW(INDIRECT(DATE(YEAR(B1184),MONTH(B1184),1)&amp;":"&amp;DATE(YEAR(B1184),MONTH(B1184)+1,0))),2)=6,0.5,0)),0))</f>
        <v>24</v>
      </c>
      <c r="K1184" s="22" cm="1">
        <f t="array" ref="K1184">_xlfn.XLOOKUP(1,((Metas_Diarias[[#This Row],[tipo_equipe_id]]=Metas[equipe])*(Metas_Diarias[[#This Row],[data]]&gt;Metas[data_inicio])*(Metas_Diarias[[#This Row],[data]]&lt;Metas[data_fim])),Metas[meta_mensal],0)</f>
        <v>168000</v>
      </c>
      <c r="L1184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85" spans="2:12" x14ac:dyDescent="0.3">
      <c r="B1185" s="34">
        <v>46106</v>
      </c>
      <c r="C1185" s="34" t="str">
        <f>TEXT(Metas_Diarias[[#This Row],[data]],"dddd")</f>
        <v>quarta-feira</v>
      </c>
      <c r="D1185" s="33">
        <v>1</v>
      </c>
      <c r="E1185" s="33">
        <v>1</v>
      </c>
      <c r="F1185" s="18"/>
      <c r="G1185" s="35">
        <f>WEEKDAY(Metas_Diarias[[#This Row],[data]])</f>
        <v>4</v>
      </c>
      <c r="H1185" s="35">
        <f>IF(Metas_Diarias[[#This Row],[dias_da_demana]]=1,"domingo",IF(Metas_Diarias[[#This Row],[dias_da_demana]]=7,0.5,1))</f>
        <v>1</v>
      </c>
      <c r="I1185" s="35">
        <f>_xlfn.XLOOKUP(Metas_Diarias[[#This Row],[data]],Feriados[Data],Feriados[Feriado],1)</f>
        <v>1</v>
      </c>
      <c r="J1185" s="33" cm="1">
        <f t="array" aca="1" ref="J1185" ca="1">SUMPRODUCT(IF((NOT(ISERROR(MATCH(ROW(INDIRECT(DATE(YEAR(B1185),MONTH(B1185),1)&amp;":"&amp;DATE(YEAR(B1185),MONTH(B1185)+1,0))),Feriados[Data],0))))=FALSE,
IF(WEEKDAY(ROW(INDIRECT(DATE(YEAR(B1185),MONTH(B1185),1)&amp;":"&amp;DATE(YEAR(B1185),MONTH(B1185)+1,0))),2)&lt;=5,1,IF(WEEKDAY(ROW(INDIRECT(DATE(YEAR(B1185),MONTH(B1185),1)&amp;":"&amp;DATE(YEAR(B1185),MONTH(B1185)+1,0))),2)=6,0.5,0)),0))</f>
        <v>24</v>
      </c>
      <c r="K1185" s="22" cm="1">
        <f t="array" ref="K1185">_xlfn.XLOOKUP(1,((Metas_Diarias[[#This Row],[tipo_equipe_id]]=Metas[equipe])*(Metas_Diarias[[#This Row],[data]]&gt;Metas[data_inicio])*(Metas_Diarias[[#This Row],[data]]&lt;Metas[data_fim])),Metas[meta_mensal],0)</f>
        <v>168000</v>
      </c>
      <c r="L1185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86" spans="2:12" x14ac:dyDescent="0.3">
      <c r="B1186" s="34">
        <v>46107</v>
      </c>
      <c r="C1186" s="34" t="str">
        <f>TEXT(Metas_Diarias[[#This Row],[data]],"dddd")</f>
        <v>quinta-feira</v>
      </c>
      <c r="D1186" s="33">
        <v>1</v>
      </c>
      <c r="E1186" s="33">
        <v>1</v>
      </c>
      <c r="F1186" s="18"/>
      <c r="G1186" s="35">
        <f>WEEKDAY(Metas_Diarias[[#This Row],[data]])</f>
        <v>5</v>
      </c>
      <c r="H1186" s="35">
        <f>IF(Metas_Diarias[[#This Row],[dias_da_demana]]=1,"domingo",IF(Metas_Diarias[[#This Row],[dias_da_demana]]=7,0.5,1))</f>
        <v>1</v>
      </c>
      <c r="I1186" s="35">
        <f>_xlfn.XLOOKUP(Metas_Diarias[[#This Row],[data]],Feriados[Data],Feriados[Feriado],1)</f>
        <v>1</v>
      </c>
      <c r="J1186" s="33" cm="1">
        <f t="array" aca="1" ref="J1186" ca="1">SUMPRODUCT(IF((NOT(ISERROR(MATCH(ROW(INDIRECT(DATE(YEAR(B1186),MONTH(B1186),1)&amp;":"&amp;DATE(YEAR(B1186),MONTH(B1186)+1,0))),Feriados[Data],0))))=FALSE,
IF(WEEKDAY(ROW(INDIRECT(DATE(YEAR(B1186),MONTH(B1186),1)&amp;":"&amp;DATE(YEAR(B1186),MONTH(B1186)+1,0))),2)&lt;=5,1,IF(WEEKDAY(ROW(INDIRECT(DATE(YEAR(B1186),MONTH(B1186),1)&amp;":"&amp;DATE(YEAR(B1186),MONTH(B1186)+1,0))),2)=6,0.5,0)),0))</f>
        <v>24</v>
      </c>
      <c r="K1186" s="22" cm="1">
        <f t="array" ref="K1186">_xlfn.XLOOKUP(1,((Metas_Diarias[[#This Row],[tipo_equipe_id]]=Metas[equipe])*(Metas_Diarias[[#This Row],[data]]&gt;Metas[data_inicio])*(Metas_Diarias[[#This Row],[data]]&lt;Metas[data_fim])),Metas[meta_mensal],0)</f>
        <v>168000</v>
      </c>
      <c r="L1186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87" spans="2:12" x14ac:dyDescent="0.3">
      <c r="B1187" s="34">
        <v>46108</v>
      </c>
      <c r="C1187" s="34" t="str">
        <f>TEXT(Metas_Diarias[[#This Row],[data]],"dddd")</f>
        <v>sexta-feira</v>
      </c>
      <c r="D1187" s="33">
        <v>1</v>
      </c>
      <c r="E1187" s="33">
        <v>1</v>
      </c>
      <c r="F1187" s="18"/>
      <c r="G1187" s="35">
        <f>WEEKDAY(Metas_Diarias[[#This Row],[data]])</f>
        <v>6</v>
      </c>
      <c r="H1187" s="35">
        <f>IF(Metas_Diarias[[#This Row],[dias_da_demana]]=1,"domingo",IF(Metas_Diarias[[#This Row],[dias_da_demana]]=7,0.5,1))</f>
        <v>1</v>
      </c>
      <c r="I1187" s="35">
        <f>_xlfn.XLOOKUP(Metas_Diarias[[#This Row],[data]],Feriados[Data],Feriados[Feriado],1)</f>
        <v>1</v>
      </c>
      <c r="J1187" s="33" cm="1">
        <f t="array" aca="1" ref="J1187" ca="1">SUMPRODUCT(IF((NOT(ISERROR(MATCH(ROW(INDIRECT(DATE(YEAR(B1187),MONTH(B1187),1)&amp;":"&amp;DATE(YEAR(B1187),MONTH(B1187)+1,0))),Feriados[Data],0))))=FALSE,
IF(WEEKDAY(ROW(INDIRECT(DATE(YEAR(B1187),MONTH(B1187),1)&amp;":"&amp;DATE(YEAR(B1187),MONTH(B1187)+1,0))),2)&lt;=5,1,IF(WEEKDAY(ROW(INDIRECT(DATE(YEAR(B1187),MONTH(B1187),1)&amp;":"&amp;DATE(YEAR(B1187),MONTH(B1187)+1,0))),2)=6,0.5,0)),0))</f>
        <v>24</v>
      </c>
      <c r="K1187" s="22" cm="1">
        <f t="array" ref="K1187">_xlfn.XLOOKUP(1,((Metas_Diarias[[#This Row],[tipo_equipe_id]]=Metas[equipe])*(Metas_Diarias[[#This Row],[data]]&gt;Metas[data_inicio])*(Metas_Diarias[[#This Row],[data]]&lt;Metas[data_fim])),Metas[meta_mensal],0)</f>
        <v>168000</v>
      </c>
      <c r="L1187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88" spans="2:12" x14ac:dyDescent="0.3">
      <c r="B1188" s="34">
        <v>46109</v>
      </c>
      <c r="C1188" s="34" t="str">
        <f>TEXT(Metas_Diarias[[#This Row],[data]],"dddd")</f>
        <v>sábado</v>
      </c>
      <c r="D1188" s="33">
        <v>1</v>
      </c>
      <c r="E1188" s="33">
        <v>1</v>
      </c>
      <c r="F1188" s="18"/>
      <c r="G1188" s="35">
        <f>WEEKDAY(Metas_Diarias[[#This Row],[data]])</f>
        <v>7</v>
      </c>
      <c r="H1188" s="35">
        <f>IF(Metas_Diarias[[#This Row],[dias_da_demana]]=1,"domingo",IF(Metas_Diarias[[#This Row],[dias_da_demana]]=7,0.5,1))</f>
        <v>0.5</v>
      </c>
      <c r="I1188" s="35">
        <f>_xlfn.XLOOKUP(Metas_Diarias[[#This Row],[data]],Feriados[Data],Feriados[Feriado],1)</f>
        <v>1</v>
      </c>
      <c r="J1188" s="33" cm="1">
        <f t="array" aca="1" ref="J1188" ca="1">SUMPRODUCT(IF((NOT(ISERROR(MATCH(ROW(INDIRECT(DATE(YEAR(B1188),MONTH(B1188),1)&amp;":"&amp;DATE(YEAR(B1188),MONTH(B1188)+1,0))),Feriados[Data],0))))=FALSE,
IF(WEEKDAY(ROW(INDIRECT(DATE(YEAR(B1188),MONTH(B1188),1)&amp;":"&amp;DATE(YEAR(B1188),MONTH(B1188)+1,0))),2)&lt;=5,1,IF(WEEKDAY(ROW(INDIRECT(DATE(YEAR(B1188),MONTH(B1188),1)&amp;":"&amp;DATE(YEAR(B1188),MONTH(B1188)+1,0))),2)=6,0.5,0)),0))</f>
        <v>24</v>
      </c>
      <c r="K1188" s="22" cm="1">
        <f t="array" ref="K1188">_xlfn.XLOOKUP(1,((Metas_Diarias[[#This Row],[tipo_equipe_id]]=Metas[equipe])*(Metas_Diarias[[#This Row],[data]]&gt;Metas[data_inicio])*(Metas_Diarias[[#This Row],[data]]&lt;Metas[data_fim])),Metas[meta_mensal],0)</f>
        <v>168000</v>
      </c>
      <c r="L1188" s="24">
        <f ca="1">Metas_Diarias[[#This Row],[meta_mensal]]*IF(Metas_Diarias[[#This Row],[semana]]="domingo",0,Metas_Diarias[[#This Row],[semana]])*IF(Metas_Diarias[[#This Row],[feriado]]&lt;&gt;1,0,1)/Metas_Diarias[[#This Row],[dias_úteis_Mês]]</f>
        <v>3500</v>
      </c>
    </row>
    <row r="1189" spans="2:12" x14ac:dyDescent="0.3">
      <c r="B1189" s="34">
        <v>46110</v>
      </c>
      <c r="C1189" s="34" t="str">
        <f>TEXT(Metas_Diarias[[#This Row],[data]],"dddd")</f>
        <v>domingo</v>
      </c>
      <c r="D1189" s="33">
        <v>1</v>
      </c>
      <c r="E1189" s="33">
        <v>1</v>
      </c>
      <c r="F1189" s="18"/>
      <c r="G1189" s="35">
        <f>WEEKDAY(Metas_Diarias[[#This Row],[data]])</f>
        <v>1</v>
      </c>
      <c r="H1189" s="35" t="str">
        <f>IF(Metas_Diarias[[#This Row],[dias_da_demana]]=1,"domingo",IF(Metas_Diarias[[#This Row],[dias_da_demana]]=7,0.5,1))</f>
        <v>domingo</v>
      </c>
      <c r="I1189" s="35">
        <f>_xlfn.XLOOKUP(Metas_Diarias[[#This Row],[data]],Feriados[Data],Feriados[Feriado],1)</f>
        <v>1</v>
      </c>
      <c r="J1189" s="33" cm="1">
        <f t="array" aca="1" ref="J1189" ca="1">SUMPRODUCT(IF((NOT(ISERROR(MATCH(ROW(INDIRECT(DATE(YEAR(B1189),MONTH(B1189),1)&amp;":"&amp;DATE(YEAR(B1189),MONTH(B1189)+1,0))),Feriados[Data],0))))=FALSE,
IF(WEEKDAY(ROW(INDIRECT(DATE(YEAR(B1189),MONTH(B1189),1)&amp;":"&amp;DATE(YEAR(B1189),MONTH(B1189)+1,0))),2)&lt;=5,1,IF(WEEKDAY(ROW(INDIRECT(DATE(YEAR(B1189),MONTH(B1189),1)&amp;":"&amp;DATE(YEAR(B1189),MONTH(B1189)+1,0))),2)=6,0.5,0)),0))</f>
        <v>24</v>
      </c>
      <c r="K1189" s="22" cm="1">
        <f t="array" ref="K1189">_xlfn.XLOOKUP(1,((Metas_Diarias[[#This Row],[tipo_equipe_id]]=Metas[equipe])*(Metas_Diarias[[#This Row],[data]]&gt;Metas[data_inicio])*(Metas_Diarias[[#This Row],[data]]&lt;Metas[data_fim])),Metas[meta_mensal],0)</f>
        <v>168000</v>
      </c>
      <c r="L11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90" spans="2:12" x14ac:dyDescent="0.3">
      <c r="B1190" s="34">
        <v>46111</v>
      </c>
      <c r="C1190" s="34" t="str">
        <f>TEXT(Metas_Diarias[[#This Row],[data]],"dddd")</f>
        <v>segunda-feira</v>
      </c>
      <c r="D1190" s="33">
        <v>1</v>
      </c>
      <c r="E1190" s="33">
        <v>1</v>
      </c>
      <c r="F1190" s="18"/>
      <c r="G1190" s="35">
        <f>WEEKDAY(Metas_Diarias[[#This Row],[data]])</f>
        <v>2</v>
      </c>
      <c r="H1190" s="35">
        <f>IF(Metas_Diarias[[#This Row],[dias_da_demana]]=1,"domingo",IF(Metas_Diarias[[#This Row],[dias_da_demana]]=7,0.5,1))</f>
        <v>1</v>
      </c>
      <c r="I1190" s="35">
        <f>_xlfn.XLOOKUP(Metas_Diarias[[#This Row],[data]],Feriados[Data],Feriados[Feriado],1)</f>
        <v>1</v>
      </c>
      <c r="J1190" s="33" cm="1">
        <f t="array" aca="1" ref="J1190" ca="1">SUMPRODUCT(IF((NOT(ISERROR(MATCH(ROW(INDIRECT(DATE(YEAR(B1190),MONTH(B1190),1)&amp;":"&amp;DATE(YEAR(B1190),MONTH(B1190)+1,0))),Feriados[Data],0))))=FALSE,
IF(WEEKDAY(ROW(INDIRECT(DATE(YEAR(B1190),MONTH(B1190),1)&amp;":"&amp;DATE(YEAR(B1190),MONTH(B1190)+1,0))),2)&lt;=5,1,IF(WEEKDAY(ROW(INDIRECT(DATE(YEAR(B1190),MONTH(B1190),1)&amp;":"&amp;DATE(YEAR(B1190),MONTH(B1190)+1,0))),2)=6,0.5,0)),0))</f>
        <v>24</v>
      </c>
      <c r="K1190" s="22" cm="1">
        <f t="array" ref="K1190">_xlfn.XLOOKUP(1,((Metas_Diarias[[#This Row],[tipo_equipe_id]]=Metas[equipe])*(Metas_Diarias[[#This Row],[data]]&gt;Metas[data_inicio])*(Metas_Diarias[[#This Row],[data]]&lt;Metas[data_fim])),Metas[meta_mensal],0)</f>
        <v>168000</v>
      </c>
      <c r="L1190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91" spans="2:12" x14ac:dyDescent="0.3">
      <c r="B1191" s="34">
        <v>46112</v>
      </c>
      <c r="C1191" s="34" t="str">
        <f>TEXT(Metas_Diarias[[#This Row],[data]],"dddd")</f>
        <v>terça-feira</v>
      </c>
      <c r="D1191" s="33">
        <v>1</v>
      </c>
      <c r="E1191" s="33">
        <v>1</v>
      </c>
      <c r="F1191" s="18"/>
      <c r="G1191" s="35">
        <f>WEEKDAY(Metas_Diarias[[#This Row],[data]])</f>
        <v>3</v>
      </c>
      <c r="H1191" s="35">
        <f>IF(Metas_Diarias[[#This Row],[dias_da_demana]]=1,"domingo",IF(Metas_Diarias[[#This Row],[dias_da_demana]]=7,0.5,1))</f>
        <v>1</v>
      </c>
      <c r="I1191" s="35">
        <f>_xlfn.XLOOKUP(Metas_Diarias[[#This Row],[data]],Feriados[Data],Feriados[Feriado],1)</f>
        <v>1</v>
      </c>
      <c r="J1191" s="33" cm="1">
        <f t="array" aca="1" ref="J1191" ca="1">SUMPRODUCT(IF((NOT(ISERROR(MATCH(ROW(INDIRECT(DATE(YEAR(B1191),MONTH(B1191),1)&amp;":"&amp;DATE(YEAR(B1191),MONTH(B1191)+1,0))),Feriados[Data],0))))=FALSE,
IF(WEEKDAY(ROW(INDIRECT(DATE(YEAR(B1191),MONTH(B1191),1)&amp;":"&amp;DATE(YEAR(B1191),MONTH(B1191)+1,0))),2)&lt;=5,1,IF(WEEKDAY(ROW(INDIRECT(DATE(YEAR(B1191),MONTH(B1191),1)&amp;":"&amp;DATE(YEAR(B1191),MONTH(B1191)+1,0))),2)=6,0.5,0)),0))</f>
        <v>24</v>
      </c>
      <c r="K1191" s="22" cm="1">
        <f t="array" ref="K1191">_xlfn.XLOOKUP(1,((Metas_Diarias[[#This Row],[tipo_equipe_id]]=Metas[equipe])*(Metas_Diarias[[#This Row],[data]]&gt;Metas[data_inicio])*(Metas_Diarias[[#This Row],[data]]&lt;Metas[data_fim])),Metas[meta_mensal],0)</f>
        <v>168000</v>
      </c>
      <c r="L1191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192" spans="2:12" x14ac:dyDescent="0.3">
      <c r="B1192" s="34">
        <v>46113</v>
      </c>
      <c r="C1192" s="34" t="str">
        <f>TEXT(Metas_Diarias[[#This Row],[data]],"dddd")</f>
        <v>quarta-feira</v>
      </c>
      <c r="D1192" s="33">
        <v>1</v>
      </c>
      <c r="E1192" s="33">
        <v>1</v>
      </c>
      <c r="F1192" s="18"/>
      <c r="G1192" s="35">
        <f>WEEKDAY(Metas_Diarias[[#This Row],[data]])</f>
        <v>4</v>
      </c>
      <c r="H1192" s="35">
        <f>IF(Metas_Diarias[[#This Row],[dias_da_demana]]=1,"domingo",IF(Metas_Diarias[[#This Row],[dias_da_demana]]=7,0.5,1))</f>
        <v>1</v>
      </c>
      <c r="I1192" s="35">
        <f>_xlfn.XLOOKUP(Metas_Diarias[[#This Row],[data]],Feriados[Data],Feriados[Feriado],1)</f>
        <v>1</v>
      </c>
      <c r="J1192" s="33" cm="1">
        <f t="array" aca="1" ref="J1192" ca="1">SUMPRODUCT(IF((NOT(ISERROR(MATCH(ROW(INDIRECT(DATE(YEAR(B1192),MONTH(B1192),1)&amp;":"&amp;DATE(YEAR(B1192),MONTH(B1192)+1,0))),Feriados[Data],0))))=FALSE,
IF(WEEKDAY(ROW(INDIRECT(DATE(YEAR(B1192),MONTH(B1192),1)&amp;":"&amp;DATE(YEAR(B1192),MONTH(B1192)+1,0))),2)&lt;=5,1,IF(WEEKDAY(ROW(INDIRECT(DATE(YEAR(B1192),MONTH(B1192),1)&amp;":"&amp;DATE(YEAR(B1192),MONTH(B1192)+1,0))),2)=6,0.5,0)),0))</f>
        <v>22</v>
      </c>
      <c r="K1192" s="22" cm="1">
        <f t="array" ref="K1192">_xlfn.XLOOKUP(1,((Metas_Diarias[[#This Row],[tipo_equipe_id]]=Metas[equipe])*(Metas_Diarias[[#This Row],[data]]&gt;Metas[data_inicio])*(Metas_Diarias[[#This Row],[data]]&lt;Metas[data_fim])),Metas[meta_mensal],0)</f>
        <v>168000</v>
      </c>
      <c r="L1192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193" spans="2:12" x14ac:dyDescent="0.3">
      <c r="B1193" s="34">
        <v>46114</v>
      </c>
      <c r="C1193" s="34" t="str">
        <f>TEXT(Metas_Diarias[[#This Row],[data]],"dddd")</f>
        <v>quinta-feira</v>
      </c>
      <c r="D1193" s="33">
        <v>1</v>
      </c>
      <c r="E1193" s="33">
        <v>1</v>
      </c>
      <c r="F1193" s="18"/>
      <c r="G1193" s="35">
        <f>WEEKDAY(Metas_Diarias[[#This Row],[data]])</f>
        <v>5</v>
      </c>
      <c r="H1193" s="35">
        <f>IF(Metas_Diarias[[#This Row],[dias_da_demana]]=1,"domingo",IF(Metas_Diarias[[#This Row],[dias_da_demana]]=7,0.5,1))</f>
        <v>1</v>
      </c>
      <c r="I1193" s="35">
        <f>_xlfn.XLOOKUP(Metas_Diarias[[#This Row],[data]],Feriados[Data],Feriados[Feriado],1)</f>
        <v>1</v>
      </c>
      <c r="J1193" s="33" cm="1">
        <f t="array" aca="1" ref="J1193" ca="1">SUMPRODUCT(IF((NOT(ISERROR(MATCH(ROW(INDIRECT(DATE(YEAR(B1193),MONTH(B1193),1)&amp;":"&amp;DATE(YEAR(B1193),MONTH(B1193)+1,0))),Feriados[Data],0))))=FALSE,
IF(WEEKDAY(ROW(INDIRECT(DATE(YEAR(B1193),MONTH(B1193),1)&amp;":"&amp;DATE(YEAR(B1193),MONTH(B1193)+1,0))),2)&lt;=5,1,IF(WEEKDAY(ROW(INDIRECT(DATE(YEAR(B1193),MONTH(B1193),1)&amp;":"&amp;DATE(YEAR(B1193),MONTH(B1193)+1,0))),2)=6,0.5,0)),0))</f>
        <v>22</v>
      </c>
      <c r="K1193" s="22" cm="1">
        <f t="array" ref="K1193">_xlfn.XLOOKUP(1,((Metas_Diarias[[#This Row],[tipo_equipe_id]]=Metas[equipe])*(Metas_Diarias[[#This Row],[data]]&gt;Metas[data_inicio])*(Metas_Diarias[[#This Row],[data]]&lt;Metas[data_fim])),Metas[meta_mensal],0)</f>
        <v>168000</v>
      </c>
      <c r="L1193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194" spans="2:12" x14ac:dyDescent="0.3">
      <c r="B1194" s="34">
        <v>46115</v>
      </c>
      <c r="C1194" s="34" t="str">
        <f>TEXT(Metas_Diarias[[#This Row],[data]],"dddd")</f>
        <v>sexta-feira</v>
      </c>
      <c r="D1194" s="33">
        <v>1</v>
      </c>
      <c r="E1194" s="33">
        <v>1</v>
      </c>
      <c r="F1194" s="18"/>
      <c r="G1194" s="35">
        <f>WEEKDAY(Metas_Diarias[[#This Row],[data]])</f>
        <v>6</v>
      </c>
      <c r="H1194" s="35">
        <f>IF(Metas_Diarias[[#This Row],[dias_da_demana]]=1,"domingo",IF(Metas_Diarias[[#This Row],[dias_da_demana]]=7,0.5,1))</f>
        <v>1</v>
      </c>
      <c r="I1194" s="35" t="str">
        <f>_xlfn.XLOOKUP(Metas_Diarias[[#This Row],[data]],Feriados[Data],Feriados[Feriado],1)</f>
        <v>Paixão de Cristo</v>
      </c>
      <c r="J1194" s="33" cm="1">
        <f t="array" aca="1" ref="J1194" ca="1">SUMPRODUCT(IF((NOT(ISERROR(MATCH(ROW(INDIRECT(DATE(YEAR(B1194),MONTH(B1194),1)&amp;":"&amp;DATE(YEAR(B1194),MONTH(B1194)+1,0))),Feriados[Data],0))))=FALSE,
IF(WEEKDAY(ROW(INDIRECT(DATE(YEAR(B1194),MONTH(B1194),1)&amp;":"&amp;DATE(YEAR(B1194),MONTH(B1194)+1,0))),2)&lt;=5,1,IF(WEEKDAY(ROW(INDIRECT(DATE(YEAR(B1194),MONTH(B1194),1)&amp;":"&amp;DATE(YEAR(B1194),MONTH(B1194)+1,0))),2)=6,0.5,0)),0))</f>
        <v>22</v>
      </c>
      <c r="K1194" s="22" cm="1">
        <f t="array" ref="K1194">_xlfn.XLOOKUP(1,((Metas_Diarias[[#This Row],[tipo_equipe_id]]=Metas[equipe])*(Metas_Diarias[[#This Row],[data]]&gt;Metas[data_inicio])*(Metas_Diarias[[#This Row],[data]]&lt;Metas[data_fim])),Metas[meta_mensal],0)</f>
        <v>168000</v>
      </c>
      <c r="L11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95" spans="2:12" x14ac:dyDescent="0.3">
      <c r="B1195" s="34">
        <v>46116</v>
      </c>
      <c r="C1195" s="34" t="str">
        <f>TEXT(Metas_Diarias[[#This Row],[data]],"dddd")</f>
        <v>sábado</v>
      </c>
      <c r="D1195" s="33">
        <v>1</v>
      </c>
      <c r="E1195" s="33">
        <v>1</v>
      </c>
      <c r="F1195" s="18"/>
      <c r="G1195" s="35">
        <f>WEEKDAY(Metas_Diarias[[#This Row],[data]])</f>
        <v>7</v>
      </c>
      <c r="H1195" s="35">
        <f>IF(Metas_Diarias[[#This Row],[dias_da_demana]]=1,"domingo",IF(Metas_Diarias[[#This Row],[dias_da_demana]]=7,0.5,1))</f>
        <v>0.5</v>
      </c>
      <c r="I1195" s="35">
        <f>_xlfn.XLOOKUP(Metas_Diarias[[#This Row],[data]],Feriados[Data],Feriados[Feriado],1)</f>
        <v>1</v>
      </c>
      <c r="J1195" s="33" cm="1">
        <f t="array" aca="1" ref="J1195" ca="1">SUMPRODUCT(IF((NOT(ISERROR(MATCH(ROW(INDIRECT(DATE(YEAR(B1195),MONTH(B1195),1)&amp;":"&amp;DATE(YEAR(B1195),MONTH(B1195)+1,0))),Feriados[Data],0))))=FALSE,
IF(WEEKDAY(ROW(INDIRECT(DATE(YEAR(B1195),MONTH(B1195),1)&amp;":"&amp;DATE(YEAR(B1195),MONTH(B1195)+1,0))),2)&lt;=5,1,IF(WEEKDAY(ROW(INDIRECT(DATE(YEAR(B1195),MONTH(B1195),1)&amp;":"&amp;DATE(YEAR(B1195),MONTH(B1195)+1,0))),2)=6,0.5,0)),0))</f>
        <v>22</v>
      </c>
      <c r="K1195" s="22" cm="1">
        <f t="array" ref="K1195">_xlfn.XLOOKUP(1,((Metas_Diarias[[#This Row],[tipo_equipe_id]]=Metas[equipe])*(Metas_Diarias[[#This Row],[data]]&gt;Metas[data_inicio])*(Metas_Diarias[[#This Row],[data]]&lt;Metas[data_fim])),Metas[meta_mensal],0)</f>
        <v>168000</v>
      </c>
      <c r="L1195" s="24">
        <f ca="1">Metas_Diarias[[#This Row],[meta_mensal]]*IF(Metas_Diarias[[#This Row],[semana]]="domingo",0,Metas_Diarias[[#This Row],[semana]])*IF(Metas_Diarias[[#This Row],[feriado]]&lt;&gt;1,0,1)/Metas_Diarias[[#This Row],[dias_úteis_Mês]]</f>
        <v>3818.181818181818</v>
      </c>
    </row>
    <row r="1196" spans="2:12" x14ac:dyDescent="0.3">
      <c r="B1196" s="34">
        <v>46117</v>
      </c>
      <c r="C1196" s="34" t="str">
        <f>TEXT(Metas_Diarias[[#This Row],[data]],"dddd")</f>
        <v>domingo</v>
      </c>
      <c r="D1196" s="33">
        <v>1</v>
      </c>
      <c r="E1196" s="33">
        <v>1</v>
      </c>
      <c r="F1196" s="18"/>
      <c r="G1196" s="35">
        <f>WEEKDAY(Metas_Diarias[[#This Row],[data]])</f>
        <v>1</v>
      </c>
      <c r="H1196" s="35" t="str">
        <f>IF(Metas_Diarias[[#This Row],[dias_da_demana]]=1,"domingo",IF(Metas_Diarias[[#This Row],[dias_da_demana]]=7,0.5,1))</f>
        <v>domingo</v>
      </c>
      <c r="I1196" s="35">
        <f>_xlfn.XLOOKUP(Metas_Diarias[[#This Row],[data]],Feriados[Data],Feriados[Feriado],1)</f>
        <v>1</v>
      </c>
      <c r="J1196" s="33" cm="1">
        <f t="array" aca="1" ref="J1196" ca="1">SUMPRODUCT(IF((NOT(ISERROR(MATCH(ROW(INDIRECT(DATE(YEAR(B1196),MONTH(B1196),1)&amp;":"&amp;DATE(YEAR(B1196),MONTH(B1196)+1,0))),Feriados[Data],0))))=FALSE,
IF(WEEKDAY(ROW(INDIRECT(DATE(YEAR(B1196),MONTH(B1196),1)&amp;":"&amp;DATE(YEAR(B1196),MONTH(B1196)+1,0))),2)&lt;=5,1,IF(WEEKDAY(ROW(INDIRECT(DATE(YEAR(B1196),MONTH(B1196),1)&amp;":"&amp;DATE(YEAR(B1196),MONTH(B1196)+1,0))),2)=6,0.5,0)),0))</f>
        <v>22</v>
      </c>
      <c r="K1196" s="22" cm="1">
        <f t="array" ref="K1196">_xlfn.XLOOKUP(1,((Metas_Diarias[[#This Row],[tipo_equipe_id]]=Metas[equipe])*(Metas_Diarias[[#This Row],[data]]&gt;Metas[data_inicio])*(Metas_Diarias[[#This Row],[data]]&lt;Metas[data_fim])),Metas[meta_mensal],0)</f>
        <v>168000</v>
      </c>
      <c r="L11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197" spans="2:12" x14ac:dyDescent="0.3">
      <c r="B1197" s="34">
        <v>46118</v>
      </c>
      <c r="C1197" s="34" t="str">
        <f>TEXT(Metas_Diarias[[#This Row],[data]],"dddd")</f>
        <v>segunda-feira</v>
      </c>
      <c r="D1197" s="33">
        <v>1</v>
      </c>
      <c r="E1197" s="33">
        <v>1</v>
      </c>
      <c r="F1197" s="18"/>
      <c r="G1197" s="35">
        <f>WEEKDAY(Metas_Diarias[[#This Row],[data]])</f>
        <v>2</v>
      </c>
      <c r="H1197" s="35">
        <f>IF(Metas_Diarias[[#This Row],[dias_da_demana]]=1,"domingo",IF(Metas_Diarias[[#This Row],[dias_da_demana]]=7,0.5,1))</f>
        <v>1</v>
      </c>
      <c r="I1197" s="35">
        <f>_xlfn.XLOOKUP(Metas_Diarias[[#This Row],[data]],Feriados[Data],Feriados[Feriado],1)</f>
        <v>1</v>
      </c>
      <c r="J1197" s="33" cm="1">
        <f t="array" aca="1" ref="J1197" ca="1">SUMPRODUCT(IF((NOT(ISERROR(MATCH(ROW(INDIRECT(DATE(YEAR(B1197),MONTH(B1197),1)&amp;":"&amp;DATE(YEAR(B1197),MONTH(B1197)+1,0))),Feriados[Data],0))))=FALSE,
IF(WEEKDAY(ROW(INDIRECT(DATE(YEAR(B1197),MONTH(B1197),1)&amp;":"&amp;DATE(YEAR(B1197),MONTH(B1197)+1,0))),2)&lt;=5,1,IF(WEEKDAY(ROW(INDIRECT(DATE(YEAR(B1197),MONTH(B1197),1)&amp;":"&amp;DATE(YEAR(B1197),MONTH(B1197)+1,0))),2)=6,0.5,0)),0))</f>
        <v>22</v>
      </c>
      <c r="K1197" s="22" cm="1">
        <f t="array" ref="K1197">_xlfn.XLOOKUP(1,((Metas_Diarias[[#This Row],[tipo_equipe_id]]=Metas[equipe])*(Metas_Diarias[[#This Row],[data]]&gt;Metas[data_inicio])*(Metas_Diarias[[#This Row],[data]]&lt;Metas[data_fim])),Metas[meta_mensal],0)</f>
        <v>168000</v>
      </c>
      <c r="L1197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198" spans="2:12" x14ac:dyDescent="0.3">
      <c r="B1198" s="34">
        <v>46119</v>
      </c>
      <c r="C1198" s="34" t="str">
        <f>TEXT(Metas_Diarias[[#This Row],[data]],"dddd")</f>
        <v>terça-feira</v>
      </c>
      <c r="D1198" s="33">
        <v>1</v>
      </c>
      <c r="E1198" s="33">
        <v>1</v>
      </c>
      <c r="F1198" s="18"/>
      <c r="G1198" s="35">
        <f>WEEKDAY(Metas_Diarias[[#This Row],[data]])</f>
        <v>3</v>
      </c>
      <c r="H1198" s="35">
        <f>IF(Metas_Diarias[[#This Row],[dias_da_demana]]=1,"domingo",IF(Metas_Diarias[[#This Row],[dias_da_demana]]=7,0.5,1))</f>
        <v>1</v>
      </c>
      <c r="I1198" s="35">
        <f>_xlfn.XLOOKUP(Metas_Diarias[[#This Row],[data]],Feriados[Data],Feriados[Feriado],1)</f>
        <v>1</v>
      </c>
      <c r="J1198" s="33" cm="1">
        <f t="array" aca="1" ref="J1198" ca="1">SUMPRODUCT(IF((NOT(ISERROR(MATCH(ROW(INDIRECT(DATE(YEAR(B1198),MONTH(B1198),1)&amp;":"&amp;DATE(YEAR(B1198),MONTH(B1198)+1,0))),Feriados[Data],0))))=FALSE,
IF(WEEKDAY(ROW(INDIRECT(DATE(YEAR(B1198),MONTH(B1198),1)&amp;":"&amp;DATE(YEAR(B1198),MONTH(B1198)+1,0))),2)&lt;=5,1,IF(WEEKDAY(ROW(INDIRECT(DATE(YEAR(B1198),MONTH(B1198),1)&amp;":"&amp;DATE(YEAR(B1198),MONTH(B1198)+1,0))),2)=6,0.5,0)),0))</f>
        <v>22</v>
      </c>
      <c r="K1198" s="22" cm="1">
        <f t="array" ref="K1198">_xlfn.XLOOKUP(1,((Metas_Diarias[[#This Row],[tipo_equipe_id]]=Metas[equipe])*(Metas_Diarias[[#This Row],[data]]&gt;Metas[data_inicio])*(Metas_Diarias[[#This Row],[data]]&lt;Metas[data_fim])),Metas[meta_mensal],0)</f>
        <v>168000</v>
      </c>
      <c r="L1198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199" spans="2:12" x14ac:dyDescent="0.3">
      <c r="B1199" s="34">
        <v>46120</v>
      </c>
      <c r="C1199" s="34" t="str">
        <f>TEXT(Metas_Diarias[[#This Row],[data]],"dddd")</f>
        <v>quarta-feira</v>
      </c>
      <c r="D1199" s="33">
        <v>1</v>
      </c>
      <c r="E1199" s="33">
        <v>1</v>
      </c>
      <c r="F1199" s="18"/>
      <c r="G1199" s="35">
        <f>WEEKDAY(Metas_Diarias[[#This Row],[data]])</f>
        <v>4</v>
      </c>
      <c r="H1199" s="35">
        <f>IF(Metas_Diarias[[#This Row],[dias_da_demana]]=1,"domingo",IF(Metas_Diarias[[#This Row],[dias_da_demana]]=7,0.5,1))</f>
        <v>1</v>
      </c>
      <c r="I1199" s="35">
        <f>_xlfn.XLOOKUP(Metas_Diarias[[#This Row],[data]],Feriados[Data],Feriados[Feriado],1)</f>
        <v>1</v>
      </c>
      <c r="J1199" s="33" cm="1">
        <f t="array" aca="1" ref="J1199" ca="1">SUMPRODUCT(IF((NOT(ISERROR(MATCH(ROW(INDIRECT(DATE(YEAR(B1199),MONTH(B1199),1)&amp;":"&amp;DATE(YEAR(B1199),MONTH(B1199)+1,0))),Feriados[Data],0))))=FALSE,
IF(WEEKDAY(ROW(INDIRECT(DATE(YEAR(B1199),MONTH(B1199),1)&amp;":"&amp;DATE(YEAR(B1199),MONTH(B1199)+1,0))),2)&lt;=5,1,IF(WEEKDAY(ROW(INDIRECT(DATE(YEAR(B1199),MONTH(B1199),1)&amp;":"&amp;DATE(YEAR(B1199),MONTH(B1199)+1,0))),2)=6,0.5,0)),0))</f>
        <v>22</v>
      </c>
      <c r="K1199" s="22" cm="1">
        <f t="array" ref="K1199">_xlfn.XLOOKUP(1,((Metas_Diarias[[#This Row],[tipo_equipe_id]]=Metas[equipe])*(Metas_Diarias[[#This Row],[data]]&gt;Metas[data_inicio])*(Metas_Diarias[[#This Row],[data]]&lt;Metas[data_fim])),Metas[meta_mensal],0)</f>
        <v>168000</v>
      </c>
      <c r="L1199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00" spans="2:12" x14ac:dyDescent="0.3">
      <c r="B1200" s="34">
        <v>46121</v>
      </c>
      <c r="C1200" s="34" t="str">
        <f>TEXT(Metas_Diarias[[#This Row],[data]],"dddd")</f>
        <v>quinta-feira</v>
      </c>
      <c r="D1200" s="33">
        <v>1</v>
      </c>
      <c r="E1200" s="33">
        <v>1</v>
      </c>
      <c r="F1200" s="18"/>
      <c r="G1200" s="35">
        <f>WEEKDAY(Metas_Diarias[[#This Row],[data]])</f>
        <v>5</v>
      </c>
      <c r="H1200" s="35">
        <f>IF(Metas_Diarias[[#This Row],[dias_da_demana]]=1,"domingo",IF(Metas_Diarias[[#This Row],[dias_da_demana]]=7,0.5,1))</f>
        <v>1</v>
      </c>
      <c r="I1200" s="35">
        <f>_xlfn.XLOOKUP(Metas_Diarias[[#This Row],[data]],Feriados[Data],Feriados[Feriado],1)</f>
        <v>1</v>
      </c>
      <c r="J1200" s="33" cm="1">
        <f t="array" aca="1" ref="J1200" ca="1">SUMPRODUCT(IF((NOT(ISERROR(MATCH(ROW(INDIRECT(DATE(YEAR(B1200),MONTH(B1200),1)&amp;":"&amp;DATE(YEAR(B1200),MONTH(B1200)+1,0))),Feriados[Data],0))))=FALSE,
IF(WEEKDAY(ROW(INDIRECT(DATE(YEAR(B1200),MONTH(B1200),1)&amp;":"&amp;DATE(YEAR(B1200),MONTH(B1200)+1,0))),2)&lt;=5,1,IF(WEEKDAY(ROW(INDIRECT(DATE(YEAR(B1200),MONTH(B1200),1)&amp;":"&amp;DATE(YEAR(B1200),MONTH(B1200)+1,0))),2)=6,0.5,0)),0))</f>
        <v>22</v>
      </c>
      <c r="K1200" s="22" cm="1">
        <f t="array" ref="K1200">_xlfn.XLOOKUP(1,((Metas_Diarias[[#This Row],[tipo_equipe_id]]=Metas[equipe])*(Metas_Diarias[[#This Row],[data]]&gt;Metas[data_inicio])*(Metas_Diarias[[#This Row],[data]]&lt;Metas[data_fim])),Metas[meta_mensal],0)</f>
        <v>168000</v>
      </c>
      <c r="L1200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01" spans="2:12" x14ac:dyDescent="0.3">
      <c r="B1201" s="34">
        <v>46122</v>
      </c>
      <c r="C1201" s="34" t="str">
        <f>TEXT(Metas_Diarias[[#This Row],[data]],"dddd")</f>
        <v>sexta-feira</v>
      </c>
      <c r="D1201" s="33">
        <v>1</v>
      </c>
      <c r="E1201" s="33">
        <v>1</v>
      </c>
      <c r="F1201" s="18"/>
      <c r="G1201" s="35">
        <f>WEEKDAY(Metas_Diarias[[#This Row],[data]])</f>
        <v>6</v>
      </c>
      <c r="H1201" s="35">
        <f>IF(Metas_Diarias[[#This Row],[dias_da_demana]]=1,"domingo",IF(Metas_Diarias[[#This Row],[dias_da_demana]]=7,0.5,1))</f>
        <v>1</v>
      </c>
      <c r="I1201" s="35">
        <f>_xlfn.XLOOKUP(Metas_Diarias[[#This Row],[data]],Feriados[Data],Feriados[Feriado],1)</f>
        <v>1</v>
      </c>
      <c r="J1201" s="33" cm="1">
        <f t="array" aca="1" ref="J1201" ca="1">SUMPRODUCT(IF((NOT(ISERROR(MATCH(ROW(INDIRECT(DATE(YEAR(B1201),MONTH(B1201),1)&amp;":"&amp;DATE(YEAR(B1201),MONTH(B1201)+1,0))),Feriados[Data],0))))=FALSE,
IF(WEEKDAY(ROW(INDIRECT(DATE(YEAR(B1201),MONTH(B1201),1)&amp;":"&amp;DATE(YEAR(B1201),MONTH(B1201)+1,0))),2)&lt;=5,1,IF(WEEKDAY(ROW(INDIRECT(DATE(YEAR(B1201),MONTH(B1201),1)&amp;":"&amp;DATE(YEAR(B1201),MONTH(B1201)+1,0))),2)=6,0.5,0)),0))</f>
        <v>22</v>
      </c>
      <c r="K1201" s="22" cm="1">
        <f t="array" ref="K1201">_xlfn.XLOOKUP(1,((Metas_Diarias[[#This Row],[tipo_equipe_id]]=Metas[equipe])*(Metas_Diarias[[#This Row],[data]]&gt;Metas[data_inicio])*(Metas_Diarias[[#This Row],[data]]&lt;Metas[data_fim])),Metas[meta_mensal],0)</f>
        <v>168000</v>
      </c>
      <c r="L1201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02" spans="2:12" x14ac:dyDescent="0.3">
      <c r="B1202" s="34">
        <v>46123</v>
      </c>
      <c r="C1202" s="34" t="str">
        <f>TEXT(Metas_Diarias[[#This Row],[data]],"dddd")</f>
        <v>sábado</v>
      </c>
      <c r="D1202" s="33">
        <v>1</v>
      </c>
      <c r="E1202" s="33">
        <v>1</v>
      </c>
      <c r="F1202" s="18"/>
      <c r="G1202" s="35">
        <f>WEEKDAY(Metas_Diarias[[#This Row],[data]])</f>
        <v>7</v>
      </c>
      <c r="H1202" s="35">
        <f>IF(Metas_Diarias[[#This Row],[dias_da_demana]]=1,"domingo",IF(Metas_Diarias[[#This Row],[dias_da_demana]]=7,0.5,1))</f>
        <v>0.5</v>
      </c>
      <c r="I1202" s="35">
        <f>_xlfn.XLOOKUP(Metas_Diarias[[#This Row],[data]],Feriados[Data],Feriados[Feriado],1)</f>
        <v>1</v>
      </c>
      <c r="J1202" s="33" cm="1">
        <f t="array" aca="1" ref="J1202" ca="1">SUMPRODUCT(IF((NOT(ISERROR(MATCH(ROW(INDIRECT(DATE(YEAR(B1202),MONTH(B1202),1)&amp;":"&amp;DATE(YEAR(B1202),MONTH(B1202)+1,0))),Feriados[Data],0))))=FALSE,
IF(WEEKDAY(ROW(INDIRECT(DATE(YEAR(B1202),MONTH(B1202),1)&amp;":"&amp;DATE(YEAR(B1202),MONTH(B1202)+1,0))),2)&lt;=5,1,IF(WEEKDAY(ROW(INDIRECT(DATE(YEAR(B1202),MONTH(B1202),1)&amp;":"&amp;DATE(YEAR(B1202),MONTH(B1202)+1,0))),2)=6,0.5,0)),0))</f>
        <v>22</v>
      </c>
      <c r="K1202" s="22" cm="1">
        <f t="array" ref="K1202">_xlfn.XLOOKUP(1,((Metas_Diarias[[#This Row],[tipo_equipe_id]]=Metas[equipe])*(Metas_Diarias[[#This Row],[data]]&gt;Metas[data_inicio])*(Metas_Diarias[[#This Row],[data]]&lt;Metas[data_fim])),Metas[meta_mensal],0)</f>
        <v>168000</v>
      </c>
      <c r="L1202" s="24">
        <f ca="1">Metas_Diarias[[#This Row],[meta_mensal]]*IF(Metas_Diarias[[#This Row],[semana]]="domingo",0,Metas_Diarias[[#This Row],[semana]])*IF(Metas_Diarias[[#This Row],[feriado]]&lt;&gt;1,0,1)/Metas_Diarias[[#This Row],[dias_úteis_Mês]]</f>
        <v>3818.181818181818</v>
      </c>
    </row>
    <row r="1203" spans="2:12" x14ac:dyDescent="0.3">
      <c r="B1203" s="34">
        <v>46124</v>
      </c>
      <c r="C1203" s="34" t="str">
        <f>TEXT(Metas_Diarias[[#This Row],[data]],"dddd")</f>
        <v>domingo</v>
      </c>
      <c r="D1203" s="33">
        <v>1</v>
      </c>
      <c r="E1203" s="33">
        <v>1</v>
      </c>
      <c r="F1203" s="18"/>
      <c r="G1203" s="35">
        <f>WEEKDAY(Metas_Diarias[[#This Row],[data]])</f>
        <v>1</v>
      </c>
      <c r="H1203" s="35" t="str">
        <f>IF(Metas_Diarias[[#This Row],[dias_da_demana]]=1,"domingo",IF(Metas_Diarias[[#This Row],[dias_da_demana]]=7,0.5,1))</f>
        <v>domingo</v>
      </c>
      <c r="I1203" s="35">
        <f>_xlfn.XLOOKUP(Metas_Diarias[[#This Row],[data]],Feriados[Data],Feriados[Feriado],1)</f>
        <v>1</v>
      </c>
      <c r="J1203" s="33" cm="1">
        <f t="array" aca="1" ref="J1203" ca="1">SUMPRODUCT(IF((NOT(ISERROR(MATCH(ROW(INDIRECT(DATE(YEAR(B1203),MONTH(B1203),1)&amp;":"&amp;DATE(YEAR(B1203),MONTH(B1203)+1,0))),Feriados[Data],0))))=FALSE,
IF(WEEKDAY(ROW(INDIRECT(DATE(YEAR(B1203),MONTH(B1203),1)&amp;":"&amp;DATE(YEAR(B1203),MONTH(B1203)+1,0))),2)&lt;=5,1,IF(WEEKDAY(ROW(INDIRECT(DATE(YEAR(B1203),MONTH(B1203),1)&amp;":"&amp;DATE(YEAR(B1203),MONTH(B1203)+1,0))),2)=6,0.5,0)),0))</f>
        <v>22</v>
      </c>
      <c r="K1203" s="22" cm="1">
        <f t="array" ref="K1203">_xlfn.XLOOKUP(1,((Metas_Diarias[[#This Row],[tipo_equipe_id]]=Metas[equipe])*(Metas_Diarias[[#This Row],[data]]&gt;Metas[data_inicio])*(Metas_Diarias[[#This Row],[data]]&lt;Metas[data_fim])),Metas[meta_mensal],0)</f>
        <v>168000</v>
      </c>
      <c r="L12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04" spans="2:12" x14ac:dyDescent="0.3">
      <c r="B1204" s="34">
        <v>46125</v>
      </c>
      <c r="C1204" s="34" t="str">
        <f>TEXT(Metas_Diarias[[#This Row],[data]],"dddd")</f>
        <v>segunda-feira</v>
      </c>
      <c r="D1204" s="33">
        <v>1</v>
      </c>
      <c r="E1204" s="33">
        <v>1</v>
      </c>
      <c r="F1204" s="18"/>
      <c r="G1204" s="35">
        <f>WEEKDAY(Metas_Diarias[[#This Row],[data]])</f>
        <v>2</v>
      </c>
      <c r="H1204" s="35">
        <f>IF(Metas_Diarias[[#This Row],[dias_da_demana]]=1,"domingo",IF(Metas_Diarias[[#This Row],[dias_da_demana]]=7,0.5,1))</f>
        <v>1</v>
      </c>
      <c r="I1204" s="35">
        <f>_xlfn.XLOOKUP(Metas_Diarias[[#This Row],[data]],Feriados[Data],Feriados[Feriado],1)</f>
        <v>1</v>
      </c>
      <c r="J1204" s="33" cm="1">
        <f t="array" aca="1" ref="J1204" ca="1">SUMPRODUCT(IF((NOT(ISERROR(MATCH(ROW(INDIRECT(DATE(YEAR(B1204),MONTH(B1204),1)&amp;":"&amp;DATE(YEAR(B1204),MONTH(B1204)+1,0))),Feriados[Data],0))))=FALSE,
IF(WEEKDAY(ROW(INDIRECT(DATE(YEAR(B1204),MONTH(B1204),1)&amp;":"&amp;DATE(YEAR(B1204),MONTH(B1204)+1,0))),2)&lt;=5,1,IF(WEEKDAY(ROW(INDIRECT(DATE(YEAR(B1204),MONTH(B1204),1)&amp;":"&amp;DATE(YEAR(B1204),MONTH(B1204)+1,0))),2)=6,0.5,0)),0))</f>
        <v>22</v>
      </c>
      <c r="K1204" s="22" cm="1">
        <f t="array" ref="K1204">_xlfn.XLOOKUP(1,((Metas_Diarias[[#This Row],[tipo_equipe_id]]=Metas[equipe])*(Metas_Diarias[[#This Row],[data]]&gt;Metas[data_inicio])*(Metas_Diarias[[#This Row],[data]]&lt;Metas[data_fim])),Metas[meta_mensal],0)</f>
        <v>168000</v>
      </c>
      <c r="L1204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05" spans="2:12" x14ac:dyDescent="0.3">
      <c r="B1205" s="34">
        <v>46126</v>
      </c>
      <c r="C1205" s="34" t="str">
        <f>TEXT(Metas_Diarias[[#This Row],[data]],"dddd")</f>
        <v>terça-feira</v>
      </c>
      <c r="D1205" s="33">
        <v>1</v>
      </c>
      <c r="E1205" s="33">
        <v>1</v>
      </c>
      <c r="F1205" s="18"/>
      <c r="G1205" s="35">
        <f>WEEKDAY(Metas_Diarias[[#This Row],[data]])</f>
        <v>3</v>
      </c>
      <c r="H1205" s="35">
        <f>IF(Metas_Diarias[[#This Row],[dias_da_demana]]=1,"domingo",IF(Metas_Diarias[[#This Row],[dias_da_demana]]=7,0.5,1))</f>
        <v>1</v>
      </c>
      <c r="I1205" s="35">
        <f>_xlfn.XLOOKUP(Metas_Diarias[[#This Row],[data]],Feriados[Data],Feriados[Feriado],1)</f>
        <v>1</v>
      </c>
      <c r="J1205" s="33" cm="1">
        <f t="array" aca="1" ref="J1205" ca="1">SUMPRODUCT(IF((NOT(ISERROR(MATCH(ROW(INDIRECT(DATE(YEAR(B1205),MONTH(B1205),1)&amp;":"&amp;DATE(YEAR(B1205),MONTH(B1205)+1,0))),Feriados[Data],0))))=FALSE,
IF(WEEKDAY(ROW(INDIRECT(DATE(YEAR(B1205),MONTH(B1205),1)&amp;":"&amp;DATE(YEAR(B1205),MONTH(B1205)+1,0))),2)&lt;=5,1,IF(WEEKDAY(ROW(INDIRECT(DATE(YEAR(B1205),MONTH(B1205),1)&amp;":"&amp;DATE(YEAR(B1205),MONTH(B1205)+1,0))),2)=6,0.5,0)),0))</f>
        <v>22</v>
      </c>
      <c r="K1205" s="22" cm="1">
        <f t="array" ref="K1205">_xlfn.XLOOKUP(1,((Metas_Diarias[[#This Row],[tipo_equipe_id]]=Metas[equipe])*(Metas_Diarias[[#This Row],[data]]&gt;Metas[data_inicio])*(Metas_Diarias[[#This Row],[data]]&lt;Metas[data_fim])),Metas[meta_mensal],0)</f>
        <v>168000</v>
      </c>
      <c r="L1205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06" spans="2:12" x14ac:dyDescent="0.3">
      <c r="B1206" s="34">
        <v>46127</v>
      </c>
      <c r="C1206" s="34" t="str">
        <f>TEXT(Metas_Diarias[[#This Row],[data]],"dddd")</f>
        <v>quarta-feira</v>
      </c>
      <c r="D1206" s="33">
        <v>1</v>
      </c>
      <c r="E1206" s="33">
        <v>1</v>
      </c>
      <c r="F1206" s="18"/>
      <c r="G1206" s="35">
        <f>WEEKDAY(Metas_Diarias[[#This Row],[data]])</f>
        <v>4</v>
      </c>
      <c r="H1206" s="35">
        <f>IF(Metas_Diarias[[#This Row],[dias_da_demana]]=1,"domingo",IF(Metas_Diarias[[#This Row],[dias_da_demana]]=7,0.5,1))</f>
        <v>1</v>
      </c>
      <c r="I1206" s="35">
        <f>_xlfn.XLOOKUP(Metas_Diarias[[#This Row],[data]],Feriados[Data],Feriados[Feriado],1)</f>
        <v>1</v>
      </c>
      <c r="J1206" s="33" cm="1">
        <f t="array" aca="1" ref="J1206" ca="1">SUMPRODUCT(IF((NOT(ISERROR(MATCH(ROW(INDIRECT(DATE(YEAR(B1206),MONTH(B1206),1)&amp;":"&amp;DATE(YEAR(B1206),MONTH(B1206)+1,0))),Feriados[Data],0))))=FALSE,
IF(WEEKDAY(ROW(INDIRECT(DATE(YEAR(B1206),MONTH(B1206),1)&amp;":"&amp;DATE(YEAR(B1206),MONTH(B1206)+1,0))),2)&lt;=5,1,IF(WEEKDAY(ROW(INDIRECT(DATE(YEAR(B1206),MONTH(B1206),1)&amp;":"&amp;DATE(YEAR(B1206),MONTH(B1206)+1,0))),2)=6,0.5,0)),0))</f>
        <v>22</v>
      </c>
      <c r="K1206" s="22" cm="1">
        <f t="array" ref="K1206">_xlfn.XLOOKUP(1,((Metas_Diarias[[#This Row],[tipo_equipe_id]]=Metas[equipe])*(Metas_Diarias[[#This Row],[data]]&gt;Metas[data_inicio])*(Metas_Diarias[[#This Row],[data]]&lt;Metas[data_fim])),Metas[meta_mensal],0)</f>
        <v>168000</v>
      </c>
      <c r="L1206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07" spans="2:12" x14ac:dyDescent="0.3">
      <c r="B1207" s="34">
        <v>46128</v>
      </c>
      <c r="C1207" s="34" t="str">
        <f>TEXT(Metas_Diarias[[#This Row],[data]],"dddd")</f>
        <v>quinta-feira</v>
      </c>
      <c r="D1207" s="33">
        <v>1</v>
      </c>
      <c r="E1207" s="33">
        <v>1</v>
      </c>
      <c r="F1207" s="18"/>
      <c r="G1207" s="35">
        <f>WEEKDAY(Metas_Diarias[[#This Row],[data]])</f>
        <v>5</v>
      </c>
      <c r="H1207" s="35">
        <f>IF(Metas_Diarias[[#This Row],[dias_da_demana]]=1,"domingo",IF(Metas_Diarias[[#This Row],[dias_da_demana]]=7,0.5,1))</f>
        <v>1</v>
      </c>
      <c r="I1207" s="35">
        <f>_xlfn.XLOOKUP(Metas_Diarias[[#This Row],[data]],Feriados[Data],Feriados[Feriado],1)</f>
        <v>1</v>
      </c>
      <c r="J1207" s="33" cm="1">
        <f t="array" aca="1" ref="J1207" ca="1">SUMPRODUCT(IF((NOT(ISERROR(MATCH(ROW(INDIRECT(DATE(YEAR(B1207),MONTH(B1207),1)&amp;":"&amp;DATE(YEAR(B1207),MONTH(B1207)+1,0))),Feriados[Data],0))))=FALSE,
IF(WEEKDAY(ROW(INDIRECT(DATE(YEAR(B1207),MONTH(B1207),1)&amp;":"&amp;DATE(YEAR(B1207),MONTH(B1207)+1,0))),2)&lt;=5,1,IF(WEEKDAY(ROW(INDIRECT(DATE(YEAR(B1207),MONTH(B1207),1)&amp;":"&amp;DATE(YEAR(B1207),MONTH(B1207)+1,0))),2)=6,0.5,0)),0))</f>
        <v>22</v>
      </c>
      <c r="K1207" s="22" cm="1">
        <f t="array" ref="K1207">_xlfn.XLOOKUP(1,((Metas_Diarias[[#This Row],[tipo_equipe_id]]=Metas[equipe])*(Metas_Diarias[[#This Row],[data]]&gt;Metas[data_inicio])*(Metas_Diarias[[#This Row],[data]]&lt;Metas[data_fim])),Metas[meta_mensal],0)</f>
        <v>168000</v>
      </c>
      <c r="L1207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08" spans="2:12" x14ac:dyDescent="0.3">
      <c r="B1208" s="34">
        <v>46129</v>
      </c>
      <c r="C1208" s="34" t="str">
        <f>TEXT(Metas_Diarias[[#This Row],[data]],"dddd")</f>
        <v>sexta-feira</v>
      </c>
      <c r="D1208" s="33">
        <v>1</v>
      </c>
      <c r="E1208" s="33">
        <v>1</v>
      </c>
      <c r="F1208" s="18"/>
      <c r="G1208" s="35">
        <f>WEEKDAY(Metas_Diarias[[#This Row],[data]])</f>
        <v>6</v>
      </c>
      <c r="H1208" s="35">
        <f>IF(Metas_Diarias[[#This Row],[dias_da_demana]]=1,"domingo",IF(Metas_Diarias[[#This Row],[dias_da_demana]]=7,0.5,1))</f>
        <v>1</v>
      </c>
      <c r="I1208" s="35">
        <f>_xlfn.XLOOKUP(Metas_Diarias[[#This Row],[data]],Feriados[Data],Feriados[Feriado],1)</f>
        <v>1</v>
      </c>
      <c r="J1208" s="33" cm="1">
        <f t="array" aca="1" ref="J1208" ca="1">SUMPRODUCT(IF((NOT(ISERROR(MATCH(ROW(INDIRECT(DATE(YEAR(B1208),MONTH(B1208),1)&amp;":"&amp;DATE(YEAR(B1208),MONTH(B1208)+1,0))),Feriados[Data],0))))=FALSE,
IF(WEEKDAY(ROW(INDIRECT(DATE(YEAR(B1208),MONTH(B1208),1)&amp;":"&amp;DATE(YEAR(B1208),MONTH(B1208)+1,0))),2)&lt;=5,1,IF(WEEKDAY(ROW(INDIRECT(DATE(YEAR(B1208),MONTH(B1208),1)&amp;":"&amp;DATE(YEAR(B1208),MONTH(B1208)+1,0))),2)=6,0.5,0)),0))</f>
        <v>22</v>
      </c>
      <c r="K1208" s="22" cm="1">
        <f t="array" ref="K1208">_xlfn.XLOOKUP(1,((Metas_Diarias[[#This Row],[tipo_equipe_id]]=Metas[equipe])*(Metas_Diarias[[#This Row],[data]]&gt;Metas[data_inicio])*(Metas_Diarias[[#This Row],[data]]&lt;Metas[data_fim])),Metas[meta_mensal],0)</f>
        <v>168000</v>
      </c>
      <c r="L1208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09" spans="2:12" x14ac:dyDescent="0.3">
      <c r="B1209" s="34">
        <v>46130</v>
      </c>
      <c r="C1209" s="34" t="str">
        <f>TEXT(Metas_Diarias[[#This Row],[data]],"dddd")</f>
        <v>sábado</v>
      </c>
      <c r="D1209" s="33">
        <v>1</v>
      </c>
      <c r="E1209" s="33">
        <v>1</v>
      </c>
      <c r="F1209" s="18"/>
      <c r="G1209" s="35">
        <f>WEEKDAY(Metas_Diarias[[#This Row],[data]])</f>
        <v>7</v>
      </c>
      <c r="H1209" s="35">
        <f>IF(Metas_Diarias[[#This Row],[dias_da_demana]]=1,"domingo",IF(Metas_Diarias[[#This Row],[dias_da_demana]]=7,0.5,1))</f>
        <v>0.5</v>
      </c>
      <c r="I1209" s="35">
        <f>_xlfn.XLOOKUP(Metas_Diarias[[#This Row],[data]],Feriados[Data],Feriados[Feriado],1)</f>
        <v>1</v>
      </c>
      <c r="J1209" s="33" cm="1">
        <f t="array" aca="1" ref="J1209" ca="1">SUMPRODUCT(IF((NOT(ISERROR(MATCH(ROW(INDIRECT(DATE(YEAR(B1209),MONTH(B1209),1)&amp;":"&amp;DATE(YEAR(B1209),MONTH(B1209)+1,0))),Feriados[Data],0))))=FALSE,
IF(WEEKDAY(ROW(INDIRECT(DATE(YEAR(B1209),MONTH(B1209),1)&amp;":"&amp;DATE(YEAR(B1209),MONTH(B1209)+1,0))),2)&lt;=5,1,IF(WEEKDAY(ROW(INDIRECT(DATE(YEAR(B1209),MONTH(B1209),1)&amp;":"&amp;DATE(YEAR(B1209),MONTH(B1209)+1,0))),2)=6,0.5,0)),0))</f>
        <v>22</v>
      </c>
      <c r="K1209" s="22" cm="1">
        <f t="array" ref="K1209">_xlfn.XLOOKUP(1,((Metas_Diarias[[#This Row],[tipo_equipe_id]]=Metas[equipe])*(Metas_Diarias[[#This Row],[data]]&gt;Metas[data_inicio])*(Metas_Diarias[[#This Row],[data]]&lt;Metas[data_fim])),Metas[meta_mensal],0)</f>
        <v>168000</v>
      </c>
      <c r="L1209" s="24">
        <f ca="1">Metas_Diarias[[#This Row],[meta_mensal]]*IF(Metas_Diarias[[#This Row],[semana]]="domingo",0,Metas_Diarias[[#This Row],[semana]])*IF(Metas_Diarias[[#This Row],[feriado]]&lt;&gt;1,0,1)/Metas_Diarias[[#This Row],[dias_úteis_Mês]]</f>
        <v>3818.181818181818</v>
      </c>
    </row>
    <row r="1210" spans="2:12" x14ac:dyDescent="0.3">
      <c r="B1210" s="34">
        <v>46131</v>
      </c>
      <c r="C1210" s="34" t="str">
        <f>TEXT(Metas_Diarias[[#This Row],[data]],"dddd")</f>
        <v>domingo</v>
      </c>
      <c r="D1210" s="33">
        <v>1</v>
      </c>
      <c r="E1210" s="33">
        <v>1</v>
      </c>
      <c r="F1210" s="18"/>
      <c r="G1210" s="35">
        <f>WEEKDAY(Metas_Diarias[[#This Row],[data]])</f>
        <v>1</v>
      </c>
      <c r="H1210" s="35" t="str">
        <f>IF(Metas_Diarias[[#This Row],[dias_da_demana]]=1,"domingo",IF(Metas_Diarias[[#This Row],[dias_da_demana]]=7,0.5,1))</f>
        <v>domingo</v>
      </c>
      <c r="I1210" s="35">
        <f>_xlfn.XLOOKUP(Metas_Diarias[[#This Row],[data]],Feriados[Data],Feriados[Feriado],1)</f>
        <v>1</v>
      </c>
      <c r="J1210" s="33" cm="1">
        <f t="array" aca="1" ref="J1210" ca="1">SUMPRODUCT(IF((NOT(ISERROR(MATCH(ROW(INDIRECT(DATE(YEAR(B1210),MONTH(B1210),1)&amp;":"&amp;DATE(YEAR(B1210),MONTH(B1210)+1,0))),Feriados[Data],0))))=FALSE,
IF(WEEKDAY(ROW(INDIRECT(DATE(YEAR(B1210),MONTH(B1210),1)&amp;":"&amp;DATE(YEAR(B1210),MONTH(B1210)+1,0))),2)&lt;=5,1,IF(WEEKDAY(ROW(INDIRECT(DATE(YEAR(B1210),MONTH(B1210),1)&amp;":"&amp;DATE(YEAR(B1210),MONTH(B1210)+1,0))),2)=6,0.5,0)),0))</f>
        <v>22</v>
      </c>
      <c r="K1210" s="22" cm="1">
        <f t="array" ref="K1210">_xlfn.XLOOKUP(1,((Metas_Diarias[[#This Row],[tipo_equipe_id]]=Metas[equipe])*(Metas_Diarias[[#This Row],[data]]&gt;Metas[data_inicio])*(Metas_Diarias[[#This Row],[data]]&lt;Metas[data_fim])),Metas[meta_mensal],0)</f>
        <v>168000</v>
      </c>
      <c r="L12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11" spans="2:12" x14ac:dyDescent="0.3">
      <c r="B1211" s="34">
        <v>46132</v>
      </c>
      <c r="C1211" s="34" t="str">
        <f>TEXT(Metas_Diarias[[#This Row],[data]],"dddd")</f>
        <v>segunda-feira</v>
      </c>
      <c r="D1211" s="33">
        <v>1</v>
      </c>
      <c r="E1211" s="33">
        <v>1</v>
      </c>
      <c r="F1211" s="18"/>
      <c r="G1211" s="35">
        <f>WEEKDAY(Metas_Diarias[[#This Row],[data]])</f>
        <v>2</v>
      </c>
      <c r="H1211" s="35">
        <f>IF(Metas_Diarias[[#This Row],[dias_da_demana]]=1,"domingo",IF(Metas_Diarias[[#This Row],[dias_da_demana]]=7,0.5,1))</f>
        <v>1</v>
      </c>
      <c r="I1211" s="35">
        <f>_xlfn.XLOOKUP(Metas_Diarias[[#This Row],[data]],Feriados[Data],Feriados[Feriado],1)</f>
        <v>1</v>
      </c>
      <c r="J1211" s="33" cm="1">
        <f t="array" aca="1" ref="J1211" ca="1">SUMPRODUCT(IF((NOT(ISERROR(MATCH(ROW(INDIRECT(DATE(YEAR(B1211),MONTH(B1211),1)&amp;":"&amp;DATE(YEAR(B1211),MONTH(B1211)+1,0))),Feriados[Data],0))))=FALSE,
IF(WEEKDAY(ROW(INDIRECT(DATE(YEAR(B1211),MONTH(B1211),1)&amp;":"&amp;DATE(YEAR(B1211),MONTH(B1211)+1,0))),2)&lt;=5,1,IF(WEEKDAY(ROW(INDIRECT(DATE(YEAR(B1211),MONTH(B1211),1)&amp;":"&amp;DATE(YEAR(B1211),MONTH(B1211)+1,0))),2)=6,0.5,0)),0))</f>
        <v>22</v>
      </c>
      <c r="K1211" s="22" cm="1">
        <f t="array" ref="K1211">_xlfn.XLOOKUP(1,((Metas_Diarias[[#This Row],[tipo_equipe_id]]=Metas[equipe])*(Metas_Diarias[[#This Row],[data]]&gt;Metas[data_inicio])*(Metas_Diarias[[#This Row],[data]]&lt;Metas[data_fim])),Metas[meta_mensal],0)</f>
        <v>168000</v>
      </c>
      <c r="L1211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12" spans="2:12" x14ac:dyDescent="0.3">
      <c r="B1212" s="34">
        <v>46133</v>
      </c>
      <c r="C1212" s="34" t="str">
        <f>TEXT(Metas_Diarias[[#This Row],[data]],"dddd")</f>
        <v>terça-feira</v>
      </c>
      <c r="D1212" s="33">
        <v>1</v>
      </c>
      <c r="E1212" s="33">
        <v>1</v>
      </c>
      <c r="F1212" s="18"/>
      <c r="G1212" s="35">
        <f>WEEKDAY(Metas_Diarias[[#This Row],[data]])</f>
        <v>3</v>
      </c>
      <c r="H1212" s="35">
        <f>IF(Metas_Diarias[[#This Row],[dias_da_demana]]=1,"domingo",IF(Metas_Diarias[[#This Row],[dias_da_demana]]=7,0.5,1))</f>
        <v>1</v>
      </c>
      <c r="I1212" s="35" t="str">
        <f>_xlfn.XLOOKUP(Metas_Diarias[[#This Row],[data]],Feriados[Data],Feriados[Feriado],1)</f>
        <v>Tiradentes</v>
      </c>
      <c r="J1212" s="33" cm="1">
        <f t="array" aca="1" ref="J1212" ca="1">SUMPRODUCT(IF((NOT(ISERROR(MATCH(ROW(INDIRECT(DATE(YEAR(B1212),MONTH(B1212),1)&amp;":"&amp;DATE(YEAR(B1212),MONTH(B1212)+1,0))),Feriados[Data],0))))=FALSE,
IF(WEEKDAY(ROW(INDIRECT(DATE(YEAR(B1212),MONTH(B1212),1)&amp;":"&amp;DATE(YEAR(B1212),MONTH(B1212)+1,0))),2)&lt;=5,1,IF(WEEKDAY(ROW(INDIRECT(DATE(YEAR(B1212),MONTH(B1212),1)&amp;":"&amp;DATE(YEAR(B1212),MONTH(B1212)+1,0))),2)=6,0.5,0)),0))</f>
        <v>22</v>
      </c>
      <c r="K1212" s="22" cm="1">
        <f t="array" ref="K1212">_xlfn.XLOOKUP(1,((Metas_Diarias[[#This Row],[tipo_equipe_id]]=Metas[equipe])*(Metas_Diarias[[#This Row],[data]]&gt;Metas[data_inicio])*(Metas_Diarias[[#This Row],[data]]&lt;Metas[data_fim])),Metas[meta_mensal],0)</f>
        <v>168000</v>
      </c>
      <c r="L12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13" spans="2:12" x14ac:dyDescent="0.3">
      <c r="B1213" s="34">
        <v>46134</v>
      </c>
      <c r="C1213" s="34" t="str">
        <f>TEXT(Metas_Diarias[[#This Row],[data]],"dddd")</f>
        <v>quarta-feira</v>
      </c>
      <c r="D1213" s="33">
        <v>1</v>
      </c>
      <c r="E1213" s="33">
        <v>1</v>
      </c>
      <c r="F1213" s="18"/>
      <c r="G1213" s="35">
        <f>WEEKDAY(Metas_Diarias[[#This Row],[data]])</f>
        <v>4</v>
      </c>
      <c r="H1213" s="35">
        <f>IF(Metas_Diarias[[#This Row],[dias_da_demana]]=1,"domingo",IF(Metas_Diarias[[#This Row],[dias_da_demana]]=7,0.5,1))</f>
        <v>1</v>
      </c>
      <c r="I1213" s="35">
        <f>_xlfn.XLOOKUP(Metas_Diarias[[#This Row],[data]],Feriados[Data],Feriados[Feriado],1)</f>
        <v>1</v>
      </c>
      <c r="J1213" s="33" cm="1">
        <f t="array" aca="1" ref="J1213" ca="1">SUMPRODUCT(IF((NOT(ISERROR(MATCH(ROW(INDIRECT(DATE(YEAR(B1213),MONTH(B1213),1)&amp;":"&amp;DATE(YEAR(B1213),MONTH(B1213)+1,0))),Feriados[Data],0))))=FALSE,
IF(WEEKDAY(ROW(INDIRECT(DATE(YEAR(B1213),MONTH(B1213),1)&amp;":"&amp;DATE(YEAR(B1213),MONTH(B1213)+1,0))),2)&lt;=5,1,IF(WEEKDAY(ROW(INDIRECT(DATE(YEAR(B1213),MONTH(B1213),1)&amp;":"&amp;DATE(YEAR(B1213),MONTH(B1213)+1,0))),2)=6,0.5,0)),0))</f>
        <v>22</v>
      </c>
      <c r="K1213" s="22" cm="1">
        <f t="array" ref="K1213">_xlfn.XLOOKUP(1,((Metas_Diarias[[#This Row],[tipo_equipe_id]]=Metas[equipe])*(Metas_Diarias[[#This Row],[data]]&gt;Metas[data_inicio])*(Metas_Diarias[[#This Row],[data]]&lt;Metas[data_fim])),Metas[meta_mensal],0)</f>
        <v>168000</v>
      </c>
      <c r="L1213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14" spans="2:12" x14ac:dyDescent="0.3">
      <c r="B1214" s="34">
        <v>46135</v>
      </c>
      <c r="C1214" s="34" t="str">
        <f>TEXT(Metas_Diarias[[#This Row],[data]],"dddd")</f>
        <v>quinta-feira</v>
      </c>
      <c r="D1214" s="33">
        <v>1</v>
      </c>
      <c r="E1214" s="33">
        <v>1</v>
      </c>
      <c r="F1214" s="18"/>
      <c r="G1214" s="35">
        <f>WEEKDAY(Metas_Diarias[[#This Row],[data]])</f>
        <v>5</v>
      </c>
      <c r="H1214" s="35">
        <f>IF(Metas_Diarias[[#This Row],[dias_da_demana]]=1,"domingo",IF(Metas_Diarias[[#This Row],[dias_da_demana]]=7,0.5,1))</f>
        <v>1</v>
      </c>
      <c r="I1214" s="35">
        <f>_xlfn.XLOOKUP(Metas_Diarias[[#This Row],[data]],Feriados[Data],Feriados[Feriado],1)</f>
        <v>1</v>
      </c>
      <c r="J1214" s="33" cm="1">
        <f t="array" aca="1" ref="J1214" ca="1">SUMPRODUCT(IF((NOT(ISERROR(MATCH(ROW(INDIRECT(DATE(YEAR(B1214),MONTH(B1214),1)&amp;":"&amp;DATE(YEAR(B1214),MONTH(B1214)+1,0))),Feriados[Data],0))))=FALSE,
IF(WEEKDAY(ROW(INDIRECT(DATE(YEAR(B1214),MONTH(B1214),1)&amp;":"&amp;DATE(YEAR(B1214),MONTH(B1214)+1,0))),2)&lt;=5,1,IF(WEEKDAY(ROW(INDIRECT(DATE(YEAR(B1214),MONTH(B1214),1)&amp;":"&amp;DATE(YEAR(B1214),MONTH(B1214)+1,0))),2)=6,0.5,0)),0))</f>
        <v>22</v>
      </c>
      <c r="K1214" s="22" cm="1">
        <f t="array" ref="K1214">_xlfn.XLOOKUP(1,((Metas_Diarias[[#This Row],[tipo_equipe_id]]=Metas[equipe])*(Metas_Diarias[[#This Row],[data]]&gt;Metas[data_inicio])*(Metas_Diarias[[#This Row],[data]]&lt;Metas[data_fim])),Metas[meta_mensal],0)</f>
        <v>168000</v>
      </c>
      <c r="L1214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15" spans="2:12" x14ac:dyDescent="0.3">
      <c r="B1215" s="34">
        <v>46136</v>
      </c>
      <c r="C1215" s="34" t="str">
        <f>TEXT(Metas_Diarias[[#This Row],[data]],"dddd")</f>
        <v>sexta-feira</v>
      </c>
      <c r="D1215" s="33">
        <v>1</v>
      </c>
      <c r="E1215" s="33">
        <v>1</v>
      </c>
      <c r="F1215" s="18"/>
      <c r="G1215" s="35">
        <f>WEEKDAY(Metas_Diarias[[#This Row],[data]])</f>
        <v>6</v>
      </c>
      <c r="H1215" s="35">
        <f>IF(Metas_Diarias[[#This Row],[dias_da_demana]]=1,"domingo",IF(Metas_Diarias[[#This Row],[dias_da_demana]]=7,0.5,1))</f>
        <v>1</v>
      </c>
      <c r="I1215" s="35">
        <f>_xlfn.XLOOKUP(Metas_Diarias[[#This Row],[data]],Feriados[Data],Feriados[Feriado],1)</f>
        <v>1</v>
      </c>
      <c r="J1215" s="33" cm="1">
        <f t="array" aca="1" ref="J1215" ca="1">SUMPRODUCT(IF((NOT(ISERROR(MATCH(ROW(INDIRECT(DATE(YEAR(B1215),MONTH(B1215),1)&amp;":"&amp;DATE(YEAR(B1215),MONTH(B1215)+1,0))),Feriados[Data],0))))=FALSE,
IF(WEEKDAY(ROW(INDIRECT(DATE(YEAR(B1215),MONTH(B1215),1)&amp;":"&amp;DATE(YEAR(B1215),MONTH(B1215)+1,0))),2)&lt;=5,1,IF(WEEKDAY(ROW(INDIRECT(DATE(YEAR(B1215),MONTH(B1215),1)&amp;":"&amp;DATE(YEAR(B1215),MONTH(B1215)+1,0))),2)=6,0.5,0)),0))</f>
        <v>22</v>
      </c>
      <c r="K1215" s="22" cm="1">
        <f t="array" ref="K1215">_xlfn.XLOOKUP(1,((Metas_Diarias[[#This Row],[tipo_equipe_id]]=Metas[equipe])*(Metas_Diarias[[#This Row],[data]]&gt;Metas[data_inicio])*(Metas_Diarias[[#This Row],[data]]&lt;Metas[data_fim])),Metas[meta_mensal],0)</f>
        <v>168000</v>
      </c>
      <c r="L1215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16" spans="2:12" x14ac:dyDescent="0.3">
      <c r="B1216" s="34">
        <v>46137</v>
      </c>
      <c r="C1216" s="34" t="str">
        <f>TEXT(Metas_Diarias[[#This Row],[data]],"dddd")</f>
        <v>sábado</v>
      </c>
      <c r="D1216" s="33">
        <v>1</v>
      </c>
      <c r="E1216" s="33">
        <v>1</v>
      </c>
      <c r="F1216" s="18"/>
      <c r="G1216" s="35">
        <f>WEEKDAY(Metas_Diarias[[#This Row],[data]])</f>
        <v>7</v>
      </c>
      <c r="H1216" s="35">
        <f>IF(Metas_Diarias[[#This Row],[dias_da_demana]]=1,"domingo",IF(Metas_Diarias[[#This Row],[dias_da_demana]]=7,0.5,1))</f>
        <v>0.5</v>
      </c>
      <c r="I1216" s="35">
        <f>_xlfn.XLOOKUP(Metas_Diarias[[#This Row],[data]],Feriados[Data],Feriados[Feriado],1)</f>
        <v>1</v>
      </c>
      <c r="J1216" s="33" cm="1">
        <f t="array" aca="1" ref="J1216" ca="1">SUMPRODUCT(IF((NOT(ISERROR(MATCH(ROW(INDIRECT(DATE(YEAR(B1216),MONTH(B1216),1)&amp;":"&amp;DATE(YEAR(B1216),MONTH(B1216)+1,0))),Feriados[Data],0))))=FALSE,
IF(WEEKDAY(ROW(INDIRECT(DATE(YEAR(B1216),MONTH(B1216),1)&amp;":"&amp;DATE(YEAR(B1216),MONTH(B1216)+1,0))),2)&lt;=5,1,IF(WEEKDAY(ROW(INDIRECT(DATE(YEAR(B1216),MONTH(B1216),1)&amp;":"&amp;DATE(YEAR(B1216),MONTH(B1216)+1,0))),2)=6,0.5,0)),0))</f>
        <v>22</v>
      </c>
      <c r="K1216" s="22" cm="1">
        <f t="array" ref="K1216">_xlfn.XLOOKUP(1,((Metas_Diarias[[#This Row],[tipo_equipe_id]]=Metas[equipe])*(Metas_Diarias[[#This Row],[data]]&gt;Metas[data_inicio])*(Metas_Diarias[[#This Row],[data]]&lt;Metas[data_fim])),Metas[meta_mensal],0)</f>
        <v>168000</v>
      </c>
      <c r="L1216" s="24">
        <f ca="1">Metas_Diarias[[#This Row],[meta_mensal]]*IF(Metas_Diarias[[#This Row],[semana]]="domingo",0,Metas_Diarias[[#This Row],[semana]])*IF(Metas_Diarias[[#This Row],[feriado]]&lt;&gt;1,0,1)/Metas_Diarias[[#This Row],[dias_úteis_Mês]]</f>
        <v>3818.181818181818</v>
      </c>
    </row>
    <row r="1217" spans="2:12" x14ac:dyDescent="0.3">
      <c r="B1217" s="34">
        <v>46138</v>
      </c>
      <c r="C1217" s="34" t="str">
        <f>TEXT(Metas_Diarias[[#This Row],[data]],"dddd")</f>
        <v>domingo</v>
      </c>
      <c r="D1217" s="33">
        <v>1</v>
      </c>
      <c r="E1217" s="33">
        <v>1</v>
      </c>
      <c r="F1217" s="18"/>
      <c r="G1217" s="35">
        <f>WEEKDAY(Metas_Diarias[[#This Row],[data]])</f>
        <v>1</v>
      </c>
      <c r="H1217" s="35" t="str">
        <f>IF(Metas_Diarias[[#This Row],[dias_da_demana]]=1,"domingo",IF(Metas_Diarias[[#This Row],[dias_da_demana]]=7,0.5,1))</f>
        <v>domingo</v>
      </c>
      <c r="I1217" s="35">
        <f>_xlfn.XLOOKUP(Metas_Diarias[[#This Row],[data]],Feriados[Data],Feriados[Feriado],1)</f>
        <v>1</v>
      </c>
      <c r="J1217" s="33" cm="1">
        <f t="array" aca="1" ref="J1217" ca="1">SUMPRODUCT(IF((NOT(ISERROR(MATCH(ROW(INDIRECT(DATE(YEAR(B1217),MONTH(B1217),1)&amp;":"&amp;DATE(YEAR(B1217),MONTH(B1217)+1,0))),Feriados[Data],0))))=FALSE,
IF(WEEKDAY(ROW(INDIRECT(DATE(YEAR(B1217),MONTH(B1217),1)&amp;":"&amp;DATE(YEAR(B1217),MONTH(B1217)+1,0))),2)&lt;=5,1,IF(WEEKDAY(ROW(INDIRECT(DATE(YEAR(B1217),MONTH(B1217),1)&amp;":"&amp;DATE(YEAR(B1217),MONTH(B1217)+1,0))),2)=6,0.5,0)),0))</f>
        <v>22</v>
      </c>
      <c r="K1217" s="22" cm="1">
        <f t="array" ref="K1217">_xlfn.XLOOKUP(1,((Metas_Diarias[[#This Row],[tipo_equipe_id]]=Metas[equipe])*(Metas_Diarias[[#This Row],[data]]&gt;Metas[data_inicio])*(Metas_Diarias[[#This Row],[data]]&lt;Metas[data_fim])),Metas[meta_mensal],0)</f>
        <v>168000</v>
      </c>
      <c r="L12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18" spans="2:12" x14ac:dyDescent="0.3">
      <c r="B1218" s="34">
        <v>46139</v>
      </c>
      <c r="C1218" s="34" t="str">
        <f>TEXT(Metas_Diarias[[#This Row],[data]],"dddd")</f>
        <v>segunda-feira</v>
      </c>
      <c r="D1218" s="33">
        <v>1</v>
      </c>
      <c r="E1218" s="33">
        <v>1</v>
      </c>
      <c r="F1218" s="18"/>
      <c r="G1218" s="35">
        <f>WEEKDAY(Metas_Diarias[[#This Row],[data]])</f>
        <v>2</v>
      </c>
      <c r="H1218" s="35">
        <f>IF(Metas_Diarias[[#This Row],[dias_da_demana]]=1,"domingo",IF(Metas_Diarias[[#This Row],[dias_da_demana]]=7,0.5,1))</f>
        <v>1</v>
      </c>
      <c r="I1218" s="35">
        <f>_xlfn.XLOOKUP(Metas_Diarias[[#This Row],[data]],Feriados[Data],Feriados[Feriado],1)</f>
        <v>1</v>
      </c>
      <c r="J1218" s="33" cm="1">
        <f t="array" aca="1" ref="J1218" ca="1">SUMPRODUCT(IF((NOT(ISERROR(MATCH(ROW(INDIRECT(DATE(YEAR(B1218),MONTH(B1218),1)&amp;":"&amp;DATE(YEAR(B1218),MONTH(B1218)+1,0))),Feriados[Data],0))))=FALSE,
IF(WEEKDAY(ROW(INDIRECT(DATE(YEAR(B1218),MONTH(B1218),1)&amp;":"&amp;DATE(YEAR(B1218),MONTH(B1218)+1,0))),2)&lt;=5,1,IF(WEEKDAY(ROW(INDIRECT(DATE(YEAR(B1218),MONTH(B1218),1)&amp;":"&amp;DATE(YEAR(B1218),MONTH(B1218)+1,0))),2)=6,0.5,0)),0))</f>
        <v>22</v>
      </c>
      <c r="K1218" s="22" cm="1">
        <f t="array" ref="K1218">_xlfn.XLOOKUP(1,((Metas_Diarias[[#This Row],[tipo_equipe_id]]=Metas[equipe])*(Metas_Diarias[[#This Row],[data]]&gt;Metas[data_inicio])*(Metas_Diarias[[#This Row],[data]]&lt;Metas[data_fim])),Metas[meta_mensal],0)</f>
        <v>168000</v>
      </c>
      <c r="L1218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19" spans="2:12" x14ac:dyDescent="0.3">
      <c r="B1219" s="34">
        <v>46140</v>
      </c>
      <c r="C1219" s="34" t="str">
        <f>TEXT(Metas_Diarias[[#This Row],[data]],"dddd")</f>
        <v>terça-feira</v>
      </c>
      <c r="D1219" s="33">
        <v>1</v>
      </c>
      <c r="E1219" s="33">
        <v>1</v>
      </c>
      <c r="F1219" s="18"/>
      <c r="G1219" s="35">
        <f>WEEKDAY(Metas_Diarias[[#This Row],[data]])</f>
        <v>3</v>
      </c>
      <c r="H1219" s="35">
        <f>IF(Metas_Diarias[[#This Row],[dias_da_demana]]=1,"domingo",IF(Metas_Diarias[[#This Row],[dias_da_demana]]=7,0.5,1))</f>
        <v>1</v>
      </c>
      <c r="I1219" s="35">
        <f>_xlfn.XLOOKUP(Metas_Diarias[[#This Row],[data]],Feriados[Data],Feriados[Feriado],1)</f>
        <v>1</v>
      </c>
      <c r="J1219" s="33" cm="1">
        <f t="array" aca="1" ref="J1219" ca="1">SUMPRODUCT(IF((NOT(ISERROR(MATCH(ROW(INDIRECT(DATE(YEAR(B1219),MONTH(B1219),1)&amp;":"&amp;DATE(YEAR(B1219),MONTH(B1219)+1,0))),Feriados[Data],0))))=FALSE,
IF(WEEKDAY(ROW(INDIRECT(DATE(YEAR(B1219),MONTH(B1219),1)&amp;":"&amp;DATE(YEAR(B1219),MONTH(B1219)+1,0))),2)&lt;=5,1,IF(WEEKDAY(ROW(INDIRECT(DATE(YEAR(B1219),MONTH(B1219),1)&amp;":"&amp;DATE(YEAR(B1219),MONTH(B1219)+1,0))),2)=6,0.5,0)),0))</f>
        <v>22</v>
      </c>
      <c r="K1219" s="22" cm="1">
        <f t="array" ref="K1219">_xlfn.XLOOKUP(1,((Metas_Diarias[[#This Row],[tipo_equipe_id]]=Metas[equipe])*(Metas_Diarias[[#This Row],[data]]&gt;Metas[data_inicio])*(Metas_Diarias[[#This Row],[data]]&lt;Metas[data_fim])),Metas[meta_mensal],0)</f>
        <v>168000</v>
      </c>
      <c r="L1219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20" spans="2:12" x14ac:dyDescent="0.3">
      <c r="B1220" s="34">
        <v>46141</v>
      </c>
      <c r="C1220" s="34" t="str">
        <f>TEXT(Metas_Diarias[[#This Row],[data]],"dddd")</f>
        <v>quarta-feira</v>
      </c>
      <c r="D1220" s="33">
        <v>1</v>
      </c>
      <c r="E1220" s="33">
        <v>1</v>
      </c>
      <c r="F1220" s="18"/>
      <c r="G1220" s="35">
        <f>WEEKDAY(Metas_Diarias[[#This Row],[data]])</f>
        <v>4</v>
      </c>
      <c r="H1220" s="35">
        <f>IF(Metas_Diarias[[#This Row],[dias_da_demana]]=1,"domingo",IF(Metas_Diarias[[#This Row],[dias_da_demana]]=7,0.5,1))</f>
        <v>1</v>
      </c>
      <c r="I1220" s="35">
        <f>_xlfn.XLOOKUP(Metas_Diarias[[#This Row],[data]],Feriados[Data],Feriados[Feriado],1)</f>
        <v>1</v>
      </c>
      <c r="J1220" s="33" cm="1">
        <f t="array" aca="1" ref="J1220" ca="1">SUMPRODUCT(IF((NOT(ISERROR(MATCH(ROW(INDIRECT(DATE(YEAR(B1220),MONTH(B1220),1)&amp;":"&amp;DATE(YEAR(B1220),MONTH(B1220)+1,0))),Feriados[Data],0))))=FALSE,
IF(WEEKDAY(ROW(INDIRECT(DATE(YEAR(B1220),MONTH(B1220),1)&amp;":"&amp;DATE(YEAR(B1220),MONTH(B1220)+1,0))),2)&lt;=5,1,IF(WEEKDAY(ROW(INDIRECT(DATE(YEAR(B1220),MONTH(B1220),1)&amp;":"&amp;DATE(YEAR(B1220),MONTH(B1220)+1,0))),2)=6,0.5,0)),0))</f>
        <v>22</v>
      </c>
      <c r="K1220" s="22" cm="1">
        <f t="array" ref="K1220">_xlfn.XLOOKUP(1,((Metas_Diarias[[#This Row],[tipo_equipe_id]]=Metas[equipe])*(Metas_Diarias[[#This Row],[data]]&gt;Metas[data_inicio])*(Metas_Diarias[[#This Row],[data]]&lt;Metas[data_fim])),Metas[meta_mensal],0)</f>
        <v>168000</v>
      </c>
      <c r="L1220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21" spans="2:12" x14ac:dyDescent="0.3">
      <c r="B1221" s="34">
        <v>46142</v>
      </c>
      <c r="C1221" s="34" t="str">
        <f>TEXT(Metas_Diarias[[#This Row],[data]],"dddd")</f>
        <v>quinta-feira</v>
      </c>
      <c r="D1221" s="33">
        <v>1</v>
      </c>
      <c r="E1221" s="33">
        <v>1</v>
      </c>
      <c r="F1221" s="18"/>
      <c r="G1221" s="35">
        <f>WEEKDAY(Metas_Diarias[[#This Row],[data]])</f>
        <v>5</v>
      </c>
      <c r="H1221" s="35">
        <f>IF(Metas_Diarias[[#This Row],[dias_da_demana]]=1,"domingo",IF(Metas_Diarias[[#This Row],[dias_da_demana]]=7,0.5,1))</f>
        <v>1</v>
      </c>
      <c r="I1221" s="35">
        <f>_xlfn.XLOOKUP(Metas_Diarias[[#This Row],[data]],Feriados[Data],Feriados[Feriado],1)</f>
        <v>1</v>
      </c>
      <c r="J1221" s="33" cm="1">
        <f t="array" aca="1" ref="J1221" ca="1">SUMPRODUCT(IF((NOT(ISERROR(MATCH(ROW(INDIRECT(DATE(YEAR(B1221),MONTH(B1221),1)&amp;":"&amp;DATE(YEAR(B1221),MONTH(B1221)+1,0))),Feriados[Data],0))))=FALSE,
IF(WEEKDAY(ROW(INDIRECT(DATE(YEAR(B1221),MONTH(B1221),1)&amp;":"&amp;DATE(YEAR(B1221),MONTH(B1221)+1,0))),2)&lt;=5,1,IF(WEEKDAY(ROW(INDIRECT(DATE(YEAR(B1221),MONTH(B1221),1)&amp;":"&amp;DATE(YEAR(B1221),MONTH(B1221)+1,0))),2)=6,0.5,0)),0))</f>
        <v>22</v>
      </c>
      <c r="K1221" s="22" cm="1">
        <f t="array" ref="K1221">_xlfn.XLOOKUP(1,((Metas_Diarias[[#This Row],[tipo_equipe_id]]=Metas[equipe])*(Metas_Diarias[[#This Row],[data]]&gt;Metas[data_inicio])*(Metas_Diarias[[#This Row],[data]]&lt;Metas[data_fim])),Metas[meta_mensal],0)</f>
        <v>168000</v>
      </c>
      <c r="L1221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222" spans="2:12" x14ac:dyDescent="0.3">
      <c r="B1222" s="34">
        <v>46143</v>
      </c>
      <c r="C1222" s="34" t="str">
        <f>TEXT(Metas_Diarias[[#This Row],[data]],"dddd")</f>
        <v>sexta-feira</v>
      </c>
      <c r="D1222" s="33">
        <v>1</v>
      </c>
      <c r="E1222" s="33">
        <v>1</v>
      </c>
      <c r="F1222" s="18"/>
      <c r="G1222" s="35">
        <f>WEEKDAY(Metas_Diarias[[#This Row],[data]])</f>
        <v>6</v>
      </c>
      <c r="H1222" s="35">
        <f>IF(Metas_Diarias[[#This Row],[dias_da_demana]]=1,"domingo",IF(Metas_Diarias[[#This Row],[dias_da_demana]]=7,0.5,1))</f>
        <v>1</v>
      </c>
      <c r="I1222" s="35" t="str">
        <f>_xlfn.XLOOKUP(Metas_Diarias[[#This Row],[data]],Feriados[Data],Feriados[Feriado],1)</f>
        <v>Dia do Trabalho</v>
      </c>
      <c r="J1222" s="33" cm="1">
        <f t="array" aca="1" ref="J1222" ca="1">SUMPRODUCT(IF((NOT(ISERROR(MATCH(ROW(INDIRECT(DATE(YEAR(B1222),MONTH(B1222),1)&amp;":"&amp;DATE(YEAR(B1222),MONTH(B1222)+1,0))),Feriados[Data],0))))=FALSE,
IF(WEEKDAY(ROW(INDIRECT(DATE(YEAR(B1222),MONTH(B1222),1)&amp;":"&amp;DATE(YEAR(B1222),MONTH(B1222)+1,0))),2)&lt;=5,1,IF(WEEKDAY(ROW(INDIRECT(DATE(YEAR(B1222),MONTH(B1222),1)&amp;":"&amp;DATE(YEAR(B1222),MONTH(B1222)+1,0))),2)=6,0.5,0)),0))</f>
        <v>22.5</v>
      </c>
      <c r="K1222" s="22" cm="1">
        <f t="array" ref="K1222">_xlfn.XLOOKUP(1,((Metas_Diarias[[#This Row],[tipo_equipe_id]]=Metas[equipe])*(Metas_Diarias[[#This Row],[data]]&gt;Metas[data_inicio])*(Metas_Diarias[[#This Row],[data]]&lt;Metas[data_fim])),Metas[meta_mensal],0)</f>
        <v>168000</v>
      </c>
      <c r="L12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23" spans="2:12" x14ac:dyDescent="0.3">
      <c r="B1223" s="34">
        <v>46144</v>
      </c>
      <c r="C1223" s="34" t="str">
        <f>TEXT(Metas_Diarias[[#This Row],[data]],"dddd")</f>
        <v>sábado</v>
      </c>
      <c r="D1223" s="33">
        <v>1</v>
      </c>
      <c r="E1223" s="33">
        <v>1</v>
      </c>
      <c r="F1223" s="18"/>
      <c r="G1223" s="35">
        <f>WEEKDAY(Metas_Diarias[[#This Row],[data]])</f>
        <v>7</v>
      </c>
      <c r="H1223" s="35">
        <f>IF(Metas_Diarias[[#This Row],[dias_da_demana]]=1,"domingo",IF(Metas_Diarias[[#This Row],[dias_da_demana]]=7,0.5,1))</f>
        <v>0.5</v>
      </c>
      <c r="I1223" s="35">
        <f>_xlfn.XLOOKUP(Metas_Diarias[[#This Row],[data]],Feriados[Data],Feriados[Feriado],1)</f>
        <v>1</v>
      </c>
      <c r="J1223" s="33" cm="1">
        <f t="array" aca="1" ref="J1223" ca="1">SUMPRODUCT(IF((NOT(ISERROR(MATCH(ROW(INDIRECT(DATE(YEAR(B1223),MONTH(B1223),1)&amp;":"&amp;DATE(YEAR(B1223),MONTH(B1223)+1,0))),Feriados[Data],0))))=FALSE,
IF(WEEKDAY(ROW(INDIRECT(DATE(YEAR(B1223),MONTH(B1223),1)&amp;":"&amp;DATE(YEAR(B1223),MONTH(B1223)+1,0))),2)&lt;=5,1,IF(WEEKDAY(ROW(INDIRECT(DATE(YEAR(B1223),MONTH(B1223),1)&amp;":"&amp;DATE(YEAR(B1223),MONTH(B1223)+1,0))),2)=6,0.5,0)),0))</f>
        <v>22.5</v>
      </c>
      <c r="K1223" s="22" cm="1">
        <f t="array" ref="K1223">_xlfn.XLOOKUP(1,((Metas_Diarias[[#This Row],[tipo_equipe_id]]=Metas[equipe])*(Metas_Diarias[[#This Row],[data]]&gt;Metas[data_inicio])*(Metas_Diarias[[#This Row],[data]]&lt;Metas[data_fim])),Metas[meta_mensal],0)</f>
        <v>168000</v>
      </c>
      <c r="L1223" s="24">
        <f ca="1">Metas_Diarias[[#This Row],[meta_mensal]]*IF(Metas_Diarias[[#This Row],[semana]]="domingo",0,Metas_Diarias[[#This Row],[semana]])*IF(Metas_Diarias[[#This Row],[feriado]]&lt;&gt;1,0,1)/Metas_Diarias[[#This Row],[dias_úteis_Mês]]</f>
        <v>3733.3333333333335</v>
      </c>
    </row>
    <row r="1224" spans="2:12" x14ac:dyDescent="0.3">
      <c r="B1224" s="34">
        <v>46145</v>
      </c>
      <c r="C1224" s="34" t="str">
        <f>TEXT(Metas_Diarias[[#This Row],[data]],"dddd")</f>
        <v>domingo</v>
      </c>
      <c r="D1224" s="33">
        <v>1</v>
      </c>
      <c r="E1224" s="33">
        <v>1</v>
      </c>
      <c r="F1224" s="18"/>
      <c r="G1224" s="35">
        <f>WEEKDAY(Metas_Diarias[[#This Row],[data]])</f>
        <v>1</v>
      </c>
      <c r="H1224" s="35" t="str">
        <f>IF(Metas_Diarias[[#This Row],[dias_da_demana]]=1,"domingo",IF(Metas_Diarias[[#This Row],[dias_da_demana]]=7,0.5,1))</f>
        <v>domingo</v>
      </c>
      <c r="I1224" s="35">
        <f>_xlfn.XLOOKUP(Metas_Diarias[[#This Row],[data]],Feriados[Data],Feriados[Feriado],1)</f>
        <v>1</v>
      </c>
      <c r="J1224" s="33" cm="1">
        <f t="array" aca="1" ref="J1224" ca="1">SUMPRODUCT(IF((NOT(ISERROR(MATCH(ROW(INDIRECT(DATE(YEAR(B1224),MONTH(B1224),1)&amp;":"&amp;DATE(YEAR(B1224),MONTH(B1224)+1,0))),Feriados[Data],0))))=FALSE,
IF(WEEKDAY(ROW(INDIRECT(DATE(YEAR(B1224),MONTH(B1224),1)&amp;":"&amp;DATE(YEAR(B1224),MONTH(B1224)+1,0))),2)&lt;=5,1,IF(WEEKDAY(ROW(INDIRECT(DATE(YEAR(B1224),MONTH(B1224),1)&amp;":"&amp;DATE(YEAR(B1224),MONTH(B1224)+1,0))),2)=6,0.5,0)),0))</f>
        <v>22.5</v>
      </c>
      <c r="K1224" s="22" cm="1">
        <f t="array" ref="K1224">_xlfn.XLOOKUP(1,((Metas_Diarias[[#This Row],[tipo_equipe_id]]=Metas[equipe])*(Metas_Diarias[[#This Row],[data]]&gt;Metas[data_inicio])*(Metas_Diarias[[#This Row],[data]]&lt;Metas[data_fim])),Metas[meta_mensal],0)</f>
        <v>168000</v>
      </c>
      <c r="L12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25" spans="2:12" x14ac:dyDescent="0.3">
      <c r="B1225" s="34">
        <v>46146</v>
      </c>
      <c r="C1225" s="34" t="str">
        <f>TEXT(Metas_Diarias[[#This Row],[data]],"dddd")</f>
        <v>segunda-feira</v>
      </c>
      <c r="D1225" s="33">
        <v>1</v>
      </c>
      <c r="E1225" s="33">
        <v>1</v>
      </c>
      <c r="F1225" s="18"/>
      <c r="G1225" s="35">
        <f>WEEKDAY(Metas_Diarias[[#This Row],[data]])</f>
        <v>2</v>
      </c>
      <c r="H1225" s="35">
        <f>IF(Metas_Diarias[[#This Row],[dias_da_demana]]=1,"domingo",IF(Metas_Diarias[[#This Row],[dias_da_demana]]=7,0.5,1))</f>
        <v>1</v>
      </c>
      <c r="I1225" s="35">
        <f>_xlfn.XLOOKUP(Metas_Diarias[[#This Row],[data]],Feriados[Data],Feriados[Feriado],1)</f>
        <v>1</v>
      </c>
      <c r="J1225" s="33" cm="1">
        <f t="array" aca="1" ref="J1225" ca="1">SUMPRODUCT(IF((NOT(ISERROR(MATCH(ROW(INDIRECT(DATE(YEAR(B1225),MONTH(B1225),1)&amp;":"&amp;DATE(YEAR(B1225),MONTH(B1225)+1,0))),Feriados[Data],0))))=FALSE,
IF(WEEKDAY(ROW(INDIRECT(DATE(YEAR(B1225),MONTH(B1225),1)&amp;":"&amp;DATE(YEAR(B1225),MONTH(B1225)+1,0))),2)&lt;=5,1,IF(WEEKDAY(ROW(INDIRECT(DATE(YEAR(B1225),MONTH(B1225),1)&amp;":"&amp;DATE(YEAR(B1225),MONTH(B1225)+1,0))),2)=6,0.5,0)),0))</f>
        <v>22.5</v>
      </c>
      <c r="K1225" s="22" cm="1">
        <f t="array" ref="K1225">_xlfn.XLOOKUP(1,((Metas_Diarias[[#This Row],[tipo_equipe_id]]=Metas[equipe])*(Metas_Diarias[[#This Row],[data]]&gt;Metas[data_inicio])*(Metas_Diarias[[#This Row],[data]]&lt;Metas[data_fim])),Metas[meta_mensal],0)</f>
        <v>168000</v>
      </c>
      <c r="L1225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26" spans="2:12" x14ac:dyDescent="0.3">
      <c r="B1226" s="34">
        <v>46147</v>
      </c>
      <c r="C1226" s="34" t="str">
        <f>TEXT(Metas_Diarias[[#This Row],[data]],"dddd")</f>
        <v>terça-feira</v>
      </c>
      <c r="D1226" s="33">
        <v>1</v>
      </c>
      <c r="E1226" s="33">
        <v>1</v>
      </c>
      <c r="F1226" s="18"/>
      <c r="G1226" s="35">
        <f>WEEKDAY(Metas_Diarias[[#This Row],[data]])</f>
        <v>3</v>
      </c>
      <c r="H1226" s="35">
        <f>IF(Metas_Diarias[[#This Row],[dias_da_demana]]=1,"domingo",IF(Metas_Diarias[[#This Row],[dias_da_demana]]=7,0.5,1))</f>
        <v>1</v>
      </c>
      <c r="I1226" s="35">
        <f>_xlfn.XLOOKUP(Metas_Diarias[[#This Row],[data]],Feriados[Data],Feriados[Feriado],1)</f>
        <v>1</v>
      </c>
      <c r="J1226" s="33" cm="1">
        <f t="array" aca="1" ref="J1226" ca="1">SUMPRODUCT(IF((NOT(ISERROR(MATCH(ROW(INDIRECT(DATE(YEAR(B1226),MONTH(B1226),1)&amp;":"&amp;DATE(YEAR(B1226),MONTH(B1226)+1,0))),Feriados[Data],0))))=FALSE,
IF(WEEKDAY(ROW(INDIRECT(DATE(YEAR(B1226),MONTH(B1226),1)&amp;":"&amp;DATE(YEAR(B1226),MONTH(B1226)+1,0))),2)&lt;=5,1,IF(WEEKDAY(ROW(INDIRECT(DATE(YEAR(B1226),MONTH(B1226),1)&amp;":"&amp;DATE(YEAR(B1226),MONTH(B1226)+1,0))),2)=6,0.5,0)),0))</f>
        <v>22.5</v>
      </c>
      <c r="K1226" s="22" cm="1">
        <f t="array" ref="K1226">_xlfn.XLOOKUP(1,((Metas_Diarias[[#This Row],[tipo_equipe_id]]=Metas[equipe])*(Metas_Diarias[[#This Row],[data]]&gt;Metas[data_inicio])*(Metas_Diarias[[#This Row],[data]]&lt;Metas[data_fim])),Metas[meta_mensal],0)</f>
        <v>168000</v>
      </c>
      <c r="L1226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27" spans="2:12" x14ac:dyDescent="0.3">
      <c r="B1227" s="34">
        <v>46148</v>
      </c>
      <c r="C1227" s="34" t="str">
        <f>TEXT(Metas_Diarias[[#This Row],[data]],"dddd")</f>
        <v>quarta-feira</v>
      </c>
      <c r="D1227" s="33">
        <v>1</v>
      </c>
      <c r="E1227" s="33">
        <v>1</v>
      </c>
      <c r="F1227" s="18"/>
      <c r="G1227" s="35">
        <f>WEEKDAY(Metas_Diarias[[#This Row],[data]])</f>
        <v>4</v>
      </c>
      <c r="H1227" s="35">
        <f>IF(Metas_Diarias[[#This Row],[dias_da_demana]]=1,"domingo",IF(Metas_Diarias[[#This Row],[dias_da_demana]]=7,0.5,1))</f>
        <v>1</v>
      </c>
      <c r="I1227" s="35">
        <f>_xlfn.XLOOKUP(Metas_Diarias[[#This Row],[data]],Feriados[Data],Feriados[Feriado],1)</f>
        <v>1</v>
      </c>
      <c r="J1227" s="33" cm="1">
        <f t="array" aca="1" ref="J1227" ca="1">SUMPRODUCT(IF((NOT(ISERROR(MATCH(ROW(INDIRECT(DATE(YEAR(B1227),MONTH(B1227),1)&amp;":"&amp;DATE(YEAR(B1227),MONTH(B1227)+1,0))),Feriados[Data],0))))=FALSE,
IF(WEEKDAY(ROW(INDIRECT(DATE(YEAR(B1227),MONTH(B1227),1)&amp;":"&amp;DATE(YEAR(B1227),MONTH(B1227)+1,0))),2)&lt;=5,1,IF(WEEKDAY(ROW(INDIRECT(DATE(YEAR(B1227),MONTH(B1227),1)&amp;":"&amp;DATE(YEAR(B1227),MONTH(B1227)+1,0))),2)=6,0.5,0)),0))</f>
        <v>22.5</v>
      </c>
      <c r="K1227" s="22" cm="1">
        <f t="array" ref="K1227">_xlfn.XLOOKUP(1,((Metas_Diarias[[#This Row],[tipo_equipe_id]]=Metas[equipe])*(Metas_Diarias[[#This Row],[data]]&gt;Metas[data_inicio])*(Metas_Diarias[[#This Row],[data]]&lt;Metas[data_fim])),Metas[meta_mensal],0)</f>
        <v>168000</v>
      </c>
      <c r="L1227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28" spans="2:12" x14ac:dyDescent="0.3">
      <c r="B1228" s="34">
        <v>46149</v>
      </c>
      <c r="C1228" s="34" t="str">
        <f>TEXT(Metas_Diarias[[#This Row],[data]],"dddd")</f>
        <v>quinta-feira</v>
      </c>
      <c r="D1228" s="33">
        <v>1</v>
      </c>
      <c r="E1228" s="33">
        <v>1</v>
      </c>
      <c r="F1228" s="18"/>
      <c r="G1228" s="35">
        <f>WEEKDAY(Metas_Diarias[[#This Row],[data]])</f>
        <v>5</v>
      </c>
      <c r="H1228" s="35">
        <f>IF(Metas_Diarias[[#This Row],[dias_da_demana]]=1,"domingo",IF(Metas_Diarias[[#This Row],[dias_da_demana]]=7,0.5,1))</f>
        <v>1</v>
      </c>
      <c r="I1228" s="35">
        <f>_xlfn.XLOOKUP(Metas_Diarias[[#This Row],[data]],Feriados[Data],Feriados[Feriado],1)</f>
        <v>1</v>
      </c>
      <c r="J1228" s="33" cm="1">
        <f t="array" aca="1" ref="J1228" ca="1">SUMPRODUCT(IF((NOT(ISERROR(MATCH(ROW(INDIRECT(DATE(YEAR(B1228),MONTH(B1228),1)&amp;":"&amp;DATE(YEAR(B1228),MONTH(B1228)+1,0))),Feriados[Data],0))))=FALSE,
IF(WEEKDAY(ROW(INDIRECT(DATE(YEAR(B1228),MONTH(B1228),1)&amp;":"&amp;DATE(YEAR(B1228),MONTH(B1228)+1,0))),2)&lt;=5,1,IF(WEEKDAY(ROW(INDIRECT(DATE(YEAR(B1228),MONTH(B1228),1)&amp;":"&amp;DATE(YEAR(B1228),MONTH(B1228)+1,0))),2)=6,0.5,0)),0))</f>
        <v>22.5</v>
      </c>
      <c r="K1228" s="22" cm="1">
        <f t="array" ref="K1228">_xlfn.XLOOKUP(1,((Metas_Diarias[[#This Row],[tipo_equipe_id]]=Metas[equipe])*(Metas_Diarias[[#This Row],[data]]&gt;Metas[data_inicio])*(Metas_Diarias[[#This Row],[data]]&lt;Metas[data_fim])),Metas[meta_mensal],0)</f>
        <v>168000</v>
      </c>
      <c r="L1228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29" spans="2:12" x14ac:dyDescent="0.3">
      <c r="B1229" s="34">
        <v>46150</v>
      </c>
      <c r="C1229" s="34" t="str">
        <f>TEXT(Metas_Diarias[[#This Row],[data]],"dddd")</f>
        <v>sexta-feira</v>
      </c>
      <c r="D1229" s="33">
        <v>1</v>
      </c>
      <c r="E1229" s="33">
        <v>1</v>
      </c>
      <c r="F1229" s="18"/>
      <c r="G1229" s="35">
        <f>WEEKDAY(Metas_Diarias[[#This Row],[data]])</f>
        <v>6</v>
      </c>
      <c r="H1229" s="35">
        <f>IF(Metas_Diarias[[#This Row],[dias_da_demana]]=1,"domingo",IF(Metas_Diarias[[#This Row],[dias_da_demana]]=7,0.5,1))</f>
        <v>1</v>
      </c>
      <c r="I1229" s="35">
        <f>_xlfn.XLOOKUP(Metas_Diarias[[#This Row],[data]],Feriados[Data],Feriados[Feriado],1)</f>
        <v>1</v>
      </c>
      <c r="J1229" s="33" cm="1">
        <f t="array" aca="1" ref="J1229" ca="1">SUMPRODUCT(IF((NOT(ISERROR(MATCH(ROW(INDIRECT(DATE(YEAR(B1229),MONTH(B1229),1)&amp;":"&amp;DATE(YEAR(B1229),MONTH(B1229)+1,0))),Feriados[Data],0))))=FALSE,
IF(WEEKDAY(ROW(INDIRECT(DATE(YEAR(B1229),MONTH(B1229),1)&amp;":"&amp;DATE(YEAR(B1229),MONTH(B1229)+1,0))),2)&lt;=5,1,IF(WEEKDAY(ROW(INDIRECT(DATE(YEAR(B1229),MONTH(B1229),1)&amp;":"&amp;DATE(YEAR(B1229),MONTH(B1229)+1,0))),2)=6,0.5,0)),0))</f>
        <v>22.5</v>
      </c>
      <c r="K1229" s="22" cm="1">
        <f t="array" ref="K1229">_xlfn.XLOOKUP(1,((Metas_Diarias[[#This Row],[tipo_equipe_id]]=Metas[equipe])*(Metas_Diarias[[#This Row],[data]]&gt;Metas[data_inicio])*(Metas_Diarias[[#This Row],[data]]&lt;Metas[data_fim])),Metas[meta_mensal],0)</f>
        <v>168000</v>
      </c>
      <c r="L1229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30" spans="2:12" x14ac:dyDescent="0.3">
      <c r="B1230" s="34">
        <v>46151</v>
      </c>
      <c r="C1230" s="34" t="str">
        <f>TEXT(Metas_Diarias[[#This Row],[data]],"dddd")</f>
        <v>sábado</v>
      </c>
      <c r="D1230" s="33">
        <v>1</v>
      </c>
      <c r="E1230" s="33">
        <v>1</v>
      </c>
      <c r="F1230" s="18"/>
      <c r="G1230" s="35">
        <f>WEEKDAY(Metas_Diarias[[#This Row],[data]])</f>
        <v>7</v>
      </c>
      <c r="H1230" s="35">
        <f>IF(Metas_Diarias[[#This Row],[dias_da_demana]]=1,"domingo",IF(Metas_Diarias[[#This Row],[dias_da_demana]]=7,0.5,1))</f>
        <v>0.5</v>
      </c>
      <c r="I1230" s="35">
        <f>_xlfn.XLOOKUP(Metas_Diarias[[#This Row],[data]],Feriados[Data],Feriados[Feriado],1)</f>
        <v>1</v>
      </c>
      <c r="J1230" s="33" cm="1">
        <f t="array" aca="1" ref="J1230" ca="1">SUMPRODUCT(IF((NOT(ISERROR(MATCH(ROW(INDIRECT(DATE(YEAR(B1230),MONTH(B1230),1)&amp;":"&amp;DATE(YEAR(B1230),MONTH(B1230)+1,0))),Feriados[Data],0))))=FALSE,
IF(WEEKDAY(ROW(INDIRECT(DATE(YEAR(B1230),MONTH(B1230),1)&amp;":"&amp;DATE(YEAR(B1230),MONTH(B1230)+1,0))),2)&lt;=5,1,IF(WEEKDAY(ROW(INDIRECT(DATE(YEAR(B1230),MONTH(B1230),1)&amp;":"&amp;DATE(YEAR(B1230),MONTH(B1230)+1,0))),2)=6,0.5,0)),0))</f>
        <v>22.5</v>
      </c>
      <c r="K1230" s="22" cm="1">
        <f t="array" ref="K1230">_xlfn.XLOOKUP(1,((Metas_Diarias[[#This Row],[tipo_equipe_id]]=Metas[equipe])*(Metas_Diarias[[#This Row],[data]]&gt;Metas[data_inicio])*(Metas_Diarias[[#This Row],[data]]&lt;Metas[data_fim])),Metas[meta_mensal],0)</f>
        <v>168000</v>
      </c>
      <c r="L1230" s="24">
        <f ca="1">Metas_Diarias[[#This Row],[meta_mensal]]*IF(Metas_Diarias[[#This Row],[semana]]="domingo",0,Metas_Diarias[[#This Row],[semana]])*IF(Metas_Diarias[[#This Row],[feriado]]&lt;&gt;1,0,1)/Metas_Diarias[[#This Row],[dias_úteis_Mês]]</f>
        <v>3733.3333333333335</v>
      </c>
    </row>
    <row r="1231" spans="2:12" x14ac:dyDescent="0.3">
      <c r="B1231" s="34">
        <v>46152</v>
      </c>
      <c r="C1231" s="34" t="str">
        <f>TEXT(Metas_Diarias[[#This Row],[data]],"dddd")</f>
        <v>domingo</v>
      </c>
      <c r="D1231" s="33">
        <v>1</v>
      </c>
      <c r="E1231" s="33">
        <v>1</v>
      </c>
      <c r="F1231" s="18"/>
      <c r="G1231" s="35">
        <f>WEEKDAY(Metas_Diarias[[#This Row],[data]])</f>
        <v>1</v>
      </c>
      <c r="H1231" s="35" t="str">
        <f>IF(Metas_Diarias[[#This Row],[dias_da_demana]]=1,"domingo",IF(Metas_Diarias[[#This Row],[dias_da_demana]]=7,0.5,1))</f>
        <v>domingo</v>
      </c>
      <c r="I1231" s="35">
        <f>_xlfn.XLOOKUP(Metas_Diarias[[#This Row],[data]],Feriados[Data],Feriados[Feriado],1)</f>
        <v>1</v>
      </c>
      <c r="J1231" s="33" cm="1">
        <f t="array" aca="1" ref="J1231" ca="1">SUMPRODUCT(IF((NOT(ISERROR(MATCH(ROW(INDIRECT(DATE(YEAR(B1231),MONTH(B1231),1)&amp;":"&amp;DATE(YEAR(B1231),MONTH(B1231)+1,0))),Feriados[Data],0))))=FALSE,
IF(WEEKDAY(ROW(INDIRECT(DATE(YEAR(B1231),MONTH(B1231),1)&amp;":"&amp;DATE(YEAR(B1231),MONTH(B1231)+1,0))),2)&lt;=5,1,IF(WEEKDAY(ROW(INDIRECT(DATE(YEAR(B1231),MONTH(B1231),1)&amp;":"&amp;DATE(YEAR(B1231),MONTH(B1231)+1,0))),2)=6,0.5,0)),0))</f>
        <v>22.5</v>
      </c>
      <c r="K1231" s="22" cm="1">
        <f t="array" ref="K1231">_xlfn.XLOOKUP(1,((Metas_Diarias[[#This Row],[tipo_equipe_id]]=Metas[equipe])*(Metas_Diarias[[#This Row],[data]]&gt;Metas[data_inicio])*(Metas_Diarias[[#This Row],[data]]&lt;Metas[data_fim])),Metas[meta_mensal],0)</f>
        <v>168000</v>
      </c>
      <c r="L12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32" spans="2:12" x14ac:dyDescent="0.3">
      <c r="B1232" s="34">
        <v>46153</v>
      </c>
      <c r="C1232" s="34" t="str">
        <f>TEXT(Metas_Diarias[[#This Row],[data]],"dddd")</f>
        <v>segunda-feira</v>
      </c>
      <c r="D1232" s="33">
        <v>1</v>
      </c>
      <c r="E1232" s="33">
        <v>1</v>
      </c>
      <c r="F1232" s="18"/>
      <c r="G1232" s="35">
        <f>WEEKDAY(Metas_Diarias[[#This Row],[data]])</f>
        <v>2</v>
      </c>
      <c r="H1232" s="35">
        <f>IF(Metas_Diarias[[#This Row],[dias_da_demana]]=1,"domingo",IF(Metas_Diarias[[#This Row],[dias_da_demana]]=7,0.5,1))</f>
        <v>1</v>
      </c>
      <c r="I1232" s="35">
        <f>_xlfn.XLOOKUP(Metas_Diarias[[#This Row],[data]],Feriados[Data],Feriados[Feriado],1)</f>
        <v>1</v>
      </c>
      <c r="J1232" s="33" cm="1">
        <f t="array" aca="1" ref="J1232" ca="1">SUMPRODUCT(IF((NOT(ISERROR(MATCH(ROW(INDIRECT(DATE(YEAR(B1232),MONTH(B1232),1)&amp;":"&amp;DATE(YEAR(B1232),MONTH(B1232)+1,0))),Feriados[Data],0))))=FALSE,
IF(WEEKDAY(ROW(INDIRECT(DATE(YEAR(B1232),MONTH(B1232),1)&amp;":"&amp;DATE(YEAR(B1232),MONTH(B1232)+1,0))),2)&lt;=5,1,IF(WEEKDAY(ROW(INDIRECT(DATE(YEAR(B1232),MONTH(B1232),1)&amp;":"&amp;DATE(YEAR(B1232),MONTH(B1232)+1,0))),2)=6,0.5,0)),0))</f>
        <v>22.5</v>
      </c>
      <c r="K1232" s="22" cm="1">
        <f t="array" ref="K1232">_xlfn.XLOOKUP(1,((Metas_Diarias[[#This Row],[tipo_equipe_id]]=Metas[equipe])*(Metas_Diarias[[#This Row],[data]]&gt;Metas[data_inicio])*(Metas_Diarias[[#This Row],[data]]&lt;Metas[data_fim])),Metas[meta_mensal],0)</f>
        <v>168000</v>
      </c>
      <c r="L1232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33" spans="2:12" x14ac:dyDescent="0.3">
      <c r="B1233" s="34">
        <v>46154</v>
      </c>
      <c r="C1233" s="34" t="str">
        <f>TEXT(Metas_Diarias[[#This Row],[data]],"dddd")</f>
        <v>terça-feira</v>
      </c>
      <c r="D1233" s="33">
        <v>1</v>
      </c>
      <c r="E1233" s="33">
        <v>1</v>
      </c>
      <c r="F1233" s="18"/>
      <c r="G1233" s="35">
        <f>WEEKDAY(Metas_Diarias[[#This Row],[data]])</f>
        <v>3</v>
      </c>
      <c r="H1233" s="35">
        <f>IF(Metas_Diarias[[#This Row],[dias_da_demana]]=1,"domingo",IF(Metas_Diarias[[#This Row],[dias_da_demana]]=7,0.5,1))</f>
        <v>1</v>
      </c>
      <c r="I1233" s="35">
        <f>_xlfn.XLOOKUP(Metas_Diarias[[#This Row],[data]],Feriados[Data],Feriados[Feriado],1)</f>
        <v>1</v>
      </c>
      <c r="J1233" s="33" cm="1">
        <f t="array" aca="1" ref="J1233" ca="1">SUMPRODUCT(IF((NOT(ISERROR(MATCH(ROW(INDIRECT(DATE(YEAR(B1233),MONTH(B1233),1)&amp;":"&amp;DATE(YEAR(B1233),MONTH(B1233)+1,0))),Feriados[Data],0))))=FALSE,
IF(WEEKDAY(ROW(INDIRECT(DATE(YEAR(B1233),MONTH(B1233),1)&amp;":"&amp;DATE(YEAR(B1233),MONTH(B1233)+1,0))),2)&lt;=5,1,IF(WEEKDAY(ROW(INDIRECT(DATE(YEAR(B1233),MONTH(B1233),1)&amp;":"&amp;DATE(YEAR(B1233),MONTH(B1233)+1,0))),2)=6,0.5,0)),0))</f>
        <v>22.5</v>
      </c>
      <c r="K1233" s="22" cm="1">
        <f t="array" ref="K1233">_xlfn.XLOOKUP(1,((Metas_Diarias[[#This Row],[tipo_equipe_id]]=Metas[equipe])*(Metas_Diarias[[#This Row],[data]]&gt;Metas[data_inicio])*(Metas_Diarias[[#This Row],[data]]&lt;Metas[data_fim])),Metas[meta_mensal],0)</f>
        <v>168000</v>
      </c>
      <c r="L1233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34" spans="2:12" x14ac:dyDescent="0.3">
      <c r="B1234" s="34">
        <v>46155</v>
      </c>
      <c r="C1234" s="34" t="str">
        <f>TEXT(Metas_Diarias[[#This Row],[data]],"dddd")</f>
        <v>quarta-feira</v>
      </c>
      <c r="D1234" s="33">
        <v>1</v>
      </c>
      <c r="E1234" s="33">
        <v>1</v>
      </c>
      <c r="F1234" s="18"/>
      <c r="G1234" s="35">
        <f>WEEKDAY(Metas_Diarias[[#This Row],[data]])</f>
        <v>4</v>
      </c>
      <c r="H1234" s="35">
        <f>IF(Metas_Diarias[[#This Row],[dias_da_demana]]=1,"domingo",IF(Metas_Diarias[[#This Row],[dias_da_demana]]=7,0.5,1))</f>
        <v>1</v>
      </c>
      <c r="I1234" s="35">
        <f>_xlfn.XLOOKUP(Metas_Diarias[[#This Row],[data]],Feriados[Data],Feriados[Feriado],1)</f>
        <v>1</v>
      </c>
      <c r="J1234" s="33" cm="1">
        <f t="array" aca="1" ref="J1234" ca="1">SUMPRODUCT(IF((NOT(ISERROR(MATCH(ROW(INDIRECT(DATE(YEAR(B1234),MONTH(B1234),1)&amp;":"&amp;DATE(YEAR(B1234),MONTH(B1234)+1,0))),Feriados[Data],0))))=FALSE,
IF(WEEKDAY(ROW(INDIRECT(DATE(YEAR(B1234),MONTH(B1234),1)&amp;":"&amp;DATE(YEAR(B1234),MONTH(B1234)+1,0))),2)&lt;=5,1,IF(WEEKDAY(ROW(INDIRECT(DATE(YEAR(B1234),MONTH(B1234),1)&amp;":"&amp;DATE(YEAR(B1234),MONTH(B1234)+1,0))),2)=6,0.5,0)),0))</f>
        <v>22.5</v>
      </c>
      <c r="K1234" s="22" cm="1">
        <f t="array" ref="K1234">_xlfn.XLOOKUP(1,((Metas_Diarias[[#This Row],[tipo_equipe_id]]=Metas[equipe])*(Metas_Diarias[[#This Row],[data]]&gt;Metas[data_inicio])*(Metas_Diarias[[#This Row],[data]]&lt;Metas[data_fim])),Metas[meta_mensal],0)</f>
        <v>168000</v>
      </c>
      <c r="L1234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35" spans="2:12" x14ac:dyDescent="0.3">
      <c r="B1235" s="34">
        <v>46156</v>
      </c>
      <c r="C1235" s="34" t="str">
        <f>TEXT(Metas_Diarias[[#This Row],[data]],"dddd")</f>
        <v>quinta-feira</v>
      </c>
      <c r="D1235" s="33">
        <v>1</v>
      </c>
      <c r="E1235" s="33">
        <v>1</v>
      </c>
      <c r="F1235" s="18"/>
      <c r="G1235" s="35">
        <f>WEEKDAY(Metas_Diarias[[#This Row],[data]])</f>
        <v>5</v>
      </c>
      <c r="H1235" s="35">
        <f>IF(Metas_Diarias[[#This Row],[dias_da_demana]]=1,"domingo",IF(Metas_Diarias[[#This Row],[dias_da_demana]]=7,0.5,1))</f>
        <v>1</v>
      </c>
      <c r="I1235" s="35">
        <f>_xlfn.XLOOKUP(Metas_Diarias[[#This Row],[data]],Feriados[Data],Feriados[Feriado],1)</f>
        <v>1</v>
      </c>
      <c r="J1235" s="33" cm="1">
        <f t="array" aca="1" ref="J1235" ca="1">SUMPRODUCT(IF((NOT(ISERROR(MATCH(ROW(INDIRECT(DATE(YEAR(B1235),MONTH(B1235),1)&amp;":"&amp;DATE(YEAR(B1235),MONTH(B1235)+1,0))),Feriados[Data],0))))=FALSE,
IF(WEEKDAY(ROW(INDIRECT(DATE(YEAR(B1235),MONTH(B1235),1)&amp;":"&amp;DATE(YEAR(B1235),MONTH(B1235)+1,0))),2)&lt;=5,1,IF(WEEKDAY(ROW(INDIRECT(DATE(YEAR(B1235),MONTH(B1235),1)&amp;":"&amp;DATE(YEAR(B1235),MONTH(B1235)+1,0))),2)=6,0.5,0)),0))</f>
        <v>22.5</v>
      </c>
      <c r="K1235" s="22" cm="1">
        <f t="array" ref="K1235">_xlfn.XLOOKUP(1,((Metas_Diarias[[#This Row],[tipo_equipe_id]]=Metas[equipe])*(Metas_Diarias[[#This Row],[data]]&gt;Metas[data_inicio])*(Metas_Diarias[[#This Row],[data]]&lt;Metas[data_fim])),Metas[meta_mensal],0)</f>
        <v>168000</v>
      </c>
      <c r="L1235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36" spans="2:12" x14ac:dyDescent="0.3">
      <c r="B1236" s="34">
        <v>46157</v>
      </c>
      <c r="C1236" s="34" t="str">
        <f>TEXT(Metas_Diarias[[#This Row],[data]],"dddd")</f>
        <v>sexta-feira</v>
      </c>
      <c r="D1236" s="33">
        <v>1</v>
      </c>
      <c r="E1236" s="33">
        <v>1</v>
      </c>
      <c r="F1236" s="18"/>
      <c r="G1236" s="35">
        <f>WEEKDAY(Metas_Diarias[[#This Row],[data]])</f>
        <v>6</v>
      </c>
      <c r="H1236" s="35">
        <f>IF(Metas_Diarias[[#This Row],[dias_da_demana]]=1,"domingo",IF(Metas_Diarias[[#This Row],[dias_da_demana]]=7,0.5,1))</f>
        <v>1</v>
      </c>
      <c r="I1236" s="35">
        <f>_xlfn.XLOOKUP(Metas_Diarias[[#This Row],[data]],Feriados[Data],Feriados[Feriado],1)</f>
        <v>1</v>
      </c>
      <c r="J1236" s="33" cm="1">
        <f t="array" aca="1" ref="J1236" ca="1">SUMPRODUCT(IF((NOT(ISERROR(MATCH(ROW(INDIRECT(DATE(YEAR(B1236),MONTH(B1236),1)&amp;":"&amp;DATE(YEAR(B1236),MONTH(B1236)+1,0))),Feriados[Data],0))))=FALSE,
IF(WEEKDAY(ROW(INDIRECT(DATE(YEAR(B1236),MONTH(B1236),1)&amp;":"&amp;DATE(YEAR(B1236),MONTH(B1236)+1,0))),2)&lt;=5,1,IF(WEEKDAY(ROW(INDIRECT(DATE(YEAR(B1236),MONTH(B1236),1)&amp;":"&amp;DATE(YEAR(B1236),MONTH(B1236)+1,0))),2)=6,0.5,0)),0))</f>
        <v>22.5</v>
      </c>
      <c r="K1236" s="22" cm="1">
        <f t="array" ref="K1236">_xlfn.XLOOKUP(1,((Metas_Diarias[[#This Row],[tipo_equipe_id]]=Metas[equipe])*(Metas_Diarias[[#This Row],[data]]&gt;Metas[data_inicio])*(Metas_Diarias[[#This Row],[data]]&lt;Metas[data_fim])),Metas[meta_mensal],0)</f>
        <v>168000</v>
      </c>
      <c r="L1236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37" spans="2:12" x14ac:dyDescent="0.3">
      <c r="B1237" s="34">
        <v>46158</v>
      </c>
      <c r="C1237" s="34" t="str">
        <f>TEXT(Metas_Diarias[[#This Row],[data]],"dddd")</f>
        <v>sábado</v>
      </c>
      <c r="D1237" s="33">
        <v>1</v>
      </c>
      <c r="E1237" s="33">
        <v>1</v>
      </c>
      <c r="F1237" s="18"/>
      <c r="G1237" s="35">
        <f>WEEKDAY(Metas_Diarias[[#This Row],[data]])</f>
        <v>7</v>
      </c>
      <c r="H1237" s="35">
        <f>IF(Metas_Diarias[[#This Row],[dias_da_demana]]=1,"domingo",IF(Metas_Diarias[[#This Row],[dias_da_demana]]=7,0.5,1))</f>
        <v>0.5</v>
      </c>
      <c r="I1237" s="35">
        <f>_xlfn.XLOOKUP(Metas_Diarias[[#This Row],[data]],Feriados[Data],Feriados[Feriado],1)</f>
        <v>1</v>
      </c>
      <c r="J1237" s="33" cm="1">
        <f t="array" aca="1" ref="J1237" ca="1">SUMPRODUCT(IF((NOT(ISERROR(MATCH(ROW(INDIRECT(DATE(YEAR(B1237),MONTH(B1237),1)&amp;":"&amp;DATE(YEAR(B1237),MONTH(B1237)+1,0))),Feriados[Data],0))))=FALSE,
IF(WEEKDAY(ROW(INDIRECT(DATE(YEAR(B1237),MONTH(B1237),1)&amp;":"&amp;DATE(YEAR(B1237),MONTH(B1237)+1,0))),2)&lt;=5,1,IF(WEEKDAY(ROW(INDIRECT(DATE(YEAR(B1237),MONTH(B1237),1)&amp;":"&amp;DATE(YEAR(B1237),MONTH(B1237)+1,0))),2)=6,0.5,0)),0))</f>
        <v>22.5</v>
      </c>
      <c r="K1237" s="22" cm="1">
        <f t="array" ref="K1237">_xlfn.XLOOKUP(1,((Metas_Diarias[[#This Row],[tipo_equipe_id]]=Metas[equipe])*(Metas_Diarias[[#This Row],[data]]&gt;Metas[data_inicio])*(Metas_Diarias[[#This Row],[data]]&lt;Metas[data_fim])),Metas[meta_mensal],0)</f>
        <v>168000</v>
      </c>
      <c r="L1237" s="24">
        <f ca="1">Metas_Diarias[[#This Row],[meta_mensal]]*IF(Metas_Diarias[[#This Row],[semana]]="domingo",0,Metas_Diarias[[#This Row],[semana]])*IF(Metas_Diarias[[#This Row],[feriado]]&lt;&gt;1,0,1)/Metas_Diarias[[#This Row],[dias_úteis_Mês]]</f>
        <v>3733.3333333333335</v>
      </c>
    </row>
    <row r="1238" spans="2:12" x14ac:dyDescent="0.3">
      <c r="B1238" s="34">
        <v>46159</v>
      </c>
      <c r="C1238" s="34" t="str">
        <f>TEXT(Metas_Diarias[[#This Row],[data]],"dddd")</f>
        <v>domingo</v>
      </c>
      <c r="D1238" s="33">
        <v>1</v>
      </c>
      <c r="E1238" s="33">
        <v>1</v>
      </c>
      <c r="F1238" s="18"/>
      <c r="G1238" s="35">
        <f>WEEKDAY(Metas_Diarias[[#This Row],[data]])</f>
        <v>1</v>
      </c>
      <c r="H1238" s="35" t="str">
        <f>IF(Metas_Diarias[[#This Row],[dias_da_demana]]=1,"domingo",IF(Metas_Diarias[[#This Row],[dias_da_demana]]=7,0.5,1))</f>
        <v>domingo</v>
      </c>
      <c r="I1238" s="35">
        <f>_xlfn.XLOOKUP(Metas_Diarias[[#This Row],[data]],Feriados[Data],Feriados[Feriado],1)</f>
        <v>1</v>
      </c>
      <c r="J1238" s="33" cm="1">
        <f t="array" aca="1" ref="J1238" ca="1">SUMPRODUCT(IF((NOT(ISERROR(MATCH(ROW(INDIRECT(DATE(YEAR(B1238),MONTH(B1238),1)&amp;":"&amp;DATE(YEAR(B1238),MONTH(B1238)+1,0))),Feriados[Data],0))))=FALSE,
IF(WEEKDAY(ROW(INDIRECT(DATE(YEAR(B1238),MONTH(B1238),1)&amp;":"&amp;DATE(YEAR(B1238),MONTH(B1238)+1,0))),2)&lt;=5,1,IF(WEEKDAY(ROW(INDIRECT(DATE(YEAR(B1238),MONTH(B1238),1)&amp;":"&amp;DATE(YEAR(B1238),MONTH(B1238)+1,0))),2)=6,0.5,0)),0))</f>
        <v>22.5</v>
      </c>
      <c r="K1238" s="22" cm="1">
        <f t="array" ref="K1238">_xlfn.XLOOKUP(1,((Metas_Diarias[[#This Row],[tipo_equipe_id]]=Metas[equipe])*(Metas_Diarias[[#This Row],[data]]&gt;Metas[data_inicio])*(Metas_Diarias[[#This Row],[data]]&lt;Metas[data_fim])),Metas[meta_mensal],0)</f>
        <v>168000</v>
      </c>
      <c r="L12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39" spans="2:12" x14ac:dyDescent="0.3">
      <c r="B1239" s="34">
        <v>46160</v>
      </c>
      <c r="C1239" s="34" t="str">
        <f>TEXT(Metas_Diarias[[#This Row],[data]],"dddd")</f>
        <v>segunda-feira</v>
      </c>
      <c r="D1239" s="33">
        <v>1</v>
      </c>
      <c r="E1239" s="33">
        <v>1</v>
      </c>
      <c r="F1239" s="18"/>
      <c r="G1239" s="35">
        <f>WEEKDAY(Metas_Diarias[[#This Row],[data]])</f>
        <v>2</v>
      </c>
      <c r="H1239" s="35">
        <f>IF(Metas_Diarias[[#This Row],[dias_da_demana]]=1,"domingo",IF(Metas_Diarias[[#This Row],[dias_da_demana]]=7,0.5,1))</f>
        <v>1</v>
      </c>
      <c r="I1239" s="35">
        <f>_xlfn.XLOOKUP(Metas_Diarias[[#This Row],[data]],Feriados[Data],Feriados[Feriado],1)</f>
        <v>1</v>
      </c>
      <c r="J1239" s="33" cm="1">
        <f t="array" aca="1" ref="J1239" ca="1">SUMPRODUCT(IF((NOT(ISERROR(MATCH(ROW(INDIRECT(DATE(YEAR(B1239),MONTH(B1239),1)&amp;":"&amp;DATE(YEAR(B1239),MONTH(B1239)+1,0))),Feriados[Data],0))))=FALSE,
IF(WEEKDAY(ROW(INDIRECT(DATE(YEAR(B1239),MONTH(B1239),1)&amp;":"&amp;DATE(YEAR(B1239),MONTH(B1239)+1,0))),2)&lt;=5,1,IF(WEEKDAY(ROW(INDIRECT(DATE(YEAR(B1239),MONTH(B1239),1)&amp;":"&amp;DATE(YEAR(B1239),MONTH(B1239)+1,0))),2)=6,0.5,0)),0))</f>
        <v>22.5</v>
      </c>
      <c r="K1239" s="22" cm="1">
        <f t="array" ref="K1239">_xlfn.XLOOKUP(1,((Metas_Diarias[[#This Row],[tipo_equipe_id]]=Metas[equipe])*(Metas_Diarias[[#This Row],[data]]&gt;Metas[data_inicio])*(Metas_Diarias[[#This Row],[data]]&lt;Metas[data_fim])),Metas[meta_mensal],0)</f>
        <v>168000</v>
      </c>
      <c r="L1239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40" spans="2:12" x14ac:dyDescent="0.3">
      <c r="B1240" s="34">
        <v>46161</v>
      </c>
      <c r="C1240" s="34" t="str">
        <f>TEXT(Metas_Diarias[[#This Row],[data]],"dddd")</f>
        <v>terça-feira</v>
      </c>
      <c r="D1240" s="33">
        <v>1</v>
      </c>
      <c r="E1240" s="33">
        <v>1</v>
      </c>
      <c r="F1240" s="18"/>
      <c r="G1240" s="35">
        <f>WEEKDAY(Metas_Diarias[[#This Row],[data]])</f>
        <v>3</v>
      </c>
      <c r="H1240" s="35">
        <f>IF(Metas_Diarias[[#This Row],[dias_da_demana]]=1,"domingo",IF(Metas_Diarias[[#This Row],[dias_da_demana]]=7,0.5,1))</f>
        <v>1</v>
      </c>
      <c r="I1240" s="35">
        <f>_xlfn.XLOOKUP(Metas_Diarias[[#This Row],[data]],Feriados[Data],Feriados[Feriado],1)</f>
        <v>1</v>
      </c>
      <c r="J1240" s="33" cm="1">
        <f t="array" aca="1" ref="J1240" ca="1">SUMPRODUCT(IF((NOT(ISERROR(MATCH(ROW(INDIRECT(DATE(YEAR(B1240),MONTH(B1240),1)&amp;":"&amp;DATE(YEAR(B1240),MONTH(B1240)+1,0))),Feriados[Data],0))))=FALSE,
IF(WEEKDAY(ROW(INDIRECT(DATE(YEAR(B1240),MONTH(B1240),1)&amp;":"&amp;DATE(YEAR(B1240),MONTH(B1240)+1,0))),2)&lt;=5,1,IF(WEEKDAY(ROW(INDIRECT(DATE(YEAR(B1240),MONTH(B1240),1)&amp;":"&amp;DATE(YEAR(B1240),MONTH(B1240)+1,0))),2)=6,0.5,0)),0))</f>
        <v>22.5</v>
      </c>
      <c r="K1240" s="22" cm="1">
        <f t="array" ref="K1240">_xlfn.XLOOKUP(1,((Metas_Diarias[[#This Row],[tipo_equipe_id]]=Metas[equipe])*(Metas_Diarias[[#This Row],[data]]&gt;Metas[data_inicio])*(Metas_Diarias[[#This Row],[data]]&lt;Metas[data_fim])),Metas[meta_mensal],0)</f>
        <v>168000</v>
      </c>
      <c r="L1240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41" spans="2:12" x14ac:dyDescent="0.3">
      <c r="B1241" s="34">
        <v>46162</v>
      </c>
      <c r="C1241" s="34" t="str">
        <f>TEXT(Metas_Diarias[[#This Row],[data]],"dddd")</f>
        <v>quarta-feira</v>
      </c>
      <c r="D1241" s="33">
        <v>1</v>
      </c>
      <c r="E1241" s="33">
        <v>1</v>
      </c>
      <c r="F1241" s="18"/>
      <c r="G1241" s="35">
        <f>WEEKDAY(Metas_Diarias[[#This Row],[data]])</f>
        <v>4</v>
      </c>
      <c r="H1241" s="35">
        <f>IF(Metas_Diarias[[#This Row],[dias_da_demana]]=1,"domingo",IF(Metas_Diarias[[#This Row],[dias_da_demana]]=7,0.5,1))</f>
        <v>1</v>
      </c>
      <c r="I1241" s="35">
        <f>_xlfn.XLOOKUP(Metas_Diarias[[#This Row],[data]],Feriados[Data],Feriados[Feriado],1)</f>
        <v>1</v>
      </c>
      <c r="J1241" s="33" cm="1">
        <f t="array" aca="1" ref="J1241" ca="1">SUMPRODUCT(IF((NOT(ISERROR(MATCH(ROW(INDIRECT(DATE(YEAR(B1241),MONTH(B1241),1)&amp;":"&amp;DATE(YEAR(B1241),MONTH(B1241)+1,0))),Feriados[Data],0))))=FALSE,
IF(WEEKDAY(ROW(INDIRECT(DATE(YEAR(B1241),MONTH(B1241),1)&amp;":"&amp;DATE(YEAR(B1241),MONTH(B1241)+1,0))),2)&lt;=5,1,IF(WEEKDAY(ROW(INDIRECT(DATE(YEAR(B1241),MONTH(B1241),1)&amp;":"&amp;DATE(YEAR(B1241),MONTH(B1241)+1,0))),2)=6,0.5,0)),0))</f>
        <v>22.5</v>
      </c>
      <c r="K1241" s="22" cm="1">
        <f t="array" ref="K1241">_xlfn.XLOOKUP(1,((Metas_Diarias[[#This Row],[tipo_equipe_id]]=Metas[equipe])*(Metas_Diarias[[#This Row],[data]]&gt;Metas[data_inicio])*(Metas_Diarias[[#This Row],[data]]&lt;Metas[data_fim])),Metas[meta_mensal],0)</f>
        <v>168000</v>
      </c>
      <c r="L1241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42" spans="2:12" x14ac:dyDescent="0.3">
      <c r="B1242" s="34">
        <v>46163</v>
      </c>
      <c r="C1242" s="34" t="str">
        <f>TEXT(Metas_Diarias[[#This Row],[data]],"dddd")</f>
        <v>quinta-feira</v>
      </c>
      <c r="D1242" s="33">
        <v>1</v>
      </c>
      <c r="E1242" s="33">
        <v>1</v>
      </c>
      <c r="F1242" s="18"/>
      <c r="G1242" s="35">
        <f>WEEKDAY(Metas_Diarias[[#This Row],[data]])</f>
        <v>5</v>
      </c>
      <c r="H1242" s="35">
        <f>IF(Metas_Diarias[[#This Row],[dias_da_demana]]=1,"domingo",IF(Metas_Diarias[[#This Row],[dias_da_demana]]=7,0.5,1))</f>
        <v>1</v>
      </c>
      <c r="I1242" s="35">
        <f>_xlfn.XLOOKUP(Metas_Diarias[[#This Row],[data]],Feriados[Data],Feriados[Feriado],1)</f>
        <v>1</v>
      </c>
      <c r="J1242" s="33" cm="1">
        <f t="array" aca="1" ref="J1242" ca="1">SUMPRODUCT(IF((NOT(ISERROR(MATCH(ROW(INDIRECT(DATE(YEAR(B1242),MONTH(B1242),1)&amp;":"&amp;DATE(YEAR(B1242),MONTH(B1242)+1,0))),Feriados[Data],0))))=FALSE,
IF(WEEKDAY(ROW(INDIRECT(DATE(YEAR(B1242),MONTH(B1242),1)&amp;":"&amp;DATE(YEAR(B1242),MONTH(B1242)+1,0))),2)&lt;=5,1,IF(WEEKDAY(ROW(INDIRECT(DATE(YEAR(B1242),MONTH(B1242),1)&amp;":"&amp;DATE(YEAR(B1242),MONTH(B1242)+1,0))),2)=6,0.5,0)),0))</f>
        <v>22.5</v>
      </c>
      <c r="K1242" s="22" cm="1">
        <f t="array" ref="K1242">_xlfn.XLOOKUP(1,((Metas_Diarias[[#This Row],[tipo_equipe_id]]=Metas[equipe])*(Metas_Diarias[[#This Row],[data]]&gt;Metas[data_inicio])*(Metas_Diarias[[#This Row],[data]]&lt;Metas[data_fim])),Metas[meta_mensal],0)</f>
        <v>168000</v>
      </c>
      <c r="L1242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43" spans="2:12" x14ac:dyDescent="0.3">
      <c r="B1243" s="34">
        <v>46164</v>
      </c>
      <c r="C1243" s="34" t="str">
        <f>TEXT(Metas_Diarias[[#This Row],[data]],"dddd")</f>
        <v>sexta-feira</v>
      </c>
      <c r="D1243" s="33">
        <v>1</v>
      </c>
      <c r="E1243" s="33">
        <v>1</v>
      </c>
      <c r="F1243" s="18"/>
      <c r="G1243" s="35">
        <f>WEEKDAY(Metas_Diarias[[#This Row],[data]])</f>
        <v>6</v>
      </c>
      <c r="H1243" s="35">
        <f>IF(Metas_Diarias[[#This Row],[dias_da_demana]]=1,"domingo",IF(Metas_Diarias[[#This Row],[dias_da_demana]]=7,0.5,1))</f>
        <v>1</v>
      </c>
      <c r="I1243" s="35">
        <f>_xlfn.XLOOKUP(Metas_Diarias[[#This Row],[data]],Feriados[Data],Feriados[Feriado],1)</f>
        <v>1</v>
      </c>
      <c r="J1243" s="33" cm="1">
        <f t="array" aca="1" ref="J1243" ca="1">SUMPRODUCT(IF((NOT(ISERROR(MATCH(ROW(INDIRECT(DATE(YEAR(B1243),MONTH(B1243),1)&amp;":"&amp;DATE(YEAR(B1243),MONTH(B1243)+1,0))),Feriados[Data],0))))=FALSE,
IF(WEEKDAY(ROW(INDIRECT(DATE(YEAR(B1243),MONTH(B1243),1)&amp;":"&amp;DATE(YEAR(B1243),MONTH(B1243)+1,0))),2)&lt;=5,1,IF(WEEKDAY(ROW(INDIRECT(DATE(YEAR(B1243),MONTH(B1243),1)&amp;":"&amp;DATE(YEAR(B1243),MONTH(B1243)+1,0))),2)=6,0.5,0)),0))</f>
        <v>22.5</v>
      </c>
      <c r="K1243" s="22" cm="1">
        <f t="array" ref="K1243">_xlfn.XLOOKUP(1,((Metas_Diarias[[#This Row],[tipo_equipe_id]]=Metas[equipe])*(Metas_Diarias[[#This Row],[data]]&gt;Metas[data_inicio])*(Metas_Diarias[[#This Row],[data]]&lt;Metas[data_fim])),Metas[meta_mensal],0)</f>
        <v>168000</v>
      </c>
      <c r="L1243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44" spans="2:12" x14ac:dyDescent="0.3">
      <c r="B1244" s="34">
        <v>46165</v>
      </c>
      <c r="C1244" s="34" t="str">
        <f>TEXT(Metas_Diarias[[#This Row],[data]],"dddd")</f>
        <v>sábado</v>
      </c>
      <c r="D1244" s="33">
        <v>1</v>
      </c>
      <c r="E1244" s="33">
        <v>1</v>
      </c>
      <c r="F1244" s="18"/>
      <c r="G1244" s="35">
        <f>WEEKDAY(Metas_Diarias[[#This Row],[data]])</f>
        <v>7</v>
      </c>
      <c r="H1244" s="35">
        <f>IF(Metas_Diarias[[#This Row],[dias_da_demana]]=1,"domingo",IF(Metas_Diarias[[#This Row],[dias_da_demana]]=7,0.5,1))</f>
        <v>0.5</v>
      </c>
      <c r="I1244" s="35">
        <f>_xlfn.XLOOKUP(Metas_Diarias[[#This Row],[data]],Feriados[Data],Feriados[Feriado],1)</f>
        <v>1</v>
      </c>
      <c r="J1244" s="33" cm="1">
        <f t="array" aca="1" ref="J1244" ca="1">SUMPRODUCT(IF((NOT(ISERROR(MATCH(ROW(INDIRECT(DATE(YEAR(B1244),MONTH(B1244),1)&amp;":"&amp;DATE(YEAR(B1244),MONTH(B1244)+1,0))),Feriados[Data],0))))=FALSE,
IF(WEEKDAY(ROW(INDIRECT(DATE(YEAR(B1244),MONTH(B1244),1)&amp;":"&amp;DATE(YEAR(B1244),MONTH(B1244)+1,0))),2)&lt;=5,1,IF(WEEKDAY(ROW(INDIRECT(DATE(YEAR(B1244),MONTH(B1244),1)&amp;":"&amp;DATE(YEAR(B1244),MONTH(B1244)+1,0))),2)=6,0.5,0)),0))</f>
        <v>22.5</v>
      </c>
      <c r="K1244" s="22" cm="1">
        <f t="array" ref="K1244">_xlfn.XLOOKUP(1,((Metas_Diarias[[#This Row],[tipo_equipe_id]]=Metas[equipe])*(Metas_Diarias[[#This Row],[data]]&gt;Metas[data_inicio])*(Metas_Diarias[[#This Row],[data]]&lt;Metas[data_fim])),Metas[meta_mensal],0)</f>
        <v>168000</v>
      </c>
      <c r="L1244" s="24">
        <f ca="1">Metas_Diarias[[#This Row],[meta_mensal]]*IF(Metas_Diarias[[#This Row],[semana]]="domingo",0,Metas_Diarias[[#This Row],[semana]])*IF(Metas_Diarias[[#This Row],[feriado]]&lt;&gt;1,0,1)/Metas_Diarias[[#This Row],[dias_úteis_Mês]]</f>
        <v>3733.3333333333335</v>
      </c>
    </row>
    <row r="1245" spans="2:12" x14ac:dyDescent="0.3">
      <c r="B1245" s="34">
        <v>46166</v>
      </c>
      <c r="C1245" s="34" t="str">
        <f>TEXT(Metas_Diarias[[#This Row],[data]],"dddd")</f>
        <v>domingo</v>
      </c>
      <c r="D1245" s="33">
        <v>1</v>
      </c>
      <c r="E1245" s="33">
        <v>1</v>
      </c>
      <c r="F1245" s="18"/>
      <c r="G1245" s="35">
        <f>WEEKDAY(Metas_Diarias[[#This Row],[data]])</f>
        <v>1</v>
      </c>
      <c r="H1245" s="35" t="str">
        <f>IF(Metas_Diarias[[#This Row],[dias_da_demana]]=1,"domingo",IF(Metas_Diarias[[#This Row],[dias_da_demana]]=7,0.5,1))</f>
        <v>domingo</v>
      </c>
      <c r="I1245" s="35">
        <f>_xlfn.XLOOKUP(Metas_Diarias[[#This Row],[data]],Feriados[Data],Feriados[Feriado],1)</f>
        <v>1</v>
      </c>
      <c r="J1245" s="33" cm="1">
        <f t="array" aca="1" ref="J1245" ca="1">SUMPRODUCT(IF((NOT(ISERROR(MATCH(ROW(INDIRECT(DATE(YEAR(B1245),MONTH(B1245),1)&amp;":"&amp;DATE(YEAR(B1245),MONTH(B1245)+1,0))),Feriados[Data],0))))=FALSE,
IF(WEEKDAY(ROW(INDIRECT(DATE(YEAR(B1245),MONTH(B1245),1)&amp;":"&amp;DATE(YEAR(B1245),MONTH(B1245)+1,0))),2)&lt;=5,1,IF(WEEKDAY(ROW(INDIRECT(DATE(YEAR(B1245),MONTH(B1245),1)&amp;":"&amp;DATE(YEAR(B1245),MONTH(B1245)+1,0))),2)=6,0.5,0)),0))</f>
        <v>22.5</v>
      </c>
      <c r="K1245" s="22" cm="1">
        <f t="array" ref="K1245">_xlfn.XLOOKUP(1,((Metas_Diarias[[#This Row],[tipo_equipe_id]]=Metas[equipe])*(Metas_Diarias[[#This Row],[data]]&gt;Metas[data_inicio])*(Metas_Diarias[[#This Row],[data]]&lt;Metas[data_fim])),Metas[meta_mensal],0)</f>
        <v>168000</v>
      </c>
      <c r="L12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46" spans="2:12" x14ac:dyDescent="0.3">
      <c r="B1246" s="34">
        <v>46167</v>
      </c>
      <c r="C1246" s="34" t="str">
        <f>TEXT(Metas_Diarias[[#This Row],[data]],"dddd")</f>
        <v>segunda-feira</v>
      </c>
      <c r="D1246" s="33">
        <v>1</v>
      </c>
      <c r="E1246" s="33">
        <v>1</v>
      </c>
      <c r="F1246" s="18"/>
      <c r="G1246" s="35">
        <f>WEEKDAY(Metas_Diarias[[#This Row],[data]])</f>
        <v>2</v>
      </c>
      <c r="H1246" s="35">
        <f>IF(Metas_Diarias[[#This Row],[dias_da_demana]]=1,"domingo",IF(Metas_Diarias[[#This Row],[dias_da_demana]]=7,0.5,1))</f>
        <v>1</v>
      </c>
      <c r="I1246" s="35">
        <f>_xlfn.XLOOKUP(Metas_Diarias[[#This Row],[data]],Feriados[Data],Feriados[Feriado],1)</f>
        <v>1</v>
      </c>
      <c r="J1246" s="33" cm="1">
        <f t="array" aca="1" ref="J1246" ca="1">SUMPRODUCT(IF((NOT(ISERROR(MATCH(ROW(INDIRECT(DATE(YEAR(B1246),MONTH(B1246),1)&amp;":"&amp;DATE(YEAR(B1246),MONTH(B1246)+1,0))),Feriados[Data],0))))=FALSE,
IF(WEEKDAY(ROW(INDIRECT(DATE(YEAR(B1246),MONTH(B1246),1)&amp;":"&amp;DATE(YEAR(B1246),MONTH(B1246)+1,0))),2)&lt;=5,1,IF(WEEKDAY(ROW(INDIRECT(DATE(YEAR(B1246),MONTH(B1246),1)&amp;":"&amp;DATE(YEAR(B1246),MONTH(B1246)+1,0))),2)=6,0.5,0)),0))</f>
        <v>22.5</v>
      </c>
      <c r="K1246" s="22" cm="1">
        <f t="array" ref="K1246">_xlfn.XLOOKUP(1,((Metas_Diarias[[#This Row],[tipo_equipe_id]]=Metas[equipe])*(Metas_Diarias[[#This Row],[data]]&gt;Metas[data_inicio])*(Metas_Diarias[[#This Row],[data]]&lt;Metas[data_fim])),Metas[meta_mensal],0)</f>
        <v>168000</v>
      </c>
      <c r="L1246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47" spans="2:12" x14ac:dyDescent="0.3">
      <c r="B1247" s="34">
        <v>46168</v>
      </c>
      <c r="C1247" s="34" t="str">
        <f>TEXT(Metas_Diarias[[#This Row],[data]],"dddd")</f>
        <v>terça-feira</v>
      </c>
      <c r="D1247" s="33">
        <v>1</v>
      </c>
      <c r="E1247" s="33">
        <v>1</v>
      </c>
      <c r="F1247" s="18"/>
      <c r="G1247" s="35">
        <f>WEEKDAY(Metas_Diarias[[#This Row],[data]])</f>
        <v>3</v>
      </c>
      <c r="H1247" s="35">
        <f>IF(Metas_Diarias[[#This Row],[dias_da_demana]]=1,"domingo",IF(Metas_Diarias[[#This Row],[dias_da_demana]]=7,0.5,1))</f>
        <v>1</v>
      </c>
      <c r="I1247" s="35">
        <f>_xlfn.XLOOKUP(Metas_Diarias[[#This Row],[data]],Feriados[Data],Feriados[Feriado],1)</f>
        <v>1</v>
      </c>
      <c r="J1247" s="33" cm="1">
        <f t="array" aca="1" ref="J1247" ca="1">SUMPRODUCT(IF((NOT(ISERROR(MATCH(ROW(INDIRECT(DATE(YEAR(B1247),MONTH(B1247),1)&amp;":"&amp;DATE(YEAR(B1247),MONTH(B1247)+1,0))),Feriados[Data],0))))=FALSE,
IF(WEEKDAY(ROW(INDIRECT(DATE(YEAR(B1247),MONTH(B1247),1)&amp;":"&amp;DATE(YEAR(B1247),MONTH(B1247)+1,0))),2)&lt;=5,1,IF(WEEKDAY(ROW(INDIRECT(DATE(YEAR(B1247),MONTH(B1247),1)&amp;":"&amp;DATE(YEAR(B1247),MONTH(B1247)+1,0))),2)=6,0.5,0)),0))</f>
        <v>22.5</v>
      </c>
      <c r="K1247" s="22" cm="1">
        <f t="array" ref="K1247">_xlfn.XLOOKUP(1,((Metas_Diarias[[#This Row],[tipo_equipe_id]]=Metas[equipe])*(Metas_Diarias[[#This Row],[data]]&gt;Metas[data_inicio])*(Metas_Diarias[[#This Row],[data]]&lt;Metas[data_fim])),Metas[meta_mensal],0)</f>
        <v>168000</v>
      </c>
      <c r="L1247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48" spans="2:12" x14ac:dyDescent="0.3">
      <c r="B1248" s="34">
        <v>46169</v>
      </c>
      <c r="C1248" s="34" t="str">
        <f>TEXT(Metas_Diarias[[#This Row],[data]],"dddd")</f>
        <v>quarta-feira</v>
      </c>
      <c r="D1248" s="33">
        <v>1</v>
      </c>
      <c r="E1248" s="33">
        <v>1</v>
      </c>
      <c r="F1248" s="18"/>
      <c r="G1248" s="35">
        <f>WEEKDAY(Metas_Diarias[[#This Row],[data]])</f>
        <v>4</v>
      </c>
      <c r="H1248" s="35">
        <f>IF(Metas_Diarias[[#This Row],[dias_da_demana]]=1,"domingo",IF(Metas_Diarias[[#This Row],[dias_da_demana]]=7,0.5,1))</f>
        <v>1</v>
      </c>
      <c r="I1248" s="35">
        <f>_xlfn.XLOOKUP(Metas_Diarias[[#This Row],[data]],Feriados[Data],Feriados[Feriado],1)</f>
        <v>1</v>
      </c>
      <c r="J1248" s="33" cm="1">
        <f t="array" aca="1" ref="J1248" ca="1">SUMPRODUCT(IF((NOT(ISERROR(MATCH(ROW(INDIRECT(DATE(YEAR(B1248),MONTH(B1248),1)&amp;":"&amp;DATE(YEAR(B1248),MONTH(B1248)+1,0))),Feriados[Data],0))))=FALSE,
IF(WEEKDAY(ROW(INDIRECT(DATE(YEAR(B1248),MONTH(B1248),1)&amp;":"&amp;DATE(YEAR(B1248),MONTH(B1248)+1,0))),2)&lt;=5,1,IF(WEEKDAY(ROW(INDIRECT(DATE(YEAR(B1248),MONTH(B1248),1)&amp;":"&amp;DATE(YEAR(B1248),MONTH(B1248)+1,0))),2)=6,0.5,0)),0))</f>
        <v>22.5</v>
      </c>
      <c r="K1248" s="22" cm="1">
        <f t="array" ref="K1248">_xlfn.XLOOKUP(1,((Metas_Diarias[[#This Row],[tipo_equipe_id]]=Metas[equipe])*(Metas_Diarias[[#This Row],[data]]&gt;Metas[data_inicio])*(Metas_Diarias[[#This Row],[data]]&lt;Metas[data_fim])),Metas[meta_mensal],0)</f>
        <v>168000</v>
      </c>
      <c r="L1248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49" spans="2:12" x14ac:dyDescent="0.3">
      <c r="B1249" s="34">
        <v>46170</v>
      </c>
      <c r="C1249" s="34" t="str">
        <f>TEXT(Metas_Diarias[[#This Row],[data]],"dddd")</f>
        <v>quinta-feira</v>
      </c>
      <c r="D1249" s="33">
        <v>1</v>
      </c>
      <c r="E1249" s="33">
        <v>1</v>
      </c>
      <c r="F1249" s="18"/>
      <c r="G1249" s="35">
        <f>WEEKDAY(Metas_Diarias[[#This Row],[data]])</f>
        <v>5</v>
      </c>
      <c r="H1249" s="35">
        <f>IF(Metas_Diarias[[#This Row],[dias_da_demana]]=1,"domingo",IF(Metas_Diarias[[#This Row],[dias_da_demana]]=7,0.5,1))</f>
        <v>1</v>
      </c>
      <c r="I1249" s="35">
        <f>_xlfn.XLOOKUP(Metas_Diarias[[#This Row],[data]],Feriados[Data],Feriados[Feriado],1)</f>
        <v>1</v>
      </c>
      <c r="J1249" s="33" cm="1">
        <f t="array" aca="1" ref="J1249" ca="1">SUMPRODUCT(IF((NOT(ISERROR(MATCH(ROW(INDIRECT(DATE(YEAR(B1249),MONTH(B1249),1)&amp;":"&amp;DATE(YEAR(B1249),MONTH(B1249)+1,0))),Feriados[Data],0))))=FALSE,
IF(WEEKDAY(ROW(INDIRECT(DATE(YEAR(B1249),MONTH(B1249),1)&amp;":"&amp;DATE(YEAR(B1249),MONTH(B1249)+1,0))),2)&lt;=5,1,IF(WEEKDAY(ROW(INDIRECT(DATE(YEAR(B1249),MONTH(B1249),1)&amp;":"&amp;DATE(YEAR(B1249),MONTH(B1249)+1,0))),2)=6,0.5,0)),0))</f>
        <v>22.5</v>
      </c>
      <c r="K1249" s="22" cm="1">
        <f t="array" ref="K1249">_xlfn.XLOOKUP(1,((Metas_Diarias[[#This Row],[tipo_equipe_id]]=Metas[equipe])*(Metas_Diarias[[#This Row],[data]]&gt;Metas[data_inicio])*(Metas_Diarias[[#This Row],[data]]&lt;Metas[data_fim])),Metas[meta_mensal],0)</f>
        <v>168000</v>
      </c>
      <c r="L1249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50" spans="2:12" x14ac:dyDescent="0.3">
      <c r="B1250" s="34">
        <v>46171</v>
      </c>
      <c r="C1250" s="34" t="str">
        <f>TEXT(Metas_Diarias[[#This Row],[data]],"dddd")</f>
        <v>sexta-feira</v>
      </c>
      <c r="D1250" s="33">
        <v>1</v>
      </c>
      <c r="E1250" s="33">
        <v>1</v>
      </c>
      <c r="F1250" s="18"/>
      <c r="G1250" s="35">
        <f>WEEKDAY(Metas_Diarias[[#This Row],[data]])</f>
        <v>6</v>
      </c>
      <c r="H1250" s="35">
        <f>IF(Metas_Diarias[[#This Row],[dias_da_demana]]=1,"domingo",IF(Metas_Diarias[[#This Row],[dias_da_demana]]=7,0.5,1))</f>
        <v>1</v>
      </c>
      <c r="I1250" s="35">
        <f>_xlfn.XLOOKUP(Metas_Diarias[[#This Row],[data]],Feriados[Data],Feriados[Feriado],1)</f>
        <v>1</v>
      </c>
      <c r="J1250" s="33" cm="1">
        <f t="array" aca="1" ref="J1250" ca="1">SUMPRODUCT(IF((NOT(ISERROR(MATCH(ROW(INDIRECT(DATE(YEAR(B1250),MONTH(B1250),1)&amp;":"&amp;DATE(YEAR(B1250),MONTH(B1250)+1,0))),Feriados[Data],0))))=FALSE,
IF(WEEKDAY(ROW(INDIRECT(DATE(YEAR(B1250),MONTH(B1250),1)&amp;":"&amp;DATE(YEAR(B1250),MONTH(B1250)+1,0))),2)&lt;=5,1,IF(WEEKDAY(ROW(INDIRECT(DATE(YEAR(B1250),MONTH(B1250),1)&amp;":"&amp;DATE(YEAR(B1250),MONTH(B1250)+1,0))),2)=6,0.5,0)),0))</f>
        <v>22.5</v>
      </c>
      <c r="K1250" s="22" cm="1">
        <f t="array" ref="K1250">_xlfn.XLOOKUP(1,((Metas_Diarias[[#This Row],[tipo_equipe_id]]=Metas[equipe])*(Metas_Diarias[[#This Row],[data]]&gt;Metas[data_inicio])*(Metas_Diarias[[#This Row],[data]]&lt;Metas[data_fim])),Metas[meta_mensal],0)</f>
        <v>168000</v>
      </c>
      <c r="L1250" s="24">
        <f ca="1">Metas_Diarias[[#This Row],[meta_mensal]]*IF(Metas_Diarias[[#This Row],[semana]]="domingo",0,Metas_Diarias[[#This Row],[semana]])*IF(Metas_Diarias[[#This Row],[feriado]]&lt;&gt;1,0,1)/Metas_Diarias[[#This Row],[dias_úteis_Mês]]</f>
        <v>7466.666666666667</v>
      </c>
    </row>
    <row r="1251" spans="2:12" x14ac:dyDescent="0.3">
      <c r="B1251" s="34">
        <v>46172</v>
      </c>
      <c r="C1251" s="34" t="str">
        <f>TEXT(Metas_Diarias[[#This Row],[data]],"dddd")</f>
        <v>sábado</v>
      </c>
      <c r="D1251" s="33">
        <v>1</v>
      </c>
      <c r="E1251" s="33">
        <v>1</v>
      </c>
      <c r="F1251" s="18"/>
      <c r="G1251" s="35">
        <f>WEEKDAY(Metas_Diarias[[#This Row],[data]])</f>
        <v>7</v>
      </c>
      <c r="H1251" s="35">
        <f>IF(Metas_Diarias[[#This Row],[dias_da_demana]]=1,"domingo",IF(Metas_Diarias[[#This Row],[dias_da_demana]]=7,0.5,1))</f>
        <v>0.5</v>
      </c>
      <c r="I1251" s="35">
        <f>_xlfn.XLOOKUP(Metas_Diarias[[#This Row],[data]],Feriados[Data],Feriados[Feriado],1)</f>
        <v>1</v>
      </c>
      <c r="J1251" s="33" cm="1">
        <f t="array" aca="1" ref="J1251" ca="1">SUMPRODUCT(IF((NOT(ISERROR(MATCH(ROW(INDIRECT(DATE(YEAR(B1251),MONTH(B1251),1)&amp;":"&amp;DATE(YEAR(B1251),MONTH(B1251)+1,0))),Feriados[Data],0))))=FALSE,
IF(WEEKDAY(ROW(INDIRECT(DATE(YEAR(B1251),MONTH(B1251),1)&amp;":"&amp;DATE(YEAR(B1251),MONTH(B1251)+1,0))),2)&lt;=5,1,IF(WEEKDAY(ROW(INDIRECT(DATE(YEAR(B1251),MONTH(B1251),1)&amp;":"&amp;DATE(YEAR(B1251),MONTH(B1251)+1,0))),2)=6,0.5,0)),0))</f>
        <v>22.5</v>
      </c>
      <c r="K1251" s="22" cm="1">
        <f t="array" ref="K1251">_xlfn.XLOOKUP(1,((Metas_Diarias[[#This Row],[tipo_equipe_id]]=Metas[equipe])*(Metas_Diarias[[#This Row],[data]]&gt;Metas[data_inicio])*(Metas_Diarias[[#This Row],[data]]&lt;Metas[data_fim])),Metas[meta_mensal],0)</f>
        <v>168000</v>
      </c>
      <c r="L1251" s="24">
        <f ca="1">Metas_Diarias[[#This Row],[meta_mensal]]*IF(Metas_Diarias[[#This Row],[semana]]="domingo",0,Metas_Diarias[[#This Row],[semana]])*IF(Metas_Diarias[[#This Row],[feriado]]&lt;&gt;1,0,1)/Metas_Diarias[[#This Row],[dias_úteis_Mês]]</f>
        <v>3733.3333333333335</v>
      </c>
    </row>
    <row r="1252" spans="2:12" x14ac:dyDescent="0.3">
      <c r="B1252" s="34">
        <v>46173</v>
      </c>
      <c r="C1252" s="34" t="str">
        <f>TEXT(Metas_Diarias[[#This Row],[data]],"dddd")</f>
        <v>domingo</v>
      </c>
      <c r="D1252" s="33">
        <v>1</v>
      </c>
      <c r="E1252" s="33">
        <v>1</v>
      </c>
      <c r="F1252" s="18"/>
      <c r="G1252" s="35">
        <f>WEEKDAY(Metas_Diarias[[#This Row],[data]])</f>
        <v>1</v>
      </c>
      <c r="H1252" s="35" t="str">
        <f>IF(Metas_Diarias[[#This Row],[dias_da_demana]]=1,"domingo",IF(Metas_Diarias[[#This Row],[dias_da_demana]]=7,0.5,1))</f>
        <v>domingo</v>
      </c>
      <c r="I1252" s="35">
        <f>_xlfn.XLOOKUP(Metas_Diarias[[#This Row],[data]],Feriados[Data],Feriados[Feriado],1)</f>
        <v>1</v>
      </c>
      <c r="J1252" s="33" cm="1">
        <f t="array" aca="1" ref="J1252" ca="1">SUMPRODUCT(IF((NOT(ISERROR(MATCH(ROW(INDIRECT(DATE(YEAR(B1252),MONTH(B1252),1)&amp;":"&amp;DATE(YEAR(B1252),MONTH(B1252)+1,0))),Feriados[Data],0))))=FALSE,
IF(WEEKDAY(ROW(INDIRECT(DATE(YEAR(B1252),MONTH(B1252),1)&amp;":"&amp;DATE(YEAR(B1252),MONTH(B1252)+1,0))),2)&lt;=5,1,IF(WEEKDAY(ROW(INDIRECT(DATE(YEAR(B1252),MONTH(B1252),1)&amp;":"&amp;DATE(YEAR(B1252),MONTH(B1252)+1,0))),2)=6,0.5,0)),0))</f>
        <v>22.5</v>
      </c>
      <c r="K1252" s="22" cm="1">
        <f t="array" ref="K1252">_xlfn.XLOOKUP(1,((Metas_Diarias[[#This Row],[tipo_equipe_id]]=Metas[equipe])*(Metas_Diarias[[#This Row],[data]]&gt;Metas[data_inicio])*(Metas_Diarias[[#This Row],[data]]&lt;Metas[data_fim])),Metas[meta_mensal],0)</f>
        <v>168000</v>
      </c>
      <c r="L12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53" spans="2:12" x14ac:dyDescent="0.3">
      <c r="B1253" s="34">
        <v>46174</v>
      </c>
      <c r="C1253" s="34" t="str">
        <f>TEXT(Metas_Diarias[[#This Row],[data]],"dddd")</f>
        <v>segunda-feira</v>
      </c>
      <c r="D1253" s="33">
        <v>1</v>
      </c>
      <c r="E1253" s="33">
        <v>1</v>
      </c>
      <c r="F1253" s="18"/>
      <c r="G1253" s="35">
        <f>WEEKDAY(Metas_Diarias[[#This Row],[data]])</f>
        <v>2</v>
      </c>
      <c r="H1253" s="35">
        <f>IF(Metas_Diarias[[#This Row],[dias_da_demana]]=1,"domingo",IF(Metas_Diarias[[#This Row],[dias_da_demana]]=7,0.5,1))</f>
        <v>1</v>
      </c>
      <c r="I1253" s="35">
        <f>_xlfn.XLOOKUP(Metas_Diarias[[#This Row],[data]],Feriados[Data],Feriados[Feriado],1)</f>
        <v>1</v>
      </c>
      <c r="J1253" s="33" cm="1">
        <f t="array" aca="1" ref="J1253" ca="1">SUMPRODUCT(IF((NOT(ISERROR(MATCH(ROW(INDIRECT(DATE(YEAR(B1253),MONTH(B1253),1)&amp;":"&amp;DATE(YEAR(B1253),MONTH(B1253)+1,0))),Feriados[Data],0))))=FALSE,
IF(WEEKDAY(ROW(INDIRECT(DATE(YEAR(B1253),MONTH(B1253),1)&amp;":"&amp;DATE(YEAR(B1253),MONTH(B1253)+1,0))),2)&lt;=5,1,IF(WEEKDAY(ROW(INDIRECT(DATE(YEAR(B1253),MONTH(B1253),1)&amp;":"&amp;DATE(YEAR(B1253),MONTH(B1253)+1,0))),2)=6,0.5,0)),0))</f>
        <v>23</v>
      </c>
      <c r="K1253" s="22" cm="1">
        <f t="array" ref="K1253">_xlfn.XLOOKUP(1,((Metas_Diarias[[#This Row],[tipo_equipe_id]]=Metas[equipe])*(Metas_Diarias[[#This Row],[data]]&gt;Metas[data_inicio])*(Metas_Diarias[[#This Row],[data]]&lt;Metas[data_fim])),Metas[meta_mensal],0)</f>
        <v>168000</v>
      </c>
      <c r="L1253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54" spans="2:12" x14ac:dyDescent="0.3">
      <c r="B1254" s="34">
        <v>46175</v>
      </c>
      <c r="C1254" s="34" t="str">
        <f>TEXT(Metas_Diarias[[#This Row],[data]],"dddd")</f>
        <v>terça-feira</v>
      </c>
      <c r="D1254" s="33">
        <v>1</v>
      </c>
      <c r="E1254" s="33">
        <v>1</v>
      </c>
      <c r="F1254" s="18"/>
      <c r="G1254" s="35">
        <f>WEEKDAY(Metas_Diarias[[#This Row],[data]])</f>
        <v>3</v>
      </c>
      <c r="H1254" s="35">
        <f>IF(Metas_Diarias[[#This Row],[dias_da_demana]]=1,"domingo",IF(Metas_Diarias[[#This Row],[dias_da_demana]]=7,0.5,1))</f>
        <v>1</v>
      </c>
      <c r="I1254" s="35">
        <f>_xlfn.XLOOKUP(Metas_Diarias[[#This Row],[data]],Feriados[Data],Feriados[Feriado],1)</f>
        <v>1</v>
      </c>
      <c r="J1254" s="33" cm="1">
        <f t="array" aca="1" ref="J1254" ca="1">SUMPRODUCT(IF((NOT(ISERROR(MATCH(ROW(INDIRECT(DATE(YEAR(B1254),MONTH(B1254),1)&amp;":"&amp;DATE(YEAR(B1254),MONTH(B1254)+1,0))),Feriados[Data],0))))=FALSE,
IF(WEEKDAY(ROW(INDIRECT(DATE(YEAR(B1254),MONTH(B1254),1)&amp;":"&amp;DATE(YEAR(B1254),MONTH(B1254)+1,0))),2)&lt;=5,1,IF(WEEKDAY(ROW(INDIRECT(DATE(YEAR(B1254),MONTH(B1254),1)&amp;":"&amp;DATE(YEAR(B1254),MONTH(B1254)+1,0))),2)=6,0.5,0)),0))</f>
        <v>23</v>
      </c>
      <c r="K1254" s="22" cm="1">
        <f t="array" ref="K1254">_xlfn.XLOOKUP(1,((Metas_Diarias[[#This Row],[tipo_equipe_id]]=Metas[equipe])*(Metas_Diarias[[#This Row],[data]]&gt;Metas[data_inicio])*(Metas_Diarias[[#This Row],[data]]&lt;Metas[data_fim])),Metas[meta_mensal],0)</f>
        <v>168000</v>
      </c>
      <c r="L1254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55" spans="2:12" x14ac:dyDescent="0.3">
      <c r="B1255" s="34">
        <v>46176</v>
      </c>
      <c r="C1255" s="34" t="str">
        <f>TEXT(Metas_Diarias[[#This Row],[data]],"dddd")</f>
        <v>quarta-feira</v>
      </c>
      <c r="D1255" s="33">
        <v>1</v>
      </c>
      <c r="E1255" s="33">
        <v>1</v>
      </c>
      <c r="F1255" s="18"/>
      <c r="G1255" s="35">
        <f>WEEKDAY(Metas_Diarias[[#This Row],[data]])</f>
        <v>4</v>
      </c>
      <c r="H1255" s="35">
        <f>IF(Metas_Diarias[[#This Row],[dias_da_demana]]=1,"domingo",IF(Metas_Diarias[[#This Row],[dias_da_demana]]=7,0.5,1))</f>
        <v>1</v>
      </c>
      <c r="I1255" s="35">
        <f>_xlfn.XLOOKUP(Metas_Diarias[[#This Row],[data]],Feriados[Data],Feriados[Feriado],1)</f>
        <v>1</v>
      </c>
      <c r="J1255" s="33" cm="1">
        <f t="array" aca="1" ref="J1255" ca="1">SUMPRODUCT(IF((NOT(ISERROR(MATCH(ROW(INDIRECT(DATE(YEAR(B1255),MONTH(B1255),1)&amp;":"&amp;DATE(YEAR(B1255),MONTH(B1255)+1,0))),Feriados[Data],0))))=FALSE,
IF(WEEKDAY(ROW(INDIRECT(DATE(YEAR(B1255),MONTH(B1255),1)&amp;":"&amp;DATE(YEAR(B1255),MONTH(B1255)+1,0))),2)&lt;=5,1,IF(WEEKDAY(ROW(INDIRECT(DATE(YEAR(B1255),MONTH(B1255),1)&amp;":"&amp;DATE(YEAR(B1255),MONTH(B1255)+1,0))),2)=6,0.5,0)),0))</f>
        <v>23</v>
      </c>
      <c r="K1255" s="22" cm="1">
        <f t="array" ref="K1255">_xlfn.XLOOKUP(1,((Metas_Diarias[[#This Row],[tipo_equipe_id]]=Metas[equipe])*(Metas_Diarias[[#This Row],[data]]&gt;Metas[data_inicio])*(Metas_Diarias[[#This Row],[data]]&lt;Metas[data_fim])),Metas[meta_mensal],0)</f>
        <v>168000</v>
      </c>
      <c r="L1255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56" spans="2:12" x14ac:dyDescent="0.3">
      <c r="B1256" s="34">
        <v>46177</v>
      </c>
      <c r="C1256" s="34" t="str">
        <f>TEXT(Metas_Diarias[[#This Row],[data]],"dddd")</f>
        <v>quinta-feira</v>
      </c>
      <c r="D1256" s="33">
        <v>1</v>
      </c>
      <c r="E1256" s="33">
        <v>1</v>
      </c>
      <c r="F1256" s="18"/>
      <c r="G1256" s="35">
        <f>WEEKDAY(Metas_Diarias[[#This Row],[data]])</f>
        <v>5</v>
      </c>
      <c r="H1256" s="35">
        <f>IF(Metas_Diarias[[#This Row],[dias_da_demana]]=1,"domingo",IF(Metas_Diarias[[#This Row],[dias_da_demana]]=7,0.5,1))</f>
        <v>1</v>
      </c>
      <c r="I1256" s="35" t="str">
        <f>_xlfn.XLOOKUP(Metas_Diarias[[#This Row],[data]],Feriados[Data],Feriados[Feriado],1)</f>
        <v>Corpus Christi</v>
      </c>
      <c r="J1256" s="33" cm="1">
        <f t="array" aca="1" ref="J1256" ca="1">SUMPRODUCT(IF((NOT(ISERROR(MATCH(ROW(INDIRECT(DATE(YEAR(B1256),MONTH(B1256),1)&amp;":"&amp;DATE(YEAR(B1256),MONTH(B1256)+1,0))),Feriados[Data],0))))=FALSE,
IF(WEEKDAY(ROW(INDIRECT(DATE(YEAR(B1256),MONTH(B1256),1)&amp;":"&amp;DATE(YEAR(B1256),MONTH(B1256)+1,0))),2)&lt;=5,1,IF(WEEKDAY(ROW(INDIRECT(DATE(YEAR(B1256),MONTH(B1256),1)&amp;":"&amp;DATE(YEAR(B1256),MONTH(B1256)+1,0))),2)=6,0.5,0)),0))</f>
        <v>23</v>
      </c>
      <c r="K1256" s="22" cm="1">
        <f t="array" ref="K1256">_xlfn.XLOOKUP(1,((Metas_Diarias[[#This Row],[tipo_equipe_id]]=Metas[equipe])*(Metas_Diarias[[#This Row],[data]]&gt;Metas[data_inicio])*(Metas_Diarias[[#This Row],[data]]&lt;Metas[data_fim])),Metas[meta_mensal],0)</f>
        <v>168000</v>
      </c>
      <c r="L125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57" spans="2:12" x14ac:dyDescent="0.3">
      <c r="B1257" s="34">
        <v>46178</v>
      </c>
      <c r="C1257" s="34" t="str">
        <f>TEXT(Metas_Diarias[[#This Row],[data]],"dddd")</f>
        <v>sexta-feira</v>
      </c>
      <c r="D1257" s="33">
        <v>1</v>
      </c>
      <c r="E1257" s="33">
        <v>1</v>
      </c>
      <c r="F1257" s="18"/>
      <c r="G1257" s="35">
        <f>WEEKDAY(Metas_Diarias[[#This Row],[data]])</f>
        <v>6</v>
      </c>
      <c r="H1257" s="35">
        <f>IF(Metas_Diarias[[#This Row],[dias_da_demana]]=1,"domingo",IF(Metas_Diarias[[#This Row],[dias_da_demana]]=7,0.5,1))</f>
        <v>1</v>
      </c>
      <c r="I1257" s="35">
        <f>_xlfn.XLOOKUP(Metas_Diarias[[#This Row],[data]],Feriados[Data],Feriados[Feriado],1)</f>
        <v>1</v>
      </c>
      <c r="J1257" s="33" cm="1">
        <f t="array" aca="1" ref="J1257" ca="1">SUMPRODUCT(IF((NOT(ISERROR(MATCH(ROW(INDIRECT(DATE(YEAR(B1257),MONTH(B1257),1)&amp;":"&amp;DATE(YEAR(B1257),MONTH(B1257)+1,0))),Feriados[Data],0))))=FALSE,
IF(WEEKDAY(ROW(INDIRECT(DATE(YEAR(B1257),MONTH(B1257),1)&amp;":"&amp;DATE(YEAR(B1257),MONTH(B1257)+1,0))),2)&lt;=5,1,IF(WEEKDAY(ROW(INDIRECT(DATE(YEAR(B1257),MONTH(B1257),1)&amp;":"&amp;DATE(YEAR(B1257),MONTH(B1257)+1,0))),2)=6,0.5,0)),0))</f>
        <v>23</v>
      </c>
      <c r="K1257" s="22" cm="1">
        <f t="array" ref="K1257">_xlfn.XLOOKUP(1,((Metas_Diarias[[#This Row],[tipo_equipe_id]]=Metas[equipe])*(Metas_Diarias[[#This Row],[data]]&gt;Metas[data_inicio])*(Metas_Diarias[[#This Row],[data]]&lt;Metas[data_fim])),Metas[meta_mensal],0)</f>
        <v>168000</v>
      </c>
      <c r="L1257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58" spans="2:12" x14ac:dyDescent="0.3">
      <c r="B1258" s="34">
        <v>46179</v>
      </c>
      <c r="C1258" s="34" t="str">
        <f>TEXT(Metas_Diarias[[#This Row],[data]],"dddd")</f>
        <v>sábado</v>
      </c>
      <c r="D1258" s="33">
        <v>1</v>
      </c>
      <c r="E1258" s="33">
        <v>1</v>
      </c>
      <c r="F1258" s="18"/>
      <c r="G1258" s="35">
        <f>WEEKDAY(Metas_Diarias[[#This Row],[data]])</f>
        <v>7</v>
      </c>
      <c r="H1258" s="35">
        <f>IF(Metas_Diarias[[#This Row],[dias_da_demana]]=1,"domingo",IF(Metas_Diarias[[#This Row],[dias_da_demana]]=7,0.5,1))</f>
        <v>0.5</v>
      </c>
      <c r="I1258" s="35">
        <f>_xlfn.XLOOKUP(Metas_Diarias[[#This Row],[data]],Feriados[Data],Feriados[Feriado],1)</f>
        <v>1</v>
      </c>
      <c r="J1258" s="33" cm="1">
        <f t="array" aca="1" ref="J1258" ca="1">SUMPRODUCT(IF((NOT(ISERROR(MATCH(ROW(INDIRECT(DATE(YEAR(B1258),MONTH(B1258),1)&amp;":"&amp;DATE(YEAR(B1258),MONTH(B1258)+1,0))),Feriados[Data],0))))=FALSE,
IF(WEEKDAY(ROW(INDIRECT(DATE(YEAR(B1258),MONTH(B1258),1)&amp;":"&amp;DATE(YEAR(B1258),MONTH(B1258)+1,0))),2)&lt;=5,1,IF(WEEKDAY(ROW(INDIRECT(DATE(YEAR(B1258),MONTH(B1258),1)&amp;":"&amp;DATE(YEAR(B1258),MONTH(B1258)+1,0))),2)=6,0.5,0)),0))</f>
        <v>23</v>
      </c>
      <c r="K1258" s="22" cm="1">
        <f t="array" ref="K1258">_xlfn.XLOOKUP(1,((Metas_Diarias[[#This Row],[tipo_equipe_id]]=Metas[equipe])*(Metas_Diarias[[#This Row],[data]]&gt;Metas[data_inicio])*(Metas_Diarias[[#This Row],[data]]&lt;Metas[data_fim])),Metas[meta_mensal],0)</f>
        <v>168000</v>
      </c>
      <c r="L1258" s="24">
        <f ca="1">Metas_Diarias[[#This Row],[meta_mensal]]*IF(Metas_Diarias[[#This Row],[semana]]="domingo",0,Metas_Diarias[[#This Row],[semana]])*IF(Metas_Diarias[[#This Row],[feriado]]&lt;&gt;1,0,1)/Metas_Diarias[[#This Row],[dias_úteis_Mês]]</f>
        <v>3652.1739130434785</v>
      </c>
    </row>
    <row r="1259" spans="2:12" x14ac:dyDescent="0.3">
      <c r="B1259" s="34">
        <v>46180</v>
      </c>
      <c r="C1259" s="34" t="str">
        <f>TEXT(Metas_Diarias[[#This Row],[data]],"dddd")</f>
        <v>domingo</v>
      </c>
      <c r="D1259" s="33">
        <v>1</v>
      </c>
      <c r="E1259" s="33">
        <v>1</v>
      </c>
      <c r="F1259" s="18"/>
      <c r="G1259" s="35">
        <f>WEEKDAY(Metas_Diarias[[#This Row],[data]])</f>
        <v>1</v>
      </c>
      <c r="H1259" s="35" t="str">
        <f>IF(Metas_Diarias[[#This Row],[dias_da_demana]]=1,"domingo",IF(Metas_Diarias[[#This Row],[dias_da_demana]]=7,0.5,1))</f>
        <v>domingo</v>
      </c>
      <c r="I1259" s="35">
        <f>_xlfn.XLOOKUP(Metas_Diarias[[#This Row],[data]],Feriados[Data],Feriados[Feriado],1)</f>
        <v>1</v>
      </c>
      <c r="J1259" s="33" cm="1">
        <f t="array" aca="1" ref="J1259" ca="1">SUMPRODUCT(IF((NOT(ISERROR(MATCH(ROW(INDIRECT(DATE(YEAR(B1259),MONTH(B1259),1)&amp;":"&amp;DATE(YEAR(B1259),MONTH(B1259)+1,0))),Feriados[Data],0))))=FALSE,
IF(WEEKDAY(ROW(INDIRECT(DATE(YEAR(B1259),MONTH(B1259),1)&amp;":"&amp;DATE(YEAR(B1259),MONTH(B1259)+1,0))),2)&lt;=5,1,IF(WEEKDAY(ROW(INDIRECT(DATE(YEAR(B1259),MONTH(B1259),1)&amp;":"&amp;DATE(YEAR(B1259),MONTH(B1259)+1,0))),2)=6,0.5,0)),0))</f>
        <v>23</v>
      </c>
      <c r="K1259" s="22" cm="1">
        <f t="array" ref="K1259">_xlfn.XLOOKUP(1,((Metas_Diarias[[#This Row],[tipo_equipe_id]]=Metas[equipe])*(Metas_Diarias[[#This Row],[data]]&gt;Metas[data_inicio])*(Metas_Diarias[[#This Row],[data]]&lt;Metas[data_fim])),Metas[meta_mensal],0)</f>
        <v>168000</v>
      </c>
      <c r="L12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60" spans="2:12" x14ac:dyDescent="0.3">
      <c r="B1260" s="34">
        <v>46181</v>
      </c>
      <c r="C1260" s="34" t="str">
        <f>TEXT(Metas_Diarias[[#This Row],[data]],"dddd")</f>
        <v>segunda-feira</v>
      </c>
      <c r="D1260" s="33">
        <v>1</v>
      </c>
      <c r="E1260" s="33">
        <v>1</v>
      </c>
      <c r="F1260" s="18"/>
      <c r="G1260" s="35">
        <f>WEEKDAY(Metas_Diarias[[#This Row],[data]])</f>
        <v>2</v>
      </c>
      <c r="H1260" s="35">
        <f>IF(Metas_Diarias[[#This Row],[dias_da_demana]]=1,"domingo",IF(Metas_Diarias[[#This Row],[dias_da_demana]]=7,0.5,1))</f>
        <v>1</v>
      </c>
      <c r="I1260" s="35">
        <f>_xlfn.XLOOKUP(Metas_Diarias[[#This Row],[data]],Feriados[Data],Feriados[Feriado],1)</f>
        <v>1</v>
      </c>
      <c r="J1260" s="33" cm="1">
        <f t="array" aca="1" ref="J1260" ca="1">SUMPRODUCT(IF((NOT(ISERROR(MATCH(ROW(INDIRECT(DATE(YEAR(B1260),MONTH(B1260),1)&amp;":"&amp;DATE(YEAR(B1260),MONTH(B1260)+1,0))),Feriados[Data],0))))=FALSE,
IF(WEEKDAY(ROW(INDIRECT(DATE(YEAR(B1260),MONTH(B1260),1)&amp;":"&amp;DATE(YEAR(B1260),MONTH(B1260)+1,0))),2)&lt;=5,1,IF(WEEKDAY(ROW(INDIRECT(DATE(YEAR(B1260),MONTH(B1260),1)&amp;":"&amp;DATE(YEAR(B1260),MONTH(B1260)+1,0))),2)=6,0.5,0)),0))</f>
        <v>23</v>
      </c>
      <c r="K1260" s="22" cm="1">
        <f t="array" ref="K1260">_xlfn.XLOOKUP(1,((Metas_Diarias[[#This Row],[tipo_equipe_id]]=Metas[equipe])*(Metas_Diarias[[#This Row],[data]]&gt;Metas[data_inicio])*(Metas_Diarias[[#This Row],[data]]&lt;Metas[data_fim])),Metas[meta_mensal],0)</f>
        <v>168000</v>
      </c>
      <c r="L1260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61" spans="2:12" x14ac:dyDescent="0.3">
      <c r="B1261" s="34">
        <v>46182</v>
      </c>
      <c r="C1261" s="34" t="str">
        <f>TEXT(Metas_Diarias[[#This Row],[data]],"dddd")</f>
        <v>terça-feira</v>
      </c>
      <c r="D1261" s="33">
        <v>1</v>
      </c>
      <c r="E1261" s="33">
        <v>1</v>
      </c>
      <c r="F1261" s="18"/>
      <c r="G1261" s="35">
        <f>WEEKDAY(Metas_Diarias[[#This Row],[data]])</f>
        <v>3</v>
      </c>
      <c r="H1261" s="35">
        <f>IF(Metas_Diarias[[#This Row],[dias_da_demana]]=1,"domingo",IF(Metas_Diarias[[#This Row],[dias_da_demana]]=7,0.5,1))</f>
        <v>1</v>
      </c>
      <c r="I1261" s="35">
        <f>_xlfn.XLOOKUP(Metas_Diarias[[#This Row],[data]],Feriados[Data],Feriados[Feriado],1)</f>
        <v>1</v>
      </c>
      <c r="J1261" s="33" cm="1">
        <f t="array" aca="1" ref="J1261" ca="1">SUMPRODUCT(IF((NOT(ISERROR(MATCH(ROW(INDIRECT(DATE(YEAR(B1261),MONTH(B1261),1)&amp;":"&amp;DATE(YEAR(B1261),MONTH(B1261)+1,0))),Feriados[Data],0))))=FALSE,
IF(WEEKDAY(ROW(INDIRECT(DATE(YEAR(B1261),MONTH(B1261),1)&amp;":"&amp;DATE(YEAR(B1261),MONTH(B1261)+1,0))),2)&lt;=5,1,IF(WEEKDAY(ROW(INDIRECT(DATE(YEAR(B1261),MONTH(B1261),1)&amp;":"&amp;DATE(YEAR(B1261),MONTH(B1261)+1,0))),2)=6,0.5,0)),0))</f>
        <v>23</v>
      </c>
      <c r="K1261" s="22" cm="1">
        <f t="array" ref="K1261">_xlfn.XLOOKUP(1,((Metas_Diarias[[#This Row],[tipo_equipe_id]]=Metas[equipe])*(Metas_Diarias[[#This Row],[data]]&gt;Metas[data_inicio])*(Metas_Diarias[[#This Row],[data]]&lt;Metas[data_fim])),Metas[meta_mensal],0)</f>
        <v>168000</v>
      </c>
      <c r="L1261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62" spans="2:12" x14ac:dyDescent="0.3">
      <c r="B1262" s="34">
        <v>46183</v>
      </c>
      <c r="C1262" s="34" t="str">
        <f>TEXT(Metas_Diarias[[#This Row],[data]],"dddd")</f>
        <v>quarta-feira</v>
      </c>
      <c r="D1262" s="33">
        <v>1</v>
      </c>
      <c r="E1262" s="33">
        <v>1</v>
      </c>
      <c r="F1262" s="18"/>
      <c r="G1262" s="35">
        <f>WEEKDAY(Metas_Diarias[[#This Row],[data]])</f>
        <v>4</v>
      </c>
      <c r="H1262" s="35">
        <f>IF(Metas_Diarias[[#This Row],[dias_da_demana]]=1,"domingo",IF(Metas_Diarias[[#This Row],[dias_da_demana]]=7,0.5,1))</f>
        <v>1</v>
      </c>
      <c r="I1262" s="35">
        <f>_xlfn.XLOOKUP(Metas_Diarias[[#This Row],[data]],Feriados[Data],Feriados[Feriado],1)</f>
        <v>1</v>
      </c>
      <c r="J1262" s="33" cm="1">
        <f t="array" aca="1" ref="J1262" ca="1">SUMPRODUCT(IF((NOT(ISERROR(MATCH(ROW(INDIRECT(DATE(YEAR(B1262),MONTH(B1262),1)&amp;":"&amp;DATE(YEAR(B1262),MONTH(B1262)+1,0))),Feriados[Data],0))))=FALSE,
IF(WEEKDAY(ROW(INDIRECT(DATE(YEAR(B1262),MONTH(B1262),1)&amp;":"&amp;DATE(YEAR(B1262),MONTH(B1262)+1,0))),2)&lt;=5,1,IF(WEEKDAY(ROW(INDIRECT(DATE(YEAR(B1262),MONTH(B1262),1)&amp;":"&amp;DATE(YEAR(B1262),MONTH(B1262)+1,0))),2)=6,0.5,0)),0))</f>
        <v>23</v>
      </c>
      <c r="K1262" s="22" cm="1">
        <f t="array" ref="K1262">_xlfn.XLOOKUP(1,((Metas_Diarias[[#This Row],[tipo_equipe_id]]=Metas[equipe])*(Metas_Diarias[[#This Row],[data]]&gt;Metas[data_inicio])*(Metas_Diarias[[#This Row],[data]]&lt;Metas[data_fim])),Metas[meta_mensal],0)</f>
        <v>168000</v>
      </c>
      <c r="L1262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63" spans="2:12" x14ac:dyDescent="0.3">
      <c r="B1263" s="34">
        <v>46184</v>
      </c>
      <c r="C1263" s="34" t="str">
        <f>TEXT(Metas_Diarias[[#This Row],[data]],"dddd")</f>
        <v>quinta-feira</v>
      </c>
      <c r="D1263" s="33">
        <v>1</v>
      </c>
      <c r="E1263" s="33">
        <v>1</v>
      </c>
      <c r="F1263" s="18"/>
      <c r="G1263" s="35">
        <f>WEEKDAY(Metas_Diarias[[#This Row],[data]])</f>
        <v>5</v>
      </c>
      <c r="H1263" s="35">
        <f>IF(Metas_Diarias[[#This Row],[dias_da_demana]]=1,"domingo",IF(Metas_Diarias[[#This Row],[dias_da_demana]]=7,0.5,1))</f>
        <v>1</v>
      </c>
      <c r="I1263" s="35">
        <f>_xlfn.XLOOKUP(Metas_Diarias[[#This Row],[data]],Feriados[Data],Feriados[Feriado],1)</f>
        <v>1</v>
      </c>
      <c r="J1263" s="33" cm="1">
        <f t="array" aca="1" ref="J1263" ca="1">SUMPRODUCT(IF((NOT(ISERROR(MATCH(ROW(INDIRECT(DATE(YEAR(B1263),MONTH(B1263),1)&amp;":"&amp;DATE(YEAR(B1263),MONTH(B1263)+1,0))),Feriados[Data],0))))=FALSE,
IF(WEEKDAY(ROW(INDIRECT(DATE(YEAR(B1263),MONTH(B1263),1)&amp;":"&amp;DATE(YEAR(B1263),MONTH(B1263)+1,0))),2)&lt;=5,1,IF(WEEKDAY(ROW(INDIRECT(DATE(YEAR(B1263),MONTH(B1263),1)&amp;":"&amp;DATE(YEAR(B1263),MONTH(B1263)+1,0))),2)=6,0.5,0)),0))</f>
        <v>23</v>
      </c>
      <c r="K1263" s="22" cm="1">
        <f t="array" ref="K1263">_xlfn.XLOOKUP(1,((Metas_Diarias[[#This Row],[tipo_equipe_id]]=Metas[equipe])*(Metas_Diarias[[#This Row],[data]]&gt;Metas[data_inicio])*(Metas_Diarias[[#This Row],[data]]&lt;Metas[data_fim])),Metas[meta_mensal],0)</f>
        <v>168000</v>
      </c>
      <c r="L1263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64" spans="2:12" x14ac:dyDescent="0.3">
      <c r="B1264" s="34">
        <v>46185</v>
      </c>
      <c r="C1264" s="34" t="str">
        <f>TEXT(Metas_Diarias[[#This Row],[data]],"dddd")</f>
        <v>sexta-feira</v>
      </c>
      <c r="D1264" s="33">
        <v>1</v>
      </c>
      <c r="E1264" s="33">
        <v>1</v>
      </c>
      <c r="F1264" s="18"/>
      <c r="G1264" s="35">
        <f>WEEKDAY(Metas_Diarias[[#This Row],[data]])</f>
        <v>6</v>
      </c>
      <c r="H1264" s="35">
        <f>IF(Metas_Diarias[[#This Row],[dias_da_demana]]=1,"domingo",IF(Metas_Diarias[[#This Row],[dias_da_demana]]=7,0.5,1))</f>
        <v>1</v>
      </c>
      <c r="I1264" s="35">
        <f>_xlfn.XLOOKUP(Metas_Diarias[[#This Row],[data]],Feriados[Data],Feriados[Feriado],1)</f>
        <v>1</v>
      </c>
      <c r="J1264" s="33" cm="1">
        <f t="array" aca="1" ref="J1264" ca="1">SUMPRODUCT(IF((NOT(ISERROR(MATCH(ROW(INDIRECT(DATE(YEAR(B1264),MONTH(B1264),1)&amp;":"&amp;DATE(YEAR(B1264),MONTH(B1264)+1,0))),Feriados[Data],0))))=FALSE,
IF(WEEKDAY(ROW(INDIRECT(DATE(YEAR(B1264),MONTH(B1264),1)&amp;":"&amp;DATE(YEAR(B1264),MONTH(B1264)+1,0))),2)&lt;=5,1,IF(WEEKDAY(ROW(INDIRECT(DATE(YEAR(B1264),MONTH(B1264),1)&amp;":"&amp;DATE(YEAR(B1264),MONTH(B1264)+1,0))),2)=6,0.5,0)),0))</f>
        <v>23</v>
      </c>
      <c r="K1264" s="22" cm="1">
        <f t="array" ref="K1264">_xlfn.XLOOKUP(1,((Metas_Diarias[[#This Row],[tipo_equipe_id]]=Metas[equipe])*(Metas_Diarias[[#This Row],[data]]&gt;Metas[data_inicio])*(Metas_Diarias[[#This Row],[data]]&lt;Metas[data_fim])),Metas[meta_mensal],0)</f>
        <v>168000</v>
      </c>
      <c r="L1264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65" spans="2:12" x14ac:dyDescent="0.3">
      <c r="B1265" s="34">
        <v>46186</v>
      </c>
      <c r="C1265" s="34" t="str">
        <f>TEXT(Metas_Diarias[[#This Row],[data]],"dddd")</f>
        <v>sábado</v>
      </c>
      <c r="D1265" s="33">
        <v>1</v>
      </c>
      <c r="E1265" s="33">
        <v>1</v>
      </c>
      <c r="F1265" s="18"/>
      <c r="G1265" s="35">
        <f>WEEKDAY(Metas_Diarias[[#This Row],[data]])</f>
        <v>7</v>
      </c>
      <c r="H1265" s="35">
        <f>IF(Metas_Diarias[[#This Row],[dias_da_demana]]=1,"domingo",IF(Metas_Diarias[[#This Row],[dias_da_demana]]=7,0.5,1))</f>
        <v>0.5</v>
      </c>
      <c r="I1265" s="35">
        <f>_xlfn.XLOOKUP(Metas_Diarias[[#This Row],[data]],Feriados[Data],Feriados[Feriado],1)</f>
        <v>1</v>
      </c>
      <c r="J1265" s="33" cm="1">
        <f t="array" aca="1" ref="J1265" ca="1">SUMPRODUCT(IF((NOT(ISERROR(MATCH(ROW(INDIRECT(DATE(YEAR(B1265),MONTH(B1265),1)&amp;":"&amp;DATE(YEAR(B1265),MONTH(B1265)+1,0))),Feriados[Data],0))))=FALSE,
IF(WEEKDAY(ROW(INDIRECT(DATE(YEAR(B1265),MONTH(B1265),1)&amp;":"&amp;DATE(YEAR(B1265),MONTH(B1265)+1,0))),2)&lt;=5,1,IF(WEEKDAY(ROW(INDIRECT(DATE(YEAR(B1265),MONTH(B1265),1)&amp;":"&amp;DATE(YEAR(B1265),MONTH(B1265)+1,0))),2)=6,0.5,0)),0))</f>
        <v>23</v>
      </c>
      <c r="K1265" s="22" cm="1">
        <f t="array" ref="K1265">_xlfn.XLOOKUP(1,((Metas_Diarias[[#This Row],[tipo_equipe_id]]=Metas[equipe])*(Metas_Diarias[[#This Row],[data]]&gt;Metas[data_inicio])*(Metas_Diarias[[#This Row],[data]]&lt;Metas[data_fim])),Metas[meta_mensal],0)</f>
        <v>168000</v>
      </c>
      <c r="L1265" s="24">
        <f ca="1">Metas_Diarias[[#This Row],[meta_mensal]]*IF(Metas_Diarias[[#This Row],[semana]]="domingo",0,Metas_Diarias[[#This Row],[semana]])*IF(Metas_Diarias[[#This Row],[feriado]]&lt;&gt;1,0,1)/Metas_Diarias[[#This Row],[dias_úteis_Mês]]</f>
        <v>3652.1739130434785</v>
      </c>
    </row>
    <row r="1266" spans="2:12" x14ac:dyDescent="0.3">
      <c r="B1266" s="34">
        <v>46187</v>
      </c>
      <c r="C1266" s="34" t="str">
        <f>TEXT(Metas_Diarias[[#This Row],[data]],"dddd")</f>
        <v>domingo</v>
      </c>
      <c r="D1266" s="33">
        <v>1</v>
      </c>
      <c r="E1266" s="33">
        <v>1</v>
      </c>
      <c r="F1266" s="18"/>
      <c r="G1266" s="35">
        <f>WEEKDAY(Metas_Diarias[[#This Row],[data]])</f>
        <v>1</v>
      </c>
      <c r="H1266" s="35" t="str">
        <f>IF(Metas_Diarias[[#This Row],[dias_da_demana]]=1,"domingo",IF(Metas_Diarias[[#This Row],[dias_da_demana]]=7,0.5,1))</f>
        <v>domingo</v>
      </c>
      <c r="I1266" s="35">
        <f>_xlfn.XLOOKUP(Metas_Diarias[[#This Row],[data]],Feriados[Data],Feriados[Feriado],1)</f>
        <v>1</v>
      </c>
      <c r="J1266" s="33" cm="1">
        <f t="array" aca="1" ref="J1266" ca="1">SUMPRODUCT(IF((NOT(ISERROR(MATCH(ROW(INDIRECT(DATE(YEAR(B1266),MONTH(B1266),1)&amp;":"&amp;DATE(YEAR(B1266),MONTH(B1266)+1,0))),Feriados[Data],0))))=FALSE,
IF(WEEKDAY(ROW(INDIRECT(DATE(YEAR(B1266),MONTH(B1266),1)&amp;":"&amp;DATE(YEAR(B1266),MONTH(B1266)+1,0))),2)&lt;=5,1,IF(WEEKDAY(ROW(INDIRECT(DATE(YEAR(B1266),MONTH(B1266),1)&amp;":"&amp;DATE(YEAR(B1266),MONTH(B1266)+1,0))),2)=6,0.5,0)),0))</f>
        <v>23</v>
      </c>
      <c r="K1266" s="22" cm="1">
        <f t="array" ref="K1266">_xlfn.XLOOKUP(1,((Metas_Diarias[[#This Row],[tipo_equipe_id]]=Metas[equipe])*(Metas_Diarias[[#This Row],[data]]&gt;Metas[data_inicio])*(Metas_Diarias[[#This Row],[data]]&lt;Metas[data_fim])),Metas[meta_mensal],0)</f>
        <v>168000</v>
      </c>
      <c r="L12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67" spans="2:12" x14ac:dyDescent="0.3">
      <c r="B1267" s="34">
        <v>46188</v>
      </c>
      <c r="C1267" s="34" t="str">
        <f>TEXT(Metas_Diarias[[#This Row],[data]],"dddd")</f>
        <v>segunda-feira</v>
      </c>
      <c r="D1267" s="33">
        <v>1</v>
      </c>
      <c r="E1267" s="33">
        <v>1</v>
      </c>
      <c r="F1267" s="18"/>
      <c r="G1267" s="35">
        <f>WEEKDAY(Metas_Diarias[[#This Row],[data]])</f>
        <v>2</v>
      </c>
      <c r="H1267" s="35">
        <f>IF(Metas_Diarias[[#This Row],[dias_da_demana]]=1,"domingo",IF(Metas_Diarias[[#This Row],[dias_da_demana]]=7,0.5,1))</f>
        <v>1</v>
      </c>
      <c r="I1267" s="35">
        <f>_xlfn.XLOOKUP(Metas_Diarias[[#This Row],[data]],Feriados[Data],Feriados[Feriado],1)</f>
        <v>1</v>
      </c>
      <c r="J1267" s="33" cm="1">
        <f t="array" aca="1" ref="J1267" ca="1">SUMPRODUCT(IF((NOT(ISERROR(MATCH(ROW(INDIRECT(DATE(YEAR(B1267),MONTH(B1267),1)&amp;":"&amp;DATE(YEAR(B1267),MONTH(B1267)+1,0))),Feriados[Data],0))))=FALSE,
IF(WEEKDAY(ROW(INDIRECT(DATE(YEAR(B1267),MONTH(B1267),1)&amp;":"&amp;DATE(YEAR(B1267),MONTH(B1267)+1,0))),2)&lt;=5,1,IF(WEEKDAY(ROW(INDIRECT(DATE(YEAR(B1267),MONTH(B1267),1)&amp;":"&amp;DATE(YEAR(B1267),MONTH(B1267)+1,0))),2)=6,0.5,0)),0))</f>
        <v>23</v>
      </c>
      <c r="K1267" s="22" cm="1">
        <f t="array" ref="K1267">_xlfn.XLOOKUP(1,((Metas_Diarias[[#This Row],[tipo_equipe_id]]=Metas[equipe])*(Metas_Diarias[[#This Row],[data]]&gt;Metas[data_inicio])*(Metas_Diarias[[#This Row],[data]]&lt;Metas[data_fim])),Metas[meta_mensal],0)</f>
        <v>168000</v>
      </c>
      <c r="L1267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68" spans="2:12" x14ac:dyDescent="0.3">
      <c r="B1268" s="34">
        <v>46189</v>
      </c>
      <c r="C1268" s="34" t="str">
        <f>TEXT(Metas_Diarias[[#This Row],[data]],"dddd")</f>
        <v>terça-feira</v>
      </c>
      <c r="D1268" s="33">
        <v>1</v>
      </c>
      <c r="E1268" s="33">
        <v>1</v>
      </c>
      <c r="F1268" s="18"/>
      <c r="G1268" s="35">
        <f>WEEKDAY(Metas_Diarias[[#This Row],[data]])</f>
        <v>3</v>
      </c>
      <c r="H1268" s="35">
        <f>IF(Metas_Diarias[[#This Row],[dias_da_demana]]=1,"domingo",IF(Metas_Diarias[[#This Row],[dias_da_demana]]=7,0.5,1))</f>
        <v>1</v>
      </c>
      <c r="I1268" s="35">
        <f>_xlfn.XLOOKUP(Metas_Diarias[[#This Row],[data]],Feriados[Data],Feriados[Feriado],1)</f>
        <v>1</v>
      </c>
      <c r="J1268" s="33" cm="1">
        <f t="array" aca="1" ref="J1268" ca="1">SUMPRODUCT(IF((NOT(ISERROR(MATCH(ROW(INDIRECT(DATE(YEAR(B1268),MONTH(B1268),1)&amp;":"&amp;DATE(YEAR(B1268),MONTH(B1268)+1,0))),Feriados[Data],0))))=FALSE,
IF(WEEKDAY(ROW(INDIRECT(DATE(YEAR(B1268),MONTH(B1268),1)&amp;":"&amp;DATE(YEAR(B1268),MONTH(B1268)+1,0))),2)&lt;=5,1,IF(WEEKDAY(ROW(INDIRECT(DATE(YEAR(B1268),MONTH(B1268),1)&amp;":"&amp;DATE(YEAR(B1268),MONTH(B1268)+1,0))),2)=6,0.5,0)),0))</f>
        <v>23</v>
      </c>
      <c r="K1268" s="22" cm="1">
        <f t="array" ref="K1268">_xlfn.XLOOKUP(1,((Metas_Diarias[[#This Row],[tipo_equipe_id]]=Metas[equipe])*(Metas_Diarias[[#This Row],[data]]&gt;Metas[data_inicio])*(Metas_Diarias[[#This Row],[data]]&lt;Metas[data_fim])),Metas[meta_mensal],0)</f>
        <v>168000</v>
      </c>
      <c r="L1268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69" spans="2:12" x14ac:dyDescent="0.3">
      <c r="B1269" s="34">
        <v>46190</v>
      </c>
      <c r="C1269" s="34" t="str">
        <f>TEXT(Metas_Diarias[[#This Row],[data]],"dddd")</f>
        <v>quarta-feira</v>
      </c>
      <c r="D1269" s="33">
        <v>1</v>
      </c>
      <c r="E1269" s="33">
        <v>1</v>
      </c>
      <c r="F1269" s="18"/>
      <c r="G1269" s="35">
        <f>WEEKDAY(Metas_Diarias[[#This Row],[data]])</f>
        <v>4</v>
      </c>
      <c r="H1269" s="35">
        <f>IF(Metas_Diarias[[#This Row],[dias_da_demana]]=1,"domingo",IF(Metas_Diarias[[#This Row],[dias_da_demana]]=7,0.5,1))</f>
        <v>1</v>
      </c>
      <c r="I1269" s="35">
        <f>_xlfn.XLOOKUP(Metas_Diarias[[#This Row],[data]],Feriados[Data],Feriados[Feriado],1)</f>
        <v>1</v>
      </c>
      <c r="J1269" s="33" cm="1">
        <f t="array" aca="1" ref="J1269" ca="1">SUMPRODUCT(IF((NOT(ISERROR(MATCH(ROW(INDIRECT(DATE(YEAR(B1269),MONTH(B1269),1)&amp;":"&amp;DATE(YEAR(B1269),MONTH(B1269)+1,0))),Feriados[Data],0))))=FALSE,
IF(WEEKDAY(ROW(INDIRECT(DATE(YEAR(B1269),MONTH(B1269),1)&amp;":"&amp;DATE(YEAR(B1269),MONTH(B1269)+1,0))),2)&lt;=5,1,IF(WEEKDAY(ROW(INDIRECT(DATE(YEAR(B1269),MONTH(B1269),1)&amp;":"&amp;DATE(YEAR(B1269),MONTH(B1269)+1,0))),2)=6,0.5,0)),0))</f>
        <v>23</v>
      </c>
      <c r="K1269" s="22" cm="1">
        <f t="array" ref="K1269">_xlfn.XLOOKUP(1,((Metas_Diarias[[#This Row],[tipo_equipe_id]]=Metas[equipe])*(Metas_Diarias[[#This Row],[data]]&gt;Metas[data_inicio])*(Metas_Diarias[[#This Row],[data]]&lt;Metas[data_fim])),Metas[meta_mensal],0)</f>
        <v>168000</v>
      </c>
      <c r="L1269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70" spans="2:12" x14ac:dyDescent="0.3">
      <c r="B1270" s="34">
        <v>46191</v>
      </c>
      <c r="C1270" s="34" t="str">
        <f>TEXT(Metas_Diarias[[#This Row],[data]],"dddd")</f>
        <v>quinta-feira</v>
      </c>
      <c r="D1270" s="33">
        <v>1</v>
      </c>
      <c r="E1270" s="33">
        <v>1</v>
      </c>
      <c r="F1270" s="18"/>
      <c r="G1270" s="35">
        <f>WEEKDAY(Metas_Diarias[[#This Row],[data]])</f>
        <v>5</v>
      </c>
      <c r="H1270" s="35">
        <f>IF(Metas_Diarias[[#This Row],[dias_da_demana]]=1,"domingo",IF(Metas_Diarias[[#This Row],[dias_da_demana]]=7,0.5,1))</f>
        <v>1</v>
      </c>
      <c r="I1270" s="35">
        <f>_xlfn.XLOOKUP(Metas_Diarias[[#This Row],[data]],Feriados[Data],Feriados[Feriado],1)</f>
        <v>1</v>
      </c>
      <c r="J1270" s="33" cm="1">
        <f t="array" aca="1" ref="J1270" ca="1">SUMPRODUCT(IF((NOT(ISERROR(MATCH(ROW(INDIRECT(DATE(YEAR(B1270),MONTH(B1270),1)&amp;":"&amp;DATE(YEAR(B1270),MONTH(B1270)+1,0))),Feriados[Data],0))))=FALSE,
IF(WEEKDAY(ROW(INDIRECT(DATE(YEAR(B1270),MONTH(B1270),1)&amp;":"&amp;DATE(YEAR(B1270),MONTH(B1270)+1,0))),2)&lt;=5,1,IF(WEEKDAY(ROW(INDIRECT(DATE(YEAR(B1270),MONTH(B1270),1)&amp;":"&amp;DATE(YEAR(B1270),MONTH(B1270)+1,0))),2)=6,0.5,0)),0))</f>
        <v>23</v>
      </c>
      <c r="K1270" s="22" cm="1">
        <f t="array" ref="K1270">_xlfn.XLOOKUP(1,((Metas_Diarias[[#This Row],[tipo_equipe_id]]=Metas[equipe])*(Metas_Diarias[[#This Row],[data]]&gt;Metas[data_inicio])*(Metas_Diarias[[#This Row],[data]]&lt;Metas[data_fim])),Metas[meta_mensal],0)</f>
        <v>168000</v>
      </c>
      <c r="L1270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71" spans="2:12" x14ac:dyDescent="0.3">
      <c r="B1271" s="34">
        <v>46192</v>
      </c>
      <c r="C1271" s="34" t="str">
        <f>TEXT(Metas_Diarias[[#This Row],[data]],"dddd")</f>
        <v>sexta-feira</v>
      </c>
      <c r="D1271" s="33">
        <v>1</v>
      </c>
      <c r="E1271" s="33">
        <v>1</v>
      </c>
      <c r="F1271" s="18"/>
      <c r="G1271" s="35">
        <f>WEEKDAY(Metas_Diarias[[#This Row],[data]])</f>
        <v>6</v>
      </c>
      <c r="H1271" s="35">
        <f>IF(Metas_Diarias[[#This Row],[dias_da_demana]]=1,"domingo",IF(Metas_Diarias[[#This Row],[dias_da_demana]]=7,0.5,1))</f>
        <v>1</v>
      </c>
      <c r="I1271" s="35">
        <f>_xlfn.XLOOKUP(Metas_Diarias[[#This Row],[data]],Feriados[Data],Feriados[Feriado],1)</f>
        <v>1</v>
      </c>
      <c r="J1271" s="33" cm="1">
        <f t="array" aca="1" ref="J1271" ca="1">SUMPRODUCT(IF((NOT(ISERROR(MATCH(ROW(INDIRECT(DATE(YEAR(B1271),MONTH(B1271),1)&amp;":"&amp;DATE(YEAR(B1271),MONTH(B1271)+1,0))),Feriados[Data],0))))=FALSE,
IF(WEEKDAY(ROW(INDIRECT(DATE(YEAR(B1271),MONTH(B1271),1)&amp;":"&amp;DATE(YEAR(B1271),MONTH(B1271)+1,0))),2)&lt;=5,1,IF(WEEKDAY(ROW(INDIRECT(DATE(YEAR(B1271),MONTH(B1271),1)&amp;":"&amp;DATE(YEAR(B1271),MONTH(B1271)+1,0))),2)=6,0.5,0)),0))</f>
        <v>23</v>
      </c>
      <c r="K1271" s="22" cm="1">
        <f t="array" ref="K1271">_xlfn.XLOOKUP(1,((Metas_Diarias[[#This Row],[tipo_equipe_id]]=Metas[equipe])*(Metas_Diarias[[#This Row],[data]]&gt;Metas[data_inicio])*(Metas_Diarias[[#This Row],[data]]&lt;Metas[data_fim])),Metas[meta_mensal],0)</f>
        <v>168000</v>
      </c>
      <c r="L1271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72" spans="2:12" x14ac:dyDescent="0.3">
      <c r="B1272" s="34">
        <v>46193</v>
      </c>
      <c r="C1272" s="34" t="str">
        <f>TEXT(Metas_Diarias[[#This Row],[data]],"dddd")</f>
        <v>sábado</v>
      </c>
      <c r="D1272" s="33">
        <v>1</v>
      </c>
      <c r="E1272" s="33">
        <v>1</v>
      </c>
      <c r="F1272" s="18"/>
      <c r="G1272" s="35">
        <f>WEEKDAY(Metas_Diarias[[#This Row],[data]])</f>
        <v>7</v>
      </c>
      <c r="H1272" s="35">
        <f>IF(Metas_Diarias[[#This Row],[dias_da_demana]]=1,"domingo",IF(Metas_Diarias[[#This Row],[dias_da_demana]]=7,0.5,1))</f>
        <v>0.5</v>
      </c>
      <c r="I1272" s="35">
        <f>_xlfn.XLOOKUP(Metas_Diarias[[#This Row],[data]],Feriados[Data],Feriados[Feriado],1)</f>
        <v>1</v>
      </c>
      <c r="J1272" s="33" cm="1">
        <f t="array" aca="1" ref="J1272" ca="1">SUMPRODUCT(IF((NOT(ISERROR(MATCH(ROW(INDIRECT(DATE(YEAR(B1272),MONTH(B1272),1)&amp;":"&amp;DATE(YEAR(B1272),MONTH(B1272)+1,0))),Feriados[Data],0))))=FALSE,
IF(WEEKDAY(ROW(INDIRECT(DATE(YEAR(B1272),MONTH(B1272),1)&amp;":"&amp;DATE(YEAR(B1272),MONTH(B1272)+1,0))),2)&lt;=5,1,IF(WEEKDAY(ROW(INDIRECT(DATE(YEAR(B1272),MONTH(B1272),1)&amp;":"&amp;DATE(YEAR(B1272),MONTH(B1272)+1,0))),2)=6,0.5,0)),0))</f>
        <v>23</v>
      </c>
      <c r="K1272" s="22" cm="1">
        <f t="array" ref="K1272">_xlfn.XLOOKUP(1,((Metas_Diarias[[#This Row],[tipo_equipe_id]]=Metas[equipe])*(Metas_Diarias[[#This Row],[data]]&gt;Metas[data_inicio])*(Metas_Diarias[[#This Row],[data]]&lt;Metas[data_fim])),Metas[meta_mensal],0)</f>
        <v>168000</v>
      </c>
      <c r="L1272" s="24">
        <f ca="1">Metas_Diarias[[#This Row],[meta_mensal]]*IF(Metas_Diarias[[#This Row],[semana]]="domingo",0,Metas_Diarias[[#This Row],[semana]])*IF(Metas_Diarias[[#This Row],[feriado]]&lt;&gt;1,0,1)/Metas_Diarias[[#This Row],[dias_úteis_Mês]]</f>
        <v>3652.1739130434785</v>
      </c>
    </row>
    <row r="1273" spans="2:12" x14ac:dyDescent="0.3">
      <c r="B1273" s="34">
        <v>46194</v>
      </c>
      <c r="C1273" s="34" t="str">
        <f>TEXT(Metas_Diarias[[#This Row],[data]],"dddd")</f>
        <v>domingo</v>
      </c>
      <c r="D1273" s="33">
        <v>1</v>
      </c>
      <c r="E1273" s="33">
        <v>1</v>
      </c>
      <c r="F1273" s="18"/>
      <c r="G1273" s="35">
        <f>WEEKDAY(Metas_Diarias[[#This Row],[data]])</f>
        <v>1</v>
      </c>
      <c r="H1273" s="35" t="str">
        <f>IF(Metas_Diarias[[#This Row],[dias_da_demana]]=1,"domingo",IF(Metas_Diarias[[#This Row],[dias_da_demana]]=7,0.5,1))</f>
        <v>domingo</v>
      </c>
      <c r="I1273" s="35">
        <f>_xlfn.XLOOKUP(Metas_Diarias[[#This Row],[data]],Feriados[Data],Feriados[Feriado],1)</f>
        <v>1</v>
      </c>
      <c r="J1273" s="33" cm="1">
        <f t="array" aca="1" ref="J1273" ca="1">SUMPRODUCT(IF((NOT(ISERROR(MATCH(ROW(INDIRECT(DATE(YEAR(B1273),MONTH(B1273),1)&amp;":"&amp;DATE(YEAR(B1273),MONTH(B1273)+1,0))),Feriados[Data],0))))=FALSE,
IF(WEEKDAY(ROW(INDIRECT(DATE(YEAR(B1273),MONTH(B1273),1)&amp;":"&amp;DATE(YEAR(B1273),MONTH(B1273)+1,0))),2)&lt;=5,1,IF(WEEKDAY(ROW(INDIRECT(DATE(YEAR(B1273),MONTH(B1273),1)&amp;":"&amp;DATE(YEAR(B1273),MONTH(B1273)+1,0))),2)=6,0.5,0)),0))</f>
        <v>23</v>
      </c>
      <c r="K1273" s="22" cm="1">
        <f t="array" ref="K1273">_xlfn.XLOOKUP(1,((Metas_Diarias[[#This Row],[tipo_equipe_id]]=Metas[equipe])*(Metas_Diarias[[#This Row],[data]]&gt;Metas[data_inicio])*(Metas_Diarias[[#This Row],[data]]&lt;Metas[data_fim])),Metas[meta_mensal],0)</f>
        <v>168000</v>
      </c>
      <c r="L12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74" spans="2:12" x14ac:dyDescent="0.3">
      <c r="B1274" s="34">
        <v>46195</v>
      </c>
      <c r="C1274" s="34" t="str">
        <f>TEXT(Metas_Diarias[[#This Row],[data]],"dddd")</f>
        <v>segunda-feira</v>
      </c>
      <c r="D1274" s="33">
        <v>1</v>
      </c>
      <c r="E1274" s="33">
        <v>1</v>
      </c>
      <c r="F1274" s="18"/>
      <c r="G1274" s="35">
        <f>WEEKDAY(Metas_Diarias[[#This Row],[data]])</f>
        <v>2</v>
      </c>
      <c r="H1274" s="35">
        <f>IF(Metas_Diarias[[#This Row],[dias_da_demana]]=1,"domingo",IF(Metas_Diarias[[#This Row],[dias_da_demana]]=7,0.5,1))</f>
        <v>1</v>
      </c>
      <c r="I1274" s="35">
        <f>_xlfn.XLOOKUP(Metas_Diarias[[#This Row],[data]],Feriados[Data],Feriados[Feriado],1)</f>
        <v>1</v>
      </c>
      <c r="J1274" s="33" cm="1">
        <f t="array" aca="1" ref="J1274" ca="1">SUMPRODUCT(IF((NOT(ISERROR(MATCH(ROW(INDIRECT(DATE(YEAR(B1274),MONTH(B1274),1)&amp;":"&amp;DATE(YEAR(B1274),MONTH(B1274)+1,0))),Feriados[Data],0))))=FALSE,
IF(WEEKDAY(ROW(INDIRECT(DATE(YEAR(B1274),MONTH(B1274),1)&amp;":"&amp;DATE(YEAR(B1274),MONTH(B1274)+1,0))),2)&lt;=5,1,IF(WEEKDAY(ROW(INDIRECT(DATE(YEAR(B1274),MONTH(B1274),1)&amp;":"&amp;DATE(YEAR(B1274),MONTH(B1274)+1,0))),2)=6,0.5,0)),0))</f>
        <v>23</v>
      </c>
      <c r="K1274" s="22" cm="1">
        <f t="array" ref="K1274">_xlfn.XLOOKUP(1,((Metas_Diarias[[#This Row],[tipo_equipe_id]]=Metas[equipe])*(Metas_Diarias[[#This Row],[data]]&gt;Metas[data_inicio])*(Metas_Diarias[[#This Row],[data]]&lt;Metas[data_fim])),Metas[meta_mensal],0)</f>
        <v>168000</v>
      </c>
      <c r="L1274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75" spans="2:12" x14ac:dyDescent="0.3">
      <c r="B1275" s="34">
        <v>46196</v>
      </c>
      <c r="C1275" s="34" t="str">
        <f>TEXT(Metas_Diarias[[#This Row],[data]],"dddd")</f>
        <v>terça-feira</v>
      </c>
      <c r="D1275" s="33">
        <v>1</v>
      </c>
      <c r="E1275" s="33">
        <v>1</v>
      </c>
      <c r="F1275" s="18"/>
      <c r="G1275" s="35">
        <f>WEEKDAY(Metas_Diarias[[#This Row],[data]])</f>
        <v>3</v>
      </c>
      <c r="H1275" s="35">
        <f>IF(Metas_Diarias[[#This Row],[dias_da_demana]]=1,"domingo",IF(Metas_Diarias[[#This Row],[dias_da_demana]]=7,0.5,1))</f>
        <v>1</v>
      </c>
      <c r="I1275" s="35">
        <f>_xlfn.XLOOKUP(Metas_Diarias[[#This Row],[data]],Feriados[Data],Feriados[Feriado],1)</f>
        <v>1</v>
      </c>
      <c r="J1275" s="33" cm="1">
        <f t="array" aca="1" ref="J1275" ca="1">SUMPRODUCT(IF((NOT(ISERROR(MATCH(ROW(INDIRECT(DATE(YEAR(B1275),MONTH(B1275),1)&amp;":"&amp;DATE(YEAR(B1275),MONTH(B1275)+1,0))),Feriados[Data],0))))=FALSE,
IF(WEEKDAY(ROW(INDIRECT(DATE(YEAR(B1275),MONTH(B1275),1)&amp;":"&amp;DATE(YEAR(B1275),MONTH(B1275)+1,0))),2)&lt;=5,1,IF(WEEKDAY(ROW(INDIRECT(DATE(YEAR(B1275),MONTH(B1275),1)&amp;":"&amp;DATE(YEAR(B1275),MONTH(B1275)+1,0))),2)=6,0.5,0)),0))</f>
        <v>23</v>
      </c>
      <c r="K1275" s="22" cm="1">
        <f t="array" ref="K1275">_xlfn.XLOOKUP(1,((Metas_Diarias[[#This Row],[tipo_equipe_id]]=Metas[equipe])*(Metas_Diarias[[#This Row],[data]]&gt;Metas[data_inicio])*(Metas_Diarias[[#This Row],[data]]&lt;Metas[data_fim])),Metas[meta_mensal],0)</f>
        <v>168000</v>
      </c>
      <c r="L1275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76" spans="2:12" x14ac:dyDescent="0.3">
      <c r="B1276" s="34">
        <v>46197</v>
      </c>
      <c r="C1276" s="34" t="str">
        <f>TEXT(Metas_Diarias[[#This Row],[data]],"dddd")</f>
        <v>quarta-feira</v>
      </c>
      <c r="D1276" s="33">
        <v>1</v>
      </c>
      <c r="E1276" s="33">
        <v>1</v>
      </c>
      <c r="F1276" s="18"/>
      <c r="G1276" s="35">
        <f>WEEKDAY(Metas_Diarias[[#This Row],[data]])</f>
        <v>4</v>
      </c>
      <c r="H1276" s="35">
        <f>IF(Metas_Diarias[[#This Row],[dias_da_demana]]=1,"domingo",IF(Metas_Diarias[[#This Row],[dias_da_demana]]=7,0.5,1))</f>
        <v>1</v>
      </c>
      <c r="I1276" s="35">
        <f>_xlfn.XLOOKUP(Metas_Diarias[[#This Row],[data]],Feriados[Data],Feriados[Feriado],1)</f>
        <v>1</v>
      </c>
      <c r="J1276" s="33" cm="1">
        <f t="array" aca="1" ref="J1276" ca="1">SUMPRODUCT(IF((NOT(ISERROR(MATCH(ROW(INDIRECT(DATE(YEAR(B1276),MONTH(B1276),1)&amp;":"&amp;DATE(YEAR(B1276),MONTH(B1276)+1,0))),Feriados[Data],0))))=FALSE,
IF(WEEKDAY(ROW(INDIRECT(DATE(YEAR(B1276),MONTH(B1276),1)&amp;":"&amp;DATE(YEAR(B1276),MONTH(B1276)+1,0))),2)&lt;=5,1,IF(WEEKDAY(ROW(INDIRECT(DATE(YEAR(B1276),MONTH(B1276),1)&amp;":"&amp;DATE(YEAR(B1276),MONTH(B1276)+1,0))),2)=6,0.5,0)),0))</f>
        <v>23</v>
      </c>
      <c r="K1276" s="22" cm="1">
        <f t="array" ref="K1276">_xlfn.XLOOKUP(1,((Metas_Diarias[[#This Row],[tipo_equipe_id]]=Metas[equipe])*(Metas_Diarias[[#This Row],[data]]&gt;Metas[data_inicio])*(Metas_Diarias[[#This Row],[data]]&lt;Metas[data_fim])),Metas[meta_mensal],0)</f>
        <v>168000</v>
      </c>
      <c r="L1276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77" spans="2:12" x14ac:dyDescent="0.3">
      <c r="B1277" s="34">
        <v>46198</v>
      </c>
      <c r="C1277" s="34" t="str">
        <f>TEXT(Metas_Diarias[[#This Row],[data]],"dddd")</f>
        <v>quinta-feira</v>
      </c>
      <c r="D1277" s="33">
        <v>1</v>
      </c>
      <c r="E1277" s="33">
        <v>1</v>
      </c>
      <c r="F1277" s="18"/>
      <c r="G1277" s="35">
        <f>WEEKDAY(Metas_Diarias[[#This Row],[data]])</f>
        <v>5</v>
      </c>
      <c r="H1277" s="35">
        <f>IF(Metas_Diarias[[#This Row],[dias_da_demana]]=1,"domingo",IF(Metas_Diarias[[#This Row],[dias_da_demana]]=7,0.5,1))</f>
        <v>1</v>
      </c>
      <c r="I1277" s="35">
        <f>_xlfn.XLOOKUP(Metas_Diarias[[#This Row],[data]],Feriados[Data],Feriados[Feriado],1)</f>
        <v>1</v>
      </c>
      <c r="J1277" s="33" cm="1">
        <f t="array" aca="1" ref="J1277" ca="1">SUMPRODUCT(IF((NOT(ISERROR(MATCH(ROW(INDIRECT(DATE(YEAR(B1277),MONTH(B1277),1)&amp;":"&amp;DATE(YEAR(B1277),MONTH(B1277)+1,0))),Feriados[Data],0))))=FALSE,
IF(WEEKDAY(ROW(INDIRECT(DATE(YEAR(B1277),MONTH(B1277),1)&amp;":"&amp;DATE(YEAR(B1277),MONTH(B1277)+1,0))),2)&lt;=5,1,IF(WEEKDAY(ROW(INDIRECT(DATE(YEAR(B1277),MONTH(B1277),1)&amp;":"&amp;DATE(YEAR(B1277),MONTH(B1277)+1,0))),2)=6,0.5,0)),0))</f>
        <v>23</v>
      </c>
      <c r="K1277" s="22" cm="1">
        <f t="array" ref="K1277">_xlfn.XLOOKUP(1,((Metas_Diarias[[#This Row],[tipo_equipe_id]]=Metas[equipe])*(Metas_Diarias[[#This Row],[data]]&gt;Metas[data_inicio])*(Metas_Diarias[[#This Row],[data]]&lt;Metas[data_fim])),Metas[meta_mensal],0)</f>
        <v>168000</v>
      </c>
      <c r="L1277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78" spans="2:12" x14ac:dyDescent="0.3">
      <c r="B1278" s="34">
        <v>46199</v>
      </c>
      <c r="C1278" s="34" t="str">
        <f>TEXT(Metas_Diarias[[#This Row],[data]],"dddd")</f>
        <v>sexta-feira</v>
      </c>
      <c r="D1278" s="33">
        <v>1</v>
      </c>
      <c r="E1278" s="33">
        <v>1</v>
      </c>
      <c r="F1278" s="18"/>
      <c r="G1278" s="35">
        <f>WEEKDAY(Metas_Diarias[[#This Row],[data]])</f>
        <v>6</v>
      </c>
      <c r="H1278" s="35">
        <f>IF(Metas_Diarias[[#This Row],[dias_da_demana]]=1,"domingo",IF(Metas_Diarias[[#This Row],[dias_da_demana]]=7,0.5,1))</f>
        <v>1</v>
      </c>
      <c r="I1278" s="35">
        <f>_xlfn.XLOOKUP(Metas_Diarias[[#This Row],[data]],Feriados[Data],Feriados[Feriado],1)</f>
        <v>1</v>
      </c>
      <c r="J1278" s="33" cm="1">
        <f t="array" aca="1" ref="J1278" ca="1">SUMPRODUCT(IF((NOT(ISERROR(MATCH(ROW(INDIRECT(DATE(YEAR(B1278),MONTH(B1278),1)&amp;":"&amp;DATE(YEAR(B1278),MONTH(B1278)+1,0))),Feriados[Data],0))))=FALSE,
IF(WEEKDAY(ROW(INDIRECT(DATE(YEAR(B1278),MONTH(B1278),1)&amp;":"&amp;DATE(YEAR(B1278),MONTH(B1278)+1,0))),2)&lt;=5,1,IF(WEEKDAY(ROW(INDIRECT(DATE(YEAR(B1278),MONTH(B1278),1)&amp;":"&amp;DATE(YEAR(B1278),MONTH(B1278)+1,0))),2)=6,0.5,0)),0))</f>
        <v>23</v>
      </c>
      <c r="K1278" s="22" cm="1">
        <f t="array" ref="K1278">_xlfn.XLOOKUP(1,((Metas_Diarias[[#This Row],[tipo_equipe_id]]=Metas[equipe])*(Metas_Diarias[[#This Row],[data]]&gt;Metas[data_inicio])*(Metas_Diarias[[#This Row],[data]]&lt;Metas[data_fim])),Metas[meta_mensal],0)</f>
        <v>168000</v>
      </c>
      <c r="L1278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79" spans="2:12" x14ac:dyDescent="0.3">
      <c r="B1279" s="34">
        <v>46200</v>
      </c>
      <c r="C1279" s="34" t="str">
        <f>TEXT(Metas_Diarias[[#This Row],[data]],"dddd")</f>
        <v>sábado</v>
      </c>
      <c r="D1279" s="33">
        <v>1</v>
      </c>
      <c r="E1279" s="33">
        <v>1</v>
      </c>
      <c r="F1279" s="18"/>
      <c r="G1279" s="35">
        <f>WEEKDAY(Metas_Diarias[[#This Row],[data]])</f>
        <v>7</v>
      </c>
      <c r="H1279" s="35">
        <f>IF(Metas_Diarias[[#This Row],[dias_da_demana]]=1,"domingo",IF(Metas_Diarias[[#This Row],[dias_da_demana]]=7,0.5,1))</f>
        <v>0.5</v>
      </c>
      <c r="I1279" s="35">
        <f>_xlfn.XLOOKUP(Metas_Diarias[[#This Row],[data]],Feriados[Data],Feriados[Feriado],1)</f>
        <v>1</v>
      </c>
      <c r="J1279" s="33" cm="1">
        <f t="array" aca="1" ref="J1279" ca="1">SUMPRODUCT(IF((NOT(ISERROR(MATCH(ROW(INDIRECT(DATE(YEAR(B1279),MONTH(B1279),1)&amp;":"&amp;DATE(YEAR(B1279),MONTH(B1279)+1,0))),Feriados[Data],0))))=FALSE,
IF(WEEKDAY(ROW(INDIRECT(DATE(YEAR(B1279),MONTH(B1279),1)&amp;":"&amp;DATE(YEAR(B1279),MONTH(B1279)+1,0))),2)&lt;=5,1,IF(WEEKDAY(ROW(INDIRECT(DATE(YEAR(B1279),MONTH(B1279),1)&amp;":"&amp;DATE(YEAR(B1279),MONTH(B1279)+1,0))),2)=6,0.5,0)),0))</f>
        <v>23</v>
      </c>
      <c r="K1279" s="22" cm="1">
        <f t="array" ref="K1279">_xlfn.XLOOKUP(1,((Metas_Diarias[[#This Row],[tipo_equipe_id]]=Metas[equipe])*(Metas_Diarias[[#This Row],[data]]&gt;Metas[data_inicio])*(Metas_Diarias[[#This Row],[data]]&lt;Metas[data_fim])),Metas[meta_mensal],0)</f>
        <v>168000</v>
      </c>
      <c r="L1279" s="24">
        <f ca="1">Metas_Diarias[[#This Row],[meta_mensal]]*IF(Metas_Diarias[[#This Row],[semana]]="domingo",0,Metas_Diarias[[#This Row],[semana]])*IF(Metas_Diarias[[#This Row],[feriado]]&lt;&gt;1,0,1)/Metas_Diarias[[#This Row],[dias_úteis_Mês]]</f>
        <v>3652.1739130434785</v>
      </c>
    </row>
    <row r="1280" spans="2:12" x14ac:dyDescent="0.3">
      <c r="B1280" s="34">
        <v>46201</v>
      </c>
      <c r="C1280" s="34" t="str">
        <f>TEXT(Metas_Diarias[[#This Row],[data]],"dddd")</f>
        <v>domingo</v>
      </c>
      <c r="D1280" s="33">
        <v>1</v>
      </c>
      <c r="E1280" s="33">
        <v>1</v>
      </c>
      <c r="F1280" s="18"/>
      <c r="G1280" s="35">
        <f>WEEKDAY(Metas_Diarias[[#This Row],[data]])</f>
        <v>1</v>
      </c>
      <c r="H1280" s="35" t="str">
        <f>IF(Metas_Diarias[[#This Row],[dias_da_demana]]=1,"domingo",IF(Metas_Diarias[[#This Row],[dias_da_demana]]=7,0.5,1))</f>
        <v>domingo</v>
      </c>
      <c r="I1280" s="35">
        <f>_xlfn.XLOOKUP(Metas_Diarias[[#This Row],[data]],Feriados[Data],Feriados[Feriado],1)</f>
        <v>1</v>
      </c>
      <c r="J1280" s="33" cm="1">
        <f t="array" aca="1" ref="J1280" ca="1">SUMPRODUCT(IF((NOT(ISERROR(MATCH(ROW(INDIRECT(DATE(YEAR(B1280),MONTH(B1280),1)&amp;":"&amp;DATE(YEAR(B1280),MONTH(B1280)+1,0))),Feriados[Data],0))))=FALSE,
IF(WEEKDAY(ROW(INDIRECT(DATE(YEAR(B1280),MONTH(B1280),1)&amp;":"&amp;DATE(YEAR(B1280),MONTH(B1280)+1,0))),2)&lt;=5,1,IF(WEEKDAY(ROW(INDIRECT(DATE(YEAR(B1280),MONTH(B1280),1)&amp;":"&amp;DATE(YEAR(B1280),MONTH(B1280)+1,0))),2)=6,0.5,0)),0))</f>
        <v>23</v>
      </c>
      <c r="K1280" s="22" cm="1">
        <f t="array" ref="K1280">_xlfn.XLOOKUP(1,((Metas_Diarias[[#This Row],[tipo_equipe_id]]=Metas[equipe])*(Metas_Diarias[[#This Row],[data]]&gt;Metas[data_inicio])*(Metas_Diarias[[#This Row],[data]]&lt;Metas[data_fim])),Metas[meta_mensal],0)</f>
        <v>168000</v>
      </c>
      <c r="L12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81" spans="2:12" x14ac:dyDescent="0.3">
      <c r="B1281" s="34">
        <v>46202</v>
      </c>
      <c r="C1281" s="34" t="str">
        <f>TEXT(Metas_Diarias[[#This Row],[data]],"dddd")</f>
        <v>segunda-feira</v>
      </c>
      <c r="D1281" s="33">
        <v>1</v>
      </c>
      <c r="E1281" s="33">
        <v>1</v>
      </c>
      <c r="F1281" s="18"/>
      <c r="G1281" s="35">
        <f>WEEKDAY(Metas_Diarias[[#This Row],[data]])</f>
        <v>2</v>
      </c>
      <c r="H1281" s="35">
        <f>IF(Metas_Diarias[[#This Row],[dias_da_demana]]=1,"domingo",IF(Metas_Diarias[[#This Row],[dias_da_demana]]=7,0.5,1))</f>
        <v>1</v>
      </c>
      <c r="I1281" s="35">
        <f>_xlfn.XLOOKUP(Metas_Diarias[[#This Row],[data]],Feriados[Data],Feriados[Feriado],1)</f>
        <v>1</v>
      </c>
      <c r="J1281" s="33" cm="1">
        <f t="array" aca="1" ref="J1281" ca="1">SUMPRODUCT(IF((NOT(ISERROR(MATCH(ROW(INDIRECT(DATE(YEAR(B1281),MONTH(B1281),1)&amp;":"&amp;DATE(YEAR(B1281),MONTH(B1281)+1,0))),Feriados[Data],0))))=FALSE,
IF(WEEKDAY(ROW(INDIRECT(DATE(YEAR(B1281),MONTH(B1281),1)&amp;":"&amp;DATE(YEAR(B1281),MONTH(B1281)+1,0))),2)&lt;=5,1,IF(WEEKDAY(ROW(INDIRECT(DATE(YEAR(B1281),MONTH(B1281),1)&amp;":"&amp;DATE(YEAR(B1281),MONTH(B1281)+1,0))),2)=6,0.5,0)),0))</f>
        <v>23</v>
      </c>
      <c r="K1281" s="22" cm="1">
        <f t="array" ref="K1281">_xlfn.XLOOKUP(1,((Metas_Diarias[[#This Row],[tipo_equipe_id]]=Metas[equipe])*(Metas_Diarias[[#This Row],[data]]&gt;Metas[data_inicio])*(Metas_Diarias[[#This Row],[data]]&lt;Metas[data_fim])),Metas[meta_mensal],0)</f>
        <v>168000</v>
      </c>
      <c r="L1281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82" spans="2:12" x14ac:dyDescent="0.3">
      <c r="B1282" s="34">
        <v>46203</v>
      </c>
      <c r="C1282" s="34" t="str">
        <f>TEXT(Metas_Diarias[[#This Row],[data]],"dddd")</f>
        <v>terça-feira</v>
      </c>
      <c r="D1282" s="33">
        <v>1</v>
      </c>
      <c r="E1282" s="33">
        <v>1</v>
      </c>
      <c r="F1282" s="18"/>
      <c r="G1282" s="35">
        <f>WEEKDAY(Metas_Diarias[[#This Row],[data]])</f>
        <v>3</v>
      </c>
      <c r="H1282" s="35">
        <f>IF(Metas_Diarias[[#This Row],[dias_da_demana]]=1,"domingo",IF(Metas_Diarias[[#This Row],[dias_da_demana]]=7,0.5,1))</f>
        <v>1</v>
      </c>
      <c r="I1282" s="35">
        <f>_xlfn.XLOOKUP(Metas_Diarias[[#This Row],[data]],Feriados[Data],Feriados[Feriado],1)</f>
        <v>1</v>
      </c>
      <c r="J1282" s="33" cm="1">
        <f t="array" aca="1" ref="J1282" ca="1">SUMPRODUCT(IF((NOT(ISERROR(MATCH(ROW(INDIRECT(DATE(YEAR(B1282),MONTH(B1282),1)&amp;":"&amp;DATE(YEAR(B1282),MONTH(B1282)+1,0))),Feriados[Data],0))))=FALSE,
IF(WEEKDAY(ROW(INDIRECT(DATE(YEAR(B1282),MONTH(B1282),1)&amp;":"&amp;DATE(YEAR(B1282),MONTH(B1282)+1,0))),2)&lt;=5,1,IF(WEEKDAY(ROW(INDIRECT(DATE(YEAR(B1282),MONTH(B1282),1)&amp;":"&amp;DATE(YEAR(B1282),MONTH(B1282)+1,0))),2)=6,0.5,0)),0))</f>
        <v>23</v>
      </c>
      <c r="K1282" s="22" cm="1">
        <f t="array" ref="K1282">_xlfn.XLOOKUP(1,((Metas_Diarias[[#This Row],[tipo_equipe_id]]=Metas[equipe])*(Metas_Diarias[[#This Row],[data]]&gt;Metas[data_inicio])*(Metas_Diarias[[#This Row],[data]]&lt;Metas[data_fim])),Metas[meta_mensal],0)</f>
        <v>168000</v>
      </c>
      <c r="L1282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283" spans="2:12" x14ac:dyDescent="0.3">
      <c r="B1283" s="34">
        <v>46204</v>
      </c>
      <c r="C1283" s="34" t="str">
        <f>TEXT(Metas_Diarias[[#This Row],[data]],"dddd")</f>
        <v>quarta-feira</v>
      </c>
      <c r="D1283" s="33">
        <v>1</v>
      </c>
      <c r="E1283" s="33">
        <v>1</v>
      </c>
      <c r="F1283" s="18"/>
      <c r="G1283" s="35">
        <f>WEEKDAY(Metas_Diarias[[#This Row],[data]])</f>
        <v>4</v>
      </c>
      <c r="H1283" s="35">
        <f>IF(Metas_Diarias[[#This Row],[dias_da_demana]]=1,"domingo",IF(Metas_Diarias[[#This Row],[dias_da_demana]]=7,0.5,1))</f>
        <v>1</v>
      </c>
      <c r="I1283" s="35">
        <f>_xlfn.XLOOKUP(Metas_Diarias[[#This Row],[data]],Feriados[Data],Feriados[Feriado],1)</f>
        <v>1</v>
      </c>
      <c r="J1283" s="33" cm="1">
        <f t="array" aca="1" ref="J1283" ca="1">SUMPRODUCT(IF((NOT(ISERROR(MATCH(ROW(INDIRECT(DATE(YEAR(B1283),MONTH(B1283),1)&amp;":"&amp;DATE(YEAR(B1283),MONTH(B1283)+1,0))),Feriados[Data],0))))=FALSE,
IF(WEEKDAY(ROW(INDIRECT(DATE(YEAR(B1283),MONTH(B1283),1)&amp;":"&amp;DATE(YEAR(B1283),MONTH(B1283)+1,0))),2)&lt;=5,1,IF(WEEKDAY(ROW(INDIRECT(DATE(YEAR(B1283),MONTH(B1283),1)&amp;":"&amp;DATE(YEAR(B1283),MONTH(B1283)+1,0))),2)=6,0.5,0)),0))</f>
        <v>25</v>
      </c>
      <c r="K1283" s="22" cm="1">
        <f t="array" ref="K1283">_xlfn.XLOOKUP(1,((Metas_Diarias[[#This Row],[tipo_equipe_id]]=Metas[equipe])*(Metas_Diarias[[#This Row],[data]]&gt;Metas[data_inicio])*(Metas_Diarias[[#This Row],[data]]&lt;Metas[data_fim])),Metas[meta_mensal],0)</f>
        <v>168000</v>
      </c>
      <c r="L1283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84" spans="2:12" x14ac:dyDescent="0.3">
      <c r="B1284" s="34">
        <v>46205</v>
      </c>
      <c r="C1284" s="34" t="str">
        <f>TEXT(Metas_Diarias[[#This Row],[data]],"dddd")</f>
        <v>quinta-feira</v>
      </c>
      <c r="D1284" s="33">
        <v>1</v>
      </c>
      <c r="E1284" s="33">
        <v>1</v>
      </c>
      <c r="F1284" s="18"/>
      <c r="G1284" s="35">
        <f>WEEKDAY(Metas_Diarias[[#This Row],[data]])</f>
        <v>5</v>
      </c>
      <c r="H1284" s="35">
        <f>IF(Metas_Diarias[[#This Row],[dias_da_demana]]=1,"domingo",IF(Metas_Diarias[[#This Row],[dias_da_demana]]=7,0.5,1))</f>
        <v>1</v>
      </c>
      <c r="I1284" s="35">
        <f>_xlfn.XLOOKUP(Metas_Diarias[[#This Row],[data]],Feriados[Data],Feriados[Feriado],1)</f>
        <v>1</v>
      </c>
      <c r="J1284" s="33" cm="1">
        <f t="array" aca="1" ref="J1284" ca="1">SUMPRODUCT(IF((NOT(ISERROR(MATCH(ROW(INDIRECT(DATE(YEAR(B1284),MONTH(B1284),1)&amp;":"&amp;DATE(YEAR(B1284),MONTH(B1284)+1,0))),Feriados[Data],0))))=FALSE,
IF(WEEKDAY(ROW(INDIRECT(DATE(YEAR(B1284),MONTH(B1284),1)&amp;":"&amp;DATE(YEAR(B1284),MONTH(B1284)+1,0))),2)&lt;=5,1,IF(WEEKDAY(ROW(INDIRECT(DATE(YEAR(B1284),MONTH(B1284),1)&amp;":"&amp;DATE(YEAR(B1284),MONTH(B1284)+1,0))),2)=6,0.5,0)),0))</f>
        <v>25</v>
      </c>
      <c r="K1284" s="22" cm="1">
        <f t="array" ref="K1284">_xlfn.XLOOKUP(1,((Metas_Diarias[[#This Row],[tipo_equipe_id]]=Metas[equipe])*(Metas_Diarias[[#This Row],[data]]&gt;Metas[data_inicio])*(Metas_Diarias[[#This Row],[data]]&lt;Metas[data_fim])),Metas[meta_mensal],0)</f>
        <v>168000</v>
      </c>
      <c r="L1284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85" spans="2:12" x14ac:dyDescent="0.3">
      <c r="B1285" s="34">
        <v>46206</v>
      </c>
      <c r="C1285" s="34" t="str">
        <f>TEXT(Metas_Diarias[[#This Row],[data]],"dddd")</f>
        <v>sexta-feira</v>
      </c>
      <c r="D1285" s="33">
        <v>1</v>
      </c>
      <c r="E1285" s="33">
        <v>1</v>
      </c>
      <c r="F1285" s="18"/>
      <c r="G1285" s="35">
        <f>WEEKDAY(Metas_Diarias[[#This Row],[data]])</f>
        <v>6</v>
      </c>
      <c r="H1285" s="35">
        <f>IF(Metas_Diarias[[#This Row],[dias_da_demana]]=1,"domingo",IF(Metas_Diarias[[#This Row],[dias_da_demana]]=7,0.5,1))</f>
        <v>1</v>
      </c>
      <c r="I1285" s="35">
        <f>_xlfn.XLOOKUP(Metas_Diarias[[#This Row],[data]],Feriados[Data],Feriados[Feriado],1)</f>
        <v>1</v>
      </c>
      <c r="J1285" s="33" cm="1">
        <f t="array" aca="1" ref="J1285" ca="1">SUMPRODUCT(IF((NOT(ISERROR(MATCH(ROW(INDIRECT(DATE(YEAR(B1285),MONTH(B1285),1)&amp;":"&amp;DATE(YEAR(B1285),MONTH(B1285)+1,0))),Feriados[Data],0))))=FALSE,
IF(WEEKDAY(ROW(INDIRECT(DATE(YEAR(B1285),MONTH(B1285),1)&amp;":"&amp;DATE(YEAR(B1285),MONTH(B1285)+1,0))),2)&lt;=5,1,IF(WEEKDAY(ROW(INDIRECT(DATE(YEAR(B1285),MONTH(B1285),1)&amp;":"&amp;DATE(YEAR(B1285),MONTH(B1285)+1,0))),2)=6,0.5,0)),0))</f>
        <v>25</v>
      </c>
      <c r="K1285" s="22" cm="1">
        <f t="array" ref="K1285">_xlfn.XLOOKUP(1,((Metas_Diarias[[#This Row],[tipo_equipe_id]]=Metas[equipe])*(Metas_Diarias[[#This Row],[data]]&gt;Metas[data_inicio])*(Metas_Diarias[[#This Row],[data]]&lt;Metas[data_fim])),Metas[meta_mensal],0)</f>
        <v>168000</v>
      </c>
      <c r="L1285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86" spans="2:12" x14ac:dyDescent="0.3">
      <c r="B1286" s="34">
        <v>46207</v>
      </c>
      <c r="C1286" s="34" t="str">
        <f>TEXT(Metas_Diarias[[#This Row],[data]],"dddd")</f>
        <v>sábado</v>
      </c>
      <c r="D1286" s="33">
        <v>1</v>
      </c>
      <c r="E1286" s="33">
        <v>1</v>
      </c>
      <c r="F1286" s="18"/>
      <c r="G1286" s="35">
        <f>WEEKDAY(Metas_Diarias[[#This Row],[data]])</f>
        <v>7</v>
      </c>
      <c r="H1286" s="35">
        <f>IF(Metas_Diarias[[#This Row],[dias_da_demana]]=1,"domingo",IF(Metas_Diarias[[#This Row],[dias_da_demana]]=7,0.5,1))</f>
        <v>0.5</v>
      </c>
      <c r="I1286" s="35">
        <f>_xlfn.XLOOKUP(Metas_Diarias[[#This Row],[data]],Feriados[Data],Feriados[Feriado],1)</f>
        <v>1</v>
      </c>
      <c r="J1286" s="33" cm="1">
        <f t="array" aca="1" ref="J1286" ca="1">SUMPRODUCT(IF((NOT(ISERROR(MATCH(ROW(INDIRECT(DATE(YEAR(B1286),MONTH(B1286),1)&amp;":"&amp;DATE(YEAR(B1286),MONTH(B1286)+1,0))),Feriados[Data],0))))=FALSE,
IF(WEEKDAY(ROW(INDIRECT(DATE(YEAR(B1286),MONTH(B1286),1)&amp;":"&amp;DATE(YEAR(B1286),MONTH(B1286)+1,0))),2)&lt;=5,1,IF(WEEKDAY(ROW(INDIRECT(DATE(YEAR(B1286),MONTH(B1286),1)&amp;":"&amp;DATE(YEAR(B1286),MONTH(B1286)+1,0))),2)=6,0.5,0)),0))</f>
        <v>25</v>
      </c>
      <c r="K1286" s="22" cm="1">
        <f t="array" ref="K1286">_xlfn.XLOOKUP(1,((Metas_Diarias[[#This Row],[tipo_equipe_id]]=Metas[equipe])*(Metas_Diarias[[#This Row],[data]]&gt;Metas[data_inicio])*(Metas_Diarias[[#This Row],[data]]&lt;Metas[data_fim])),Metas[meta_mensal],0)</f>
        <v>168000</v>
      </c>
      <c r="L1286" s="24">
        <f ca="1">Metas_Diarias[[#This Row],[meta_mensal]]*IF(Metas_Diarias[[#This Row],[semana]]="domingo",0,Metas_Diarias[[#This Row],[semana]])*IF(Metas_Diarias[[#This Row],[feriado]]&lt;&gt;1,0,1)/Metas_Diarias[[#This Row],[dias_úteis_Mês]]</f>
        <v>3360</v>
      </c>
    </row>
    <row r="1287" spans="2:12" x14ac:dyDescent="0.3">
      <c r="B1287" s="34">
        <v>46208</v>
      </c>
      <c r="C1287" s="34" t="str">
        <f>TEXT(Metas_Diarias[[#This Row],[data]],"dddd")</f>
        <v>domingo</v>
      </c>
      <c r="D1287" s="33">
        <v>1</v>
      </c>
      <c r="E1287" s="33">
        <v>1</v>
      </c>
      <c r="F1287" s="18"/>
      <c r="G1287" s="35">
        <f>WEEKDAY(Metas_Diarias[[#This Row],[data]])</f>
        <v>1</v>
      </c>
      <c r="H1287" s="35" t="str">
        <f>IF(Metas_Diarias[[#This Row],[dias_da_demana]]=1,"domingo",IF(Metas_Diarias[[#This Row],[dias_da_demana]]=7,0.5,1))</f>
        <v>domingo</v>
      </c>
      <c r="I1287" s="35">
        <f>_xlfn.XLOOKUP(Metas_Diarias[[#This Row],[data]],Feriados[Data],Feriados[Feriado],1)</f>
        <v>1</v>
      </c>
      <c r="J1287" s="33" cm="1">
        <f t="array" aca="1" ref="J1287" ca="1">SUMPRODUCT(IF((NOT(ISERROR(MATCH(ROW(INDIRECT(DATE(YEAR(B1287),MONTH(B1287),1)&amp;":"&amp;DATE(YEAR(B1287),MONTH(B1287)+1,0))),Feriados[Data],0))))=FALSE,
IF(WEEKDAY(ROW(INDIRECT(DATE(YEAR(B1287),MONTH(B1287),1)&amp;":"&amp;DATE(YEAR(B1287),MONTH(B1287)+1,0))),2)&lt;=5,1,IF(WEEKDAY(ROW(INDIRECT(DATE(YEAR(B1287),MONTH(B1287),1)&amp;":"&amp;DATE(YEAR(B1287),MONTH(B1287)+1,0))),2)=6,0.5,0)),0))</f>
        <v>25</v>
      </c>
      <c r="K1287" s="22" cm="1">
        <f t="array" ref="K1287">_xlfn.XLOOKUP(1,((Metas_Diarias[[#This Row],[tipo_equipe_id]]=Metas[equipe])*(Metas_Diarias[[#This Row],[data]]&gt;Metas[data_inicio])*(Metas_Diarias[[#This Row],[data]]&lt;Metas[data_fim])),Metas[meta_mensal],0)</f>
        <v>168000</v>
      </c>
      <c r="L12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88" spans="2:12" x14ac:dyDescent="0.3">
      <c r="B1288" s="34">
        <v>46209</v>
      </c>
      <c r="C1288" s="34" t="str">
        <f>TEXT(Metas_Diarias[[#This Row],[data]],"dddd")</f>
        <v>segunda-feira</v>
      </c>
      <c r="D1288" s="33">
        <v>1</v>
      </c>
      <c r="E1288" s="33">
        <v>1</v>
      </c>
      <c r="F1288" s="18"/>
      <c r="G1288" s="35">
        <f>WEEKDAY(Metas_Diarias[[#This Row],[data]])</f>
        <v>2</v>
      </c>
      <c r="H1288" s="35">
        <f>IF(Metas_Diarias[[#This Row],[dias_da_demana]]=1,"domingo",IF(Metas_Diarias[[#This Row],[dias_da_demana]]=7,0.5,1))</f>
        <v>1</v>
      </c>
      <c r="I1288" s="35">
        <f>_xlfn.XLOOKUP(Metas_Diarias[[#This Row],[data]],Feriados[Data],Feriados[Feriado],1)</f>
        <v>1</v>
      </c>
      <c r="J1288" s="33" cm="1">
        <f t="array" aca="1" ref="J1288" ca="1">SUMPRODUCT(IF((NOT(ISERROR(MATCH(ROW(INDIRECT(DATE(YEAR(B1288),MONTH(B1288),1)&amp;":"&amp;DATE(YEAR(B1288),MONTH(B1288)+1,0))),Feriados[Data],0))))=FALSE,
IF(WEEKDAY(ROW(INDIRECT(DATE(YEAR(B1288),MONTH(B1288),1)&amp;":"&amp;DATE(YEAR(B1288),MONTH(B1288)+1,0))),2)&lt;=5,1,IF(WEEKDAY(ROW(INDIRECT(DATE(YEAR(B1288),MONTH(B1288),1)&amp;":"&amp;DATE(YEAR(B1288),MONTH(B1288)+1,0))),2)=6,0.5,0)),0))</f>
        <v>25</v>
      </c>
      <c r="K1288" s="22" cm="1">
        <f t="array" ref="K1288">_xlfn.XLOOKUP(1,((Metas_Diarias[[#This Row],[tipo_equipe_id]]=Metas[equipe])*(Metas_Diarias[[#This Row],[data]]&gt;Metas[data_inicio])*(Metas_Diarias[[#This Row],[data]]&lt;Metas[data_fim])),Metas[meta_mensal],0)</f>
        <v>168000</v>
      </c>
      <c r="L1288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89" spans="2:12" x14ac:dyDescent="0.3">
      <c r="B1289" s="34">
        <v>46210</v>
      </c>
      <c r="C1289" s="34" t="str">
        <f>TEXT(Metas_Diarias[[#This Row],[data]],"dddd")</f>
        <v>terça-feira</v>
      </c>
      <c r="D1289" s="33">
        <v>1</v>
      </c>
      <c r="E1289" s="33">
        <v>1</v>
      </c>
      <c r="F1289" s="18"/>
      <c r="G1289" s="35">
        <f>WEEKDAY(Metas_Diarias[[#This Row],[data]])</f>
        <v>3</v>
      </c>
      <c r="H1289" s="35">
        <f>IF(Metas_Diarias[[#This Row],[dias_da_demana]]=1,"domingo",IF(Metas_Diarias[[#This Row],[dias_da_demana]]=7,0.5,1))</f>
        <v>1</v>
      </c>
      <c r="I1289" s="35">
        <f>_xlfn.XLOOKUP(Metas_Diarias[[#This Row],[data]],Feriados[Data],Feriados[Feriado],1)</f>
        <v>1</v>
      </c>
      <c r="J1289" s="33" cm="1">
        <f t="array" aca="1" ref="J1289" ca="1">SUMPRODUCT(IF((NOT(ISERROR(MATCH(ROW(INDIRECT(DATE(YEAR(B1289),MONTH(B1289),1)&amp;":"&amp;DATE(YEAR(B1289),MONTH(B1289)+1,0))),Feriados[Data],0))))=FALSE,
IF(WEEKDAY(ROW(INDIRECT(DATE(YEAR(B1289),MONTH(B1289),1)&amp;":"&amp;DATE(YEAR(B1289),MONTH(B1289)+1,0))),2)&lt;=5,1,IF(WEEKDAY(ROW(INDIRECT(DATE(YEAR(B1289),MONTH(B1289),1)&amp;":"&amp;DATE(YEAR(B1289),MONTH(B1289)+1,0))),2)=6,0.5,0)),0))</f>
        <v>25</v>
      </c>
      <c r="K1289" s="22" cm="1">
        <f t="array" ref="K1289">_xlfn.XLOOKUP(1,((Metas_Diarias[[#This Row],[tipo_equipe_id]]=Metas[equipe])*(Metas_Diarias[[#This Row],[data]]&gt;Metas[data_inicio])*(Metas_Diarias[[#This Row],[data]]&lt;Metas[data_fim])),Metas[meta_mensal],0)</f>
        <v>168000</v>
      </c>
      <c r="L1289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90" spans="2:12" x14ac:dyDescent="0.3">
      <c r="B1290" s="34">
        <v>46211</v>
      </c>
      <c r="C1290" s="34" t="str">
        <f>TEXT(Metas_Diarias[[#This Row],[data]],"dddd")</f>
        <v>quarta-feira</v>
      </c>
      <c r="D1290" s="33">
        <v>1</v>
      </c>
      <c r="E1290" s="33">
        <v>1</v>
      </c>
      <c r="F1290" s="18"/>
      <c r="G1290" s="35">
        <f>WEEKDAY(Metas_Diarias[[#This Row],[data]])</f>
        <v>4</v>
      </c>
      <c r="H1290" s="35">
        <f>IF(Metas_Diarias[[#This Row],[dias_da_demana]]=1,"domingo",IF(Metas_Diarias[[#This Row],[dias_da_demana]]=7,0.5,1))</f>
        <v>1</v>
      </c>
      <c r="I1290" s="35">
        <f>_xlfn.XLOOKUP(Metas_Diarias[[#This Row],[data]],Feriados[Data],Feriados[Feriado],1)</f>
        <v>1</v>
      </c>
      <c r="J1290" s="33" cm="1">
        <f t="array" aca="1" ref="J1290" ca="1">SUMPRODUCT(IF((NOT(ISERROR(MATCH(ROW(INDIRECT(DATE(YEAR(B1290),MONTH(B1290),1)&amp;":"&amp;DATE(YEAR(B1290),MONTH(B1290)+1,0))),Feriados[Data],0))))=FALSE,
IF(WEEKDAY(ROW(INDIRECT(DATE(YEAR(B1290),MONTH(B1290),1)&amp;":"&amp;DATE(YEAR(B1290),MONTH(B1290)+1,0))),2)&lt;=5,1,IF(WEEKDAY(ROW(INDIRECT(DATE(YEAR(B1290),MONTH(B1290),1)&amp;":"&amp;DATE(YEAR(B1290),MONTH(B1290)+1,0))),2)=6,0.5,0)),0))</f>
        <v>25</v>
      </c>
      <c r="K1290" s="22" cm="1">
        <f t="array" ref="K1290">_xlfn.XLOOKUP(1,((Metas_Diarias[[#This Row],[tipo_equipe_id]]=Metas[equipe])*(Metas_Diarias[[#This Row],[data]]&gt;Metas[data_inicio])*(Metas_Diarias[[#This Row],[data]]&lt;Metas[data_fim])),Metas[meta_mensal],0)</f>
        <v>168000</v>
      </c>
      <c r="L1290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91" spans="2:12" x14ac:dyDescent="0.3">
      <c r="B1291" s="34">
        <v>46212</v>
      </c>
      <c r="C1291" s="34" t="str">
        <f>TEXT(Metas_Diarias[[#This Row],[data]],"dddd")</f>
        <v>quinta-feira</v>
      </c>
      <c r="D1291" s="33">
        <v>1</v>
      </c>
      <c r="E1291" s="33">
        <v>1</v>
      </c>
      <c r="F1291" s="18"/>
      <c r="G1291" s="35">
        <f>WEEKDAY(Metas_Diarias[[#This Row],[data]])</f>
        <v>5</v>
      </c>
      <c r="H1291" s="35">
        <f>IF(Metas_Diarias[[#This Row],[dias_da_demana]]=1,"domingo",IF(Metas_Diarias[[#This Row],[dias_da_demana]]=7,0.5,1))</f>
        <v>1</v>
      </c>
      <c r="I1291" s="35">
        <f>_xlfn.XLOOKUP(Metas_Diarias[[#This Row],[data]],Feriados[Data],Feriados[Feriado],1)</f>
        <v>1</v>
      </c>
      <c r="J1291" s="33" cm="1">
        <f t="array" aca="1" ref="J1291" ca="1">SUMPRODUCT(IF((NOT(ISERROR(MATCH(ROW(INDIRECT(DATE(YEAR(B1291),MONTH(B1291),1)&amp;":"&amp;DATE(YEAR(B1291),MONTH(B1291)+1,0))),Feriados[Data],0))))=FALSE,
IF(WEEKDAY(ROW(INDIRECT(DATE(YEAR(B1291),MONTH(B1291),1)&amp;":"&amp;DATE(YEAR(B1291),MONTH(B1291)+1,0))),2)&lt;=5,1,IF(WEEKDAY(ROW(INDIRECT(DATE(YEAR(B1291),MONTH(B1291),1)&amp;":"&amp;DATE(YEAR(B1291),MONTH(B1291)+1,0))),2)=6,0.5,0)),0))</f>
        <v>25</v>
      </c>
      <c r="K1291" s="22" cm="1">
        <f t="array" ref="K1291">_xlfn.XLOOKUP(1,((Metas_Diarias[[#This Row],[tipo_equipe_id]]=Metas[equipe])*(Metas_Diarias[[#This Row],[data]]&gt;Metas[data_inicio])*(Metas_Diarias[[#This Row],[data]]&lt;Metas[data_fim])),Metas[meta_mensal],0)</f>
        <v>168000</v>
      </c>
      <c r="L1291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92" spans="2:12" x14ac:dyDescent="0.3">
      <c r="B1292" s="34">
        <v>46213</v>
      </c>
      <c r="C1292" s="34" t="str">
        <f>TEXT(Metas_Diarias[[#This Row],[data]],"dddd")</f>
        <v>sexta-feira</v>
      </c>
      <c r="D1292" s="33">
        <v>1</v>
      </c>
      <c r="E1292" s="33">
        <v>1</v>
      </c>
      <c r="F1292" s="18"/>
      <c r="G1292" s="35">
        <f>WEEKDAY(Metas_Diarias[[#This Row],[data]])</f>
        <v>6</v>
      </c>
      <c r="H1292" s="35">
        <f>IF(Metas_Diarias[[#This Row],[dias_da_demana]]=1,"domingo",IF(Metas_Diarias[[#This Row],[dias_da_demana]]=7,0.5,1))</f>
        <v>1</v>
      </c>
      <c r="I1292" s="35">
        <f>_xlfn.XLOOKUP(Metas_Diarias[[#This Row],[data]],Feriados[Data],Feriados[Feriado],1)</f>
        <v>1</v>
      </c>
      <c r="J1292" s="33" cm="1">
        <f t="array" aca="1" ref="J1292" ca="1">SUMPRODUCT(IF((NOT(ISERROR(MATCH(ROW(INDIRECT(DATE(YEAR(B1292),MONTH(B1292),1)&amp;":"&amp;DATE(YEAR(B1292),MONTH(B1292)+1,0))),Feriados[Data],0))))=FALSE,
IF(WEEKDAY(ROW(INDIRECT(DATE(YEAR(B1292),MONTH(B1292),1)&amp;":"&amp;DATE(YEAR(B1292),MONTH(B1292)+1,0))),2)&lt;=5,1,IF(WEEKDAY(ROW(INDIRECT(DATE(YEAR(B1292),MONTH(B1292),1)&amp;":"&amp;DATE(YEAR(B1292),MONTH(B1292)+1,0))),2)=6,0.5,0)),0))</f>
        <v>25</v>
      </c>
      <c r="K1292" s="22" cm="1">
        <f t="array" ref="K1292">_xlfn.XLOOKUP(1,((Metas_Diarias[[#This Row],[tipo_equipe_id]]=Metas[equipe])*(Metas_Diarias[[#This Row],[data]]&gt;Metas[data_inicio])*(Metas_Diarias[[#This Row],[data]]&lt;Metas[data_fim])),Metas[meta_mensal],0)</f>
        <v>168000</v>
      </c>
      <c r="L1292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93" spans="2:12" x14ac:dyDescent="0.3">
      <c r="B1293" s="34">
        <v>46214</v>
      </c>
      <c r="C1293" s="34" t="str">
        <f>TEXT(Metas_Diarias[[#This Row],[data]],"dddd")</f>
        <v>sábado</v>
      </c>
      <c r="D1293" s="33">
        <v>1</v>
      </c>
      <c r="E1293" s="33">
        <v>1</v>
      </c>
      <c r="F1293" s="18"/>
      <c r="G1293" s="35">
        <f>WEEKDAY(Metas_Diarias[[#This Row],[data]])</f>
        <v>7</v>
      </c>
      <c r="H1293" s="35">
        <f>IF(Metas_Diarias[[#This Row],[dias_da_demana]]=1,"domingo",IF(Metas_Diarias[[#This Row],[dias_da_demana]]=7,0.5,1))</f>
        <v>0.5</v>
      </c>
      <c r="I1293" s="35">
        <f>_xlfn.XLOOKUP(Metas_Diarias[[#This Row],[data]],Feriados[Data],Feriados[Feriado],1)</f>
        <v>1</v>
      </c>
      <c r="J1293" s="33" cm="1">
        <f t="array" aca="1" ref="J1293" ca="1">SUMPRODUCT(IF((NOT(ISERROR(MATCH(ROW(INDIRECT(DATE(YEAR(B1293),MONTH(B1293),1)&amp;":"&amp;DATE(YEAR(B1293),MONTH(B1293)+1,0))),Feriados[Data],0))))=FALSE,
IF(WEEKDAY(ROW(INDIRECT(DATE(YEAR(B1293),MONTH(B1293),1)&amp;":"&amp;DATE(YEAR(B1293),MONTH(B1293)+1,0))),2)&lt;=5,1,IF(WEEKDAY(ROW(INDIRECT(DATE(YEAR(B1293),MONTH(B1293),1)&amp;":"&amp;DATE(YEAR(B1293),MONTH(B1293)+1,0))),2)=6,0.5,0)),0))</f>
        <v>25</v>
      </c>
      <c r="K1293" s="22" cm="1">
        <f t="array" ref="K1293">_xlfn.XLOOKUP(1,((Metas_Diarias[[#This Row],[tipo_equipe_id]]=Metas[equipe])*(Metas_Diarias[[#This Row],[data]]&gt;Metas[data_inicio])*(Metas_Diarias[[#This Row],[data]]&lt;Metas[data_fim])),Metas[meta_mensal],0)</f>
        <v>168000</v>
      </c>
      <c r="L1293" s="24">
        <f ca="1">Metas_Diarias[[#This Row],[meta_mensal]]*IF(Metas_Diarias[[#This Row],[semana]]="domingo",0,Metas_Diarias[[#This Row],[semana]])*IF(Metas_Diarias[[#This Row],[feriado]]&lt;&gt;1,0,1)/Metas_Diarias[[#This Row],[dias_úteis_Mês]]</f>
        <v>3360</v>
      </c>
    </row>
    <row r="1294" spans="2:12" x14ac:dyDescent="0.3">
      <c r="B1294" s="34">
        <v>46215</v>
      </c>
      <c r="C1294" s="34" t="str">
        <f>TEXT(Metas_Diarias[[#This Row],[data]],"dddd")</f>
        <v>domingo</v>
      </c>
      <c r="D1294" s="33">
        <v>1</v>
      </c>
      <c r="E1294" s="33">
        <v>1</v>
      </c>
      <c r="F1294" s="18"/>
      <c r="G1294" s="35">
        <f>WEEKDAY(Metas_Diarias[[#This Row],[data]])</f>
        <v>1</v>
      </c>
      <c r="H1294" s="35" t="str">
        <f>IF(Metas_Diarias[[#This Row],[dias_da_demana]]=1,"domingo",IF(Metas_Diarias[[#This Row],[dias_da_demana]]=7,0.5,1))</f>
        <v>domingo</v>
      </c>
      <c r="I1294" s="35">
        <f>_xlfn.XLOOKUP(Metas_Diarias[[#This Row],[data]],Feriados[Data],Feriados[Feriado],1)</f>
        <v>1</v>
      </c>
      <c r="J1294" s="33" cm="1">
        <f t="array" aca="1" ref="J1294" ca="1">SUMPRODUCT(IF((NOT(ISERROR(MATCH(ROW(INDIRECT(DATE(YEAR(B1294),MONTH(B1294),1)&amp;":"&amp;DATE(YEAR(B1294),MONTH(B1294)+1,0))),Feriados[Data],0))))=FALSE,
IF(WEEKDAY(ROW(INDIRECT(DATE(YEAR(B1294),MONTH(B1294),1)&amp;":"&amp;DATE(YEAR(B1294),MONTH(B1294)+1,0))),2)&lt;=5,1,IF(WEEKDAY(ROW(INDIRECT(DATE(YEAR(B1294),MONTH(B1294),1)&amp;":"&amp;DATE(YEAR(B1294),MONTH(B1294)+1,0))),2)=6,0.5,0)),0))</f>
        <v>25</v>
      </c>
      <c r="K1294" s="22" cm="1">
        <f t="array" ref="K1294">_xlfn.XLOOKUP(1,((Metas_Diarias[[#This Row],[tipo_equipe_id]]=Metas[equipe])*(Metas_Diarias[[#This Row],[data]]&gt;Metas[data_inicio])*(Metas_Diarias[[#This Row],[data]]&lt;Metas[data_fim])),Metas[meta_mensal],0)</f>
        <v>168000</v>
      </c>
      <c r="L12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295" spans="2:12" x14ac:dyDescent="0.3">
      <c r="B1295" s="34">
        <v>46216</v>
      </c>
      <c r="C1295" s="34" t="str">
        <f>TEXT(Metas_Diarias[[#This Row],[data]],"dddd")</f>
        <v>segunda-feira</v>
      </c>
      <c r="D1295" s="33">
        <v>1</v>
      </c>
      <c r="E1295" s="33">
        <v>1</v>
      </c>
      <c r="F1295" s="18"/>
      <c r="G1295" s="35">
        <f>WEEKDAY(Metas_Diarias[[#This Row],[data]])</f>
        <v>2</v>
      </c>
      <c r="H1295" s="35">
        <f>IF(Metas_Diarias[[#This Row],[dias_da_demana]]=1,"domingo",IF(Metas_Diarias[[#This Row],[dias_da_demana]]=7,0.5,1))</f>
        <v>1</v>
      </c>
      <c r="I1295" s="35">
        <f>_xlfn.XLOOKUP(Metas_Diarias[[#This Row],[data]],Feriados[Data],Feriados[Feriado],1)</f>
        <v>1</v>
      </c>
      <c r="J1295" s="33" cm="1">
        <f t="array" aca="1" ref="J1295" ca="1">SUMPRODUCT(IF((NOT(ISERROR(MATCH(ROW(INDIRECT(DATE(YEAR(B1295),MONTH(B1295),1)&amp;":"&amp;DATE(YEAR(B1295),MONTH(B1295)+1,0))),Feriados[Data],0))))=FALSE,
IF(WEEKDAY(ROW(INDIRECT(DATE(YEAR(B1295),MONTH(B1295),1)&amp;":"&amp;DATE(YEAR(B1295),MONTH(B1295)+1,0))),2)&lt;=5,1,IF(WEEKDAY(ROW(INDIRECT(DATE(YEAR(B1295),MONTH(B1295),1)&amp;":"&amp;DATE(YEAR(B1295),MONTH(B1295)+1,0))),2)=6,0.5,0)),0))</f>
        <v>25</v>
      </c>
      <c r="K1295" s="22" cm="1">
        <f t="array" ref="K1295">_xlfn.XLOOKUP(1,((Metas_Diarias[[#This Row],[tipo_equipe_id]]=Metas[equipe])*(Metas_Diarias[[#This Row],[data]]&gt;Metas[data_inicio])*(Metas_Diarias[[#This Row],[data]]&lt;Metas[data_fim])),Metas[meta_mensal],0)</f>
        <v>168000</v>
      </c>
      <c r="L1295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96" spans="2:12" x14ac:dyDescent="0.3">
      <c r="B1296" s="34">
        <v>46217</v>
      </c>
      <c r="C1296" s="34" t="str">
        <f>TEXT(Metas_Diarias[[#This Row],[data]],"dddd")</f>
        <v>terça-feira</v>
      </c>
      <c r="D1296" s="33">
        <v>1</v>
      </c>
      <c r="E1296" s="33">
        <v>1</v>
      </c>
      <c r="F1296" s="18"/>
      <c r="G1296" s="35">
        <f>WEEKDAY(Metas_Diarias[[#This Row],[data]])</f>
        <v>3</v>
      </c>
      <c r="H1296" s="35">
        <f>IF(Metas_Diarias[[#This Row],[dias_da_demana]]=1,"domingo",IF(Metas_Diarias[[#This Row],[dias_da_demana]]=7,0.5,1))</f>
        <v>1</v>
      </c>
      <c r="I1296" s="35">
        <f>_xlfn.XLOOKUP(Metas_Diarias[[#This Row],[data]],Feriados[Data],Feriados[Feriado],1)</f>
        <v>1</v>
      </c>
      <c r="J1296" s="33" cm="1">
        <f t="array" aca="1" ref="J1296" ca="1">SUMPRODUCT(IF((NOT(ISERROR(MATCH(ROW(INDIRECT(DATE(YEAR(B1296),MONTH(B1296),1)&amp;":"&amp;DATE(YEAR(B1296),MONTH(B1296)+1,0))),Feriados[Data],0))))=FALSE,
IF(WEEKDAY(ROW(INDIRECT(DATE(YEAR(B1296),MONTH(B1296),1)&amp;":"&amp;DATE(YEAR(B1296),MONTH(B1296)+1,0))),2)&lt;=5,1,IF(WEEKDAY(ROW(INDIRECT(DATE(YEAR(B1296),MONTH(B1296),1)&amp;":"&amp;DATE(YEAR(B1296),MONTH(B1296)+1,0))),2)=6,0.5,0)),0))</f>
        <v>25</v>
      </c>
      <c r="K1296" s="22" cm="1">
        <f t="array" ref="K1296">_xlfn.XLOOKUP(1,((Metas_Diarias[[#This Row],[tipo_equipe_id]]=Metas[equipe])*(Metas_Diarias[[#This Row],[data]]&gt;Metas[data_inicio])*(Metas_Diarias[[#This Row],[data]]&lt;Metas[data_fim])),Metas[meta_mensal],0)</f>
        <v>168000</v>
      </c>
      <c r="L1296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97" spans="2:12" x14ac:dyDescent="0.3">
      <c r="B1297" s="34">
        <v>46218</v>
      </c>
      <c r="C1297" s="34" t="str">
        <f>TEXT(Metas_Diarias[[#This Row],[data]],"dddd")</f>
        <v>quarta-feira</v>
      </c>
      <c r="D1297" s="33">
        <v>1</v>
      </c>
      <c r="E1297" s="33">
        <v>1</v>
      </c>
      <c r="F1297" s="18"/>
      <c r="G1297" s="35">
        <f>WEEKDAY(Metas_Diarias[[#This Row],[data]])</f>
        <v>4</v>
      </c>
      <c r="H1297" s="35">
        <f>IF(Metas_Diarias[[#This Row],[dias_da_demana]]=1,"domingo",IF(Metas_Diarias[[#This Row],[dias_da_demana]]=7,0.5,1))</f>
        <v>1</v>
      </c>
      <c r="I1297" s="35">
        <f>_xlfn.XLOOKUP(Metas_Diarias[[#This Row],[data]],Feriados[Data],Feriados[Feriado],1)</f>
        <v>1</v>
      </c>
      <c r="J1297" s="33" cm="1">
        <f t="array" aca="1" ref="J1297" ca="1">SUMPRODUCT(IF((NOT(ISERROR(MATCH(ROW(INDIRECT(DATE(YEAR(B1297),MONTH(B1297),1)&amp;":"&amp;DATE(YEAR(B1297),MONTH(B1297)+1,0))),Feriados[Data],0))))=FALSE,
IF(WEEKDAY(ROW(INDIRECT(DATE(YEAR(B1297),MONTH(B1297),1)&amp;":"&amp;DATE(YEAR(B1297),MONTH(B1297)+1,0))),2)&lt;=5,1,IF(WEEKDAY(ROW(INDIRECT(DATE(YEAR(B1297),MONTH(B1297),1)&amp;":"&amp;DATE(YEAR(B1297),MONTH(B1297)+1,0))),2)=6,0.5,0)),0))</f>
        <v>25</v>
      </c>
      <c r="K1297" s="22" cm="1">
        <f t="array" ref="K1297">_xlfn.XLOOKUP(1,((Metas_Diarias[[#This Row],[tipo_equipe_id]]=Metas[equipe])*(Metas_Diarias[[#This Row],[data]]&gt;Metas[data_inicio])*(Metas_Diarias[[#This Row],[data]]&lt;Metas[data_fim])),Metas[meta_mensal],0)</f>
        <v>168000</v>
      </c>
      <c r="L1297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98" spans="2:12" x14ac:dyDescent="0.3">
      <c r="B1298" s="34">
        <v>46219</v>
      </c>
      <c r="C1298" s="34" t="str">
        <f>TEXT(Metas_Diarias[[#This Row],[data]],"dddd")</f>
        <v>quinta-feira</v>
      </c>
      <c r="D1298" s="33">
        <v>1</v>
      </c>
      <c r="E1298" s="33">
        <v>1</v>
      </c>
      <c r="F1298" s="18"/>
      <c r="G1298" s="35">
        <f>WEEKDAY(Metas_Diarias[[#This Row],[data]])</f>
        <v>5</v>
      </c>
      <c r="H1298" s="35">
        <f>IF(Metas_Diarias[[#This Row],[dias_da_demana]]=1,"domingo",IF(Metas_Diarias[[#This Row],[dias_da_demana]]=7,0.5,1))</f>
        <v>1</v>
      </c>
      <c r="I1298" s="35">
        <f>_xlfn.XLOOKUP(Metas_Diarias[[#This Row],[data]],Feriados[Data],Feriados[Feriado],1)</f>
        <v>1</v>
      </c>
      <c r="J1298" s="33" cm="1">
        <f t="array" aca="1" ref="J1298" ca="1">SUMPRODUCT(IF((NOT(ISERROR(MATCH(ROW(INDIRECT(DATE(YEAR(B1298),MONTH(B1298),1)&amp;":"&amp;DATE(YEAR(B1298),MONTH(B1298)+1,0))),Feriados[Data],0))))=FALSE,
IF(WEEKDAY(ROW(INDIRECT(DATE(YEAR(B1298),MONTH(B1298),1)&amp;":"&amp;DATE(YEAR(B1298),MONTH(B1298)+1,0))),2)&lt;=5,1,IF(WEEKDAY(ROW(INDIRECT(DATE(YEAR(B1298),MONTH(B1298),1)&amp;":"&amp;DATE(YEAR(B1298),MONTH(B1298)+1,0))),2)=6,0.5,0)),0))</f>
        <v>25</v>
      </c>
      <c r="K1298" s="22" cm="1">
        <f t="array" ref="K1298">_xlfn.XLOOKUP(1,((Metas_Diarias[[#This Row],[tipo_equipe_id]]=Metas[equipe])*(Metas_Diarias[[#This Row],[data]]&gt;Metas[data_inicio])*(Metas_Diarias[[#This Row],[data]]&lt;Metas[data_fim])),Metas[meta_mensal],0)</f>
        <v>168000</v>
      </c>
      <c r="L1298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299" spans="2:12" x14ac:dyDescent="0.3">
      <c r="B1299" s="34">
        <v>46220</v>
      </c>
      <c r="C1299" s="34" t="str">
        <f>TEXT(Metas_Diarias[[#This Row],[data]],"dddd")</f>
        <v>sexta-feira</v>
      </c>
      <c r="D1299" s="33">
        <v>1</v>
      </c>
      <c r="E1299" s="33">
        <v>1</v>
      </c>
      <c r="F1299" s="18"/>
      <c r="G1299" s="35">
        <f>WEEKDAY(Metas_Diarias[[#This Row],[data]])</f>
        <v>6</v>
      </c>
      <c r="H1299" s="35">
        <f>IF(Metas_Diarias[[#This Row],[dias_da_demana]]=1,"domingo",IF(Metas_Diarias[[#This Row],[dias_da_demana]]=7,0.5,1))</f>
        <v>1</v>
      </c>
      <c r="I1299" s="35">
        <f>_xlfn.XLOOKUP(Metas_Diarias[[#This Row],[data]],Feriados[Data],Feriados[Feriado],1)</f>
        <v>1</v>
      </c>
      <c r="J1299" s="33" cm="1">
        <f t="array" aca="1" ref="J1299" ca="1">SUMPRODUCT(IF((NOT(ISERROR(MATCH(ROW(INDIRECT(DATE(YEAR(B1299),MONTH(B1299),1)&amp;":"&amp;DATE(YEAR(B1299),MONTH(B1299)+1,0))),Feriados[Data],0))))=FALSE,
IF(WEEKDAY(ROW(INDIRECT(DATE(YEAR(B1299),MONTH(B1299),1)&amp;":"&amp;DATE(YEAR(B1299),MONTH(B1299)+1,0))),2)&lt;=5,1,IF(WEEKDAY(ROW(INDIRECT(DATE(YEAR(B1299),MONTH(B1299),1)&amp;":"&amp;DATE(YEAR(B1299),MONTH(B1299)+1,0))),2)=6,0.5,0)),0))</f>
        <v>25</v>
      </c>
      <c r="K1299" s="22" cm="1">
        <f t="array" ref="K1299">_xlfn.XLOOKUP(1,((Metas_Diarias[[#This Row],[tipo_equipe_id]]=Metas[equipe])*(Metas_Diarias[[#This Row],[data]]&gt;Metas[data_inicio])*(Metas_Diarias[[#This Row],[data]]&lt;Metas[data_fim])),Metas[meta_mensal],0)</f>
        <v>168000</v>
      </c>
      <c r="L1299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00" spans="2:12" x14ac:dyDescent="0.3">
      <c r="B1300" s="34">
        <v>46221</v>
      </c>
      <c r="C1300" s="34" t="str">
        <f>TEXT(Metas_Diarias[[#This Row],[data]],"dddd")</f>
        <v>sábado</v>
      </c>
      <c r="D1300" s="33">
        <v>1</v>
      </c>
      <c r="E1300" s="33">
        <v>1</v>
      </c>
      <c r="F1300" s="18"/>
      <c r="G1300" s="35">
        <f>WEEKDAY(Metas_Diarias[[#This Row],[data]])</f>
        <v>7</v>
      </c>
      <c r="H1300" s="35">
        <f>IF(Metas_Diarias[[#This Row],[dias_da_demana]]=1,"domingo",IF(Metas_Diarias[[#This Row],[dias_da_demana]]=7,0.5,1))</f>
        <v>0.5</v>
      </c>
      <c r="I1300" s="35">
        <f>_xlfn.XLOOKUP(Metas_Diarias[[#This Row],[data]],Feriados[Data],Feriados[Feriado],1)</f>
        <v>1</v>
      </c>
      <c r="J1300" s="33" cm="1">
        <f t="array" aca="1" ref="J1300" ca="1">SUMPRODUCT(IF((NOT(ISERROR(MATCH(ROW(INDIRECT(DATE(YEAR(B1300),MONTH(B1300),1)&amp;":"&amp;DATE(YEAR(B1300),MONTH(B1300)+1,0))),Feriados[Data],0))))=FALSE,
IF(WEEKDAY(ROW(INDIRECT(DATE(YEAR(B1300),MONTH(B1300),1)&amp;":"&amp;DATE(YEAR(B1300),MONTH(B1300)+1,0))),2)&lt;=5,1,IF(WEEKDAY(ROW(INDIRECT(DATE(YEAR(B1300),MONTH(B1300),1)&amp;":"&amp;DATE(YEAR(B1300),MONTH(B1300)+1,0))),2)=6,0.5,0)),0))</f>
        <v>25</v>
      </c>
      <c r="K1300" s="22" cm="1">
        <f t="array" ref="K1300">_xlfn.XLOOKUP(1,((Metas_Diarias[[#This Row],[tipo_equipe_id]]=Metas[equipe])*(Metas_Diarias[[#This Row],[data]]&gt;Metas[data_inicio])*(Metas_Diarias[[#This Row],[data]]&lt;Metas[data_fim])),Metas[meta_mensal],0)</f>
        <v>168000</v>
      </c>
      <c r="L1300" s="24">
        <f ca="1">Metas_Diarias[[#This Row],[meta_mensal]]*IF(Metas_Diarias[[#This Row],[semana]]="domingo",0,Metas_Diarias[[#This Row],[semana]])*IF(Metas_Diarias[[#This Row],[feriado]]&lt;&gt;1,0,1)/Metas_Diarias[[#This Row],[dias_úteis_Mês]]</f>
        <v>3360</v>
      </c>
    </row>
    <row r="1301" spans="2:12" x14ac:dyDescent="0.3">
      <c r="B1301" s="34">
        <v>46222</v>
      </c>
      <c r="C1301" s="34" t="str">
        <f>TEXT(Metas_Diarias[[#This Row],[data]],"dddd")</f>
        <v>domingo</v>
      </c>
      <c r="D1301" s="33">
        <v>1</v>
      </c>
      <c r="E1301" s="33">
        <v>1</v>
      </c>
      <c r="F1301" s="18"/>
      <c r="G1301" s="35">
        <f>WEEKDAY(Metas_Diarias[[#This Row],[data]])</f>
        <v>1</v>
      </c>
      <c r="H1301" s="35" t="str">
        <f>IF(Metas_Diarias[[#This Row],[dias_da_demana]]=1,"domingo",IF(Metas_Diarias[[#This Row],[dias_da_demana]]=7,0.5,1))</f>
        <v>domingo</v>
      </c>
      <c r="I1301" s="35">
        <f>_xlfn.XLOOKUP(Metas_Diarias[[#This Row],[data]],Feriados[Data],Feriados[Feriado],1)</f>
        <v>1</v>
      </c>
      <c r="J1301" s="33" cm="1">
        <f t="array" aca="1" ref="J1301" ca="1">SUMPRODUCT(IF((NOT(ISERROR(MATCH(ROW(INDIRECT(DATE(YEAR(B1301),MONTH(B1301),1)&amp;":"&amp;DATE(YEAR(B1301),MONTH(B1301)+1,0))),Feriados[Data],0))))=FALSE,
IF(WEEKDAY(ROW(INDIRECT(DATE(YEAR(B1301),MONTH(B1301),1)&amp;":"&amp;DATE(YEAR(B1301),MONTH(B1301)+1,0))),2)&lt;=5,1,IF(WEEKDAY(ROW(INDIRECT(DATE(YEAR(B1301),MONTH(B1301),1)&amp;":"&amp;DATE(YEAR(B1301),MONTH(B1301)+1,0))),2)=6,0.5,0)),0))</f>
        <v>25</v>
      </c>
      <c r="K1301" s="22" cm="1">
        <f t="array" ref="K1301">_xlfn.XLOOKUP(1,((Metas_Diarias[[#This Row],[tipo_equipe_id]]=Metas[equipe])*(Metas_Diarias[[#This Row],[data]]&gt;Metas[data_inicio])*(Metas_Diarias[[#This Row],[data]]&lt;Metas[data_fim])),Metas[meta_mensal],0)</f>
        <v>168000</v>
      </c>
      <c r="L13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02" spans="2:12" x14ac:dyDescent="0.3">
      <c r="B1302" s="34">
        <v>46223</v>
      </c>
      <c r="C1302" s="34" t="str">
        <f>TEXT(Metas_Diarias[[#This Row],[data]],"dddd")</f>
        <v>segunda-feira</v>
      </c>
      <c r="D1302" s="33">
        <v>1</v>
      </c>
      <c r="E1302" s="33">
        <v>1</v>
      </c>
      <c r="F1302" s="18"/>
      <c r="G1302" s="35">
        <f>WEEKDAY(Metas_Diarias[[#This Row],[data]])</f>
        <v>2</v>
      </c>
      <c r="H1302" s="35">
        <f>IF(Metas_Diarias[[#This Row],[dias_da_demana]]=1,"domingo",IF(Metas_Diarias[[#This Row],[dias_da_demana]]=7,0.5,1))</f>
        <v>1</v>
      </c>
      <c r="I1302" s="35">
        <f>_xlfn.XLOOKUP(Metas_Diarias[[#This Row],[data]],Feriados[Data],Feriados[Feriado],1)</f>
        <v>1</v>
      </c>
      <c r="J1302" s="33" cm="1">
        <f t="array" aca="1" ref="J1302" ca="1">SUMPRODUCT(IF((NOT(ISERROR(MATCH(ROW(INDIRECT(DATE(YEAR(B1302),MONTH(B1302),1)&amp;":"&amp;DATE(YEAR(B1302),MONTH(B1302)+1,0))),Feriados[Data],0))))=FALSE,
IF(WEEKDAY(ROW(INDIRECT(DATE(YEAR(B1302),MONTH(B1302),1)&amp;":"&amp;DATE(YEAR(B1302),MONTH(B1302)+1,0))),2)&lt;=5,1,IF(WEEKDAY(ROW(INDIRECT(DATE(YEAR(B1302),MONTH(B1302),1)&amp;":"&amp;DATE(YEAR(B1302),MONTH(B1302)+1,0))),2)=6,0.5,0)),0))</f>
        <v>25</v>
      </c>
      <c r="K1302" s="22" cm="1">
        <f t="array" ref="K1302">_xlfn.XLOOKUP(1,((Metas_Diarias[[#This Row],[tipo_equipe_id]]=Metas[equipe])*(Metas_Diarias[[#This Row],[data]]&gt;Metas[data_inicio])*(Metas_Diarias[[#This Row],[data]]&lt;Metas[data_fim])),Metas[meta_mensal],0)</f>
        <v>168000</v>
      </c>
      <c r="L1302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03" spans="2:12" x14ac:dyDescent="0.3">
      <c r="B1303" s="34">
        <v>46224</v>
      </c>
      <c r="C1303" s="34" t="str">
        <f>TEXT(Metas_Diarias[[#This Row],[data]],"dddd")</f>
        <v>terça-feira</v>
      </c>
      <c r="D1303" s="33">
        <v>1</v>
      </c>
      <c r="E1303" s="33">
        <v>1</v>
      </c>
      <c r="F1303" s="18"/>
      <c r="G1303" s="35">
        <f>WEEKDAY(Metas_Diarias[[#This Row],[data]])</f>
        <v>3</v>
      </c>
      <c r="H1303" s="35">
        <f>IF(Metas_Diarias[[#This Row],[dias_da_demana]]=1,"domingo",IF(Metas_Diarias[[#This Row],[dias_da_demana]]=7,0.5,1))</f>
        <v>1</v>
      </c>
      <c r="I1303" s="35">
        <f>_xlfn.XLOOKUP(Metas_Diarias[[#This Row],[data]],Feriados[Data],Feriados[Feriado],1)</f>
        <v>1</v>
      </c>
      <c r="J1303" s="33" cm="1">
        <f t="array" aca="1" ref="J1303" ca="1">SUMPRODUCT(IF((NOT(ISERROR(MATCH(ROW(INDIRECT(DATE(YEAR(B1303),MONTH(B1303),1)&amp;":"&amp;DATE(YEAR(B1303),MONTH(B1303)+1,0))),Feriados[Data],0))))=FALSE,
IF(WEEKDAY(ROW(INDIRECT(DATE(YEAR(B1303),MONTH(B1303),1)&amp;":"&amp;DATE(YEAR(B1303),MONTH(B1303)+1,0))),2)&lt;=5,1,IF(WEEKDAY(ROW(INDIRECT(DATE(YEAR(B1303),MONTH(B1303),1)&amp;":"&amp;DATE(YEAR(B1303),MONTH(B1303)+1,0))),2)=6,0.5,0)),0))</f>
        <v>25</v>
      </c>
      <c r="K1303" s="22" cm="1">
        <f t="array" ref="K1303">_xlfn.XLOOKUP(1,((Metas_Diarias[[#This Row],[tipo_equipe_id]]=Metas[equipe])*(Metas_Diarias[[#This Row],[data]]&gt;Metas[data_inicio])*(Metas_Diarias[[#This Row],[data]]&lt;Metas[data_fim])),Metas[meta_mensal],0)</f>
        <v>168000</v>
      </c>
      <c r="L1303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04" spans="2:12" x14ac:dyDescent="0.3">
      <c r="B1304" s="34">
        <v>46225</v>
      </c>
      <c r="C1304" s="34" t="str">
        <f>TEXT(Metas_Diarias[[#This Row],[data]],"dddd")</f>
        <v>quarta-feira</v>
      </c>
      <c r="D1304" s="33">
        <v>1</v>
      </c>
      <c r="E1304" s="33">
        <v>1</v>
      </c>
      <c r="F1304" s="18"/>
      <c r="G1304" s="35">
        <f>WEEKDAY(Metas_Diarias[[#This Row],[data]])</f>
        <v>4</v>
      </c>
      <c r="H1304" s="35">
        <f>IF(Metas_Diarias[[#This Row],[dias_da_demana]]=1,"domingo",IF(Metas_Diarias[[#This Row],[dias_da_demana]]=7,0.5,1))</f>
        <v>1</v>
      </c>
      <c r="I1304" s="35">
        <f>_xlfn.XLOOKUP(Metas_Diarias[[#This Row],[data]],Feriados[Data],Feriados[Feriado],1)</f>
        <v>1</v>
      </c>
      <c r="J1304" s="33" cm="1">
        <f t="array" aca="1" ref="J1304" ca="1">SUMPRODUCT(IF((NOT(ISERROR(MATCH(ROW(INDIRECT(DATE(YEAR(B1304),MONTH(B1304),1)&amp;":"&amp;DATE(YEAR(B1304),MONTH(B1304)+1,0))),Feriados[Data],0))))=FALSE,
IF(WEEKDAY(ROW(INDIRECT(DATE(YEAR(B1304),MONTH(B1304),1)&amp;":"&amp;DATE(YEAR(B1304),MONTH(B1304)+1,0))),2)&lt;=5,1,IF(WEEKDAY(ROW(INDIRECT(DATE(YEAR(B1304),MONTH(B1304),1)&amp;":"&amp;DATE(YEAR(B1304),MONTH(B1304)+1,0))),2)=6,0.5,0)),0))</f>
        <v>25</v>
      </c>
      <c r="K1304" s="22" cm="1">
        <f t="array" ref="K1304">_xlfn.XLOOKUP(1,((Metas_Diarias[[#This Row],[tipo_equipe_id]]=Metas[equipe])*(Metas_Diarias[[#This Row],[data]]&gt;Metas[data_inicio])*(Metas_Diarias[[#This Row],[data]]&lt;Metas[data_fim])),Metas[meta_mensal],0)</f>
        <v>168000</v>
      </c>
      <c r="L1304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05" spans="2:12" x14ac:dyDescent="0.3">
      <c r="B1305" s="34">
        <v>46226</v>
      </c>
      <c r="C1305" s="34" t="str">
        <f>TEXT(Metas_Diarias[[#This Row],[data]],"dddd")</f>
        <v>quinta-feira</v>
      </c>
      <c r="D1305" s="33">
        <v>1</v>
      </c>
      <c r="E1305" s="33">
        <v>1</v>
      </c>
      <c r="F1305" s="18"/>
      <c r="G1305" s="35">
        <f>WEEKDAY(Metas_Diarias[[#This Row],[data]])</f>
        <v>5</v>
      </c>
      <c r="H1305" s="35">
        <f>IF(Metas_Diarias[[#This Row],[dias_da_demana]]=1,"domingo",IF(Metas_Diarias[[#This Row],[dias_da_demana]]=7,0.5,1))</f>
        <v>1</v>
      </c>
      <c r="I1305" s="35">
        <f>_xlfn.XLOOKUP(Metas_Diarias[[#This Row],[data]],Feriados[Data],Feriados[Feriado],1)</f>
        <v>1</v>
      </c>
      <c r="J1305" s="33" cm="1">
        <f t="array" aca="1" ref="J1305" ca="1">SUMPRODUCT(IF((NOT(ISERROR(MATCH(ROW(INDIRECT(DATE(YEAR(B1305),MONTH(B1305),1)&amp;":"&amp;DATE(YEAR(B1305),MONTH(B1305)+1,0))),Feriados[Data],0))))=FALSE,
IF(WEEKDAY(ROW(INDIRECT(DATE(YEAR(B1305),MONTH(B1305),1)&amp;":"&amp;DATE(YEAR(B1305),MONTH(B1305)+1,0))),2)&lt;=5,1,IF(WEEKDAY(ROW(INDIRECT(DATE(YEAR(B1305),MONTH(B1305),1)&amp;":"&amp;DATE(YEAR(B1305),MONTH(B1305)+1,0))),2)=6,0.5,0)),0))</f>
        <v>25</v>
      </c>
      <c r="K1305" s="22" cm="1">
        <f t="array" ref="K1305">_xlfn.XLOOKUP(1,((Metas_Diarias[[#This Row],[tipo_equipe_id]]=Metas[equipe])*(Metas_Diarias[[#This Row],[data]]&gt;Metas[data_inicio])*(Metas_Diarias[[#This Row],[data]]&lt;Metas[data_fim])),Metas[meta_mensal],0)</f>
        <v>168000</v>
      </c>
      <c r="L1305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06" spans="2:12" x14ac:dyDescent="0.3">
      <c r="B1306" s="34">
        <v>46227</v>
      </c>
      <c r="C1306" s="34" t="str">
        <f>TEXT(Metas_Diarias[[#This Row],[data]],"dddd")</f>
        <v>sexta-feira</v>
      </c>
      <c r="D1306" s="33">
        <v>1</v>
      </c>
      <c r="E1306" s="33">
        <v>1</v>
      </c>
      <c r="F1306" s="18"/>
      <c r="G1306" s="35">
        <f>WEEKDAY(Metas_Diarias[[#This Row],[data]])</f>
        <v>6</v>
      </c>
      <c r="H1306" s="35">
        <f>IF(Metas_Diarias[[#This Row],[dias_da_demana]]=1,"domingo",IF(Metas_Diarias[[#This Row],[dias_da_demana]]=7,0.5,1))</f>
        <v>1</v>
      </c>
      <c r="I1306" s="35">
        <f>_xlfn.XLOOKUP(Metas_Diarias[[#This Row],[data]],Feriados[Data],Feriados[Feriado],1)</f>
        <v>1</v>
      </c>
      <c r="J1306" s="33" cm="1">
        <f t="array" aca="1" ref="J1306" ca="1">SUMPRODUCT(IF((NOT(ISERROR(MATCH(ROW(INDIRECT(DATE(YEAR(B1306),MONTH(B1306),1)&amp;":"&amp;DATE(YEAR(B1306),MONTH(B1306)+1,0))),Feriados[Data],0))))=FALSE,
IF(WEEKDAY(ROW(INDIRECT(DATE(YEAR(B1306),MONTH(B1306),1)&amp;":"&amp;DATE(YEAR(B1306),MONTH(B1306)+1,0))),2)&lt;=5,1,IF(WEEKDAY(ROW(INDIRECT(DATE(YEAR(B1306),MONTH(B1306),1)&amp;":"&amp;DATE(YEAR(B1306),MONTH(B1306)+1,0))),2)=6,0.5,0)),0))</f>
        <v>25</v>
      </c>
      <c r="K1306" s="22" cm="1">
        <f t="array" ref="K1306">_xlfn.XLOOKUP(1,((Metas_Diarias[[#This Row],[tipo_equipe_id]]=Metas[equipe])*(Metas_Diarias[[#This Row],[data]]&gt;Metas[data_inicio])*(Metas_Diarias[[#This Row],[data]]&lt;Metas[data_fim])),Metas[meta_mensal],0)</f>
        <v>168000</v>
      </c>
      <c r="L1306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07" spans="2:12" x14ac:dyDescent="0.3">
      <c r="B1307" s="34">
        <v>46228</v>
      </c>
      <c r="C1307" s="34" t="str">
        <f>TEXT(Metas_Diarias[[#This Row],[data]],"dddd")</f>
        <v>sábado</v>
      </c>
      <c r="D1307" s="33">
        <v>1</v>
      </c>
      <c r="E1307" s="33">
        <v>1</v>
      </c>
      <c r="F1307" s="18"/>
      <c r="G1307" s="35">
        <f>WEEKDAY(Metas_Diarias[[#This Row],[data]])</f>
        <v>7</v>
      </c>
      <c r="H1307" s="35">
        <f>IF(Metas_Diarias[[#This Row],[dias_da_demana]]=1,"domingo",IF(Metas_Diarias[[#This Row],[dias_da_demana]]=7,0.5,1))</f>
        <v>0.5</v>
      </c>
      <c r="I1307" s="35">
        <f>_xlfn.XLOOKUP(Metas_Diarias[[#This Row],[data]],Feriados[Data],Feriados[Feriado],1)</f>
        <v>1</v>
      </c>
      <c r="J1307" s="33" cm="1">
        <f t="array" aca="1" ref="J1307" ca="1">SUMPRODUCT(IF((NOT(ISERROR(MATCH(ROW(INDIRECT(DATE(YEAR(B1307),MONTH(B1307),1)&amp;":"&amp;DATE(YEAR(B1307),MONTH(B1307)+1,0))),Feriados[Data],0))))=FALSE,
IF(WEEKDAY(ROW(INDIRECT(DATE(YEAR(B1307),MONTH(B1307),1)&amp;":"&amp;DATE(YEAR(B1307),MONTH(B1307)+1,0))),2)&lt;=5,1,IF(WEEKDAY(ROW(INDIRECT(DATE(YEAR(B1307),MONTH(B1307),1)&amp;":"&amp;DATE(YEAR(B1307),MONTH(B1307)+1,0))),2)=6,0.5,0)),0))</f>
        <v>25</v>
      </c>
      <c r="K1307" s="22" cm="1">
        <f t="array" ref="K1307">_xlfn.XLOOKUP(1,((Metas_Diarias[[#This Row],[tipo_equipe_id]]=Metas[equipe])*(Metas_Diarias[[#This Row],[data]]&gt;Metas[data_inicio])*(Metas_Diarias[[#This Row],[data]]&lt;Metas[data_fim])),Metas[meta_mensal],0)</f>
        <v>168000</v>
      </c>
      <c r="L1307" s="24">
        <f ca="1">Metas_Diarias[[#This Row],[meta_mensal]]*IF(Metas_Diarias[[#This Row],[semana]]="domingo",0,Metas_Diarias[[#This Row],[semana]])*IF(Metas_Diarias[[#This Row],[feriado]]&lt;&gt;1,0,1)/Metas_Diarias[[#This Row],[dias_úteis_Mês]]</f>
        <v>3360</v>
      </c>
    </row>
    <row r="1308" spans="2:12" x14ac:dyDescent="0.3">
      <c r="B1308" s="34">
        <v>46229</v>
      </c>
      <c r="C1308" s="34" t="str">
        <f>TEXT(Metas_Diarias[[#This Row],[data]],"dddd")</f>
        <v>domingo</v>
      </c>
      <c r="D1308" s="33">
        <v>1</v>
      </c>
      <c r="E1308" s="33">
        <v>1</v>
      </c>
      <c r="F1308" s="18"/>
      <c r="G1308" s="35">
        <f>WEEKDAY(Metas_Diarias[[#This Row],[data]])</f>
        <v>1</v>
      </c>
      <c r="H1308" s="35" t="str">
        <f>IF(Metas_Diarias[[#This Row],[dias_da_demana]]=1,"domingo",IF(Metas_Diarias[[#This Row],[dias_da_demana]]=7,0.5,1))</f>
        <v>domingo</v>
      </c>
      <c r="I1308" s="35">
        <f>_xlfn.XLOOKUP(Metas_Diarias[[#This Row],[data]],Feriados[Data],Feriados[Feriado],1)</f>
        <v>1</v>
      </c>
      <c r="J1308" s="33" cm="1">
        <f t="array" aca="1" ref="J1308" ca="1">SUMPRODUCT(IF((NOT(ISERROR(MATCH(ROW(INDIRECT(DATE(YEAR(B1308),MONTH(B1308),1)&amp;":"&amp;DATE(YEAR(B1308),MONTH(B1308)+1,0))),Feriados[Data],0))))=FALSE,
IF(WEEKDAY(ROW(INDIRECT(DATE(YEAR(B1308),MONTH(B1308),1)&amp;":"&amp;DATE(YEAR(B1308),MONTH(B1308)+1,0))),2)&lt;=5,1,IF(WEEKDAY(ROW(INDIRECT(DATE(YEAR(B1308),MONTH(B1308),1)&amp;":"&amp;DATE(YEAR(B1308),MONTH(B1308)+1,0))),2)=6,0.5,0)),0))</f>
        <v>25</v>
      </c>
      <c r="K1308" s="22" cm="1">
        <f t="array" ref="K1308">_xlfn.XLOOKUP(1,((Metas_Diarias[[#This Row],[tipo_equipe_id]]=Metas[equipe])*(Metas_Diarias[[#This Row],[data]]&gt;Metas[data_inicio])*(Metas_Diarias[[#This Row],[data]]&lt;Metas[data_fim])),Metas[meta_mensal],0)</f>
        <v>168000</v>
      </c>
      <c r="L13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09" spans="2:12" x14ac:dyDescent="0.3">
      <c r="B1309" s="34">
        <v>46230</v>
      </c>
      <c r="C1309" s="34" t="str">
        <f>TEXT(Metas_Diarias[[#This Row],[data]],"dddd")</f>
        <v>segunda-feira</v>
      </c>
      <c r="D1309" s="33">
        <v>1</v>
      </c>
      <c r="E1309" s="33">
        <v>1</v>
      </c>
      <c r="F1309" s="18"/>
      <c r="G1309" s="35">
        <f>WEEKDAY(Metas_Diarias[[#This Row],[data]])</f>
        <v>2</v>
      </c>
      <c r="H1309" s="35">
        <f>IF(Metas_Diarias[[#This Row],[dias_da_demana]]=1,"domingo",IF(Metas_Diarias[[#This Row],[dias_da_demana]]=7,0.5,1))</f>
        <v>1</v>
      </c>
      <c r="I1309" s="35">
        <f>_xlfn.XLOOKUP(Metas_Diarias[[#This Row],[data]],Feriados[Data],Feriados[Feriado],1)</f>
        <v>1</v>
      </c>
      <c r="J1309" s="33" cm="1">
        <f t="array" aca="1" ref="J1309" ca="1">SUMPRODUCT(IF((NOT(ISERROR(MATCH(ROW(INDIRECT(DATE(YEAR(B1309),MONTH(B1309),1)&amp;":"&amp;DATE(YEAR(B1309),MONTH(B1309)+1,0))),Feriados[Data],0))))=FALSE,
IF(WEEKDAY(ROW(INDIRECT(DATE(YEAR(B1309),MONTH(B1309),1)&amp;":"&amp;DATE(YEAR(B1309),MONTH(B1309)+1,0))),2)&lt;=5,1,IF(WEEKDAY(ROW(INDIRECT(DATE(YEAR(B1309),MONTH(B1309),1)&amp;":"&amp;DATE(YEAR(B1309),MONTH(B1309)+1,0))),2)=6,0.5,0)),0))</f>
        <v>25</v>
      </c>
      <c r="K1309" s="22" cm="1">
        <f t="array" ref="K1309">_xlfn.XLOOKUP(1,((Metas_Diarias[[#This Row],[tipo_equipe_id]]=Metas[equipe])*(Metas_Diarias[[#This Row],[data]]&gt;Metas[data_inicio])*(Metas_Diarias[[#This Row],[data]]&lt;Metas[data_fim])),Metas[meta_mensal],0)</f>
        <v>168000</v>
      </c>
      <c r="L1309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10" spans="2:12" x14ac:dyDescent="0.3">
      <c r="B1310" s="34">
        <v>46231</v>
      </c>
      <c r="C1310" s="34" t="str">
        <f>TEXT(Metas_Diarias[[#This Row],[data]],"dddd")</f>
        <v>terça-feira</v>
      </c>
      <c r="D1310" s="33">
        <v>1</v>
      </c>
      <c r="E1310" s="33">
        <v>1</v>
      </c>
      <c r="F1310" s="18"/>
      <c r="G1310" s="35">
        <f>WEEKDAY(Metas_Diarias[[#This Row],[data]])</f>
        <v>3</v>
      </c>
      <c r="H1310" s="35">
        <f>IF(Metas_Diarias[[#This Row],[dias_da_demana]]=1,"domingo",IF(Metas_Diarias[[#This Row],[dias_da_demana]]=7,0.5,1))</f>
        <v>1</v>
      </c>
      <c r="I1310" s="35">
        <f>_xlfn.XLOOKUP(Metas_Diarias[[#This Row],[data]],Feriados[Data],Feriados[Feriado],1)</f>
        <v>1</v>
      </c>
      <c r="J1310" s="33" cm="1">
        <f t="array" aca="1" ref="J1310" ca="1">SUMPRODUCT(IF((NOT(ISERROR(MATCH(ROW(INDIRECT(DATE(YEAR(B1310),MONTH(B1310),1)&amp;":"&amp;DATE(YEAR(B1310),MONTH(B1310)+1,0))),Feriados[Data],0))))=FALSE,
IF(WEEKDAY(ROW(INDIRECT(DATE(YEAR(B1310),MONTH(B1310),1)&amp;":"&amp;DATE(YEAR(B1310),MONTH(B1310)+1,0))),2)&lt;=5,1,IF(WEEKDAY(ROW(INDIRECT(DATE(YEAR(B1310),MONTH(B1310),1)&amp;":"&amp;DATE(YEAR(B1310),MONTH(B1310)+1,0))),2)=6,0.5,0)),0))</f>
        <v>25</v>
      </c>
      <c r="K1310" s="22" cm="1">
        <f t="array" ref="K1310">_xlfn.XLOOKUP(1,((Metas_Diarias[[#This Row],[tipo_equipe_id]]=Metas[equipe])*(Metas_Diarias[[#This Row],[data]]&gt;Metas[data_inicio])*(Metas_Diarias[[#This Row],[data]]&lt;Metas[data_fim])),Metas[meta_mensal],0)</f>
        <v>168000</v>
      </c>
      <c r="L1310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11" spans="2:12" x14ac:dyDescent="0.3">
      <c r="B1311" s="34">
        <v>46232</v>
      </c>
      <c r="C1311" s="34" t="str">
        <f>TEXT(Metas_Diarias[[#This Row],[data]],"dddd")</f>
        <v>quarta-feira</v>
      </c>
      <c r="D1311" s="33">
        <v>1</v>
      </c>
      <c r="E1311" s="33">
        <v>1</v>
      </c>
      <c r="F1311" s="18"/>
      <c r="G1311" s="35">
        <f>WEEKDAY(Metas_Diarias[[#This Row],[data]])</f>
        <v>4</v>
      </c>
      <c r="H1311" s="35">
        <f>IF(Metas_Diarias[[#This Row],[dias_da_demana]]=1,"domingo",IF(Metas_Diarias[[#This Row],[dias_da_demana]]=7,0.5,1))</f>
        <v>1</v>
      </c>
      <c r="I1311" s="35">
        <f>_xlfn.XLOOKUP(Metas_Diarias[[#This Row],[data]],Feriados[Data],Feriados[Feriado],1)</f>
        <v>1</v>
      </c>
      <c r="J1311" s="33" cm="1">
        <f t="array" aca="1" ref="J1311" ca="1">SUMPRODUCT(IF((NOT(ISERROR(MATCH(ROW(INDIRECT(DATE(YEAR(B1311),MONTH(B1311),1)&amp;":"&amp;DATE(YEAR(B1311),MONTH(B1311)+1,0))),Feriados[Data],0))))=FALSE,
IF(WEEKDAY(ROW(INDIRECT(DATE(YEAR(B1311),MONTH(B1311),1)&amp;":"&amp;DATE(YEAR(B1311),MONTH(B1311)+1,0))),2)&lt;=5,1,IF(WEEKDAY(ROW(INDIRECT(DATE(YEAR(B1311),MONTH(B1311),1)&amp;":"&amp;DATE(YEAR(B1311),MONTH(B1311)+1,0))),2)=6,0.5,0)),0))</f>
        <v>25</v>
      </c>
      <c r="K1311" s="22" cm="1">
        <f t="array" ref="K1311">_xlfn.XLOOKUP(1,((Metas_Diarias[[#This Row],[tipo_equipe_id]]=Metas[equipe])*(Metas_Diarias[[#This Row],[data]]&gt;Metas[data_inicio])*(Metas_Diarias[[#This Row],[data]]&lt;Metas[data_fim])),Metas[meta_mensal],0)</f>
        <v>168000</v>
      </c>
      <c r="L1311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12" spans="2:12" x14ac:dyDescent="0.3">
      <c r="B1312" s="34">
        <v>46233</v>
      </c>
      <c r="C1312" s="34" t="str">
        <f>TEXT(Metas_Diarias[[#This Row],[data]],"dddd")</f>
        <v>quinta-feira</v>
      </c>
      <c r="D1312" s="33">
        <v>1</v>
      </c>
      <c r="E1312" s="33">
        <v>1</v>
      </c>
      <c r="F1312" s="18"/>
      <c r="G1312" s="35">
        <f>WEEKDAY(Metas_Diarias[[#This Row],[data]])</f>
        <v>5</v>
      </c>
      <c r="H1312" s="35">
        <f>IF(Metas_Diarias[[#This Row],[dias_da_demana]]=1,"domingo",IF(Metas_Diarias[[#This Row],[dias_da_demana]]=7,0.5,1))</f>
        <v>1</v>
      </c>
      <c r="I1312" s="35">
        <f>_xlfn.XLOOKUP(Metas_Diarias[[#This Row],[data]],Feriados[Data],Feriados[Feriado],1)</f>
        <v>1</v>
      </c>
      <c r="J1312" s="33" cm="1">
        <f t="array" aca="1" ref="J1312" ca="1">SUMPRODUCT(IF((NOT(ISERROR(MATCH(ROW(INDIRECT(DATE(YEAR(B1312),MONTH(B1312),1)&amp;":"&amp;DATE(YEAR(B1312),MONTH(B1312)+1,0))),Feriados[Data],0))))=FALSE,
IF(WEEKDAY(ROW(INDIRECT(DATE(YEAR(B1312),MONTH(B1312),1)&amp;":"&amp;DATE(YEAR(B1312),MONTH(B1312)+1,0))),2)&lt;=5,1,IF(WEEKDAY(ROW(INDIRECT(DATE(YEAR(B1312),MONTH(B1312),1)&amp;":"&amp;DATE(YEAR(B1312),MONTH(B1312)+1,0))),2)=6,0.5,0)),0))</f>
        <v>25</v>
      </c>
      <c r="K1312" s="22" cm="1">
        <f t="array" ref="K1312">_xlfn.XLOOKUP(1,((Metas_Diarias[[#This Row],[tipo_equipe_id]]=Metas[equipe])*(Metas_Diarias[[#This Row],[data]]&gt;Metas[data_inicio])*(Metas_Diarias[[#This Row],[data]]&lt;Metas[data_fim])),Metas[meta_mensal],0)</f>
        <v>168000</v>
      </c>
      <c r="L1312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13" spans="2:12" x14ac:dyDescent="0.3">
      <c r="B1313" s="34">
        <v>46234</v>
      </c>
      <c r="C1313" s="34" t="str">
        <f>TEXT(Metas_Diarias[[#This Row],[data]],"dddd")</f>
        <v>sexta-feira</v>
      </c>
      <c r="D1313" s="33">
        <v>1</v>
      </c>
      <c r="E1313" s="33">
        <v>1</v>
      </c>
      <c r="F1313" s="18"/>
      <c r="G1313" s="35">
        <f>WEEKDAY(Metas_Diarias[[#This Row],[data]])</f>
        <v>6</v>
      </c>
      <c r="H1313" s="35">
        <f>IF(Metas_Diarias[[#This Row],[dias_da_demana]]=1,"domingo",IF(Metas_Diarias[[#This Row],[dias_da_demana]]=7,0.5,1))</f>
        <v>1</v>
      </c>
      <c r="I1313" s="35">
        <f>_xlfn.XLOOKUP(Metas_Diarias[[#This Row],[data]],Feriados[Data],Feriados[Feriado],1)</f>
        <v>1</v>
      </c>
      <c r="J1313" s="33" cm="1">
        <f t="array" aca="1" ref="J1313" ca="1">SUMPRODUCT(IF((NOT(ISERROR(MATCH(ROW(INDIRECT(DATE(YEAR(B1313),MONTH(B1313),1)&amp;":"&amp;DATE(YEAR(B1313),MONTH(B1313)+1,0))),Feriados[Data],0))))=FALSE,
IF(WEEKDAY(ROW(INDIRECT(DATE(YEAR(B1313),MONTH(B1313),1)&amp;":"&amp;DATE(YEAR(B1313),MONTH(B1313)+1,0))),2)&lt;=5,1,IF(WEEKDAY(ROW(INDIRECT(DATE(YEAR(B1313),MONTH(B1313),1)&amp;":"&amp;DATE(YEAR(B1313),MONTH(B1313)+1,0))),2)=6,0.5,0)),0))</f>
        <v>25</v>
      </c>
      <c r="K1313" s="22" cm="1">
        <f t="array" ref="K1313">_xlfn.XLOOKUP(1,((Metas_Diarias[[#This Row],[tipo_equipe_id]]=Metas[equipe])*(Metas_Diarias[[#This Row],[data]]&gt;Metas[data_inicio])*(Metas_Diarias[[#This Row],[data]]&lt;Metas[data_fim])),Metas[meta_mensal],0)</f>
        <v>168000</v>
      </c>
      <c r="L1313" s="24">
        <f ca="1">Metas_Diarias[[#This Row],[meta_mensal]]*IF(Metas_Diarias[[#This Row],[semana]]="domingo",0,Metas_Diarias[[#This Row],[semana]])*IF(Metas_Diarias[[#This Row],[feriado]]&lt;&gt;1,0,1)/Metas_Diarias[[#This Row],[dias_úteis_Mês]]</f>
        <v>6720</v>
      </c>
    </row>
    <row r="1314" spans="2:12" x14ac:dyDescent="0.3">
      <c r="B1314" s="34">
        <v>46235</v>
      </c>
      <c r="C1314" s="34" t="str">
        <f>TEXT(Metas_Diarias[[#This Row],[data]],"dddd")</f>
        <v>sábado</v>
      </c>
      <c r="D1314" s="33">
        <v>1</v>
      </c>
      <c r="E1314" s="33">
        <v>1</v>
      </c>
      <c r="F1314" s="18"/>
      <c r="G1314" s="35">
        <f>WEEKDAY(Metas_Diarias[[#This Row],[data]])</f>
        <v>7</v>
      </c>
      <c r="H1314" s="35">
        <f>IF(Metas_Diarias[[#This Row],[dias_da_demana]]=1,"domingo",IF(Metas_Diarias[[#This Row],[dias_da_demana]]=7,0.5,1))</f>
        <v>0.5</v>
      </c>
      <c r="I1314" s="35">
        <f>_xlfn.XLOOKUP(Metas_Diarias[[#This Row],[data]],Feriados[Data],Feriados[Feriado],1)</f>
        <v>1</v>
      </c>
      <c r="J1314" s="33" cm="1">
        <f t="array" aca="1" ref="J1314" ca="1">SUMPRODUCT(IF((NOT(ISERROR(MATCH(ROW(INDIRECT(DATE(YEAR(B1314),MONTH(B1314),1)&amp;":"&amp;DATE(YEAR(B1314),MONTH(B1314)+1,0))),Feriados[Data],0))))=FALSE,
IF(WEEKDAY(ROW(INDIRECT(DATE(YEAR(B1314),MONTH(B1314),1)&amp;":"&amp;DATE(YEAR(B1314),MONTH(B1314)+1,0))),2)&lt;=5,1,IF(WEEKDAY(ROW(INDIRECT(DATE(YEAR(B1314),MONTH(B1314),1)&amp;":"&amp;DATE(YEAR(B1314),MONTH(B1314)+1,0))),2)=6,0.5,0)),0))</f>
        <v>23.5</v>
      </c>
      <c r="K1314" s="22" cm="1">
        <f t="array" ref="K1314">_xlfn.XLOOKUP(1,((Metas_Diarias[[#This Row],[tipo_equipe_id]]=Metas[equipe])*(Metas_Diarias[[#This Row],[data]]&gt;Metas[data_inicio])*(Metas_Diarias[[#This Row],[data]]&lt;Metas[data_fim])),Metas[meta_mensal],0)</f>
        <v>168000</v>
      </c>
      <c r="L1314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15" spans="2:12" x14ac:dyDescent="0.3">
      <c r="B1315" s="34">
        <v>46236</v>
      </c>
      <c r="C1315" s="34" t="str">
        <f>TEXT(Metas_Diarias[[#This Row],[data]],"dddd")</f>
        <v>domingo</v>
      </c>
      <c r="D1315" s="33">
        <v>1</v>
      </c>
      <c r="E1315" s="33">
        <v>1</v>
      </c>
      <c r="F1315" s="18"/>
      <c r="G1315" s="35">
        <f>WEEKDAY(Metas_Diarias[[#This Row],[data]])</f>
        <v>1</v>
      </c>
      <c r="H1315" s="35" t="str">
        <f>IF(Metas_Diarias[[#This Row],[dias_da_demana]]=1,"domingo",IF(Metas_Diarias[[#This Row],[dias_da_demana]]=7,0.5,1))</f>
        <v>domingo</v>
      </c>
      <c r="I1315" s="35">
        <f>_xlfn.XLOOKUP(Metas_Diarias[[#This Row],[data]],Feriados[Data],Feriados[Feriado],1)</f>
        <v>1</v>
      </c>
      <c r="J1315" s="33" cm="1">
        <f t="array" aca="1" ref="J1315" ca="1">SUMPRODUCT(IF((NOT(ISERROR(MATCH(ROW(INDIRECT(DATE(YEAR(B1315),MONTH(B1315),1)&amp;":"&amp;DATE(YEAR(B1315),MONTH(B1315)+1,0))),Feriados[Data],0))))=FALSE,
IF(WEEKDAY(ROW(INDIRECT(DATE(YEAR(B1315),MONTH(B1315),1)&amp;":"&amp;DATE(YEAR(B1315),MONTH(B1315)+1,0))),2)&lt;=5,1,IF(WEEKDAY(ROW(INDIRECT(DATE(YEAR(B1315),MONTH(B1315),1)&amp;":"&amp;DATE(YEAR(B1315),MONTH(B1315)+1,0))),2)=6,0.5,0)),0))</f>
        <v>23.5</v>
      </c>
      <c r="K1315" s="22" cm="1">
        <f t="array" ref="K1315">_xlfn.XLOOKUP(1,((Metas_Diarias[[#This Row],[tipo_equipe_id]]=Metas[equipe])*(Metas_Diarias[[#This Row],[data]]&gt;Metas[data_inicio])*(Metas_Diarias[[#This Row],[data]]&lt;Metas[data_fim])),Metas[meta_mensal],0)</f>
        <v>168000</v>
      </c>
      <c r="L13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16" spans="2:12" x14ac:dyDescent="0.3">
      <c r="B1316" s="34">
        <v>46237</v>
      </c>
      <c r="C1316" s="34" t="str">
        <f>TEXT(Metas_Diarias[[#This Row],[data]],"dddd")</f>
        <v>segunda-feira</v>
      </c>
      <c r="D1316" s="33">
        <v>1</v>
      </c>
      <c r="E1316" s="33">
        <v>1</v>
      </c>
      <c r="F1316" s="18"/>
      <c r="G1316" s="35">
        <f>WEEKDAY(Metas_Diarias[[#This Row],[data]])</f>
        <v>2</v>
      </c>
      <c r="H1316" s="35">
        <f>IF(Metas_Diarias[[#This Row],[dias_da_demana]]=1,"domingo",IF(Metas_Diarias[[#This Row],[dias_da_demana]]=7,0.5,1))</f>
        <v>1</v>
      </c>
      <c r="I1316" s="35">
        <f>_xlfn.XLOOKUP(Metas_Diarias[[#This Row],[data]],Feriados[Data],Feriados[Feriado],1)</f>
        <v>1</v>
      </c>
      <c r="J1316" s="33" cm="1">
        <f t="array" aca="1" ref="J1316" ca="1">SUMPRODUCT(IF((NOT(ISERROR(MATCH(ROW(INDIRECT(DATE(YEAR(B1316),MONTH(B1316),1)&amp;":"&amp;DATE(YEAR(B1316),MONTH(B1316)+1,0))),Feriados[Data],0))))=FALSE,
IF(WEEKDAY(ROW(INDIRECT(DATE(YEAR(B1316),MONTH(B1316),1)&amp;":"&amp;DATE(YEAR(B1316),MONTH(B1316)+1,0))),2)&lt;=5,1,IF(WEEKDAY(ROW(INDIRECT(DATE(YEAR(B1316),MONTH(B1316),1)&amp;":"&amp;DATE(YEAR(B1316),MONTH(B1316)+1,0))),2)=6,0.5,0)),0))</f>
        <v>23.5</v>
      </c>
      <c r="K1316" s="22" cm="1">
        <f t="array" ref="K1316">_xlfn.XLOOKUP(1,((Metas_Diarias[[#This Row],[tipo_equipe_id]]=Metas[equipe])*(Metas_Diarias[[#This Row],[data]]&gt;Metas[data_inicio])*(Metas_Diarias[[#This Row],[data]]&lt;Metas[data_fim])),Metas[meta_mensal],0)</f>
        <v>168000</v>
      </c>
      <c r="L1316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17" spans="2:12" x14ac:dyDescent="0.3">
      <c r="B1317" s="34">
        <v>46238</v>
      </c>
      <c r="C1317" s="34" t="str">
        <f>TEXT(Metas_Diarias[[#This Row],[data]],"dddd")</f>
        <v>terça-feira</v>
      </c>
      <c r="D1317" s="33">
        <v>1</v>
      </c>
      <c r="E1317" s="33">
        <v>1</v>
      </c>
      <c r="F1317" s="18"/>
      <c r="G1317" s="35">
        <f>WEEKDAY(Metas_Diarias[[#This Row],[data]])</f>
        <v>3</v>
      </c>
      <c r="H1317" s="35">
        <f>IF(Metas_Diarias[[#This Row],[dias_da_demana]]=1,"domingo",IF(Metas_Diarias[[#This Row],[dias_da_demana]]=7,0.5,1))</f>
        <v>1</v>
      </c>
      <c r="I1317" s="35">
        <f>_xlfn.XLOOKUP(Metas_Diarias[[#This Row],[data]],Feriados[Data],Feriados[Feriado],1)</f>
        <v>1</v>
      </c>
      <c r="J1317" s="33" cm="1">
        <f t="array" aca="1" ref="J1317" ca="1">SUMPRODUCT(IF((NOT(ISERROR(MATCH(ROW(INDIRECT(DATE(YEAR(B1317),MONTH(B1317),1)&amp;":"&amp;DATE(YEAR(B1317),MONTH(B1317)+1,0))),Feriados[Data],0))))=FALSE,
IF(WEEKDAY(ROW(INDIRECT(DATE(YEAR(B1317),MONTH(B1317),1)&amp;":"&amp;DATE(YEAR(B1317),MONTH(B1317)+1,0))),2)&lt;=5,1,IF(WEEKDAY(ROW(INDIRECT(DATE(YEAR(B1317),MONTH(B1317),1)&amp;":"&amp;DATE(YEAR(B1317),MONTH(B1317)+1,0))),2)=6,0.5,0)),0))</f>
        <v>23.5</v>
      </c>
      <c r="K1317" s="22" cm="1">
        <f t="array" ref="K1317">_xlfn.XLOOKUP(1,((Metas_Diarias[[#This Row],[tipo_equipe_id]]=Metas[equipe])*(Metas_Diarias[[#This Row],[data]]&gt;Metas[data_inicio])*(Metas_Diarias[[#This Row],[data]]&lt;Metas[data_fim])),Metas[meta_mensal],0)</f>
        <v>168000</v>
      </c>
      <c r="L1317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18" spans="2:12" x14ac:dyDescent="0.3">
      <c r="B1318" s="34">
        <v>46239</v>
      </c>
      <c r="C1318" s="34" t="str">
        <f>TEXT(Metas_Diarias[[#This Row],[data]],"dddd")</f>
        <v>quarta-feira</v>
      </c>
      <c r="D1318" s="33">
        <v>1</v>
      </c>
      <c r="E1318" s="33">
        <v>1</v>
      </c>
      <c r="F1318" s="18"/>
      <c r="G1318" s="35">
        <f>WEEKDAY(Metas_Diarias[[#This Row],[data]])</f>
        <v>4</v>
      </c>
      <c r="H1318" s="35">
        <f>IF(Metas_Diarias[[#This Row],[dias_da_demana]]=1,"domingo",IF(Metas_Diarias[[#This Row],[dias_da_demana]]=7,0.5,1))</f>
        <v>1</v>
      </c>
      <c r="I1318" s="35">
        <f>_xlfn.XLOOKUP(Metas_Diarias[[#This Row],[data]],Feriados[Data],Feriados[Feriado],1)</f>
        <v>1</v>
      </c>
      <c r="J1318" s="33" cm="1">
        <f t="array" aca="1" ref="J1318" ca="1">SUMPRODUCT(IF((NOT(ISERROR(MATCH(ROW(INDIRECT(DATE(YEAR(B1318),MONTH(B1318),1)&amp;":"&amp;DATE(YEAR(B1318),MONTH(B1318)+1,0))),Feriados[Data],0))))=FALSE,
IF(WEEKDAY(ROW(INDIRECT(DATE(YEAR(B1318),MONTH(B1318),1)&amp;":"&amp;DATE(YEAR(B1318),MONTH(B1318)+1,0))),2)&lt;=5,1,IF(WEEKDAY(ROW(INDIRECT(DATE(YEAR(B1318),MONTH(B1318),1)&amp;":"&amp;DATE(YEAR(B1318),MONTH(B1318)+1,0))),2)=6,0.5,0)),0))</f>
        <v>23.5</v>
      </c>
      <c r="K1318" s="22" cm="1">
        <f t="array" ref="K1318">_xlfn.XLOOKUP(1,((Metas_Diarias[[#This Row],[tipo_equipe_id]]=Metas[equipe])*(Metas_Diarias[[#This Row],[data]]&gt;Metas[data_inicio])*(Metas_Diarias[[#This Row],[data]]&lt;Metas[data_fim])),Metas[meta_mensal],0)</f>
        <v>168000</v>
      </c>
      <c r="L1318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19" spans="2:12" x14ac:dyDescent="0.3">
      <c r="B1319" s="34">
        <v>46240</v>
      </c>
      <c r="C1319" s="34" t="str">
        <f>TEXT(Metas_Diarias[[#This Row],[data]],"dddd")</f>
        <v>quinta-feira</v>
      </c>
      <c r="D1319" s="33">
        <v>1</v>
      </c>
      <c r="E1319" s="33">
        <v>1</v>
      </c>
      <c r="F1319" s="18"/>
      <c r="G1319" s="35">
        <f>WEEKDAY(Metas_Diarias[[#This Row],[data]])</f>
        <v>5</v>
      </c>
      <c r="H1319" s="35">
        <f>IF(Metas_Diarias[[#This Row],[dias_da_demana]]=1,"domingo",IF(Metas_Diarias[[#This Row],[dias_da_demana]]=7,0.5,1))</f>
        <v>1</v>
      </c>
      <c r="I1319" s="35">
        <f>_xlfn.XLOOKUP(Metas_Diarias[[#This Row],[data]],Feriados[Data],Feriados[Feriado],1)</f>
        <v>1</v>
      </c>
      <c r="J1319" s="33" cm="1">
        <f t="array" aca="1" ref="J1319" ca="1">SUMPRODUCT(IF((NOT(ISERROR(MATCH(ROW(INDIRECT(DATE(YEAR(B1319),MONTH(B1319),1)&amp;":"&amp;DATE(YEAR(B1319),MONTH(B1319)+1,0))),Feriados[Data],0))))=FALSE,
IF(WEEKDAY(ROW(INDIRECT(DATE(YEAR(B1319),MONTH(B1319),1)&amp;":"&amp;DATE(YEAR(B1319),MONTH(B1319)+1,0))),2)&lt;=5,1,IF(WEEKDAY(ROW(INDIRECT(DATE(YEAR(B1319),MONTH(B1319),1)&amp;":"&amp;DATE(YEAR(B1319),MONTH(B1319)+1,0))),2)=6,0.5,0)),0))</f>
        <v>23.5</v>
      </c>
      <c r="K1319" s="22" cm="1">
        <f t="array" ref="K1319">_xlfn.XLOOKUP(1,((Metas_Diarias[[#This Row],[tipo_equipe_id]]=Metas[equipe])*(Metas_Diarias[[#This Row],[data]]&gt;Metas[data_inicio])*(Metas_Diarias[[#This Row],[data]]&lt;Metas[data_fim])),Metas[meta_mensal],0)</f>
        <v>168000</v>
      </c>
      <c r="L1319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20" spans="2:12" x14ac:dyDescent="0.3">
      <c r="B1320" s="34">
        <v>46241</v>
      </c>
      <c r="C1320" s="34" t="str">
        <f>TEXT(Metas_Diarias[[#This Row],[data]],"dddd")</f>
        <v>sexta-feira</v>
      </c>
      <c r="D1320" s="33">
        <v>1</v>
      </c>
      <c r="E1320" s="33">
        <v>1</v>
      </c>
      <c r="F1320" s="18"/>
      <c r="G1320" s="35">
        <f>WEEKDAY(Metas_Diarias[[#This Row],[data]])</f>
        <v>6</v>
      </c>
      <c r="H1320" s="35">
        <f>IF(Metas_Diarias[[#This Row],[dias_da_demana]]=1,"domingo",IF(Metas_Diarias[[#This Row],[dias_da_demana]]=7,0.5,1))</f>
        <v>1</v>
      </c>
      <c r="I1320" s="35">
        <f>_xlfn.XLOOKUP(Metas_Diarias[[#This Row],[data]],Feriados[Data],Feriados[Feriado],1)</f>
        <v>1</v>
      </c>
      <c r="J1320" s="33" cm="1">
        <f t="array" aca="1" ref="J1320" ca="1">SUMPRODUCT(IF((NOT(ISERROR(MATCH(ROW(INDIRECT(DATE(YEAR(B1320),MONTH(B1320),1)&amp;":"&amp;DATE(YEAR(B1320),MONTH(B1320)+1,0))),Feriados[Data],0))))=FALSE,
IF(WEEKDAY(ROW(INDIRECT(DATE(YEAR(B1320),MONTH(B1320),1)&amp;":"&amp;DATE(YEAR(B1320),MONTH(B1320)+1,0))),2)&lt;=5,1,IF(WEEKDAY(ROW(INDIRECT(DATE(YEAR(B1320),MONTH(B1320),1)&amp;":"&amp;DATE(YEAR(B1320),MONTH(B1320)+1,0))),2)=6,0.5,0)),0))</f>
        <v>23.5</v>
      </c>
      <c r="K1320" s="22" cm="1">
        <f t="array" ref="K1320">_xlfn.XLOOKUP(1,((Metas_Diarias[[#This Row],[tipo_equipe_id]]=Metas[equipe])*(Metas_Diarias[[#This Row],[data]]&gt;Metas[data_inicio])*(Metas_Diarias[[#This Row],[data]]&lt;Metas[data_fim])),Metas[meta_mensal],0)</f>
        <v>168000</v>
      </c>
      <c r="L132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21" spans="2:12" x14ac:dyDescent="0.3">
      <c r="B1321" s="34">
        <v>46242</v>
      </c>
      <c r="C1321" s="34" t="str">
        <f>TEXT(Metas_Diarias[[#This Row],[data]],"dddd")</f>
        <v>sábado</v>
      </c>
      <c r="D1321" s="33">
        <v>1</v>
      </c>
      <c r="E1321" s="33">
        <v>1</v>
      </c>
      <c r="F1321" s="18"/>
      <c r="G1321" s="35">
        <f>WEEKDAY(Metas_Diarias[[#This Row],[data]])</f>
        <v>7</v>
      </c>
      <c r="H1321" s="35">
        <f>IF(Metas_Diarias[[#This Row],[dias_da_demana]]=1,"domingo",IF(Metas_Diarias[[#This Row],[dias_da_demana]]=7,0.5,1))</f>
        <v>0.5</v>
      </c>
      <c r="I1321" s="35">
        <f>_xlfn.XLOOKUP(Metas_Diarias[[#This Row],[data]],Feriados[Data],Feriados[Feriado],1)</f>
        <v>1</v>
      </c>
      <c r="J1321" s="33" cm="1">
        <f t="array" aca="1" ref="J1321" ca="1">SUMPRODUCT(IF((NOT(ISERROR(MATCH(ROW(INDIRECT(DATE(YEAR(B1321),MONTH(B1321),1)&amp;":"&amp;DATE(YEAR(B1321),MONTH(B1321)+1,0))),Feriados[Data],0))))=FALSE,
IF(WEEKDAY(ROW(INDIRECT(DATE(YEAR(B1321),MONTH(B1321),1)&amp;":"&amp;DATE(YEAR(B1321),MONTH(B1321)+1,0))),2)&lt;=5,1,IF(WEEKDAY(ROW(INDIRECT(DATE(YEAR(B1321),MONTH(B1321),1)&amp;":"&amp;DATE(YEAR(B1321),MONTH(B1321)+1,0))),2)=6,0.5,0)),0))</f>
        <v>23.5</v>
      </c>
      <c r="K1321" s="22" cm="1">
        <f t="array" ref="K1321">_xlfn.XLOOKUP(1,((Metas_Diarias[[#This Row],[tipo_equipe_id]]=Metas[equipe])*(Metas_Diarias[[#This Row],[data]]&gt;Metas[data_inicio])*(Metas_Diarias[[#This Row],[data]]&lt;Metas[data_fim])),Metas[meta_mensal],0)</f>
        <v>168000</v>
      </c>
      <c r="L1321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22" spans="2:12" x14ac:dyDescent="0.3">
      <c r="B1322" s="34">
        <v>46243</v>
      </c>
      <c r="C1322" s="34" t="str">
        <f>TEXT(Metas_Diarias[[#This Row],[data]],"dddd")</f>
        <v>domingo</v>
      </c>
      <c r="D1322" s="33">
        <v>1</v>
      </c>
      <c r="E1322" s="33">
        <v>1</v>
      </c>
      <c r="F1322" s="18"/>
      <c r="G1322" s="35">
        <f>WEEKDAY(Metas_Diarias[[#This Row],[data]])</f>
        <v>1</v>
      </c>
      <c r="H1322" s="35" t="str">
        <f>IF(Metas_Diarias[[#This Row],[dias_da_demana]]=1,"domingo",IF(Metas_Diarias[[#This Row],[dias_da_demana]]=7,0.5,1))</f>
        <v>domingo</v>
      </c>
      <c r="I1322" s="35">
        <f>_xlfn.XLOOKUP(Metas_Diarias[[#This Row],[data]],Feriados[Data],Feriados[Feriado],1)</f>
        <v>1</v>
      </c>
      <c r="J1322" s="33" cm="1">
        <f t="array" aca="1" ref="J1322" ca="1">SUMPRODUCT(IF((NOT(ISERROR(MATCH(ROW(INDIRECT(DATE(YEAR(B1322),MONTH(B1322),1)&amp;":"&amp;DATE(YEAR(B1322),MONTH(B1322)+1,0))),Feriados[Data],0))))=FALSE,
IF(WEEKDAY(ROW(INDIRECT(DATE(YEAR(B1322),MONTH(B1322),1)&amp;":"&amp;DATE(YEAR(B1322),MONTH(B1322)+1,0))),2)&lt;=5,1,IF(WEEKDAY(ROW(INDIRECT(DATE(YEAR(B1322),MONTH(B1322),1)&amp;":"&amp;DATE(YEAR(B1322),MONTH(B1322)+1,0))),2)=6,0.5,0)),0))</f>
        <v>23.5</v>
      </c>
      <c r="K1322" s="22" cm="1">
        <f t="array" ref="K1322">_xlfn.XLOOKUP(1,((Metas_Diarias[[#This Row],[tipo_equipe_id]]=Metas[equipe])*(Metas_Diarias[[#This Row],[data]]&gt;Metas[data_inicio])*(Metas_Diarias[[#This Row],[data]]&lt;Metas[data_fim])),Metas[meta_mensal],0)</f>
        <v>168000</v>
      </c>
      <c r="L13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23" spans="2:12" x14ac:dyDescent="0.3">
      <c r="B1323" s="34">
        <v>46244</v>
      </c>
      <c r="C1323" s="34" t="str">
        <f>TEXT(Metas_Diarias[[#This Row],[data]],"dddd")</f>
        <v>segunda-feira</v>
      </c>
      <c r="D1323" s="33">
        <v>1</v>
      </c>
      <c r="E1323" s="33">
        <v>1</v>
      </c>
      <c r="F1323" s="18"/>
      <c r="G1323" s="35">
        <f>WEEKDAY(Metas_Diarias[[#This Row],[data]])</f>
        <v>2</v>
      </c>
      <c r="H1323" s="35">
        <f>IF(Metas_Diarias[[#This Row],[dias_da_demana]]=1,"domingo",IF(Metas_Diarias[[#This Row],[dias_da_demana]]=7,0.5,1))</f>
        <v>1</v>
      </c>
      <c r="I1323" s="35">
        <f>_xlfn.XLOOKUP(Metas_Diarias[[#This Row],[data]],Feriados[Data],Feriados[Feriado],1)</f>
        <v>1</v>
      </c>
      <c r="J1323" s="33" cm="1">
        <f t="array" aca="1" ref="J1323" ca="1">SUMPRODUCT(IF((NOT(ISERROR(MATCH(ROW(INDIRECT(DATE(YEAR(B1323),MONTH(B1323),1)&amp;":"&amp;DATE(YEAR(B1323),MONTH(B1323)+1,0))),Feriados[Data],0))))=FALSE,
IF(WEEKDAY(ROW(INDIRECT(DATE(YEAR(B1323),MONTH(B1323),1)&amp;":"&amp;DATE(YEAR(B1323),MONTH(B1323)+1,0))),2)&lt;=5,1,IF(WEEKDAY(ROW(INDIRECT(DATE(YEAR(B1323),MONTH(B1323),1)&amp;":"&amp;DATE(YEAR(B1323),MONTH(B1323)+1,0))),2)=6,0.5,0)),0))</f>
        <v>23.5</v>
      </c>
      <c r="K1323" s="22" cm="1">
        <f t="array" ref="K1323">_xlfn.XLOOKUP(1,((Metas_Diarias[[#This Row],[tipo_equipe_id]]=Metas[equipe])*(Metas_Diarias[[#This Row],[data]]&gt;Metas[data_inicio])*(Metas_Diarias[[#This Row],[data]]&lt;Metas[data_fim])),Metas[meta_mensal],0)</f>
        <v>168000</v>
      </c>
      <c r="L1323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24" spans="2:12" x14ac:dyDescent="0.3">
      <c r="B1324" s="34">
        <v>46245</v>
      </c>
      <c r="C1324" s="34" t="str">
        <f>TEXT(Metas_Diarias[[#This Row],[data]],"dddd")</f>
        <v>terça-feira</v>
      </c>
      <c r="D1324" s="33">
        <v>1</v>
      </c>
      <c r="E1324" s="33">
        <v>1</v>
      </c>
      <c r="F1324" s="18"/>
      <c r="G1324" s="35">
        <f>WEEKDAY(Metas_Diarias[[#This Row],[data]])</f>
        <v>3</v>
      </c>
      <c r="H1324" s="35">
        <f>IF(Metas_Diarias[[#This Row],[dias_da_demana]]=1,"domingo",IF(Metas_Diarias[[#This Row],[dias_da_demana]]=7,0.5,1))</f>
        <v>1</v>
      </c>
      <c r="I1324" s="35">
        <f>_xlfn.XLOOKUP(Metas_Diarias[[#This Row],[data]],Feriados[Data],Feriados[Feriado],1)</f>
        <v>1</v>
      </c>
      <c r="J1324" s="33" cm="1">
        <f t="array" aca="1" ref="J1324" ca="1">SUMPRODUCT(IF((NOT(ISERROR(MATCH(ROW(INDIRECT(DATE(YEAR(B1324),MONTH(B1324),1)&amp;":"&amp;DATE(YEAR(B1324),MONTH(B1324)+1,0))),Feriados[Data],0))))=FALSE,
IF(WEEKDAY(ROW(INDIRECT(DATE(YEAR(B1324),MONTH(B1324),1)&amp;":"&amp;DATE(YEAR(B1324),MONTH(B1324)+1,0))),2)&lt;=5,1,IF(WEEKDAY(ROW(INDIRECT(DATE(YEAR(B1324),MONTH(B1324),1)&amp;":"&amp;DATE(YEAR(B1324),MONTH(B1324)+1,0))),2)=6,0.5,0)),0))</f>
        <v>23.5</v>
      </c>
      <c r="K1324" s="22" cm="1">
        <f t="array" ref="K1324">_xlfn.XLOOKUP(1,((Metas_Diarias[[#This Row],[tipo_equipe_id]]=Metas[equipe])*(Metas_Diarias[[#This Row],[data]]&gt;Metas[data_inicio])*(Metas_Diarias[[#This Row],[data]]&lt;Metas[data_fim])),Metas[meta_mensal],0)</f>
        <v>168000</v>
      </c>
      <c r="L1324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25" spans="2:12" x14ac:dyDescent="0.3">
      <c r="B1325" s="34">
        <v>46246</v>
      </c>
      <c r="C1325" s="34" t="str">
        <f>TEXT(Metas_Diarias[[#This Row],[data]],"dddd")</f>
        <v>quarta-feira</v>
      </c>
      <c r="D1325" s="33">
        <v>1</v>
      </c>
      <c r="E1325" s="33">
        <v>1</v>
      </c>
      <c r="F1325" s="18"/>
      <c r="G1325" s="35">
        <f>WEEKDAY(Metas_Diarias[[#This Row],[data]])</f>
        <v>4</v>
      </c>
      <c r="H1325" s="35">
        <f>IF(Metas_Diarias[[#This Row],[dias_da_demana]]=1,"domingo",IF(Metas_Diarias[[#This Row],[dias_da_demana]]=7,0.5,1))</f>
        <v>1</v>
      </c>
      <c r="I1325" s="35">
        <f>_xlfn.XLOOKUP(Metas_Diarias[[#This Row],[data]],Feriados[Data],Feriados[Feriado],1)</f>
        <v>1</v>
      </c>
      <c r="J1325" s="33" cm="1">
        <f t="array" aca="1" ref="J1325" ca="1">SUMPRODUCT(IF((NOT(ISERROR(MATCH(ROW(INDIRECT(DATE(YEAR(B1325),MONTH(B1325),1)&amp;":"&amp;DATE(YEAR(B1325),MONTH(B1325)+1,0))),Feriados[Data],0))))=FALSE,
IF(WEEKDAY(ROW(INDIRECT(DATE(YEAR(B1325),MONTH(B1325),1)&amp;":"&amp;DATE(YEAR(B1325),MONTH(B1325)+1,0))),2)&lt;=5,1,IF(WEEKDAY(ROW(INDIRECT(DATE(YEAR(B1325),MONTH(B1325),1)&amp;":"&amp;DATE(YEAR(B1325),MONTH(B1325)+1,0))),2)=6,0.5,0)),0))</f>
        <v>23.5</v>
      </c>
      <c r="K1325" s="22" cm="1">
        <f t="array" ref="K1325">_xlfn.XLOOKUP(1,((Metas_Diarias[[#This Row],[tipo_equipe_id]]=Metas[equipe])*(Metas_Diarias[[#This Row],[data]]&gt;Metas[data_inicio])*(Metas_Diarias[[#This Row],[data]]&lt;Metas[data_fim])),Metas[meta_mensal],0)</f>
        <v>168000</v>
      </c>
      <c r="L1325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26" spans="2:12" x14ac:dyDescent="0.3">
      <c r="B1326" s="34">
        <v>46247</v>
      </c>
      <c r="C1326" s="34" t="str">
        <f>TEXT(Metas_Diarias[[#This Row],[data]],"dddd")</f>
        <v>quinta-feira</v>
      </c>
      <c r="D1326" s="33">
        <v>1</v>
      </c>
      <c r="E1326" s="33">
        <v>1</v>
      </c>
      <c r="F1326" s="18"/>
      <c r="G1326" s="35">
        <f>WEEKDAY(Metas_Diarias[[#This Row],[data]])</f>
        <v>5</v>
      </c>
      <c r="H1326" s="35">
        <f>IF(Metas_Diarias[[#This Row],[dias_da_demana]]=1,"domingo",IF(Metas_Diarias[[#This Row],[dias_da_demana]]=7,0.5,1))</f>
        <v>1</v>
      </c>
      <c r="I1326" s="35">
        <f>_xlfn.XLOOKUP(Metas_Diarias[[#This Row],[data]],Feriados[Data],Feriados[Feriado],1)</f>
        <v>1</v>
      </c>
      <c r="J1326" s="33" cm="1">
        <f t="array" aca="1" ref="J1326" ca="1">SUMPRODUCT(IF((NOT(ISERROR(MATCH(ROW(INDIRECT(DATE(YEAR(B1326),MONTH(B1326),1)&amp;":"&amp;DATE(YEAR(B1326),MONTH(B1326)+1,0))),Feriados[Data],0))))=FALSE,
IF(WEEKDAY(ROW(INDIRECT(DATE(YEAR(B1326),MONTH(B1326),1)&amp;":"&amp;DATE(YEAR(B1326),MONTH(B1326)+1,0))),2)&lt;=5,1,IF(WEEKDAY(ROW(INDIRECT(DATE(YEAR(B1326),MONTH(B1326),1)&amp;":"&amp;DATE(YEAR(B1326),MONTH(B1326)+1,0))),2)=6,0.5,0)),0))</f>
        <v>23.5</v>
      </c>
      <c r="K1326" s="22" cm="1">
        <f t="array" ref="K1326">_xlfn.XLOOKUP(1,((Metas_Diarias[[#This Row],[tipo_equipe_id]]=Metas[equipe])*(Metas_Diarias[[#This Row],[data]]&gt;Metas[data_inicio])*(Metas_Diarias[[#This Row],[data]]&lt;Metas[data_fim])),Metas[meta_mensal],0)</f>
        <v>168000</v>
      </c>
      <c r="L1326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27" spans="2:12" x14ac:dyDescent="0.3">
      <c r="B1327" s="34">
        <v>46248</v>
      </c>
      <c r="C1327" s="34" t="str">
        <f>TEXT(Metas_Diarias[[#This Row],[data]],"dddd")</f>
        <v>sexta-feira</v>
      </c>
      <c r="D1327" s="33">
        <v>1</v>
      </c>
      <c r="E1327" s="33">
        <v>1</v>
      </c>
      <c r="F1327" s="18"/>
      <c r="G1327" s="35">
        <f>WEEKDAY(Metas_Diarias[[#This Row],[data]])</f>
        <v>6</v>
      </c>
      <c r="H1327" s="35">
        <f>IF(Metas_Diarias[[#This Row],[dias_da_demana]]=1,"domingo",IF(Metas_Diarias[[#This Row],[dias_da_demana]]=7,0.5,1))</f>
        <v>1</v>
      </c>
      <c r="I1327" s="35">
        <f>_xlfn.XLOOKUP(Metas_Diarias[[#This Row],[data]],Feriados[Data],Feriados[Feriado],1)</f>
        <v>1</v>
      </c>
      <c r="J1327" s="33" cm="1">
        <f t="array" aca="1" ref="J1327" ca="1">SUMPRODUCT(IF((NOT(ISERROR(MATCH(ROW(INDIRECT(DATE(YEAR(B1327),MONTH(B1327),1)&amp;":"&amp;DATE(YEAR(B1327),MONTH(B1327)+1,0))),Feriados[Data],0))))=FALSE,
IF(WEEKDAY(ROW(INDIRECT(DATE(YEAR(B1327),MONTH(B1327),1)&amp;":"&amp;DATE(YEAR(B1327),MONTH(B1327)+1,0))),2)&lt;=5,1,IF(WEEKDAY(ROW(INDIRECT(DATE(YEAR(B1327),MONTH(B1327),1)&amp;":"&amp;DATE(YEAR(B1327),MONTH(B1327)+1,0))),2)=6,0.5,0)),0))</f>
        <v>23.5</v>
      </c>
      <c r="K1327" s="22" cm="1">
        <f t="array" ref="K1327">_xlfn.XLOOKUP(1,((Metas_Diarias[[#This Row],[tipo_equipe_id]]=Metas[equipe])*(Metas_Diarias[[#This Row],[data]]&gt;Metas[data_inicio])*(Metas_Diarias[[#This Row],[data]]&lt;Metas[data_fim])),Metas[meta_mensal],0)</f>
        <v>168000</v>
      </c>
      <c r="L1327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28" spans="2:12" x14ac:dyDescent="0.3">
      <c r="B1328" s="34">
        <v>46249</v>
      </c>
      <c r="C1328" s="34" t="str">
        <f>TEXT(Metas_Diarias[[#This Row],[data]],"dddd")</f>
        <v>sábado</v>
      </c>
      <c r="D1328" s="33">
        <v>1</v>
      </c>
      <c r="E1328" s="33">
        <v>1</v>
      </c>
      <c r="F1328" s="18"/>
      <c r="G1328" s="35">
        <f>WEEKDAY(Metas_Diarias[[#This Row],[data]])</f>
        <v>7</v>
      </c>
      <c r="H1328" s="35">
        <f>IF(Metas_Diarias[[#This Row],[dias_da_demana]]=1,"domingo",IF(Metas_Diarias[[#This Row],[dias_da_demana]]=7,0.5,1))</f>
        <v>0.5</v>
      </c>
      <c r="I1328" s="35">
        <f>_xlfn.XLOOKUP(Metas_Diarias[[#This Row],[data]],Feriados[Data],Feriados[Feriado],1)</f>
        <v>1</v>
      </c>
      <c r="J1328" s="33" cm="1">
        <f t="array" aca="1" ref="J1328" ca="1">SUMPRODUCT(IF((NOT(ISERROR(MATCH(ROW(INDIRECT(DATE(YEAR(B1328),MONTH(B1328),1)&amp;":"&amp;DATE(YEAR(B1328),MONTH(B1328)+1,0))),Feriados[Data],0))))=FALSE,
IF(WEEKDAY(ROW(INDIRECT(DATE(YEAR(B1328),MONTH(B1328),1)&amp;":"&amp;DATE(YEAR(B1328),MONTH(B1328)+1,0))),2)&lt;=5,1,IF(WEEKDAY(ROW(INDIRECT(DATE(YEAR(B1328),MONTH(B1328),1)&amp;":"&amp;DATE(YEAR(B1328),MONTH(B1328)+1,0))),2)=6,0.5,0)),0))</f>
        <v>23.5</v>
      </c>
      <c r="K1328" s="22" cm="1">
        <f t="array" ref="K1328">_xlfn.XLOOKUP(1,((Metas_Diarias[[#This Row],[tipo_equipe_id]]=Metas[equipe])*(Metas_Diarias[[#This Row],[data]]&gt;Metas[data_inicio])*(Metas_Diarias[[#This Row],[data]]&lt;Metas[data_fim])),Metas[meta_mensal],0)</f>
        <v>168000</v>
      </c>
      <c r="L1328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29" spans="2:12" x14ac:dyDescent="0.3">
      <c r="B1329" s="34">
        <v>46250</v>
      </c>
      <c r="C1329" s="34" t="str">
        <f>TEXT(Metas_Diarias[[#This Row],[data]],"dddd")</f>
        <v>domingo</v>
      </c>
      <c r="D1329" s="33">
        <v>1</v>
      </c>
      <c r="E1329" s="33">
        <v>1</v>
      </c>
      <c r="F1329" s="18"/>
      <c r="G1329" s="35">
        <f>WEEKDAY(Metas_Diarias[[#This Row],[data]])</f>
        <v>1</v>
      </c>
      <c r="H1329" s="35" t="str">
        <f>IF(Metas_Diarias[[#This Row],[dias_da_demana]]=1,"domingo",IF(Metas_Diarias[[#This Row],[dias_da_demana]]=7,0.5,1))</f>
        <v>domingo</v>
      </c>
      <c r="I1329" s="35">
        <f>_xlfn.XLOOKUP(Metas_Diarias[[#This Row],[data]],Feriados[Data],Feriados[Feriado],1)</f>
        <v>1</v>
      </c>
      <c r="J1329" s="33" cm="1">
        <f t="array" aca="1" ref="J1329" ca="1">SUMPRODUCT(IF((NOT(ISERROR(MATCH(ROW(INDIRECT(DATE(YEAR(B1329),MONTH(B1329),1)&amp;":"&amp;DATE(YEAR(B1329),MONTH(B1329)+1,0))),Feriados[Data],0))))=FALSE,
IF(WEEKDAY(ROW(INDIRECT(DATE(YEAR(B1329),MONTH(B1329),1)&amp;":"&amp;DATE(YEAR(B1329),MONTH(B1329)+1,0))),2)&lt;=5,1,IF(WEEKDAY(ROW(INDIRECT(DATE(YEAR(B1329),MONTH(B1329),1)&amp;":"&amp;DATE(YEAR(B1329),MONTH(B1329)+1,0))),2)=6,0.5,0)),0))</f>
        <v>23.5</v>
      </c>
      <c r="K1329" s="22" cm="1">
        <f t="array" ref="K1329">_xlfn.XLOOKUP(1,((Metas_Diarias[[#This Row],[tipo_equipe_id]]=Metas[equipe])*(Metas_Diarias[[#This Row],[data]]&gt;Metas[data_inicio])*(Metas_Diarias[[#This Row],[data]]&lt;Metas[data_fim])),Metas[meta_mensal],0)</f>
        <v>168000</v>
      </c>
      <c r="L132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30" spans="2:12" x14ac:dyDescent="0.3">
      <c r="B1330" s="34">
        <v>46251</v>
      </c>
      <c r="C1330" s="34" t="str">
        <f>TEXT(Metas_Diarias[[#This Row],[data]],"dddd")</f>
        <v>segunda-feira</v>
      </c>
      <c r="D1330" s="33">
        <v>1</v>
      </c>
      <c r="E1330" s="33">
        <v>1</v>
      </c>
      <c r="F1330" s="18"/>
      <c r="G1330" s="35">
        <f>WEEKDAY(Metas_Diarias[[#This Row],[data]])</f>
        <v>2</v>
      </c>
      <c r="H1330" s="35">
        <f>IF(Metas_Diarias[[#This Row],[dias_da_demana]]=1,"domingo",IF(Metas_Diarias[[#This Row],[dias_da_demana]]=7,0.5,1))</f>
        <v>1</v>
      </c>
      <c r="I1330" s="35">
        <f>_xlfn.XLOOKUP(Metas_Diarias[[#This Row],[data]],Feriados[Data],Feriados[Feriado],1)</f>
        <v>1</v>
      </c>
      <c r="J1330" s="33" cm="1">
        <f t="array" aca="1" ref="J1330" ca="1">SUMPRODUCT(IF((NOT(ISERROR(MATCH(ROW(INDIRECT(DATE(YEAR(B1330),MONTH(B1330),1)&amp;":"&amp;DATE(YEAR(B1330),MONTH(B1330)+1,0))),Feriados[Data],0))))=FALSE,
IF(WEEKDAY(ROW(INDIRECT(DATE(YEAR(B1330),MONTH(B1330),1)&amp;":"&amp;DATE(YEAR(B1330),MONTH(B1330)+1,0))),2)&lt;=5,1,IF(WEEKDAY(ROW(INDIRECT(DATE(YEAR(B1330),MONTH(B1330),1)&amp;":"&amp;DATE(YEAR(B1330),MONTH(B1330)+1,0))),2)=6,0.5,0)),0))</f>
        <v>23.5</v>
      </c>
      <c r="K1330" s="22" cm="1">
        <f t="array" ref="K1330">_xlfn.XLOOKUP(1,((Metas_Diarias[[#This Row],[tipo_equipe_id]]=Metas[equipe])*(Metas_Diarias[[#This Row],[data]]&gt;Metas[data_inicio])*(Metas_Diarias[[#This Row],[data]]&lt;Metas[data_fim])),Metas[meta_mensal],0)</f>
        <v>168000</v>
      </c>
      <c r="L133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31" spans="2:12" x14ac:dyDescent="0.3">
      <c r="B1331" s="34">
        <v>46252</v>
      </c>
      <c r="C1331" s="34" t="str">
        <f>TEXT(Metas_Diarias[[#This Row],[data]],"dddd")</f>
        <v>terça-feira</v>
      </c>
      <c r="D1331" s="33">
        <v>1</v>
      </c>
      <c r="E1331" s="33">
        <v>1</v>
      </c>
      <c r="F1331" s="18"/>
      <c r="G1331" s="35">
        <f>WEEKDAY(Metas_Diarias[[#This Row],[data]])</f>
        <v>3</v>
      </c>
      <c r="H1331" s="35">
        <f>IF(Metas_Diarias[[#This Row],[dias_da_demana]]=1,"domingo",IF(Metas_Diarias[[#This Row],[dias_da_demana]]=7,0.5,1))</f>
        <v>1</v>
      </c>
      <c r="I1331" s="35">
        <f>_xlfn.XLOOKUP(Metas_Diarias[[#This Row],[data]],Feriados[Data],Feriados[Feriado],1)</f>
        <v>1</v>
      </c>
      <c r="J1331" s="33" cm="1">
        <f t="array" aca="1" ref="J1331" ca="1">SUMPRODUCT(IF((NOT(ISERROR(MATCH(ROW(INDIRECT(DATE(YEAR(B1331),MONTH(B1331),1)&amp;":"&amp;DATE(YEAR(B1331),MONTH(B1331)+1,0))),Feriados[Data],0))))=FALSE,
IF(WEEKDAY(ROW(INDIRECT(DATE(YEAR(B1331),MONTH(B1331),1)&amp;":"&amp;DATE(YEAR(B1331),MONTH(B1331)+1,0))),2)&lt;=5,1,IF(WEEKDAY(ROW(INDIRECT(DATE(YEAR(B1331),MONTH(B1331),1)&amp;":"&amp;DATE(YEAR(B1331),MONTH(B1331)+1,0))),2)=6,0.5,0)),0))</f>
        <v>23.5</v>
      </c>
      <c r="K1331" s="22" cm="1">
        <f t="array" ref="K1331">_xlfn.XLOOKUP(1,((Metas_Diarias[[#This Row],[tipo_equipe_id]]=Metas[equipe])*(Metas_Diarias[[#This Row],[data]]&gt;Metas[data_inicio])*(Metas_Diarias[[#This Row],[data]]&lt;Metas[data_fim])),Metas[meta_mensal],0)</f>
        <v>168000</v>
      </c>
      <c r="L1331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32" spans="2:12" x14ac:dyDescent="0.3">
      <c r="B1332" s="34">
        <v>46253</v>
      </c>
      <c r="C1332" s="34" t="str">
        <f>TEXT(Metas_Diarias[[#This Row],[data]],"dddd")</f>
        <v>quarta-feira</v>
      </c>
      <c r="D1332" s="33">
        <v>1</v>
      </c>
      <c r="E1332" s="33">
        <v>1</v>
      </c>
      <c r="F1332" s="18"/>
      <c r="G1332" s="35">
        <f>WEEKDAY(Metas_Diarias[[#This Row],[data]])</f>
        <v>4</v>
      </c>
      <c r="H1332" s="35">
        <f>IF(Metas_Diarias[[#This Row],[dias_da_demana]]=1,"domingo",IF(Metas_Diarias[[#This Row],[dias_da_demana]]=7,0.5,1))</f>
        <v>1</v>
      </c>
      <c r="I1332" s="35">
        <f>_xlfn.XLOOKUP(Metas_Diarias[[#This Row],[data]],Feriados[Data],Feriados[Feriado],1)</f>
        <v>1</v>
      </c>
      <c r="J1332" s="33" cm="1">
        <f t="array" aca="1" ref="J1332" ca="1">SUMPRODUCT(IF((NOT(ISERROR(MATCH(ROW(INDIRECT(DATE(YEAR(B1332),MONTH(B1332),1)&amp;":"&amp;DATE(YEAR(B1332),MONTH(B1332)+1,0))),Feriados[Data],0))))=FALSE,
IF(WEEKDAY(ROW(INDIRECT(DATE(YEAR(B1332),MONTH(B1332),1)&amp;":"&amp;DATE(YEAR(B1332),MONTH(B1332)+1,0))),2)&lt;=5,1,IF(WEEKDAY(ROW(INDIRECT(DATE(YEAR(B1332),MONTH(B1332),1)&amp;":"&amp;DATE(YEAR(B1332),MONTH(B1332)+1,0))),2)=6,0.5,0)),0))</f>
        <v>23.5</v>
      </c>
      <c r="K1332" s="22" cm="1">
        <f t="array" ref="K1332">_xlfn.XLOOKUP(1,((Metas_Diarias[[#This Row],[tipo_equipe_id]]=Metas[equipe])*(Metas_Diarias[[#This Row],[data]]&gt;Metas[data_inicio])*(Metas_Diarias[[#This Row],[data]]&lt;Metas[data_fim])),Metas[meta_mensal],0)</f>
        <v>168000</v>
      </c>
      <c r="L1332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33" spans="2:12" x14ac:dyDescent="0.3">
      <c r="B1333" s="34">
        <v>46254</v>
      </c>
      <c r="C1333" s="34" t="str">
        <f>TEXT(Metas_Diarias[[#This Row],[data]],"dddd")</f>
        <v>quinta-feira</v>
      </c>
      <c r="D1333" s="33">
        <v>1</v>
      </c>
      <c r="E1333" s="33">
        <v>1</v>
      </c>
      <c r="F1333" s="18"/>
      <c r="G1333" s="35">
        <f>WEEKDAY(Metas_Diarias[[#This Row],[data]])</f>
        <v>5</v>
      </c>
      <c r="H1333" s="35">
        <f>IF(Metas_Diarias[[#This Row],[dias_da_demana]]=1,"domingo",IF(Metas_Diarias[[#This Row],[dias_da_demana]]=7,0.5,1))</f>
        <v>1</v>
      </c>
      <c r="I1333" s="35">
        <f>_xlfn.XLOOKUP(Metas_Diarias[[#This Row],[data]],Feriados[Data],Feriados[Feriado],1)</f>
        <v>1</v>
      </c>
      <c r="J1333" s="33" cm="1">
        <f t="array" aca="1" ref="J1333" ca="1">SUMPRODUCT(IF((NOT(ISERROR(MATCH(ROW(INDIRECT(DATE(YEAR(B1333),MONTH(B1333),1)&amp;":"&amp;DATE(YEAR(B1333),MONTH(B1333)+1,0))),Feriados[Data],0))))=FALSE,
IF(WEEKDAY(ROW(INDIRECT(DATE(YEAR(B1333),MONTH(B1333),1)&amp;":"&amp;DATE(YEAR(B1333),MONTH(B1333)+1,0))),2)&lt;=5,1,IF(WEEKDAY(ROW(INDIRECT(DATE(YEAR(B1333),MONTH(B1333),1)&amp;":"&amp;DATE(YEAR(B1333),MONTH(B1333)+1,0))),2)=6,0.5,0)),0))</f>
        <v>23.5</v>
      </c>
      <c r="K1333" s="22" cm="1">
        <f t="array" ref="K1333">_xlfn.XLOOKUP(1,((Metas_Diarias[[#This Row],[tipo_equipe_id]]=Metas[equipe])*(Metas_Diarias[[#This Row],[data]]&gt;Metas[data_inicio])*(Metas_Diarias[[#This Row],[data]]&lt;Metas[data_fim])),Metas[meta_mensal],0)</f>
        <v>168000</v>
      </c>
      <c r="L1333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34" spans="2:12" x14ac:dyDescent="0.3">
      <c r="B1334" s="34">
        <v>46255</v>
      </c>
      <c r="C1334" s="34" t="str">
        <f>TEXT(Metas_Diarias[[#This Row],[data]],"dddd")</f>
        <v>sexta-feira</v>
      </c>
      <c r="D1334" s="33">
        <v>1</v>
      </c>
      <c r="E1334" s="33">
        <v>1</v>
      </c>
      <c r="F1334" s="18"/>
      <c r="G1334" s="35">
        <f>WEEKDAY(Metas_Diarias[[#This Row],[data]])</f>
        <v>6</v>
      </c>
      <c r="H1334" s="35">
        <f>IF(Metas_Diarias[[#This Row],[dias_da_demana]]=1,"domingo",IF(Metas_Diarias[[#This Row],[dias_da_demana]]=7,0.5,1))</f>
        <v>1</v>
      </c>
      <c r="I1334" s="35">
        <f>_xlfn.XLOOKUP(Metas_Diarias[[#This Row],[data]],Feriados[Data],Feriados[Feriado],1)</f>
        <v>1</v>
      </c>
      <c r="J1334" s="33" cm="1">
        <f t="array" aca="1" ref="J1334" ca="1">SUMPRODUCT(IF((NOT(ISERROR(MATCH(ROW(INDIRECT(DATE(YEAR(B1334),MONTH(B1334),1)&amp;":"&amp;DATE(YEAR(B1334),MONTH(B1334)+1,0))),Feriados[Data],0))))=FALSE,
IF(WEEKDAY(ROW(INDIRECT(DATE(YEAR(B1334),MONTH(B1334),1)&amp;":"&amp;DATE(YEAR(B1334),MONTH(B1334)+1,0))),2)&lt;=5,1,IF(WEEKDAY(ROW(INDIRECT(DATE(YEAR(B1334),MONTH(B1334),1)&amp;":"&amp;DATE(YEAR(B1334),MONTH(B1334)+1,0))),2)=6,0.5,0)),0))</f>
        <v>23.5</v>
      </c>
      <c r="K1334" s="22" cm="1">
        <f t="array" ref="K1334">_xlfn.XLOOKUP(1,((Metas_Diarias[[#This Row],[tipo_equipe_id]]=Metas[equipe])*(Metas_Diarias[[#This Row],[data]]&gt;Metas[data_inicio])*(Metas_Diarias[[#This Row],[data]]&lt;Metas[data_fim])),Metas[meta_mensal],0)</f>
        <v>168000</v>
      </c>
      <c r="L1334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35" spans="2:12" x14ac:dyDescent="0.3">
      <c r="B1335" s="34">
        <v>46256</v>
      </c>
      <c r="C1335" s="34" t="str">
        <f>TEXT(Metas_Diarias[[#This Row],[data]],"dddd")</f>
        <v>sábado</v>
      </c>
      <c r="D1335" s="33">
        <v>1</v>
      </c>
      <c r="E1335" s="33">
        <v>1</v>
      </c>
      <c r="F1335" s="18"/>
      <c r="G1335" s="35">
        <f>WEEKDAY(Metas_Diarias[[#This Row],[data]])</f>
        <v>7</v>
      </c>
      <c r="H1335" s="35">
        <f>IF(Metas_Diarias[[#This Row],[dias_da_demana]]=1,"domingo",IF(Metas_Diarias[[#This Row],[dias_da_demana]]=7,0.5,1))</f>
        <v>0.5</v>
      </c>
      <c r="I1335" s="35">
        <f>_xlfn.XLOOKUP(Metas_Diarias[[#This Row],[data]],Feriados[Data],Feriados[Feriado],1)</f>
        <v>1</v>
      </c>
      <c r="J1335" s="33" cm="1">
        <f t="array" aca="1" ref="J1335" ca="1">SUMPRODUCT(IF((NOT(ISERROR(MATCH(ROW(INDIRECT(DATE(YEAR(B1335),MONTH(B1335),1)&amp;":"&amp;DATE(YEAR(B1335),MONTH(B1335)+1,0))),Feriados[Data],0))))=FALSE,
IF(WEEKDAY(ROW(INDIRECT(DATE(YEAR(B1335),MONTH(B1335),1)&amp;":"&amp;DATE(YEAR(B1335),MONTH(B1335)+1,0))),2)&lt;=5,1,IF(WEEKDAY(ROW(INDIRECT(DATE(YEAR(B1335),MONTH(B1335),1)&amp;":"&amp;DATE(YEAR(B1335),MONTH(B1335)+1,0))),2)=6,0.5,0)),0))</f>
        <v>23.5</v>
      </c>
      <c r="K1335" s="22" cm="1">
        <f t="array" ref="K1335">_xlfn.XLOOKUP(1,((Metas_Diarias[[#This Row],[tipo_equipe_id]]=Metas[equipe])*(Metas_Diarias[[#This Row],[data]]&gt;Metas[data_inicio])*(Metas_Diarias[[#This Row],[data]]&lt;Metas[data_fim])),Metas[meta_mensal],0)</f>
        <v>168000</v>
      </c>
      <c r="L1335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36" spans="2:12" x14ac:dyDescent="0.3">
      <c r="B1336" s="34">
        <v>46257</v>
      </c>
      <c r="C1336" s="34" t="str">
        <f>TEXT(Metas_Diarias[[#This Row],[data]],"dddd")</f>
        <v>domingo</v>
      </c>
      <c r="D1336" s="33">
        <v>1</v>
      </c>
      <c r="E1336" s="33">
        <v>1</v>
      </c>
      <c r="F1336" s="18"/>
      <c r="G1336" s="35">
        <f>WEEKDAY(Metas_Diarias[[#This Row],[data]])</f>
        <v>1</v>
      </c>
      <c r="H1336" s="35" t="str">
        <f>IF(Metas_Diarias[[#This Row],[dias_da_demana]]=1,"domingo",IF(Metas_Diarias[[#This Row],[dias_da_demana]]=7,0.5,1))</f>
        <v>domingo</v>
      </c>
      <c r="I1336" s="35">
        <f>_xlfn.XLOOKUP(Metas_Diarias[[#This Row],[data]],Feriados[Data],Feriados[Feriado],1)</f>
        <v>1</v>
      </c>
      <c r="J1336" s="33" cm="1">
        <f t="array" aca="1" ref="J1336" ca="1">SUMPRODUCT(IF((NOT(ISERROR(MATCH(ROW(INDIRECT(DATE(YEAR(B1336),MONTH(B1336),1)&amp;":"&amp;DATE(YEAR(B1336),MONTH(B1336)+1,0))),Feriados[Data],0))))=FALSE,
IF(WEEKDAY(ROW(INDIRECT(DATE(YEAR(B1336),MONTH(B1336),1)&amp;":"&amp;DATE(YEAR(B1336),MONTH(B1336)+1,0))),2)&lt;=5,1,IF(WEEKDAY(ROW(INDIRECT(DATE(YEAR(B1336),MONTH(B1336),1)&amp;":"&amp;DATE(YEAR(B1336),MONTH(B1336)+1,0))),2)=6,0.5,0)),0))</f>
        <v>23.5</v>
      </c>
      <c r="K1336" s="22" cm="1">
        <f t="array" ref="K1336">_xlfn.XLOOKUP(1,((Metas_Diarias[[#This Row],[tipo_equipe_id]]=Metas[equipe])*(Metas_Diarias[[#This Row],[data]]&gt;Metas[data_inicio])*(Metas_Diarias[[#This Row],[data]]&lt;Metas[data_fim])),Metas[meta_mensal],0)</f>
        <v>168000</v>
      </c>
      <c r="L133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37" spans="2:12" x14ac:dyDescent="0.3">
      <c r="B1337" s="34">
        <v>46258</v>
      </c>
      <c r="C1337" s="34" t="str">
        <f>TEXT(Metas_Diarias[[#This Row],[data]],"dddd")</f>
        <v>segunda-feira</v>
      </c>
      <c r="D1337" s="33">
        <v>1</v>
      </c>
      <c r="E1337" s="33">
        <v>1</v>
      </c>
      <c r="F1337" s="18"/>
      <c r="G1337" s="35">
        <f>WEEKDAY(Metas_Diarias[[#This Row],[data]])</f>
        <v>2</v>
      </c>
      <c r="H1337" s="35">
        <f>IF(Metas_Diarias[[#This Row],[dias_da_demana]]=1,"domingo",IF(Metas_Diarias[[#This Row],[dias_da_demana]]=7,0.5,1))</f>
        <v>1</v>
      </c>
      <c r="I1337" s="35">
        <f>_xlfn.XLOOKUP(Metas_Diarias[[#This Row],[data]],Feriados[Data],Feriados[Feriado],1)</f>
        <v>1</v>
      </c>
      <c r="J1337" s="33" cm="1">
        <f t="array" aca="1" ref="J1337" ca="1">SUMPRODUCT(IF((NOT(ISERROR(MATCH(ROW(INDIRECT(DATE(YEAR(B1337),MONTH(B1337),1)&amp;":"&amp;DATE(YEAR(B1337),MONTH(B1337)+1,0))),Feriados[Data],0))))=FALSE,
IF(WEEKDAY(ROW(INDIRECT(DATE(YEAR(B1337),MONTH(B1337),1)&amp;":"&amp;DATE(YEAR(B1337),MONTH(B1337)+1,0))),2)&lt;=5,1,IF(WEEKDAY(ROW(INDIRECT(DATE(YEAR(B1337),MONTH(B1337),1)&amp;":"&amp;DATE(YEAR(B1337),MONTH(B1337)+1,0))),2)=6,0.5,0)),0))</f>
        <v>23.5</v>
      </c>
      <c r="K1337" s="22" cm="1">
        <f t="array" ref="K1337">_xlfn.XLOOKUP(1,((Metas_Diarias[[#This Row],[tipo_equipe_id]]=Metas[equipe])*(Metas_Diarias[[#This Row],[data]]&gt;Metas[data_inicio])*(Metas_Diarias[[#This Row],[data]]&lt;Metas[data_fim])),Metas[meta_mensal],0)</f>
        <v>168000</v>
      </c>
      <c r="L1337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38" spans="2:12" x14ac:dyDescent="0.3">
      <c r="B1338" s="34">
        <v>46259</v>
      </c>
      <c r="C1338" s="34" t="str">
        <f>TEXT(Metas_Diarias[[#This Row],[data]],"dddd")</f>
        <v>terça-feira</v>
      </c>
      <c r="D1338" s="33">
        <v>1</v>
      </c>
      <c r="E1338" s="33">
        <v>1</v>
      </c>
      <c r="F1338" s="18"/>
      <c r="G1338" s="35">
        <f>WEEKDAY(Metas_Diarias[[#This Row],[data]])</f>
        <v>3</v>
      </c>
      <c r="H1338" s="35">
        <f>IF(Metas_Diarias[[#This Row],[dias_da_demana]]=1,"domingo",IF(Metas_Diarias[[#This Row],[dias_da_demana]]=7,0.5,1))</f>
        <v>1</v>
      </c>
      <c r="I1338" s="35">
        <f>_xlfn.XLOOKUP(Metas_Diarias[[#This Row],[data]],Feriados[Data],Feriados[Feriado],1)</f>
        <v>1</v>
      </c>
      <c r="J1338" s="33" cm="1">
        <f t="array" aca="1" ref="J1338" ca="1">SUMPRODUCT(IF((NOT(ISERROR(MATCH(ROW(INDIRECT(DATE(YEAR(B1338),MONTH(B1338),1)&amp;":"&amp;DATE(YEAR(B1338),MONTH(B1338)+1,0))),Feriados[Data],0))))=FALSE,
IF(WEEKDAY(ROW(INDIRECT(DATE(YEAR(B1338),MONTH(B1338),1)&amp;":"&amp;DATE(YEAR(B1338),MONTH(B1338)+1,0))),2)&lt;=5,1,IF(WEEKDAY(ROW(INDIRECT(DATE(YEAR(B1338),MONTH(B1338),1)&amp;":"&amp;DATE(YEAR(B1338),MONTH(B1338)+1,0))),2)=6,0.5,0)),0))</f>
        <v>23.5</v>
      </c>
      <c r="K1338" s="22" cm="1">
        <f t="array" ref="K1338">_xlfn.XLOOKUP(1,((Metas_Diarias[[#This Row],[tipo_equipe_id]]=Metas[equipe])*(Metas_Diarias[[#This Row],[data]]&gt;Metas[data_inicio])*(Metas_Diarias[[#This Row],[data]]&lt;Metas[data_fim])),Metas[meta_mensal],0)</f>
        <v>168000</v>
      </c>
      <c r="L1338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39" spans="2:12" x14ac:dyDescent="0.3">
      <c r="B1339" s="34">
        <v>46260</v>
      </c>
      <c r="C1339" s="34" t="str">
        <f>TEXT(Metas_Diarias[[#This Row],[data]],"dddd")</f>
        <v>quarta-feira</v>
      </c>
      <c r="D1339" s="33">
        <v>1</v>
      </c>
      <c r="E1339" s="33">
        <v>1</v>
      </c>
      <c r="F1339" s="18"/>
      <c r="G1339" s="35">
        <f>WEEKDAY(Metas_Diarias[[#This Row],[data]])</f>
        <v>4</v>
      </c>
      <c r="H1339" s="35">
        <f>IF(Metas_Diarias[[#This Row],[dias_da_demana]]=1,"domingo",IF(Metas_Diarias[[#This Row],[dias_da_demana]]=7,0.5,1))</f>
        <v>1</v>
      </c>
      <c r="I1339" s="35">
        <f>_xlfn.XLOOKUP(Metas_Diarias[[#This Row],[data]],Feriados[Data],Feriados[Feriado],1)</f>
        <v>1</v>
      </c>
      <c r="J1339" s="33" cm="1">
        <f t="array" aca="1" ref="J1339" ca="1">SUMPRODUCT(IF((NOT(ISERROR(MATCH(ROW(INDIRECT(DATE(YEAR(B1339),MONTH(B1339),1)&amp;":"&amp;DATE(YEAR(B1339),MONTH(B1339)+1,0))),Feriados[Data],0))))=FALSE,
IF(WEEKDAY(ROW(INDIRECT(DATE(YEAR(B1339),MONTH(B1339),1)&amp;":"&amp;DATE(YEAR(B1339),MONTH(B1339)+1,0))),2)&lt;=5,1,IF(WEEKDAY(ROW(INDIRECT(DATE(YEAR(B1339),MONTH(B1339),1)&amp;":"&amp;DATE(YEAR(B1339),MONTH(B1339)+1,0))),2)=6,0.5,0)),0))</f>
        <v>23.5</v>
      </c>
      <c r="K1339" s="22" cm="1">
        <f t="array" ref="K1339">_xlfn.XLOOKUP(1,((Metas_Diarias[[#This Row],[tipo_equipe_id]]=Metas[equipe])*(Metas_Diarias[[#This Row],[data]]&gt;Metas[data_inicio])*(Metas_Diarias[[#This Row],[data]]&lt;Metas[data_fim])),Metas[meta_mensal],0)</f>
        <v>168000</v>
      </c>
      <c r="L1339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40" spans="2:12" x14ac:dyDescent="0.3">
      <c r="B1340" s="34">
        <v>46261</v>
      </c>
      <c r="C1340" s="34" t="str">
        <f>TEXT(Metas_Diarias[[#This Row],[data]],"dddd")</f>
        <v>quinta-feira</v>
      </c>
      <c r="D1340" s="33">
        <v>1</v>
      </c>
      <c r="E1340" s="33">
        <v>1</v>
      </c>
      <c r="F1340" s="18"/>
      <c r="G1340" s="35">
        <f>WEEKDAY(Metas_Diarias[[#This Row],[data]])</f>
        <v>5</v>
      </c>
      <c r="H1340" s="35">
        <f>IF(Metas_Diarias[[#This Row],[dias_da_demana]]=1,"domingo",IF(Metas_Diarias[[#This Row],[dias_da_demana]]=7,0.5,1))</f>
        <v>1</v>
      </c>
      <c r="I1340" s="35">
        <f>_xlfn.XLOOKUP(Metas_Diarias[[#This Row],[data]],Feriados[Data],Feriados[Feriado],1)</f>
        <v>1</v>
      </c>
      <c r="J1340" s="33" cm="1">
        <f t="array" aca="1" ref="J1340" ca="1">SUMPRODUCT(IF((NOT(ISERROR(MATCH(ROW(INDIRECT(DATE(YEAR(B1340),MONTH(B1340),1)&amp;":"&amp;DATE(YEAR(B1340),MONTH(B1340)+1,0))),Feriados[Data],0))))=FALSE,
IF(WEEKDAY(ROW(INDIRECT(DATE(YEAR(B1340),MONTH(B1340),1)&amp;":"&amp;DATE(YEAR(B1340),MONTH(B1340)+1,0))),2)&lt;=5,1,IF(WEEKDAY(ROW(INDIRECT(DATE(YEAR(B1340),MONTH(B1340),1)&amp;":"&amp;DATE(YEAR(B1340),MONTH(B1340)+1,0))),2)=6,0.5,0)),0))</f>
        <v>23.5</v>
      </c>
      <c r="K1340" s="22" cm="1">
        <f t="array" ref="K1340">_xlfn.XLOOKUP(1,((Metas_Diarias[[#This Row],[tipo_equipe_id]]=Metas[equipe])*(Metas_Diarias[[#This Row],[data]]&gt;Metas[data_inicio])*(Metas_Diarias[[#This Row],[data]]&lt;Metas[data_fim])),Metas[meta_mensal],0)</f>
        <v>168000</v>
      </c>
      <c r="L134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41" spans="2:12" x14ac:dyDescent="0.3">
      <c r="B1341" s="34">
        <v>46262</v>
      </c>
      <c r="C1341" s="34" t="str">
        <f>TEXT(Metas_Diarias[[#This Row],[data]],"dddd")</f>
        <v>sexta-feira</v>
      </c>
      <c r="D1341" s="33">
        <v>1</v>
      </c>
      <c r="E1341" s="33">
        <v>1</v>
      </c>
      <c r="F1341" s="18"/>
      <c r="G1341" s="35">
        <f>WEEKDAY(Metas_Diarias[[#This Row],[data]])</f>
        <v>6</v>
      </c>
      <c r="H1341" s="35">
        <f>IF(Metas_Diarias[[#This Row],[dias_da_demana]]=1,"domingo",IF(Metas_Diarias[[#This Row],[dias_da_demana]]=7,0.5,1))</f>
        <v>1</v>
      </c>
      <c r="I1341" s="35">
        <f>_xlfn.XLOOKUP(Metas_Diarias[[#This Row],[data]],Feriados[Data],Feriados[Feriado],1)</f>
        <v>1</v>
      </c>
      <c r="J1341" s="33" cm="1">
        <f t="array" aca="1" ref="J1341" ca="1">SUMPRODUCT(IF((NOT(ISERROR(MATCH(ROW(INDIRECT(DATE(YEAR(B1341),MONTH(B1341),1)&amp;":"&amp;DATE(YEAR(B1341),MONTH(B1341)+1,0))),Feriados[Data],0))))=FALSE,
IF(WEEKDAY(ROW(INDIRECT(DATE(YEAR(B1341),MONTH(B1341),1)&amp;":"&amp;DATE(YEAR(B1341),MONTH(B1341)+1,0))),2)&lt;=5,1,IF(WEEKDAY(ROW(INDIRECT(DATE(YEAR(B1341),MONTH(B1341),1)&amp;":"&amp;DATE(YEAR(B1341),MONTH(B1341)+1,0))),2)=6,0.5,0)),0))</f>
        <v>23.5</v>
      </c>
      <c r="K1341" s="22" cm="1">
        <f t="array" ref="K1341">_xlfn.XLOOKUP(1,((Metas_Diarias[[#This Row],[tipo_equipe_id]]=Metas[equipe])*(Metas_Diarias[[#This Row],[data]]&gt;Metas[data_inicio])*(Metas_Diarias[[#This Row],[data]]&lt;Metas[data_fim])),Metas[meta_mensal],0)</f>
        <v>168000</v>
      </c>
      <c r="L1341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42" spans="2:12" x14ac:dyDescent="0.3">
      <c r="B1342" s="34">
        <v>46263</v>
      </c>
      <c r="C1342" s="34" t="str">
        <f>TEXT(Metas_Diarias[[#This Row],[data]],"dddd")</f>
        <v>sábado</v>
      </c>
      <c r="D1342" s="33">
        <v>1</v>
      </c>
      <c r="E1342" s="33">
        <v>1</v>
      </c>
      <c r="F1342" s="18"/>
      <c r="G1342" s="35">
        <f>WEEKDAY(Metas_Diarias[[#This Row],[data]])</f>
        <v>7</v>
      </c>
      <c r="H1342" s="35">
        <f>IF(Metas_Diarias[[#This Row],[dias_da_demana]]=1,"domingo",IF(Metas_Diarias[[#This Row],[dias_da_demana]]=7,0.5,1))</f>
        <v>0.5</v>
      </c>
      <c r="I1342" s="35">
        <f>_xlfn.XLOOKUP(Metas_Diarias[[#This Row],[data]],Feriados[Data],Feriados[Feriado],1)</f>
        <v>1</v>
      </c>
      <c r="J1342" s="33" cm="1">
        <f t="array" aca="1" ref="J1342" ca="1">SUMPRODUCT(IF((NOT(ISERROR(MATCH(ROW(INDIRECT(DATE(YEAR(B1342),MONTH(B1342),1)&amp;":"&amp;DATE(YEAR(B1342),MONTH(B1342)+1,0))),Feriados[Data],0))))=FALSE,
IF(WEEKDAY(ROW(INDIRECT(DATE(YEAR(B1342),MONTH(B1342),1)&amp;":"&amp;DATE(YEAR(B1342),MONTH(B1342)+1,0))),2)&lt;=5,1,IF(WEEKDAY(ROW(INDIRECT(DATE(YEAR(B1342),MONTH(B1342),1)&amp;":"&amp;DATE(YEAR(B1342),MONTH(B1342)+1,0))),2)=6,0.5,0)),0))</f>
        <v>23.5</v>
      </c>
      <c r="K1342" s="22" cm="1">
        <f t="array" ref="K1342">_xlfn.XLOOKUP(1,((Metas_Diarias[[#This Row],[tipo_equipe_id]]=Metas[equipe])*(Metas_Diarias[[#This Row],[data]]&gt;Metas[data_inicio])*(Metas_Diarias[[#This Row],[data]]&lt;Metas[data_fim])),Metas[meta_mensal],0)</f>
        <v>168000</v>
      </c>
      <c r="L1342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43" spans="2:12" x14ac:dyDescent="0.3">
      <c r="B1343" s="34">
        <v>46264</v>
      </c>
      <c r="C1343" s="34" t="str">
        <f>TEXT(Metas_Diarias[[#This Row],[data]],"dddd")</f>
        <v>domingo</v>
      </c>
      <c r="D1343" s="33">
        <v>1</v>
      </c>
      <c r="E1343" s="33">
        <v>1</v>
      </c>
      <c r="F1343" s="18"/>
      <c r="G1343" s="35">
        <f>WEEKDAY(Metas_Diarias[[#This Row],[data]])</f>
        <v>1</v>
      </c>
      <c r="H1343" s="35" t="str">
        <f>IF(Metas_Diarias[[#This Row],[dias_da_demana]]=1,"domingo",IF(Metas_Diarias[[#This Row],[dias_da_demana]]=7,0.5,1))</f>
        <v>domingo</v>
      </c>
      <c r="I1343" s="35">
        <f>_xlfn.XLOOKUP(Metas_Diarias[[#This Row],[data]],Feriados[Data],Feriados[Feriado],1)</f>
        <v>1</v>
      </c>
      <c r="J1343" s="33" cm="1">
        <f t="array" aca="1" ref="J1343" ca="1">SUMPRODUCT(IF((NOT(ISERROR(MATCH(ROW(INDIRECT(DATE(YEAR(B1343),MONTH(B1343),1)&amp;":"&amp;DATE(YEAR(B1343),MONTH(B1343)+1,0))),Feriados[Data],0))))=FALSE,
IF(WEEKDAY(ROW(INDIRECT(DATE(YEAR(B1343),MONTH(B1343),1)&amp;":"&amp;DATE(YEAR(B1343),MONTH(B1343)+1,0))),2)&lt;=5,1,IF(WEEKDAY(ROW(INDIRECT(DATE(YEAR(B1343),MONTH(B1343),1)&amp;":"&amp;DATE(YEAR(B1343),MONTH(B1343)+1,0))),2)=6,0.5,0)),0))</f>
        <v>23.5</v>
      </c>
      <c r="K1343" s="22" cm="1">
        <f t="array" ref="K1343">_xlfn.XLOOKUP(1,((Metas_Diarias[[#This Row],[tipo_equipe_id]]=Metas[equipe])*(Metas_Diarias[[#This Row],[data]]&gt;Metas[data_inicio])*(Metas_Diarias[[#This Row],[data]]&lt;Metas[data_fim])),Metas[meta_mensal],0)</f>
        <v>168000</v>
      </c>
      <c r="L13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44" spans="2:12" x14ac:dyDescent="0.3">
      <c r="B1344" s="34">
        <v>46265</v>
      </c>
      <c r="C1344" s="34" t="str">
        <f>TEXT(Metas_Diarias[[#This Row],[data]],"dddd")</f>
        <v>segunda-feira</v>
      </c>
      <c r="D1344" s="33">
        <v>1</v>
      </c>
      <c r="E1344" s="33">
        <v>1</v>
      </c>
      <c r="F1344" s="18"/>
      <c r="G1344" s="35">
        <f>WEEKDAY(Metas_Diarias[[#This Row],[data]])</f>
        <v>2</v>
      </c>
      <c r="H1344" s="35">
        <f>IF(Metas_Diarias[[#This Row],[dias_da_demana]]=1,"domingo",IF(Metas_Diarias[[#This Row],[dias_da_demana]]=7,0.5,1))</f>
        <v>1</v>
      </c>
      <c r="I1344" s="35">
        <f>_xlfn.XLOOKUP(Metas_Diarias[[#This Row],[data]],Feriados[Data],Feriados[Feriado],1)</f>
        <v>1</v>
      </c>
      <c r="J1344" s="33" cm="1">
        <f t="array" aca="1" ref="J1344" ca="1">SUMPRODUCT(IF((NOT(ISERROR(MATCH(ROW(INDIRECT(DATE(YEAR(B1344),MONTH(B1344),1)&amp;":"&amp;DATE(YEAR(B1344),MONTH(B1344)+1,0))),Feriados[Data],0))))=FALSE,
IF(WEEKDAY(ROW(INDIRECT(DATE(YEAR(B1344),MONTH(B1344),1)&amp;":"&amp;DATE(YEAR(B1344),MONTH(B1344)+1,0))),2)&lt;=5,1,IF(WEEKDAY(ROW(INDIRECT(DATE(YEAR(B1344),MONTH(B1344),1)&amp;":"&amp;DATE(YEAR(B1344),MONTH(B1344)+1,0))),2)=6,0.5,0)),0))</f>
        <v>23.5</v>
      </c>
      <c r="K1344" s="22" cm="1">
        <f t="array" ref="K1344">_xlfn.XLOOKUP(1,((Metas_Diarias[[#This Row],[tipo_equipe_id]]=Metas[equipe])*(Metas_Diarias[[#This Row],[data]]&gt;Metas[data_inicio])*(Metas_Diarias[[#This Row],[data]]&lt;Metas[data_fim])),Metas[meta_mensal],0)</f>
        <v>168000</v>
      </c>
      <c r="L1344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45" spans="2:12" x14ac:dyDescent="0.3">
      <c r="B1345" s="34">
        <v>46266</v>
      </c>
      <c r="C1345" s="34" t="str">
        <f>TEXT(Metas_Diarias[[#This Row],[data]],"dddd")</f>
        <v>terça-feira</v>
      </c>
      <c r="D1345" s="33">
        <v>1</v>
      </c>
      <c r="E1345" s="33">
        <v>1</v>
      </c>
      <c r="F1345" s="18"/>
      <c r="G1345" s="35">
        <f>WEEKDAY(Metas_Diarias[[#This Row],[data]])</f>
        <v>3</v>
      </c>
      <c r="H1345" s="35">
        <f>IF(Metas_Diarias[[#This Row],[dias_da_demana]]=1,"domingo",IF(Metas_Diarias[[#This Row],[dias_da_demana]]=7,0.5,1))</f>
        <v>1</v>
      </c>
      <c r="I1345" s="35">
        <f>_xlfn.XLOOKUP(Metas_Diarias[[#This Row],[data]],Feriados[Data],Feriados[Feriado],1)</f>
        <v>1</v>
      </c>
      <c r="J1345" s="33" cm="1">
        <f t="array" aca="1" ref="J1345" ca="1">SUMPRODUCT(IF((NOT(ISERROR(MATCH(ROW(INDIRECT(DATE(YEAR(B1345),MONTH(B1345),1)&amp;":"&amp;DATE(YEAR(B1345),MONTH(B1345)+1,0))),Feriados[Data],0))))=FALSE,
IF(WEEKDAY(ROW(INDIRECT(DATE(YEAR(B1345),MONTH(B1345),1)&amp;":"&amp;DATE(YEAR(B1345),MONTH(B1345)+1,0))),2)&lt;=5,1,IF(WEEKDAY(ROW(INDIRECT(DATE(YEAR(B1345),MONTH(B1345),1)&amp;":"&amp;DATE(YEAR(B1345),MONTH(B1345)+1,0))),2)=6,0.5,0)),0))</f>
        <v>23</v>
      </c>
      <c r="K1345" s="22" cm="1">
        <f t="array" ref="K1345">_xlfn.XLOOKUP(1,((Metas_Diarias[[#This Row],[tipo_equipe_id]]=Metas[equipe])*(Metas_Diarias[[#This Row],[data]]&gt;Metas[data_inicio])*(Metas_Diarias[[#This Row],[data]]&lt;Metas[data_fim])),Metas[meta_mensal],0)</f>
        <v>168000</v>
      </c>
      <c r="L1345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46" spans="2:12" x14ac:dyDescent="0.3">
      <c r="B1346" s="34">
        <v>46267</v>
      </c>
      <c r="C1346" s="34" t="str">
        <f>TEXT(Metas_Diarias[[#This Row],[data]],"dddd")</f>
        <v>quarta-feira</v>
      </c>
      <c r="D1346" s="33">
        <v>1</v>
      </c>
      <c r="E1346" s="33">
        <v>1</v>
      </c>
      <c r="F1346" s="18"/>
      <c r="G1346" s="35">
        <f>WEEKDAY(Metas_Diarias[[#This Row],[data]])</f>
        <v>4</v>
      </c>
      <c r="H1346" s="35">
        <f>IF(Metas_Diarias[[#This Row],[dias_da_demana]]=1,"domingo",IF(Metas_Diarias[[#This Row],[dias_da_demana]]=7,0.5,1))</f>
        <v>1</v>
      </c>
      <c r="I1346" s="35">
        <f>_xlfn.XLOOKUP(Metas_Diarias[[#This Row],[data]],Feriados[Data],Feriados[Feriado],1)</f>
        <v>1</v>
      </c>
      <c r="J1346" s="33" cm="1">
        <f t="array" aca="1" ref="J1346" ca="1">SUMPRODUCT(IF((NOT(ISERROR(MATCH(ROW(INDIRECT(DATE(YEAR(B1346),MONTH(B1346),1)&amp;":"&amp;DATE(YEAR(B1346),MONTH(B1346)+1,0))),Feriados[Data],0))))=FALSE,
IF(WEEKDAY(ROW(INDIRECT(DATE(YEAR(B1346),MONTH(B1346),1)&amp;":"&amp;DATE(YEAR(B1346),MONTH(B1346)+1,0))),2)&lt;=5,1,IF(WEEKDAY(ROW(INDIRECT(DATE(YEAR(B1346),MONTH(B1346),1)&amp;":"&amp;DATE(YEAR(B1346),MONTH(B1346)+1,0))),2)=6,0.5,0)),0))</f>
        <v>23</v>
      </c>
      <c r="K1346" s="22" cm="1">
        <f t="array" ref="K1346">_xlfn.XLOOKUP(1,((Metas_Diarias[[#This Row],[tipo_equipe_id]]=Metas[equipe])*(Metas_Diarias[[#This Row],[data]]&gt;Metas[data_inicio])*(Metas_Diarias[[#This Row],[data]]&lt;Metas[data_fim])),Metas[meta_mensal],0)</f>
        <v>168000</v>
      </c>
      <c r="L1346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47" spans="2:12" x14ac:dyDescent="0.3">
      <c r="B1347" s="34">
        <v>46268</v>
      </c>
      <c r="C1347" s="34" t="str">
        <f>TEXT(Metas_Diarias[[#This Row],[data]],"dddd")</f>
        <v>quinta-feira</v>
      </c>
      <c r="D1347" s="33">
        <v>1</v>
      </c>
      <c r="E1347" s="33">
        <v>1</v>
      </c>
      <c r="F1347" s="18"/>
      <c r="G1347" s="35">
        <f>WEEKDAY(Metas_Diarias[[#This Row],[data]])</f>
        <v>5</v>
      </c>
      <c r="H1347" s="35">
        <f>IF(Metas_Diarias[[#This Row],[dias_da_demana]]=1,"domingo",IF(Metas_Diarias[[#This Row],[dias_da_demana]]=7,0.5,1))</f>
        <v>1</v>
      </c>
      <c r="I1347" s="35">
        <f>_xlfn.XLOOKUP(Metas_Diarias[[#This Row],[data]],Feriados[Data],Feriados[Feriado],1)</f>
        <v>1</v>
      </c>
      <c r="J1347" s="33" cm="1">
        <f t="array" aca="1" ref="J1347" ca="1">SUMPRODUCT(IF((NOT(ISERROR(MATCH(ROW(INDIRECT(DATE(YEAR(B1347),MONTH(B1347),1)&amp;":"&amp;DATE(YEAR(B1347),MONTH(B1347)+1,0))),Feriados[Data],0))))=FALSE,
IF(WEEKDAY(ROW(INDIRECT(DATE(YEAR(B1347),MONTH(B1347),1)&amp;":"&amp;DATE(YEAR(B1347),MONTH(B1347)+1,0))),2)&lt;=5,1,IF(WEEKDAY(ROW(INDIRECT(DATE(YEAR(B1347),MONTH(B1347),1)&amp;":"&amp;DATE(YEAR(B1347),MONTH(B1347)+1,0))),2)=6,0.5,0)),0))</f>
        <v>23</v>
      </c>
      <c r="K1347" s="22" cm="1">
        <f t="array" ref="K1347">_xlfn.XLOOKUP(1,((Metas_Diarias[[#This Row],[tipo_equipe_id]]=Metas[equipe])*(Metas_Diarias[[#This Row],[data]]&gt;Metas[data_inicio])*(Metas_Diarias[[#This Row],[data]]&lt;Metas[data_fim])),Metas[meta_mensal],0)</f>
        <v>168000</v>
      </c>
      <c r="L1347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48" spans="2:12" x14ac:dyDescent="0.3">
      <c r="B1348" s="34">
        <v>46269</v>
      </c>
      <c r="C1348" s="34" t="str">
        <f>TEXT(Metas_Diarias[[#This Row],[data]],"dddd")</f>
        <v>sexta-feira</v>
      </c>
      <c r="D1348" s="33">
        <v>1</v>
      </c>
      <c r="E1348" s="33">
        <v>1</v>
      </c>
      <c r="F1348" s="18"/>
      <c r="G1348" s="35">
        <f>WEEKDAY(Metas_Diarias[[#This Row],[data]])</f>
        <v>6</v>
      </c>
      <c r="H1348" s="35">
        <f>IF(Metas_Diarias[[#This Row],[dias_da_demana]]=1,"domingo",IF(Metas_Diarias[[#This Row],[dias_da_demana]]=7,0.5,1))</f>
        <v>1</v>
      </c>
      <c r="I1348" s="35">
        <f>_xlfn.XLOOKUP(Metas_Diarias[[#This Row],[data]],Feriados[Data],Feriados[Feriado],1)</f>
        <v>1</v>
      </c>
      <c r="J1348" s="33" cm="1">
        <f t="array" aca="1" ref="J1348" ca="1">SUMPRODUCT(IF((NOT(ISERROR(MATCH(ROW(INDIRECT(DATE(YEAR(B1348),MONTH(B1348),1)&amp;":"&amp;DATE(YEAR(B1348),MONTH(B1348)+1,0))),Feriados[Data],0))))=FALSE,
IF(WEEKDAY(ROW(INDIRECT(DATE(YEAR(B1348),MONTH(B1348),1)&amp;":"&amp;DATE(YEAR(B1348),MONTH(B1348)+1,0))),2)&lt;=5,1,IF(WEEKDAY(ROW(INDIRECT(DATE(YEAR(B1348),MONTH(B1348),1)&amp;":"&amp;DATE(YEAR(B1348),MONTH(B1348)+1,0))),2)=6,0.5,0)),0))</f>
        <v>23</v>
      </c>
      <c r="K1348" s="22" cm="1">
        <f t="array" ref="K1348">_xlfn.XLOOKUP(1,((Metas_Diarias[[#This Row],[tipo_equipe_id]]=Metas[equipe])*(Metas_Diarias[[#This Row],[data]]&gt;Metas[data_inicio])*(Metas_Diarias[[#This Row],[data]]&lt;Metas[data_fim])),Metas[meta_mensal],0)</f>
        <v>168000</v>
      </c>
      <c r="L1348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49" spans="2:12" x14ac:dyDescent="0.3">
      <c r="B1349" s="34">
        <v>46270</v>
      </c>
      <c r="C1349" s="34" t="str">
        <f>TEXT(Metas_Diarias[[#This Row],[data]],"dddd")</f>
        <v>sábado</v>
      </c>
      <c r="D1349" s="33">
        <v>1</v>
      </c>
      <c r="E1349" s="33">
        <v>1</v>
      </c>
      <c r="F1349" s="18"/>
      <c r="G1349" s="35">
        <f>WEEKDAY(Metas_Diarias[[#This Row],[data]])</f>
        <v>7</v>
      </c>
      <c r="H1349" s="35">
        <f>IF(Metas_Diarias[[#This Row],[dias_da_demana]]=1,"domingo",IF(Metas_Diarias[[#This Row],[dias_da_demana]]=7,0.5,1))</f>
        <v>0.5</v>
      </c>
      <c r="I1349" s="35">
        <f>_xlfn.XLOOKUP(Metas_Diarias[[#This Row],[data]],Feriados[Data],Feriados[Feriado],1)</f>
        <v>1</v>
      </c>
      <c r="J1349" s="33" cm="1">
        <f t="array" aca="1" ref="J1349" ca="1">SUMPRODUCT(IF((NOT(ISERROR(MATCH(ROW(INDIRECT(DATE(YEAR(B1349),MONTH(B1349),1)&amp;":"&amp;DATE(YEAR(B1349),MONTH(B1349)+1,0))),Feriados[Data],0))))=FALSE,
IF(WEEKDAY(ROW(INDIRECT(DATE(YEAR(B1349),MONTH(B1349),1)&amp;":"&amp;DATE(YEAR(B1349),MONTH(B1349)+1,0))),2)&lt;=5,1,IF(WEEKDAY(ROW(INDIRECT(DATE(YEAR(B1349),MONTH(B1349),1)&amp;":"&amp;DATE(YEAR(B1349),MONTH(B1349)+1,0))),2)=6,0.5,0)),0))</f>
        <v>23</v>
      </c>
      <c r="K1349" s="22" cm="1">
        <f t="array" ref="K1349">_xlfn.XLOOKUP(1,((Metas_Diarias[[#This Row],[tipo_equipe_id]]=Metas[equipe])*(Metas_Diarias[[#This Row],[data]]&gt;Metas[data_inicio])*(Metas_Diarias[[#This Row],[data]]&lt;Metas[data_fim])),Metas[meta_mensal],0)</f>
        <v>168000</v>
      </c>
      <c r="L1349" s="24">
        <f ca="1">Metas_Diarias[[#This Row],[meta_mensal]]*IF(Metas_Diarias[[#This Row],[semana]]="domingo",0,Metas_Diarias[[#This Row],[semana]])*IF(Metas_Diarias[[#This Row],[feriado]]&lt;&gt;1,0,1)/Metas_Diarias[[#This Row],[dias_úteis_Mês]]</f>
        <v>3652.1739130434785</v>
      </c>
    </row>
    <row r="1350" spans="2:12" x14ac:dyDescent="0.3">
      <c r="B1350" s="34">
        <v>46271</v>
      </c>
      <c r="C1350" s="34" t="str">
        <f>TEXT(Metas_Diarias[[#This Row],[data]],"dddd")</f>
        <v>domingo</v>
      </c>
      <c r="D1350" s="33">
        <v>1</v>
      </c>
      <c r="E1350" s="33">
        <v>1</v>
      </c>
      <c r="F1350" s="18"/>
      <c r="G1350" s="35">
        <f>WEEKDAY(Metas_Diarias[[#This Row],[data]])</f>
        <v>1</v>
      </c>
      <c r="H1350" s="35" t="str">
        <f>IF(Metas_Diarias[[#This Row],[dias_da_demana]]=1,"domingo",IF(Metas_Diarias[[#This Row],[dias_da_demana]]=7,0.5,1))</f>
        <v>domingo</v>
      </c>
      <c r="I1350" s="35">
        <f>_xlfn.XLOOKUP(Metas_Diarias[[#This Row],[data]],Feriados[Data],Feriados[Feriado],1)</f>
        <v>1</v>
      </c>
      <c r="J1350" s="33" cm="1">
        <f t="array" aca="1" ref="J1350" ca="1">SUMPRODUCT(IF((NOT(ISERROR(MATCH(ROW(INDIRECT(DATE(YEAR(B1350),MONTH(B1350),1)&amp;":"&amp;DATE(YEAR(B1350),MONTH(B1350)+1,0))),Feriados[Data],0))))=FALSE,
IF(WEEKDAY(ROW(INDIRECT(DATE(YEAR(B1350),MONTH(B1350),1)&amp;":"&amp;DATE(YEAR(B1350),MONTH(B1350)+1,0))),2)&lt;=5,1,IF(WEEKDAY(ROW(INDIRECT(DATE(YEAR(B1350),MONTH(B1350),1)&amp;":"&amp;DATE(YEAR(B1350),MONTH(B1350)+1,0))),2)=6,0.5,0)),0))</f>
        <v>23</v>
      </c>
      <c r="K1350" s="22" cm="1">
        <f t="array" ref="K1350">_xlfn.XLOOKUP(1,((Metas_Diarias[[#This Row],[tipo_equipe_id]]=Metas[equipe])*(Metas_Diarias[[#This Row],[data]]&gt;Metas[data_inicio])*(Metas_Diarias[[#This Row],[data]]&lt;Metas[data_fim])),Metas[meta_mensal],0)</f>
        <v>168000</v>
      </c>
      <c r="L135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51" spans="2:12" x14ac:dyDescent="0.3">
      <c r="B1351" s="34">
        <v>46272</v>
      </c>
      <c r="C1351" s="34" t="str">
        <f>TEXT(Metas_Diarias[[#This Row],[data]],"dddd")</f>
        <v>segunda-feira</v>
      </c>
      <c r="D1351" s="33">
        <v>1</v>
      </c>
      <c r="E1351" s="33">
        <v>1</v>
      </c>
      <c r="F1351" s="18"/>
      <c r="G1351" s="35">
        <f>WEEKDAY(Metas_Diarias[[#This Row],[data]])</f>
        <v>2</v>
      </c>
      <c r="H1351" s="35">
        <f>IF(Metas_Diarias[[#This Row],[dias_da_demana]]=1,"domingo",IF(Metas_Diarias[[#This Row],[dias_da_demana]]=7,0.5,1))</f>
        <v>1</v>
      </c>
      <c r="I1351" s="35" t="str">
        <f>_xlfn.XLOOKUP(Metas_Diarias[[#This Row],[data]],Feriados[Data],Feriados[Feriado],1)</f>
        <v>Independência do Brasil</v>
      </c>
      <c r="J1351" s="33" cm="1">
        <f t="array" aca="1" ref="J1351" ca="1">SUMPRODUCT(IF((NOT(ISERROR(MATCH(ROW(INDIRECT(DATE(YEAR(B1351),MONTH(B1351),1)&amp;":"&amp;DATE(YEAR(B1351),MONTH(B1351)+1,0))),Feriados[Data],0))))=FALSE,
IF(WEEKDAY(ROW(INDIRECT(DATE(YEAR(B1351),MONTH(B1351),1)&amp;":"&amp;DATE(YEAR(B1351),MONTH(B1351)+1,0))),2)&lt;=5,1,IF(WEEKDAY(ROW(INDIRECT(DATE(YEAR(B1351),MONTH(B1351),1)&amp;":"&amp;DATE(YEAR(B1351),MONTH(B1351)+1,0))),2)=6,0.5,0)),0))</f>
        <v>23</v>
      </c>
      <c r="K1351" s="22" cm="1">
        <f t="array" ref="K1351">_xlfn.XLOOKUP(1,((Metas_Diarias[[#This Row],[tipo_equipe_id]]=Metas[equipe])*(Metas_Diarias[[#This Row],[data]]&gt;Metas[data_inicio])*(Metas_Diarias[[#This Row],[data]]&lt;Metas[data_fim])),Metas[meta_mensal],0)</f>
        <v>168000</v>
      </c>
      <c r="L13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52" spans="2:12" x14ac:dyDescent="0.3">
      <c r="B1352" s="34">
        <v>46273</v>
      </c>
      <c r="C1352" s="34" t="str">
        <f>TEXT(Metas_Diarias[[#This Row],[data]],"dddd")</f>
        <v>terça-feira</v>
      </c>
      <c r="D1352" s="33">
        <v>1</v>
      </c>
      <c r="E1352" s="33">
        <v>1</v>
      </c>
      <c r="F1352" s="18"/>
      <c r="G1352" s="35">
        <f>WEEKDAY(Metas_Diarias[[#This Row],[data]])</f>
        <v>3</v>
      </c>
      <c r="H1352" s="35">
        <f>IF(Metas_Diarias[[#This Row],[dias_da_demana]]=1,"domingo",IF(Metas_Diarias[[#This Row],[dias_da_demana]]=7,0.5,1))</f>
        <v>1</v>
      </c>
      <c r="I1352" s="35">
        <f>_xlfn.XLOOKUP(Metas_Diarias[[#This Row],[data]],Feriados[Data],Feriados[Feriado],1)</f>
        <v>1</v>
      </c>
      <c r="J1352" s="33" cm="1">
        <f t="array" aca="1" ref="J1352" ca="1">SUMPRODUCT(IF((NOT(ISERROR(MATCH(ROW(INDIRECT(DATE(YEAR(B1352),MONTH(B1352),1)&amp;":"&amp;DATE(YEAR(B1352),MONTH(B1352)+1,0))),Feriados[Data],0))))=FALSE,
IF(WEEKDAY(ROW(INDIRECT(DATE(YEAR(B1352),MONTH(B1352),1)&amp;":"&amp;DATE(YEAR(B1352),MONTH(B1352)+1,0))),2)&lt;=5,1,IF(WEEKDAY(ROW(INDIRECT(DATE(YEAR(B1352),MONTH(B1352),1)&amp;":"&amp;DATE(YEAR(B1352),MONTH(B1352)+1,0))),2)=6,0.5,0)),0))</f>
        <v>23</v>
      </c>
      <c r="K1352" s="22" cm="1">
        <f t="array" ref="K1352">_xlfn.XLOOKUP(1,((Metas_Diarias[[#This Row],[tipo_equipe_id]]=Metas[equipe])*(Metas_Diarias[[#This Row],[data]]&gt;Metas[data_inicio])*(Metas_Diarias[[#This Row],[data]]&lt;Metas[data_fim])),Metas[meta_mensal],0)</f>
        <v>168000</v>
      </c>
      <c r="L1352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53" spans="2:12" x14ac:dyDescent="0.3">
      <c r="B1353" s="34">
        <v>46274</v>
      </c>
      <c r="C1353" s="34" t="str">
        <f>TEXT(Metas_Diarias[[#This Row],[data]],"dddd")</f>
        <v>quarta-feira</v>
      </c>
      <c r="D1353" s="33">
        <v>1</v>
      </c>
      <c r="E1353" s="33">
        <v>1</v>
      </c>
      <c r="F1353" s="18"/>
      <c r="G1353" s="35">
        <f>WEEKDAY(Metas_Diarias[[#This Row],[data]])</f>
        <v>4</v>
      </c>
      <c r="H1353" s="35">
        <f>IF(Metas_Diarias[[#This Row],[dias_da_demana]]=1,"domingo",IF(Metas_Diarias[[#This Row],[dias_da_demana]]=7,0.5,1))</f>
        <v>1</v>
      </c>
      <c r="I1353" s="35">
        <f>_xlfn.XLOOKUP(Metas_Diarias[[#This Row],[data]],Feriados[Data],Feriados[Feriado],1)</f>
        <v>1</v>
      </c>
      <c r="J1353" s="33" cm="1">
        <f t="array" aca="1" ref="J1353" ca="1">SUMPRODUCT(IF((NOT(ISERROR(MATCH(ROW(INDIRECT(DATE(YEAR(B1353),MONTH(B1353),1)&amp;":"&amp;DATE(YEAR(B1353),MONTH(B1353)+1,0))),Feriados[Data],0))))=FALSE,
IF(WEEKDAY(ROW(INDIRECT(DATE(YEAR(B1353),MONTH(B1353),1)&amp;":"&amp;DATE(YEAR(B1353),MONTH(B1353)+1,0))),2)&lt;=5,1,IF(WEEKDAY(ROW(INDIRECT(DATE(YEAR(B1353),MONTH(B1353),1)&amp;":"&amp;DATE(YEAR(B1353),MONTH(B1353)+1,0))),2)=6,0.5,0)),0))</f>
        <v>23</v>
      </c>
      <c r="K1353" s="22" cm="1">
        <f t="array" ref="K1353">_xlfn.XLOOKUP(1,((Metas_Diarias[[#This Row],[tipo_equipe_id]]=Metas[equipe])*(Metas_Diarias[[#This Row],[data]]&gt;Metas[data_inicio])*(Metas_Diarias[[#This Row],[data]]&lt;Metas[data_fim])),Metas[meta_mensal],0)</f>
        <v>168000</v>
      </c>
      <c r="L1353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54" spans="2:12" x14ac:dyDescent="0.3">
      <c r="B1354" s="34">
        <v>46275</v>
      </c>
      <c r="C1354" s="34" t="str">
        <f>TEXT(Metas_Diarias[[#This Row],[data]],"dddd")</f>
        <v>quinta-feira</v>
      </c>
      <c r="D1354" s="33">
        <v>1</v>
      </c>
      <c r="E1354" s="33">
        <v>1</v>
      </c>
      <c r="F1354" s="18"/>
      <c r="G1354" s="35">
        <f>WEEKDAY(Metas_Diarias[[#This Row],[data]])</f>
        <v>5</v>
      </c>
      <c r="H1354" s="35">
        <f>IF(Metas_Diarias[[#This Row],[dias_da_demana]]=1,"domingo",IF(Metas_Diarias[[#This Row],[dias_da_demana]]=7,0.5,1))</f>
        <v>1</v>
      </c>
      <c r="I1354" s="35">
        <f>_xlfn.XLOOKUP(Metas_Diarias[[#This Row],[data]],Feriados[Data],Feriados[Feriado],1)</f>
        <v>1</v>
      </c>
      <c r="J1354" s="33" cm="1">
        <f t="array" aca="1" ref="J1354" ca="1">SUMPRODUCT(IF((NOT(ISERROR(MATCH(ROW(INDIRECT(DATE(YEAR(B1354),MONTH(B1354),1)&amp;":"&amp;DATE(YEAR(B1354),MONTH(B1354)+1,0))),Feriados[Data],0))))=FALSE,
IF(WEEKDAY(ROW(INDIRECT(DATE(YEAR(B1354),MONTH(B1354),1)&amp;":"&amp;DATE(YEAR(B1354),MONTH(B1354)+1,0))),2)&lt;=5,1,IF(WEEKDAY(ROW(INDIRECT(DATE(YEAR(B1354),MONTH(B1354),1)&amp;":"&amp;DATE(YEAR(B1354),MONTH(B1354)+1,0))),2)=6,0.5,0)),0))</f>
        <v>23</v>
      </c>
      <c r="K1354" s="22" cm="1">
        <f t="array" ref="K1354">_xlfn.XLOOKUP(1,((Metas_Diarias[[#This Row],[tipo_equipe_id]]=Metas[equipe])*(Metas_Diarias[[#This Row],[data]]&gt;Metas[data_inicio])*(Metas_Diarias[[#This Row],[data]]&lt;Metas[data_fim])),Metas[meta_mensal],0)</f>
        <v>168000</v>
      </c>
      <c r="L1354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55" spans="2:12" x14ac:dyDescent="0.3">
      <c r="B1355" s="34">
        <v>46276</v>
      </c>
      <c r="C1355" s="34" t="str">
        <f>TEXT(Metas_Diarias[[#This Row],[data]],"dddd")</f>
        <v>sexta-feira</v>
      </c>
      <c r="D1355" s="33">
        <v>1</v>
      </c>
      <c r="E1355" s="33">
        <v>1</v>
      </c>
      <c r="F1355" s="18"/>
      <c r="G1355" s="35">
        <f>WEEKDAY(Metas_Diarias[[#This Row],[data]])</f>
        <v>6</v>
      </c>
      <c r="H1355" s="35">
        <f>IF(Metas_Diarias[[#This Row],[dias_da_demana]]=1,"domingo",IF(Metas_Diarias[[#This Row],[dias_da_demana]]=7,0.5,1))</f>
        <v>1</v>
      </c>
      <c r="I1355" s="35">
        <f>_xlfn.XLOOKUP(Metas_Diarias[[#This Row],[data]],Feriados[Data],Feriados[Feriado],1)</f>
        <v>1</v>
      </c>
      <c r="J1355" s="33" cm="1">
        <f t="array" aca="1" ref="J1355" ca="1">SUMPRODUCT(IF((NOT(ISERROR(MATCH(ROW(INDIRECT(DATE(YEAR(B1355),MONTH(B1355),1)&amp;":"&amp;DATE(YEAR(B1355),MONTH(B1355)+1,0))),Feriados[Data],0))))=FALSE,
IF(WEEKDAY(ROW(INDIRECT(DATE(YEAR(B1355),MONTH(B1355),1)&amp;":"&amp;DATE(YEAR(B1355),MONTH(B1355)+1,0))),2)&lt;=5,1,IF(WEEKDAY(ROW(INDIRECT(DATE(YEAR(B1355),MONTH(B1355),1)&amp;":"&amp;DATE(YEAR(B1355),MONTH(B1355)+1,0))),2)=6,0.5,0)),0))</f>
        <v>23</v>
      </c>
      <c r="K1355" s="22" cm="1">
        <f t="array" ref="K1355">_xlfn.XLOOKUP(1,((Metas_Diarias[[#This Row],[tipo_equipe_id]]=Metas[equipe])*(Metas_Diarias[[#This Row],[data]]&gt;Metas[data_inicio])*(Metas_Diarias[[#This Row],[data]]&lt;Metas[data_fim])),Metas[meta_mensal],0)</f>
        <v>168000</v>
      </c>
      <c r="L1355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56" spans="2:12" x14ac:dyDescent="0.3">
      <c r="B1356" s="34">
        <v>46277</v>
      </c>
      <c r="C1356" s="34" t="str">
        <f>TEXT(Metas_Diarias[[#This Row],[data]],"dddd")</f>
        <v>sábado</v>
      </c>
      <c r="D1356" s="33">
        <v>1</v>
      </c>
      <c r="E1356" s="33">
        <v>1</v>
      </c>
      <c r="F1356" s="18"/>
      <c r="G1356" s="35">
        <f>WEEKDAY(Metas_Diarias[[#This Row],[data]])</f>
        <v>7</v>
      </c>
      <c r="H1356" s="35">
        <f>IF(Metas_Diarias[[#This Row],[dias_da_demana]]=1,"domingo",IF(Metas_Diarias[[#This Row],[dias_da_demana]]=7,0.5,1))</f>
        <v>0.5</v>
      </c>
      <c r="I1356" s="35">
        <f>_xlfn.XLOOKUP(Metas_Diarias[[#This Row],[data]],Feriados[Data],Feriados[Feriado],1)</f>
        <v>1</v>
      </c>
      <c r="J1356" s="33" cm="1">
        <f t="array" aca="1" ref="J1356" ca="1">SUMPRODUCT(IF((NOT(ISERROR(MATCH(ROW(INDIRECT(DATE(YEAR(B1356),MONTH(B1356),1)&amp;":"&amp;DATE(YEAR(B1356),MONTH(B1356)+1,0))),Feriados[Data],0))))=FALSE,
IF(WEEKDAY(ROW(INDIRECT(DATE(YEAR(B1356),MONTH(B1356),1)&amp;":"&amp;DATE(YEAR(B1356),MONTH(B1356)+1,0))),2)&lt;=5,1,IF(WEEKDAY(ROW(INDIRECT(DATE(YEAR(B1356),MONTH(B1356),1)&amp;":"&amp;DATE(YEAR(B1356),MONTH(B1356)+1,0))),2)=6,0.5,0)),0))</f>
        <v>23</v>
      </c>
      <c r="K1356" s="22" cm="1">
        <f t="array" ref="K1356">_xlfn.XLOOKUP(1,((Metas_Diarias[[#This Row],[tipo_equipe_id]]=Metas[equipe])*(Metas_Diarias[[#This Row],[data]]&gt;Metas[data_inicio])*(Metas_Diarias[[#This Row],[data]]&lt;Metas[data_fim])),Metas[meta_mensal],0)</f>
        <v>168000</v>
      </c>
      <c r="L1356" s="24">
        <f ca="1">Metas_Diarias[[#This Row],[meta_mensal]]*IF(Metas_Diarias[[#This Row],[semana]]="domingo",0,Metas_Diarias[[#This Row],[semana]])*IF(Metas_Diarias[[#This Row],[feriado]]&lt;&gt;1,0,1)/Metas_Diarias[[#This Row],[dias_úteis_Mês]]</f>
        <v>3652.1739130434785</v>
      </c>
    </row>
    <row r="1357" spans="2:12" x14ac:dyDescent="0.3">
      <c r="B1357" s="34">
        <v>46278</v>
      </c>
      <c r="C1357" s="34" t="str">
        <f>TEXT(Metas_Diarias[[#This Row],[data]],"dddd")</f>
        <v>domingo</v>
      </c>
      <c r="D1357" s="33">
        <v>1</v>
      </c>
      <c r="E1357" s="33">
        <v>1</v>
      </c>
      <c r="F1357" s="18"/>
      <c r="G1357" s="35">
        <f>WEEKDAY(Metas_Diarias[[#This Row],[data]])</f>
        <v>1</v>
      </c>
      <c r="H1357" s="35" t="str">
        <f>IF(Metas_Diarias[[#This Row],[dias_da_demana]]=1,"domingo",IF(Metas_Diarias[[#This Row],[dias_da_demana]]=7,0.5,1))</f>
        <v>domingo</v>
      </c>
      <c r="I1357" s="35">
        <f>_xlfn.XLOOKUP(Metas_Diarias[[#This Row],[data]],Feriados[Data],Feriados[Feriado],1)</f>
        <v>1</v>
      </c>
      <c r="J1357" s="33" cm="1">
        <f t="array" aca="1" ref="J1357" ca="1">SUMPRODUCT(IF((NOT(ISERROR(MATCH(ROW(INDIRECT(DATE(YEAR(B1357),MONTH(B1357),1)&amp;":"&amp;DATE(YEAR(B1357),MONTH(B1357)+1,0))),Feriados[Data],0))))=FALSE,
IF(WEEKDAY(ROW(INDIRECT(DATE(YEAR(B1357),MONTH(B1357),1)&amp;":"&amp;DATE(YEAR(B1357),MONTH(B1357)+1,0))),2)&lt;=5,1,IF(WEEKDAY(ROW(INDIRECT(DATE(YEAR(B1357),MONTH(B1357),1)&amp;":"&amp;DATE(YEAR(B1357),MONTH(B1357)+1,0))),2)=6,0.5,0)),0))</f>
        <v>23</v>
      </c>
      <c r="K1357" s="22" cm="1">
        <f t="array" ref="K1357">_xlfn.XLOOKUP(1,((Metas_Diarias[[#This Row],[tipo_equipe_id]]=Metas[equipe])*(Metas_Diarias[[#This Row],[data]]&gt;Metas[data_inicio])*(Metas_Diarias[[#This Row],[data]]&lt;Metas[data_fim])),Metas[meta_mensal],0)</f>
        <v>168000</v>
      </c>
      <c r="L135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58" spans="2:12" x14ac:dyDescent="0.3">
      <c r="B1358" s="34">
        <v>46279</v>
      </c>
      <c r="C1358" s="34" t="str">
        <f>TEXT(Metas_Diarias[[#This Row],[data]],"dddd")</f>
        <v>segunda-feira</v>
      </c>
      <c r="D1358" s="33">
        <v>1</v>
      </c>
      <c r="E1358" s="33">
        <v>1</v>
      </c>
      <c r="F1358" s="18"/>
      <c r="G1358" s="35">
        <f>WEEKDAY(Metas_Diarias[[#This Row],[data]])</f>
        <v>2</v>
      </c>
      <c r="H1358" s="35">
        <f>IF(Metas_Diarias[[#This Row],[dias_da_demana]]=1,"domingo",IF(Metas_Diarias[[#This Row],[dias_da_demana]]=7,0.5,1))</f>
        <v>1</v>
      </c>
      <c r="I1358" s="35">
        <f>_xlfn.XLOOKUP(Metas_Diarias[[#This Row],[data]],Feriados[Data],Feriados[Feriado],1)</f>
        <v>1</v>
      </c>
      <c r="J1358" s="33" cm="1">
        <f t="array" aca="1" ref="J1358" ca="1">SUMPRODUCT(IF((NOT(ISERROR(MATCH(ROW(INDIRECT(DATE(YEAR(B1358),MONTH(B1358),1)&amp;":"&amp;DATE(YEAR(B1358),MONTH(B1358)+1,0))),Feriados[Data],0))))=FALSE,
IF(WEEKDAY(ROW(INDIRECT(DATE(YEAR(B1358),MONTH(B1358),1)&amp;":"&amp;DATE(YEAR(B1358),MONTH(B1358)+1,0))),2)&lt;=5,1,IF(WEEKDAY(ROW(INDIRECT(DATE(YEAR(B1358),MONTH(B1358),1)&amp;":"&amp;DATE(YEAR(B1358),MONTH(B1358)+1,0))),2)=6,0.5,0)),0))</f>
        <v>23</v>
      </c>
      <c r="K1358" s="22" cm="1">
        <f t="array" ref="K1358">_xlfn.XLOOKUP(1,((Metas_Diarias[[#This Row],[tipo_equipe_id]]=Metas[equipe])*(Metas_Diarias[[#This Row],[data]]&gt;Metas[data_inicio])*(Metas_Diarias[[#This Row],[data]]&lt;Metas[data_fim])),Metas[meta_mensal],0)</f>
        <v>168000</v>
      </c>
      <c r="L1358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59" spans="2:12" x14ac:dyDescent="0.3">
      <c r="B1359" s="34">
        <v>46280</v>
      </c>
      <c r="C1359" s="34" t="str">
        <f>TEXT(Metas_Diarias[[#This Row],[data]],"dddd")</f>
        <v>terça-feira</v>
      </c>
      <c r="D1359" s="33">
        <v>1</v>
      </c>
      <c r="E1359" s="33">
        <v>1</v>
      </c>
      <c r="F1359" s="18"/>
      <c r="G1359" s="35">
        <f>WEEKDAY(Metas_Diarias[[#This Row],[data]])</f>
        <v>3</v>
      </c>
      <c r="H1359" s="35">
        <f>IF(Metas_Diarias[[#This Row],[dias_da_demana]]=1,"domingo",IF(Metas_Diarias[[#This Row],[dias_da_demana]]=7,0.5,1))</f>
        <v>1</v>
      </c>
      <c r="I1359" s="35">
        <f>_xlfn.XLOOKUP(Metas_Diarias[[#This Row],[data]],Feriados[Data],Feriados[Feriado],1)</f>
        <v>1</v>
      </c>
      <c r="J1359" s="33" cm="1">
        <f t="array" aca="1" ref="J1359" ca="1">SUMPRODUCT(IF((NOT(ISERROR(MATCH(ROW(INDIRECT(DATE(YEAR(B1359),MONTH(B1359),1)&amp;":"&amp;DATE(YEAR(B1359),MONTH(B1359)+1,0))),Feriados[Data],0))))=FALSE,
IF(WEEKDAY(ROW(INDIRECT(DATE(YEAR(B1359),MONTH(B1359),1)&amp;":"&amp;DATE(YEAR(B1359),MONTH(B1359)+1,0))),2)&lt;=5,1,IF(WEEKDAY(ROW(INDIRECT(DATE(YEAR(B1359),MONTH(B1359),1)&amp;":"&amp;DATE(YEAR(B1359),MONTH(B1359)+1,0))),2)=6,0.5,0)),0))</f>
        <v>23</v>
      </c>
      <c r="K1359" s="22" cm="1">
        <f t="array" ref="K1359">_xlfn.XLOOKUP(1,((Metas_Diarias[[#This Row],[tipo_equipe_id]]=Metas[equipe])*(Metas_Diarias[[#This Row],[data]]&gt;Metas[data_inicio])*(Metas_Diarias[[#This Row],[data]]&lt;Metas[data_fim])),Metas[meta_mensal],0)</f>
        <v>168000</v>
      </c>
      <c r="L1359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60" spans="2:12" x14ac:dyDescent="0.3">
      <c r="B1360" s="34">
        <v>46281</v>
      </c>
      <c r="C1360" s="34" t="str">
        <f>TEXT(Metas_Diarias[[#This Row],[data]],"dddd")</f>
        <v>quarta-feira</v>
      </c>
      <c r="D1360" s="33">
        <v>1</v>
      </c>
      <c r="E1360" s="33">
        <v>1</v>
      </c>
      <c r="F1360" s="18"/>
      <c r="G1360" s="35">
        <f>WEEKDAY(Metas_Diarias[[#This Row],[data]])</f>
        <v>4</v>
      </c>
      <c r="H1360" s="35">
        <f>IF(Metas_Diarias[[#This Row],[dias_da_demana]]=1,"domingo",IF(Metas_Diarias[[#This Row],[dias_da_demana]]=7,0.5,1))</f>
        <v>1</v>
      </c>
      <c r="I1360" s="35">
        <f>_xlfn.XLOOKUP(Metas_Diarias[[#This Row],[data]],Feriados[Data],Feriados[Feriado],1)</f>
        <v>1</v>
      </c>
      <c r="J1360" s="33" cm="1">
        <f t="array" aca="1" ref="J1360" ca="1">SUMPRODUCT(IF((NOT(ISERROR(MATCH(ROW(INDIRECT(DATE(YEAR(B1360),MONTH(B1360),1)&amp;":"&amp;DATE(YEAR(B1360),MONTH(B1360)+1,0))),Feriados[Data],0))))=FALSE,
IF(WEEKDAY(ROW(INDIRECT(DATE(YEAR(B1360),MONTH(B1360),1)&amp;":"&amp;DATE(YEAR(B1360),MONTH(B1360)+1,0))),2)&lt;=5,1,IF(WEEKDAY(ROW(INDIRECT(DATE(YEAR(B1360),MONTH(B1360),1)&amp;":"&amp;DATE(YEAR(B1360),MONTH(B1360)+1,0))),2)=6,0.5,0)),0))</f>
        <v>23</v>
      </c>
      <c r="K1360" s="22" cm="1">
        <f t="array" ref="K1360">_xlfn.XLOOKUP(1,((Metas_Diarias[[#This Row],[tipo_equipe_id]]=Metas[equipe])*(Metas_Diarias[[#This Row],[data]]&gt;Metas[data_inicio])*(Metas_Diarias[[#This Row],[data]]&lt;Metas[data_fim])),Metas[meta_mensal],0)</f>
        <v>168000</v>
      </c>
      <c r="L1360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61" spans="2:12" x14ac:dyDescent="0.3">
      <c r="B1361" s="34">
        <v>46282</v>
      </c>
      <c r="C1361" s="34" t="str">
        <f>TEXT(Metas_Diarias[[#This Row],[data]],"dddd")</f>
        <v>quinta-feira</v>
      </c>
      <c r="D1361" s="33">
        <v>1</v>
      </c>
      <c r="E1361" s="33">
        <v>1</v>
      </c>
      <c r="F1361" s="18"/>
      <c r="G1361" s="35">
        <f>WEEKDAY(Metas_Diarias[[#This Row],[data]])</f>
        <v>5</v>
      </c>
      <c r="H1361" s="35">
        <f>IF(Metas_Diarias[[#This Row],[dias_da_demana]]=1,"domingo",IF(Metas_Diarias[[#This Row],[dias_da_demana]]=7,0.5,1))</f>
        <v>1</v>
      </c>
      <c r="I1361" s="35">
        <f>_xlfn.XLOOKUP(Metas_Diarias[[#This Row],[data]],Feriados[Data],Feriados[Feriado],1)</f>
        <v>1</v>
      </c>
      <c r="J1361" s="33" cm="1">
        <f t="array" aca="1" ref="J1361" ca="1">SUMPRODUCT(IF((NOT(ISERROR(MATCH(ROW(INDIRECT(DATE(YEAR(B1361),MONTH(B1361),1)&amp;":"&amp;DATE(YEAR(B1361),MONTH(B1361)+1,0))),Feriados[Data],0))))=FALSE,
IF(WEEKDAY(ROW(INDIRECT(DATE(YEAR(B1361),MONTH(B1361),1)&amp;":"&amp;DATE(YEAR(B1361),MONTH(B1361)+1,0))),2)&lt;=5,1,IF(WEEKDAY(ROW(INDIRECT(DATE(YEAR(B1361),MONTH(B1361),1)&amp;":"&amp;DATE(YEAR(B1361),MONTH(B1361)+1,0))),2)=6,0.5,0)),0))</f>
        <v>23</v>
      </c>
      <c r="K1361" s="22" cm="1">
        <f t="array" ref="K1361">_xlfn.XLOOKUP(1,((Metas_Diarias[[#This Row],[tipo_equipe_id]]=Metas[equipe])*(Metas_Diarias[[#This Row],[data]]&gt;Metas[data_inicio])*(Metas_Diarias[[#This Row],[data]]&lt;Metas[data_fim])),Metas[meta_mensal],0)</f>
        <v>168000</v>
      </c>
      <c r="L1361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62" spans="2:12" x14ac:dyDescent="0.3">
      <c r="B1362" s="34">
        <v>46283</v>
      </c>
      <c r="C1362" s="34" t="str">
        <f>TEXT(Metas_Diarias[[#This Row],[data]],"dddd")</f>
        <v>sexta-feira</v>
      </c>
      <c r="D1362" s="33">
        <v>1</v>
      </c>
      <c r="E1362" s="33">
        <v>1</v>
      </c>
      <c r="F1362" s="18"/>
      <c r="G1362" s="35">
        <f>WEEKDAY(Metas_Diarias[[#This Row],[data]])</f>
        <v>6</v>
      </c>
      <c r="H1362" s="35">
        <f>IF(Metas_Diarias[[#This Row],[dias_da_demana]]=1,"domingo",IF(Metas_Diarias[[#This Row],[dias_da_demana]]=7,0.5,1))</f>
        <v>1</v>
      </c>
      <c r="I1362" s="35">
        <f>_xlfn.XLOOKUP(Metas_Diarias[[#This Row],[data]],Feriados[Data],Feriados[Feriado],1)</f>
        <v>1</v>
      </c>
      <c r="J1362" s="33" cm="1">
        <f t="array" aca="1" ref="J1362" ca="1">SUMPRODUCT(IF((NOT(ISERROR(MATCH(ROW(INDIRECT(DATE(YEAR(B1362),MONTH(B1362),1)&amp;":"&amp;DATE(YEAR(B1362),MONTH(B1362)+1,0))),Feriados[Data],0))))=FALSE,
IF(WEEKDAY(ROW(INDIRECT(DATE(YEAR(B1362),MONTH(B1362),1)&amp;":"&amp;DATE(YEAR(B1362),MONTH(B1362)+1,0))),2)&lt;=5,1,IF(WEEKDAY(ROW(INDIRECT(DATE(YEAR(B1362),MONTH(B1362),1)&amp;":"&amp;DATE(YEAR(B1362),MONTH(B1362)+1,0))),2)=6,0.5,0)),0))</f>
        <v>23</v>
      </c>
      <c r="K1362" s="22" cm="1">
        <f t="array" ref="K1362">_xlfn.XLOOKUP(1,((Metas_Diarias[[#This Row],[tipo_equipe_id]]=Metas[equipe])*(Metas_Diarias[[#This Row],[data]]&gt;Metas[data_inicio])*(Metas_Diarias[[#This Row],[data]]&lt;Metas[data_fim])),Metas[meta_mensal],0)</f>
        <v>168000</v>
      </c>
      <c r="L1362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63" spans="2:12" x14ac:dyDescent="0.3">
      <c r="B1363" s="34">
        <v>46284</v>
      </c>
      <c r="C1363" s="34" t="str">
        <f>TEXT(Metas_Diarias[[#This Row],[data]],"dddd")</f>
        <v>sábado</v>
      </c>
      <c r="D1363" s="33">
        <v>1</v>
      </c>
      <c r="E1363" s="33">
        <v>1</v>
      </c>
      <c r="F1363" s="18"/>
      <c r="G1363" s="35">
        <f>WEEKDAY(Metas_Diarias[[#This Row],[data]])</f>
        <v>7</v>
      </c>
      <c r="H1363" s="35">
        <f>IF(Metas_Diarias[[#This Row],[dias_da_demana]]=1,"domingo",IF(Metas_Diarias[[#This Row],[dias_da_demana]]=7,0.5,1))</f>
        <v>0.5</v>
      </c>
      <c r="I1363" s="35">
        <f>_xlfn.XLOOKUP(Metas_Diarias[[#This Row],[data]],Feriados[Data],Feriados[Feriado],1)</f>
        <v>1</v>
      </c>
      <c r="J1363" s="33" cm="1">
        <f t="array" aca="1" ref="J1363" ca="1">SUMPRODUCT(IF((NOT(ISERROR(MATCH(ROW(INDIRECT(DATE(YEAR(B1363),MONTH(B1363),1)&amp;":"&amp;DATE(YEAR(B1363),MONTH(B1363)+1,0))),Feriados[Data],0))))=FALSE,
IF(WEEKDAY(ROW(INDIRECT(DATE(YEAR(B1363),MONTH(B1363),1)&amp;":"&amp;DATE(YEAR(B1363),MONTH(B1363)+1,0))),2)&lt;=5,1,IF(WEEKDAY(ROW(INDIRECT(DATE(YEAR(B1363),MONTH(B1363),1)&amp;":"&amp;DATE(YEAR(B1363),MONTH(B1363)+1,0))),2)=6,0.5,0)),0))</f>
        <v>23</v>
      </c>
      <c r="K1363" s="22" cm="1">
        <f t="array" ref="K1363">_xlfn.XLOOKUP(1,((Metas_Diarias[[#This Row],[tipo_equipe_id]]=Metas[equipe])*(Metas_Diarias[[#This Row],[data]]&gt;Metas[data_inicio])*(Metas_Diarias[[#This Row],[data]]&lt;Metas[data_fim])),Metas[meta_mensal],0)</f>
        <v>168000</v>
      </c>
      <c r="L1363" s="24">
        <f ca="1">Metas_Diarias[[#This Row],[meta_mensal]]*IF(Metas_Diarias[[#This Row],[semana]]="domingo",0,Metas_Diarias[[#This Row],[semana]])*IF(Metas_Diarias[[#This Row],[feriado]]&lt;&gt;1,0,1)/Metas_Diarias[[#This Row],[dias_úteis_Mês]]</f>
        <v>3652.1739130434785</v>
      </c>
    </row>
    <row r="1364" spans="2:12" x14ac:dyDescent="0.3">
      <c r="B1364" s="34">
        <v>46285</v>
      </c>
      <c r="C1364" s="34" t="str">
        <f>TEXT(Metas_Diarias[[#This Row],[data]],"dddd")</f>
        <v>domingo</v>
      </c>
      <c r="D1364" s="33">
        <v>1</v>
      </c>
      <c r="E1364" s="33">
        <v>1</v>
      </c>
      <c r="F1364" s="18"/>
      <c r="G1364" s="35">
        <f>WEEKDAY(Metas_Diarias[[#This Row],[data]])</f>
        <v>1</v>
      </c>
      <c r="H1364" s="35" t="str">
        <f>IF(Metas_Diarias[[#This Row],[dias_da_demana]]=1,"domingo",IF(Metas_Diarias[[#This Row],[dias_da_demana]]=7,0.5,1))</f>
        <v>domingo</v>
      </c>
      <c r="I1364" s="35">
        <f>_xlfn.XLOOKUP(Metas_Diarias[[#This Row],[data]],Feriados[Data],Feriados[Feriado],1)</f>
        <v>1</v>
      </c>
      <c r="J1364" s="33" cm="1">
        <f t="array" aca="1" ref="J1364" ca="1">SUMPRODUCT(IF((NOT(ISERROR(MATCH(ROW(INDIRECT(DATE(YEAR(B1364),MONTH(B1364),1)&amp;":"&amp;DATE(YEAR(B1364),MONTH(B1364)+1,0))),Feriados[Data],0))))=FALSE,
IF(WEEKDAY(ROW(INDIRECT(DATE(YEAR(B1364),MONTH(B1364),1)&amp;":"&amp;DATE(YEAR(B1364),MONTH(B1364)+1,0))),2)&lt;=5,1,IF(WEEKDAY(ROW(INDIRECT(DATE(YEAR(B1364),MONTH(B1364),1)&amp;":"&amp;DATE(YEAR(B1364),MONTH(B1364)+1,0))),2)=6,0.5,0)),0))</f>
        <v>23</v>
      </c>
      <c r="K1364" s="22" cm="1">
        <f t="array" ref="K1364">_xlfn.XLOOKUP(1,((Metas_Diarias[[#This Row],[tipo_equipe_id]]=Metas[equipe])*(Metas_Diarias[[#This Row],[data]]&gt;Metas[data_inicio])*(Metas_Diarias[[#This Row],[data]]&lt;Metas[data_fim])),Metas[meta_mensal],0)</f>
        <v>168000</v>
      </c>
      <c r="L136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65" spans="2:12" x14ac:dyDescent="0.3">
      <c r="B1365" s="34">
        <v>46286</v>
      </c>
      <c r="C1365" s="34" t="str">
        <f>TEXT(Metas_Diarias[[#This Row],[data]],"dddd")</f>
        <v>segunda-feira</v>
      </c>
      <c r="D1365" s="33">
        <v>1</v>
      </c>
      <c r="E1365" s="33">
        <v>1</v>
      </c>
      <c r="F1365" s="18"/>
      <c r="G1365" s="35">
        <f>WEEKDAY(Metas_Diarias[[#This Row],[data]])</f>
        <v>2</v>
      </c>
      <c r="H1365" s="35">
        <f>IF(Metas_Diarias[[#This Row],[dias_da_demana]]=1,"domingo",IF(Metas_Diarias[[#This Row],[dias_da_demana]]=7,0.5,1))</f>
        <v>1</v>
      </c>
      <c r="I1365" s="35">
        <f>_xlfn.XLOOKUP(Metas_Diarias[[#This Row],[data]],Feriados[Data],Feriados[Feriado],1)</f>
        <v>1</v>
      </c>
      <c r="J1365" s="33" cm="1">
        <f t="array" aca="1" ref="J1365" ca="1">SUMPRODUCT(IF((NOT(ISERROR(MATCH(ROW(INDIRECT(DATE(YEAR(B1365),MONTH(B1365),1)&amp;":"&amp;DATE(YEAR(B1365),MONTH(B1365)+1,0))),Feriados[Data],0))))=FALSE,
IF(WEEKDAY(ROW(INDIRECT(DATE(YEAR(B1365),MONTH(B1365),1)&amp;":"&amp;DATE(YEAR(B1365),MONTH(B1365)+1,0))),2)&lt;=5,1,IF(WEEKDAY(ROW(INDIRECT(DATE(YEAR(B1365),MONTH(B1365),1)&amp;":"&amp;DATE(YEAR(B1365),MONTH(B1365)+1,0))),2)=6,0.5,0)),0))</f>
        <v>23</v>
      </c>
      <c r="K1365" s="22" cm="1">
        <f t="array" ref="K1365">_xlfn.XLOOKUP(1,((Metas_Diarias[[#This Row],[tipo_equipe_id]]=Metas[equipe])*(Metas_Diarias[[#This Row],[data]]&gt;Metas[data_inicio])*(Metas_Diarias[[#This Row],[data]]&lt;Metas[data_fim])),Metas[meta_mensal],0)</f>
        <v>168000</v>
      </c>
      <c r="L1365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66" spans="2:12" x14ac:dyDescent="0.3">
      <c r="B1366" s="34">
        <v>46287</v>
      </c>
      <c r="C1366" s="34" t="str">
        <f>TEXT(Metas_Diarias[[#This Row],[data]],"dddd")</f>
        <v>terça-feira</v>
      </c>
      <c r="D1366" s="33">
        <v>1</v>
      </c>
      <c r="E1366" s="33">
        <v>1</v>
      </c>
      <c r="F1366" s="18"/>
      <c r="G1366" s="35">
        <f>WEEKDAY(Metas_Diarias[[#This Row],[data]])</f>
        <v>3</v>
      </c>
      <c r="H1366" s="35">
        <f>IF(Metas_Diarias[[#This Row],[dias_da_demana]]=1,"domingo",IF(Metas_Diarias[[#This Row],[dias_da_demana]]=7,0.5,1))</f>
        <v>1</v>
      </c>
      <c r="I1366" s="35">
        <f>_xlfn.XLOOKUP(Metas_Diarias[[#This Row],[data]],Feriados[Data],Feriados[Feriado],1)</f>
        <v>1</v>
      </c>
      <c r="J1366" s="33" cm="1">
        <f t="array" aca="1" ref="J1366" ca="1">SUMPRODUCT(IF((NOT(ISERROR(MATCH(ROW(INDIRECT(DATE(YEAR(B1366),MONTH(B1366),1)&amp;":"&amp;DATE(YEAR(B1366),MONTH(B1366)+1,0))),Feriados[Data],0))))=FALSE,
IF(WEEKDAY(ROW(INDIRECT(DATE(YEAR(B1366),MONTH(B1366),1)&amp;":"&amp;DATE(YEAR(B1366),MONTH(B1366)+1,0))),2)&lt;=5,1,IF(WEEKDAY(ROW(INDIRECT(DATE(YEAR(B1366),MONTH(B1366),1)&amp;":"&amp;DATE(YEAR(B1366),MONTH(B1366)+1,0))),2)=6,0.5,0)),0))</f>
        <v>23</v>
      </c>
      <c r="K1366" s="22" cm="1">
        <f t="array" ref="K1366">_xlfn.XLOOKUP(1,((Metas_Diarias[[#This Row],[tipo_equipe_id]]=Metas[equipe])*(Metas_Diarias[[#This Row],[data]]&gt;Metas[data_inicio])*(Metas_Diarias[[#This Row],[data]]&lt;Metas[data_fim])),Metas[meta_mensal],0)</f>
        <v>168000</v>
      </c>
      <c r="L1366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67" spans="2:12" x14ac:dyDescent="0.3">
      <c r="B1367" s="34">
        <v>46288</v>
      </c>
      <c r="C1367" s="34" t="str">
        <f>TEXT(Metas_Diarias[[#This Row],[data]],"dddd")</f>
        <v>quarta-feira</v>
      </c>
      <c r="D1367" s="33">
        <v>1</v>
      </c>
      <c r="E1367" s="33">
        <v>1</v>
      </c>
      <c r="F1367" s="18"/>
      <c r="G1367" s="35">
        <f>WEEKDAY(Metas_Diarias[[#This Row],[data]])</f>
        <v>4</v>
      </c>
      <c r="H1367" s="35">
        <f>IF(Metas_Diarias[[#This Row],[dias_da_demana]]=1,"domingo",IF(Metas_Diarias[[#This Row],[dias_da_demana]]=7,0.5,1))</f>
        <v>1</v>
      </c>
      <c r="I1367" s="35">
        <f>_xlfn.XLOOKUP(Metas_Diarias[[#This Row],[data]],Feriados[Data],Feriados[Feriado],1)</f>
        <v>1</v>
      </c>
      <c r="J1367" s="33" cm="1">
        <f t="array" aca="1" ref="J1367" ca="1">SUMPRODUCT(IF((NOT(ISERROR(MATCH(ROW(INDIRECT(DATE(YEAR(B1367),MONTH(B1367),1)&amp;":"&amp;DATE(YEAR(B1367),MONTH(B1367)+1,0))),Feriados[Data],0))))=FALSE,
IF(WEEKDAY(ROW(INDIRECT(DATE(YEAR(B1367),MONTH(B1367),1)&amp;":"&amp;DATE(YEAR(B1367),MONTH(B1367)+1,0))),2)&lt;=5,1,IF(WEEKDAY(ROW(INDIRECT(DATE(YEAR(B1367),MONTH(B1367),1)&amp;":"&amp;DATE(YEAR(B1367),MONTH(B1367)+1,0))),2)=6,0.5,0)),0))</f>
        <v>23</v>
      </c>
      <c r="K1367" s="22" cm="1">
        <f t="array" ref="K1367">_xlfn.XLOOKUP(1,((Metas_Diarias[[#This Row],[tipo_equipe_id]]=Metas[equipe])*(Metas_Diarias[[#This Row],[data]]&gt;Metas[data_inicio])*(Metas_Diarias[[#This Row],[data]]&lt;Metas[data_fim])),Metas[meta_mensal],0)</f>
        <v>168000</v>
      </c>
      <c r="L1367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68" spans="2:12" x14ac:dyDescent="0.3">
      <c r="B1368" s="34">
        <v>46289</v>
      </c>
      <c r="C1368" s="34" t="str">
        <f>TEXT(Metas_Diarias[[#This Row],[data]],"dddd")</f>
        <v>quinta-feira</v>
      </c>
      <c r="D1368" s="33">
        <v>1</v>
      </c>
      <c r="E1368" s="33">
        <v>1</v>
      </c>
      <c r="F1368" s="18"/>
      <c r="G1368" s="35">
        <f>WEEKDAY(Metas_Diarias[[#This Row],[data]])</f>
        <v>5</v>
      </c>
      <c r="H1368" s="35">
        <f>IF(Metas_Diarias[[#This Row],[dias_da_demana]]=1,"domingo",IF(Metas_Diarias[[#This Row],[dias_da_demana]]=7,0.5,1))</f>
        <v>1</v>
      </c>
      <c r="I1368" s="35">
        <f>_xlfn.XLOOKUP(Metas_Diarias[[#This Row],[data]],Feriados[Data],Feriados[Feriado],1)</f>
        <v>1</v>
      </c>
      <c r="J1368" s="33" cm="1">
        <f t="array" aca="1" ref="J1368" ca="1">SUMPRODUCT(IF((NOT(ISERROR(MATCH(ROW(INDIRECT(DATE(YEAR(B1368),MONTH(B1368),1)&amp;":"&amp;DATE(YEAR(B1368),MONTH(B1368)+1,0))),Feriados[Data],0))))=FALSE,
IF(WEEKDAY(ROW(INDIRECT(DATE(YEAR(B1368),MONTH(B1368),1)&amp;":"&amp;DATE(YEAR(B1368),MONTH(B1368)+1,0))),2)&lt;=5,1,IF(WEEKDAY(ROW(INDIRECT(DATE(YEAR(B1368),MONTH(B1368),1)&amp;":"&amp;DATE(YEAR(B1368),MONTH(B1368)+1,0))),2)=6,0.5,0)),0))</f>
        <v>23</v>
      </c>
      <c r="K1368" s="22" cm="1">
        <f t="array" ref="K1368">_xlfn.XLOOKUP(1,((Metas_Diarias[[#This Row],[tipo_equipe_id]]=Metas[equipe])*(Metas_Diarias[[#This Row],[data]]&gt;Metas[data_inicio])*(Metas_Diarias[[#This Row],[data]]&lt;Metas[data_fim])),Metas[meta_mensal],0)</f>
        <v>168000</v>
      </c>
      <c r="L1368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69" spans="2:12" x14ac:dyDescent="0.3">
      <c r="B1369" s="34">
        <v>46290</v>
      </c>
      <c r="C1369" s="34" t="str">
        <f>TEXT(Metas_Diarias[[#This Row],[data]],"dddd")</f>
        <v>sexta-feira</v>
      </c>
      <c r="D1369" s="33">
        <v>1</v>
      </c>
      <c r="E1369" s="33">
        <v>1</v>
      </c>
      <c r="F1369" s="18"/>
      <c r="G1369" s="35">
        <f>WEEKDAY(Metas_Diarias[[#This Row],[data]])</f>
        <v>6</v>
      </c>
      <c r="H1369" s="35">
        <f>IF(Metas_Diarias[[#This Row],[dias_da_demana]]=1,"domingo",IF(Metas_Diarias[[#This Row],[dias_da_demana]]=7,0.5,1))</f>
        <v>1</v>
      </c>
      <c r="I1369" s="35">
        <f>_xlfn.XLOOKUP(Metas_Diarias[[#This Row],[data]],Feriados[Data],Feriados[Feriado],1)</f>
        <v>1</v>
      </c>
      <c r="J1369" s="33" cm="1">
        <f t="array" aca="1" ref="J1369" ca="1">SUMPRODUCT(IF((NOT(ISERROR(MATCH(ROW(INDIRECT(DATE(YEAR(B1369),MONTH(B1369),1)&amp;":"&amp;DATE(YEAR(B1369),MONTH(B1369)+1,0))),Feriados[Data],0))))=FALSE,
IF(WEEKDAY(ROW(INDIRECT(DATE(YEAR(B1369),MONTH(B1369),1)&amp;":"&amp;DATE(YEAR(B1369),MONTH(B1369)+1,0))),2)&lt;=5,1,IF(WEEKDAY(ROW(INDIRECT(DATE(YEAR(B1369),MONTH(B1369),1)&amp;":"&amp;DATE(YEAR(B1369),MONTH(B1369)+1,0))),2)=6,0.5,0)),0))</f>
        <v>23</v>
      </c>
      <c r="K1369" s="22" cm="1">
        <f t="array" ref="K1369">_xlfn.XLOOKUP(1,((Metas_Diarias[[#This Row],[tipo_equipe_id]]=Metas[equipe])*(Metas_Diarias[[#This Row],[data]]&gt;Metas[data_inicio])*(Metas_Diarias[[#This Row],[data]]&lt;Metas[data_fim])),Metas[meta_mensal],0)</f>
        <v>168000</v>
      </c>
      <c r="L1369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70" spans="2:12" x14ac:dyDescent="0.3">
      <c r="B1370" s="34">
        <v>46291</v>
      </c>
      <c r="C1370" s="34" t="str">
        <f>TEXT(Metas_Diarias[[#This Row],[data]],"dddd")</f>
        <v>sábado</v>
      </c>
      <c r="D1370" s="33">
        <v>1</v>
      </c>
      <c r="E1370" s="33">
        <v>1</v>
      </c>
      <c r="F1370" s="18"/>
      <c r="G1370" s="35">
        <f>WEEKDAY(Metas_Diarias[[#This Row],[data]])</f>
        <v>7</v>
      </c>
      <c r="H1370" s="35">
        <f>IF(Metas_Diarias[[#This Row],[dias_da_demana]]=1,"domingo",IF(Metas_Diarias[[#This Row],[dias_da_demana]]=7,0.5,1))</f>
        <v>0.5</v>
      </c>
      <c r="I1370" s="35">
        <f>_xlfn.XLOOKUP(Metas_Diarias[[#This Row],[data]],Feriados[Data],Feriados[Feriado],1)</f>
        <v>1</v>
      </c>
      <c r="J1370" s="33" cm="1">
        <f t="array" aca="1" ref="J1370" ca="1">SUMPRODUCT(IF((NOT(ISERROR(MATCH(ROW(INDIRECT(DATE(YEAR(B1370),MONTH(B1370),1)&amp;":"&amp;DATE(YEAR(B1370),MONTH(B1370)+1,0))),Feriados[Data],0))))=FALSE,
IF(WEEKDAY(ROW(INDIRECT(DATE(YEAR(B1370),MONTH(B1370),1)&amp;":"&amp;DATE(YEAR(B1370),MONTH(B1370)+1,0))),2)&lt;=5,1,IF(WEEKDAY(ROW(INDIRECT(DATE(YEAR(B1370),MONTH(B1370),1)&amp;":"&amp;DATE(YEAR(B1370),MONTH(B1370)+1,0))),2)=6,0.5,0)),0))</f>
        <v>23</v>
      </c>
      <c r="K1370" s="22" cm="1">
        <f t="array" ref="K1370">_xlfn.XLOOKUP(1,((Metas_Diarias[[#This Row],[tipo_equipe_id]]=Metas[equipe])*(Metas_Diarias[[#This Row],[data]]&gt;Metas[data_inicio])*(Metas_Diarias[[#This Row],[data]]&lt;Metas[data_fim])),Metas[meta_mensal],0)</f>
        <v>168000</v>
      </c>
      <c r="L1370" s="24">
        <f ca="1">Metas_Diarias[[#This Row],[meta_mensal]]*IF(Metas_Diarias[[#This Row],[semana]]="domingo",0,Metas_Diarias[[#This Row],[semana]])*IF(Metas_Diarias[[#This Row],[feriado]]&lt;&gt;1,0,1)/Metas_Diarias[[#This Row],[dias_úteis_Mês]]</f>
        <v>3652.1739130434785</v>
      </c>
    </row>
    <row r="1371" spans="2:12" x14ac:dyDescent="0.3">
      <c r="B1371" s="34">
        <v>46292</v>
      </c>
      <c r="C1371" s="34" t="str">
        <f>TEXT(Metas_Diarias[[#This Row],[data]],"dddd")</f>
        <v>domingo</v>
      </c>
      <c r="D1371" s="33">
        <v>1</v>
      </c>
      <c r="E1371" s="33">
        <v>1</v>
      </c>
      <c r="F1371" s="18"/>
      <c r="G1371" s="35">
        <f>WEEKDAY(Metas_Diarias[[#This Row],[data]])</f>
        <v>1</v>
      </c>
      <c r="H1371" s="35" t="str">
        <f>IF(Metas_Diarias[[#This Row],[dias_da_demana]]=1,"domingo",IF(Metas_Diarias[[#This Row],[dias_da_demana]]=7,0.5,1))</f>
        <v>domingo</v>
      </c>
      <c r="I1371" s="35">
        <f>_xlfn.XLOOKUP(Metas_Diarias[[#This Row],[data]],Feriados[Data],Feriados[Feriado],1)</f>
        <v>1</v>
      </c>
      <c r="J1371" s="33" cm="1">
        <f t="array" aca="1" ref="J1371" ca="1">SUMPRODUCT(IF((NOT(ISERROR(MATCH(ROW(INDIRECT(DATE(YEAR(B1371),MONTH(B1371),1)&amp;":"&amp;DATE(YEAR(B1371),MONTH(B1371)+1,0))),Feriados[Data],0))))=FALSE,
IF(WEEKDAY(ROW(INDIRECT(DATE(YEAR(B1371),MONTH(B1371),1)&amp;":"&amp;DATE(YEAR(B1371),MONTH(B1371)+1,0))),2)&lt;=5,1,IF(WEEKDAY(ROW(INDIRECT(DATE(YEAR(B1371),MONTH(B1371),1)&amp;":"&amp;DATE(YEAR(B1371),MONTH(B1371)+1,0))),2)=6,0.5,0)),0))</f>
        <v>23</v>
      </c>
      <c r="K1371" s="22" cm="1">
        <f t="array" ref="K1371">_xlfn.XLOOKUP(1,((Metas_Diarias[[#This Row],[tipo_equipe_id]]=Metas[equipe])*(Metas_Diarias[[#This Row],[data]]&gt;Metas[data_inicio])*(Metas_Diarias[[#This Row],[data]]&lt;Metas[data_fim])),Metas[meta_mensal],0)</f>
        <v>168000</v>
      </c>
      <c r="L13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72" spans="2:12" x14ac:dyDescent="0.3">
      <c r="B1372" s="34">
        <v>46293</v>
      </c>
      <c r="C1372" s="34" t="str">
        <f>TEXT(Metas_Diarias[[#This Row],[data]],"dddd")</f>
        <v>segunda-feira</v>
      </c>
      <c r="D1372" s="33">
        <v>1</v>
      </c>
      <c r="E1372" s="33">
        <v>1</v>
      </c>
      <c r="F1372" s="18"/>
      <c r="G1372" s="35">
        <f>WEEKDAY(Metas_Diarias[[#This Row],[data]])</f>
        <v>2</v>
      </c>
      <c r="H1372" s="35">
        <f>IF(Metas_Diarias[[#This Row],[dias_da_demana]]=1,"domingo",IF(Metas_Diarias[[#This Row],[dias_da_demana]]=7,0.5,1))</f>
        <v>1</v>
      </c>
      <c r="I1372" s="35">
        <f>_xlfn.XLOOKUP(Metas_Diarias[[#This Row],[data]],Feriados[Data],Feriados[Feriado],1)</f>
        <v>1</v>
      </c>
      <c r="J1372" s="33" cm="1">
        <f t="array" aca="1" ref="J1372" ca="1">SUMPRODUCT(IF((NOT(ISERROR(MATCH(ROW(INDIRECT(DATE(YEAR(B1372),MONTH(B1372),1)&amp;":"&amp;DATE(YEAR(B1372),MONTH(B1372)+1,0))),Feriados[Data],0))))=FALSE,
IF(WEEKDAY(ROW(INDIRECT(DATE(YEAR(B1372),MONTH(B1372),1)&amp;":"&amp;DATE(YEAR(B1372),MONTH(B1372)+1,0))),2)&lt;=5,1,IF(WEEKDAY(ROW(INDIRECT(DATE(YEAR(B1372),MONTH(B1372),1)&amp;":"&amp;DATE(YEAR(B1372),MONTH(B1372)+1,0))),2)=6,0.5,0)),0))</f>
        <v>23</v>
      </c>
      <c r="K1372" s="22" cm="1">
        <f t="array" ref="K1372">_xlfn.XLOOKUP(1,((Metas_Diarias[[#This Row],[tipo_equipe_id]]=Metas[equipe])*(Metas_Diarias[[#This Row],[data]]&gt;Metas[data_inicio])*(Metas_Diarias[[#This Row],[data]]&lt;Metas[data_fim])),Metas[meta_mensal],0)</f>
        <v>168000</v>
      </c>
      <c r="L1372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73" spans="2:12" x14ac:dyDescent="0.3">
      <c r="B1373" s="34">
        <v>46294</v>
      </c>
      <c r="C1373" s="34" t="str">
        <f>TEXT(Metas_Diarias[[#This Row],[data]],"dddd")</f>
        <v>terça-feira</v>
      </c>
      <c r="D1373" s="33">
        <v>1</v>
      </c>
      <c r="E1373" s="33">
        <v>1</v>
      </c>
      <c r="F1373" s="18"/>
      <c r="G1373" s="35">
        <f>WEEKDAY(Metas_Diarias[[#This Row],[data]])</f>
        <v>3</v>
      </c>
      <c r="H1373" s="35">
        <f>IF(Metas_Diarias[[#This Row],[dias_da_demana]]=1,"domingo",IF(Metas_Diarias[[#This Row],[dias_da_demana]]=7,0.5,1))</f>
        <v>1</v>
      </c>
      <c r="I1373" s="35">
        <f>_xlfn.XLOOKUP(Metas_Diarias[[#This Row],[data]],Feriados[Data],Feriados[Feriado],1)</f>
        <v>1</v>
      </c>
      <c r="J1373" s="33" cm="1">
        <f t="array" aca="1" ref="J1373" ca="1">SUMPRODUCT(IF((NOT(ISERROR(MATCH(ROW(INDIRECT(DATE(YEAR(B1373),MONTH(B1373),1)&amp;":"&amp;DATE(YEAR(B1373),MONTH(B1373)+1,0))),Feriados[Data],0))))=FALSE,
IF(WEEKDAY(ROW(INDIRECT(DATE(YEAR(B1373),MONTH(B1373),1)&amp;":"&amp;DATE(YEAR(B1373),MONTH(B1373)+1,0))),2)&lt;=5,1,IF(WEEKDAY(ROW(INDIRECT(DATE(YEAR(B1373),MONTH(B1373),1)&amp;":"&amp;DATE(YEAR(B1373),MONTH(B1373)+1,0))),2)=6,0.5,0)),0))</f>
        <v>23</v>
      </c>
      <c r="K1373" s="22" cm="1">
        <f t="array" ref="K1373">_xlfn.XLOOKUP(1,((Metas_Diarias[[#This Row],[tipo_equipe_id]]=Metas[equipe])*(Metas_Diarias[[#This Row],[data]]&gt;Metas[data_inicio])*(Metas_Diarias[[#This Row],[data]]&lt;Metas[data_fim])),Metas[meta_mensal],0)</f>
        <v>168000</v>
      </c>
      <c r="L1373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74" spans="2:12" x14ac:dyDescent="0.3">
      <c r="B1374" s="34">
        <v>46295</v>
      </c>
      <c r="C1374" s="34" t="str">
        <f>TEXT(Metas_Diarias[[#This Row],[data]],"dddd")</f>
        <v>quarta-feira</v>
      </c>
      <c r="D1374" s="33">
        <v>1</v>
      </c>
      <c r="E1374" s="33">
        <v>1</v>
      </c>
      <c r="F1374" s="18"/>
      <c r="G1374" s="35">
        <f>WEEKDAY(Metas_Diarias[[#This Row],[data]])</f>
        <v>4</v>
      </c>
      <c r="H1374" s="35">
        <f>IF(Metas_Diarias[[#This Row],[dias_da_demana]]=1,"domingo",IF(Metas_Diarias[[#This Row],[dias_da_demana]]=7,0.5,1))</f>
        <v>1</v>
      </c>
      <c r="I1374" s="35">
        <f>_xlfn.XLOOKUP(Metas_Diarias[[#This Row],[data]],Feriados[Data],Feriados[Feriado],1)</f>
        <v>1</v>
      </c>
      <c r="J1374" s="33" cm="1">
        <f t="array" aca="1" ref="J1374" ca="1">SUMPRODUCT(IF((NOT(ISERROR(MATCH(ROW(INDIRECT(DATE(YEAR(B1374),MONTH(B1374),1)&amp;":"&amp;DATE(YEAR(B1374),MONTH(B1374)+1,0))),Feriados[Data],0))))=FALSE,
IF(WEEKDAY(ROW(INDIRECT(DATE(YEAR(B1374),MONTH(B1374),1)&amp;":"&amp;DATE(YEAR(B1374),MONTH(B1374)+1,0))),2)&lt;=5,1,IF(WEEKDAY(ROW(INDIRECT(DATE(YEAR(B1374),MONTH(B1374),1)&amp;":"&amp;DATE(YEAR(B1374),MONTH(B1374)+1,0))),2)=6,0.5,0)),0))</f>
        <v>23</v>
      </c>
      <c r="K1374" s="22" cm="1">
        <f t="array" ref="K1374">_xlfn.XLOOKUP(1,((Metas_Diarias[[#This Row],[tipo_equipe_id]]=Metas[equipe])*(Metas_Diarias[[#This Row],[data]]&gt;Metas[data_inicio])*(Metas_Diarias[[#This Row],[data]]&lt;Metas[data_fim])),Metas[meta_mensal],0)</f>
        <v>168000</v>
      </c>
      <c r="L1374" s="24">
        <f ca="1">Metas_Diarias[[#This Row],[meta_mensal]]*IF(Metas_Diarias[[#This Row],[semana]]="domingo",0,Metas_Diarias[[#This Row],[semana]])*IF(Metas_Diarias[[#This Row],[feriado]]&lt;&gt;1,0,1)/Metas_Diarias[[#This Row],[dias_úteis_Mês]]</f>
        <v>7304.347826086957</v>
      </c>
    </row>
    <row r="1375" spans="2:12" x14ac:dyDescent="0.3">
      <c r="B1375" s="34">
        <v>46296</v>
      </c>
      <c r="C1375" s="34" t="str">
        <f>TEXT(Metas_Diarias[[#This Row],[data]],"dddd")</f>
        <v>quinta-feira</v>
      </c>
      <c r="D1375" s="33">
        <v>1</v>
      </c>
      <c r="E1375" s="33">
        <v>1</v>
      </c>
      <c r="F1375" s="18"/>
      <c r="G1375" s="35">
        <f>WEEKDAY(Metas_Diarias[[#This Row],[data]])</f>
        <v>5</v>
      </c>
      <c r="H1375" s="35">
        <f>IF(Metas_Diarias[[#This Row],[dias_da_demana]]=1,"domingo",IF(Metas_Diarias[[#This Row],[dias_da_demana]]=7,0.5,1))</f>
        <v>1</v>
      </c>
      <c r="I1375" s="35">
        <f>_xlfn.XLOOKUP(Metas_Diarias[[#This Row],[data]],Feriados[Data],Feriados[Feriado],1)</f>
        <v>1</v>
      </c>
      <c r="J1375" s="33" cm="1">
        <f t="array" aca="1" ref="J1375" ca="1">SUMPRODUCT(IF((NOT(ISERROR(MATCH(ROW(INDIRECT(DATE(YEAR(B1375),MONTH(B1375),1)&amp;":"&amp;DATE(YEAR(B1375),MONTH(B1375)+1,0))),Feriados[Data],0))))=FALSE,
IF(WEEKDAY(ROW(INDIRECT(DATE(YEAR(B1375),MONTH(B1375),1)&amp;":"&amp;DATE(YEAR(B1375),MONTH(B1375)+1,0))),2)&lt;=5,1,IF(WEEKDAY(ROW(INDIRECT(DATE(YEAR(B1375),MONTH(B1375),1)&amp;":"&amp;DATE(YEAR(B1375),MONTH(B1375)+1,0))),2)=6,0.5,0)),0))</f>
        <v>23.5</v>
      </c>
      <c r="K1375" s="22" cm="1">
        <f t="array" ref="K1375">_xlfn.XLOOKUP(1,((Metas_Diarias[[#This Row],[tipo_equipe_id]]=Metas[equipe])*(Metas_Diarias[[#This Row],[data]]&gt;Metas[data_inicio])*(Metas_Diarias[[#This Row],[data]]&lt;Metas[data_fim])),Metas[meta_mensal],0)</f>
        <v>168000</v>
      </c>
      <c r="L1375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76" spans="2:12" x14ac:dyDescent="0.3">
      <c r="B1376" s="34">
        <v>46297</v>
      </c>
      <c r="C1376" s="34" t="str">
        <f>TEXT(Metas_Diarias[[#This Row],[data]],"dddd")</f>
        <v>sexta-feira</v>
      </c>
      <c r="D1376" s="33">
        <v>1</v>
      </c>
      <c r="E1376" s="33">
        <v>1</v>
      </c>
      <c r="F1376" s="18"/>
      <c r="G1376" s="35">
        <f>WEEKDAY(Metas_Diarias[[#This Row],[data]])</f>
        <v>6</v>
      </c>
      <c r="H1376" s="35">
        <f>IF(Metas_Diarias[[#This Row],[dias_da_demana]]=1,"domingo",IF(Metas_Diarias[[#This Row],[dias_da_demana]]=7,0.5,1))</f>
        <v>1</v>
      </c>
      <c r="I1376" s="35">
        <f>_xlfn.XLOOKUP(Metas_Diarias[[#This Row],[data]],Feriados[Data],Feriados[Feriado],1)</f>
        <v>1</v>
      </c>
      <c r="J1376" s="33" cm="1">
        <f t="array" aca="1" ref="J1376" ca="1">SUMPRODUCT(IF((NOT(ISERROR(MATCH(ROW(INDIRECT(DATE(YEAR(B1376),MONTH(B1376),1)&amp;":"&amp;DATE(YEAR(B1376),MONTH(B1376)+1,0))),Feriados[Data],0))))=FALSE,
IF(WEEKDAY(ROW(INDIRECT(DATE(YEAR(B1376),MONTH(B1376),1)&amp;":"&amp;DATE(YEAR(B1376),MONTH(B1376)+1,0))),2)&lt;=5,1,IF(WEEKDAY(ROW(INDIRECT(DATE(YEAR(B1376),MONTH(B1376),1)&amp;":"&amp;DATE(YEAR(B1376),MONTH(B1376)+1,0))),2)=6,0.5,0)),0))</f>
        <v>23.5</v>
      </c>
      <c r="K1376" s="22" cm="1">
        <f t="array" ref="K1376">_xlfn.XLOOKUP(1,((Metas_Diarias[[#This Row],[tipo_equipe_id]]=Metas[equipe])*(Metas_Diarias[[#This Row],[data]]&gt;Metas[data_inicio])*(Metas_Diarias[[#This Row],[data]]&lt;Metas[data_fim])),Metas[meta_mensal],0)</f>
        <v>168000</v>
      </c>
      <c r="L1376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77" spans="2:12" x14ac:dyDescent="0.3">
      <c r="B1377" s="34">
        <v>46298</v>
      </c>
      <c r="C1377" s="34" t="str">
        <f>TEXT(Metas_Diarias[[#This Row],[data]],"dddd")</f>
        <v>sábado</v>
      </c>
      <c r="D1377" s="33">
        <v>1</v>
      </c>
      <c r="E1377" s="33">
        <v>1</v>
      </c>
      <c r="F1377" s="18"/>
      <c r="G1377" s="35">
        <f>WEEKDAY(Metas_Diarias[[#This Row],[data]])</f>
        <v>7</v>
      </c>
      <c r="H1377" s="35">
        <f>IF(Metas_Diarias[[#This Row],[dias_da_demana]]=1,"domingo",IF(Metas_Diarias[[#This Row],[dias_da_demana]]=7,0.5,1))</f>
        <v>0.5</v>
      </c>
      <c r="I1377" s="35">
        <f>_xlfn.XLOOKUP(Metas_Diarias[[#This Row],[data]],Feriados[Data],Feriados[Feriado],1)</f>
        <v>1</v>
      </c>
      <c r="J1377" s="33" cm="1">
        <f t="array" aca="1" ref="J1377" ca="1">SUMPRODUCT(IF((NOT(ISERROR(MATCH(ROW(INDIRECT(DATE(YEAR(B1377),MONTH(B1377),1)&amp;":"&amp;DATE(YEAR(B1377),MONTH(B1377)+1,0))),Feriados[Data],0))))=FALSE,
IF(WEEKDAY(ROW(INDIRECT(DATE(YEAR(B1377),MONTH(B1377),1)&amp;":"&amp;DATE(YEAR(B1377),MONTH(B1377)+1,0))),2)&lt;=5,1,IF(WEEKDAY(ROW(INDIRECT(DATE(YEAR(B1377),MONTH(B1377),1)&amp;":"&amp;DATE(YEAR(B1377),MONTH(B1377)+1,0))),2)=6,0.5,0)),0))</f>
        <v>23.5</v>
      </c>
      <c r="K1377" s="22" cm="1">
        <f t="array" ref="K1377">_xlfn.XLOOKUP(1,((Metas_Diarias[[#This Row],[tipo_equipe_id]]=Metas[equipe])*(Metas_Diarias[[#This Row],[data]]&gt;Metas[data_inicio])*(Metas_Diarias[[#This Row],[data]]&lt;Metas[data_fim])),Metas[meta_mensal],0)</f>
        <v>168000</v>
      </c>
      <c r="L1377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78" spans="2:12" x14ac:dyDescent="0.3">
      <c r="B1378" s="34">
        <v>46299</v>
      </c>
      <c r="C1378" s="34" t="str">
        <f>TEXT(Metas_Diarias[[#This Row],[data]],"dddd")</f>
        <v>domingo</v>
      </c>
      <c r="D1378" s="33">
        <v>1</v>
      </c>
      <c r="E1378" s="33">
        <v>1</v>
      </c>
      <c r="F1378" s="18"/>
      <c r="G1378" s="35">
        <f>WEEKDAY(Metas_Diarias[[#This Row],[data]])</f>
        <v>1</v>
      </c>
      <c r="H1378" s="35" t="str">
        <f>IF(Metas_Diarias[[#This Row],[dias_da_demana]]=1,"domingo",IF(Metas_Diarias[[#This Row],[dias_da_demana]]=7,0.5,1))</f>
        <v>domingo</v>
      </c>
      <c r="I1378" s="35">
        <f>_xlfn.XLOOKUP(Metas_Diarias[[#This Row],[data]],Feriados[Data],Feriados[Feriado],1)</f>
        <v>1</v>
      </c>
      <c r="J1378" s="33" cm="1">
        <f t="array" aca="1" ref="J1378" ca="1">SUMPRODUCT(IF((NOT(ISERROR(MATCH(ROW(INDIRECT(DATE(YEAR(B1378),MONTH(B1378),1)&amp;":"&amp;DATE(YEAR(B1378),MONTH(B1378)+1,0))),Feriados[Data],0))))=FALSE,
IF(WEEKDAY(ROW(INDIRECT(DATE(YEAR(B1378),MONTH(B1378),1)&amp;":"&amp;DATE(YEAR(B1378),MONTH(B1378)+1,0))),2)&lt;=5,1,IF(WEEKDAY(ROW(INDIRECT(DATE(YEAR(B1378),MONTH(B1378),1)&amp;":"&amp;DATE(YEAR(B1378),MONTH(B1378)+1,0))),2)=6,0.5,0)),0))</f>
        <v>23.5</v>
      </c>
      <c r="K1378" s="22" cm="1">
        <f t="array" ref="K1378">_xlfn.XLOOKUP(1,((Metas_Diarias[[#This Row],[tipo_equipe_id]]=Metas[equipe])*(Metas_Diarias[[#This Row],[data]]&gt;Metas[data_inicio])*(Metas_Diarias[[#This Row],[data]]&lt;Metas[data_fim])),Metas[meta_mensal],0)</f>
        <v>168000</v>
      </c>
      <c r="L13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79" spans="2:12" x14ac:dyDescent="0.3">
      <c r="B1379" s="34">
        <v>46300</v>
      </c>
      <c r="C1379" s="34" t="str">
        <f>TEXT(Metas_Diarias[[#This Row],[data]],"dddd")</f>
        <v>segunda-feira</v>
      </c>
      <c r="D1379" s="33">
        <v>1</v>
      </c>
      <c r="E1379" s="33">
        <v>1</v>
      </c>
      <c r="F1379" s="18"/>
      <c r="G1379" s="35">
        <f>WEEKDAY(Metas_Diarias[[#This Row],[data]])</f>
        <v>2</v>
      </c>
      <c r="H1379" s="35">
        <f>IF(Metas_Diarias[[#This Row],[dias_da_demana]]=1,"domingo",IF(Metas_Diarias[[#This Row],[dias_da_demana]]=7,0.5,1))</f>
        <v>1</v>
      </c>
      <c r="I1379" s="35">
        <f>_xlfn.XLOOKUP(Metas_Diarias[[#This Row],[data]],Feriados[Data],Feriados[Feriado],1)</f>
        <v>1</v>
      </c>
      <c r="J1379" s="33" cm="1">
        <f t="array" aca="1" ref="J1379" ca="1">SUMPRODUCT(IF((NOT(ISERROR(MATCH(ROW(INDIRECT(DATE(YEAR(B1379),MONTH(B1379),1)&amp;":"&amp;DATE(YEAR(B1379),MONTH(B1379)+1,0))),Feriados[Data],0))))=FALSE,
IF(WEEKDAY(ROW(INDIRECT(DATE(YEAR(B1379),MONTH(B1379),1)&amp;":"&amp;DATE(YEAR(B1379),MONTH(B1379)+1,0))),2)&lt;=5,1,IF(WEEKDAY(ROW(INDIRECT(DATE(YEAR(B1379),MONTH(B1379),1)&amp;":"&amp;DATE(YEAR(B1379),MONTH(B1379)+1,0))),2)=6,0.5,0)),0))</f>
        <v>23.5</v>
      </c>
      <c r="K1379" s="22" cm="1">
        <f t="array" ref="K1379">_xlfn.XLOOKUP(1,((Metas_Diarias[[#This Row],[tipo_equipe_id]]=Metas[equipe])*(Metas_Diarias[[#This Row],[data]]&gt;Metas[data_inicio])*(Metas_Diarias[[#This Row],[data]]&lt;Metas[data_fim])),Metas[meta_mensal],0)</f>
        <v>168000</v>
      </c>
      <c r="L1379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80" spans="2:12" x14ac:dyDescent="0.3">
      <c r="B1380" s="34">
        <v>46301</v>
      </c>
      <c r="C1380" s="34" t="str">
        <f>TEXT(Metas_Diarias[[#This Row],[data]],"dddd")</f>
        <v>terça-feira</v>
      </c>
      <c r="D1380" s="33">
        <v>1</v>
      </c>
      <c r="E1380" s="33">
        <v>1</v>
      </c>
      <c r="F1380" s="18"/>
      <c r="G1380" s="35">
        <f>WEEKDAY(Metas_Diarias[[#This Row],[data]])</f>
        <v>3</v>
      </c>
      <c r="H1380" s="35">
        <f>IF(Metas_Diarias[[#This Row],[dias_da_demana]]=1,"domingo",IF(Metas_Diarias[[#This Row],[dias_da_demana]]=7,0.5,1))</f>
        <v>1</v>
      </c>
      <c r="I1380" s="35">
        <f>_xlfn.XLOOKUP(Metas_Diarias[[#This Row],[data]],Feriados[Data],Feriados[Feriado],1)</f>
        <v>1</v>
      </c>
      <c r="J1380" s="33" cm="1">
        <f t="array" aca="1" ref="J1380" ca="1">SUMPRODUCT(IF((NOT(ISERROR(MATCH(ROW(INDIRECT(DATE(YEAR(B1380),MONTH(B1380),1)&amp;":"&amp;DATE(YEAR(B1380),MONTH(B1380)+1,0))),Feriados[Data],0))))=FALSE,
IF(WEEKDAY(ROW(INDIRECT(DATE(YEAR(B1380),MONTH(B1380),1)&amp;":"&amp;DATE(YEAR(B1380),MONTH(B1380)+1,0))),2)&lt;=5,1,IF(WEEKDAY(ROW(INDIRECT(DATE(YEAR(B1380),MONTH(B1380),1)&amp;":"&amp;DATE(YEAR(B1380),MONTH(B1380)+1,0))),2)=6,0.5,0)),0))</f>
        <v>23.5</v>
      </c>
      <c r="K1380" s="22" cm="1">
        <f t="array" ref="K1380">_xlfn.XLOOKUP(1,((Metas_Diarias[[#This Row],[tipo_equipe_id]]=Metas[equipe])*(Metas_Diarias[[#This Row],[data]]&gt;Metas[data_inicio])*(Metas_Diarias[[#This Row],[data]]&lt;Metas[data_fim])),Metas[meta_mensal],0)</f>
        <v>168000</v>
      </c>
      <c r="L138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81" spans="2:12" x14ac:dyDescent="0.3">
      <c r="B1381" s="34">
        <v>46302</v>
      </c>
      <c r="C1381" s="34" t="str">
        <f>TEXT(Metas_Diarias[[#This Row],[data]],"dddd")</f>
        <v>quarta-feira</v>
      </c>
      <c r="D1381" s="33">
        <v>1</v>
      </c>
      <c r="E1381" s="33">
        <v>1</v>
      </c>
      <c r="F1381" s="18"/>
      <c r="G1381" s="35">
        <f>WEEKDAY(Metas_Diarias[[#This Row],[data]])</f>
        <v>4</v>
      </c>
      <c r="H1381" s="35">
        <f>IF(Metas_Diarias[[#This Row],[dias_da_demana]]=1,"domingo",IF(Metas_Diarias[[#This Row],[dias_da_demana]]=7,0.5,1))</f>
        <v>1</v>
      </c>
      <c r="I1381" s="35">
        <f>_xlfn.XLOOKUP(Metas_Diarias[[#This Row],[data]],Feriados[Data],Feriados[Feriado],1)</f>
        <v>1</v>
      </c>
      <c r="J1381" s="33" cm="1">
        <f t="array" aca="1" ref="J1381" ca="1">SUMPRODUCT(IF((NOT(ISERROR(MATCH(ROW(INDIRECT(DATE(YEAR(B1381),MONTH(B1381),1)&amp;":"&amp;DATE(YEAR(B1381),MONTH(B1381)+1,0))),Feriados[Data],0))))=FALSE,
IF(WEEKDAY(ROW(INDIRECT(DATE(YEAR(B1381),MONTH(B1381),1)&amp;":"&amp;DATE(YEAR(B1381),MONTH(B1381)+1,0))),2)&lt;=5,1,IF(WEEKDAY(ROW(INDIRECT(DATE(YEAR(B1381),MONTH(B1381),1)&amp;":"&amp;DATE(YEAR(B1381),MONTH(B1381)+1,0))),2)=6,0.5,0)),0))</f>
        <v>23.5</v>
      </c>
      <c r="K1381" s="22" cm="1">
        <f t="array" ref="K1381">_xlfn.XLOOKUP(1,((Metas_Diarias[[#This Row],[tipo_equipe_id]]=Metas[equipe])*(Metas_Diarias[[#This Row],[data]]&gt;Metas[data_inicio])*(Metas_Diarias[[#This Row],[data]]&lt;Metas[data_fim])),Metas[meta_mensal],0)</f>
        <v>168000</v>
      </c>
      <c r="L1381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82" spans="2:12" x14ac:dyDescent="0.3">
      <c r="B1382" s="34">
        <v>46303</v>
      </c>
      <c r="C1382" s="34" t="str">
        <f>TEXT(Metas_Diarias[[#This Row],[data]],"dddd")</f>
        <v>quinta-feira</v>
      </c>
      <c r="D1382" s="33">
        <v>1</v>
      </c>
      <c r="E1382" s="33">
        <v>1</v>
      </c>
      <c r="F1382" s="18"/>
      <c r="G1382" s="35">
        <f>WEEKDAY(Metas_Diarias[[#This Row],[data]])</f>
        <v>5</v>
      </c>
      <c r="H1382" s="35">
        <f>IF(Metas_Diarias[[#This Row],[dias_da_demana]]=1,"domingo",IF(Metas_Diarias[[#This Row],[dias_da_demana]]=7,0.5,1))</f>
        <v>1</v>
      </c>
      <c r="I1382" s="35">
        <f>_xlfn.XLOOKUP(Metas_Diarias[[#This Row],[data]],Feriados[Data],Feriados[Feriado],1)</f>
        <v>1</v>
      </c>
      <c r="J1382" s="33" cm="1">
        <f t="array" aca="1" ref="J1382" ca="1">SUMPRODUCT(IF((NOT(ISERROR(MATCH(ROW(INDIRECT(DATE(YEAR(B1382),MONTH(B1382),1)&amp;":"&amp;DATE(YEAR(B1382),MONTH(B1382)+1,0))),Feriados[Data],0))))=FALSE,
IF(WEEKDAY(ROW(INDIRECT(DATE(YEAR(B1382),MONTH(B1382),1)&amp;":"&amp;DATE(YEAR(B1382),MONTH(B1382)+1,0))),2)&lt;=5,1,IF(WEEKDAY(ROW(INDIRECT(DATE(YEAR(B1382),MONTH(B1382),1)&amp;":"&amp;DATE(YEAR(B1382),MONTH(B1382)+1,0))),2)=6,0.5,0)),0))</f>
        <v>23.5</v>
      </c>
      <c r="K1382" s="22" cm="1">
        <f t="array" ref="K1382">_xlfn.XLOOKUP(1,((Metas_Diarias[[#This Row],[tipo_equipe_id]]=Metas[equipe])*(Metas_Diarias[[#This Row],[data]]&gt;Metas[data_inicio])*(Metas_Diarias[[#This Row],[data]]&lt;Metas[data_fim])),Metas[meta_mensal],0)</f>
        <v>168000</v>
      </c>
      <c r="L1382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83" spans="2:12" x14ac:dyDescent="0.3">
      <c r="B1383" s="34">
        <v>46304</v>
      </c>
      <c r="C1383" s="34" t="str">
        <f>TEXT(Metas_Diarias[[#This Row],[data]],"dddd")</f>
        <v>sexta-feira</v>
      </c>
      <c r="D1383" s="33">
        <v>1</v>
      </c>
      <c r="E1383" s="33">
        <v>1</v>
      </c>
      <c r="F1383" s="18"/>
      <c r="G1383" s="35">
        <f>WEEKDAY(Metas_Diarias[[#This Row],[data]])</f>
        <v>6</v>
      </c>
      <c r="H1383" s="35">
        <f>IF(Metas_Diarias[[#This Row],[dias_da_demana]]=1,"domingo",IF(Metas_Diarias[[#This Row],[dias_da_demana]]=7,0.5,1))</f>
        <v>1</v>
      </c>
      <c r="I1383" s="35">
        <f>_xlfn.XLOOKUP(Metas_Diarias[[#This Row],[data]],Feriados[Data],Feriados[Feriado],1)</f>
        <v>1</v>
      </c>
      <c r="J1383" s="33" cm="1">
        <f t="array" aca="1" ref="J1383" ca="1">SUMPRODUCT(IF((NOT(ISERROR(MATCH(ROW(INDIRECT(DATE(YEAR(B1383),MONTH(B1383),1)&amp;":"&amp;DATE(YEAR(B1383),MONTH(B1383)+1,0))),Feriados[Data],0))))=FALSE,
IF(WEEKDAY(ROW(INDIRECT(DATE(YEAR(B1383),MONTH(B1383),1)&amp;":"&amp;DATE(YEAR(B1383),MONTH(B1383)+1,0))),2)&lt;=5,1,IF(WEEKDAY(ROW(INDIRECT(DATE(YEAR(B1383),MONTH(B1383),1)&amp;":"&amp;DATE(YEAR(B1383),MONTH(B1383)+1,0))),2)=6,0.5,0)),0))</f>
        <v>23.5</v>
      </c>
      <c r="K1383" s="22" cm="1">
        <f t="array" ref="K1383">_xlfn.XLOOKUP(1,((Metas_Diarias[[#This Row],[tipo_equipe_id]]=Metas[equipe])*(Metas_Diarias[[#This Row],[data]]&gt;Metas[data_inicio])*(Metas_Diarias[[#This Row],[data]]&lt;Metas[data_fim])),Metas[meta_mensal],0)</f>
        <v>168000</v>
      </c>
      <c r="L1383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84" spans="2:12" x14ac:dyDescent="0.3">
      <c r="B1384" s="34">
        <v>46305</v>
      </c>
      <c r="C1384" s="34" t="str">
        <f>TEXT(Metas_Diarias[[#This Row],[data]],"dddd")</f>
        <v>sábado</v>
      </c>
      <c r="D1384" s="33">
        <v>1</v>
      </c>
      <c r="E1384" s="33">
        <v>1</v>
      </c>
      <c r="F1384" s="18"/>
      <c r="G1384" s="35">
        <f>WEEKDAY(Metas_Diarias[[#This Row],[data]])</f>
        <v>7</v>
      </c>
      <c r="H1384" s="35">
        <f>IF(Metas_Diarias[[#This Row],[dias_da_demana]]=1,"domingo",IF(Metas_Diarias[[#This Row],[dias_da_demana]]=7,0.5,1))</f>
        <v>0.5</v>
      </c>
      <c r="I1384" s="35">
        <f>_xlfn.XLOOKUP(Metas_Diarias[[#This Row],[data]],Feriados[Data],Feriados[Feriado],1)</f>
        <v>1</v>
      </c>
      <c r="J1384" s="33" cm="1">
        <f t="array" aca="1" ref="J1384" ca="1">SUMPRODUCT(IF((NOT(ISERROR(MATCH(ROW(INDIRECT(DATE(YEAR(B1384),MONTH(B1384),1)&amp;":"&amp;DATE(YEAR(B1384),MONTH(B1384)+1,0))),Feriados[Data],0))))=FALSE,
IF(WEEKDAY(ROW(INDIRECT(DATE(YEAR(B1384),MONTH(B1384),1)&amp;":"&amp;DATE(YEAR(B1384),MONTH(B1384)+1,0))),2)&lt;=5,1,IF(WEEKDAY(ROW(INDIRECT(DATE(YEAR(B1384),MONTH(B1384),1)&amp;":"&amp;DATE(YEAR(B1384),MONTH(B1384)+1,0))),2)=6,0.5,0)),0))</f>
        <v>23.5</v>
      </c>
      <c r="K1384" s="22" cm="1">
        <f t="array" ref="K1384">_xlfn.XLOOKUP(1,((Metas_Diarias[[#This Row],[tipo_equipe_id]]=Metas[equipe])*(Metas_Diarias[[#This Row],[data]]&gt;Metas[data_inicio])*(Metas_Diarias[[#This Row],[data]]&lt;Metas[data_fim])),Metas[meta_mensal],0)</f>
        <v>168000</v>
      </c>
      <c r="L1384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85" spans="2:12" x14ac:dyDescent="0.3">
      <c r="B1385" s="34">
        <v>46306</v>
      </c>
      <c r="C1385" s="34" t="str">
        <f>TEXT(Metas_Diarias[[#This Row],[data]],"dddd")</f>
        <v>domingo</v>
      </c>
      <c r="D1385" s="33">
        <v>1</v>
      </c>
      <c r="E1385" s="33">
        <v>1</v>
      </c>
      <c r="F1385" s="18"/>
      <c r="G1385" s="35">
        <f>WEEKDAY(Metas_Diarias[[#This Row],[data]])</f>
        <v>1</v>
      </c>
      <c r="H1385" s="35" t="str">
        <f>IF(Metas_Diarias[[#This Row],[dias_da_demana]]=1,"domingo",IF(Metas_Diarias[[#This Row],[dias_da_demana]]=7,0.5,1))</f>
        <v>domingo</v>
      </c>
      <c r="I1385" s="35">
        <f>_xlfn.XLOOKUP(Metas_Diarias[[#This Row],[data]],Feriados[Data],Feriados[Feriado],1)</f>
        <v>1</v>
      </c>
      <c r="J1385" s="33" cm="1">
        <f t="array" aca="1" ref="J1385" ca="1">SUMPRODUCT(IF((NOT(ISERROR(MATCH(ROW(INDIRECT(DATE(YEAR(B1385),MONTH(B1385),1)&amp;":"&amp;DATE(YEAR(B1385),MONTH(B1385)+1,0))),Feriados[Data],0))))=FALSE,
IF(WEEKDAY(ROW(INDIRECT(DATE(YEAR(B1385),MONTH(B1385),1)&amp;":"&amp;DATE(YEAR(B1385),MONTH(B1385)+1,0))),2)&lt;=5,1,IF(WEEKDAY(ROW(INDIRECT(DATE(YEAR(B1385),MONTH(B1385),1)&amp;":"&amp;DATE(YEAR(B1385),MONTH(B1385)+1,0))),2)=6,0.5,0)),0))</f>
        <v>23.5</v>
      </c>
      <c r="K1385" s="22" cm="1">
        <f t="array" ref="K1385">_xlfn.XLOOKUP(1,((Metas_Diarias[[#This Row],[tipo_equipe_id]]=Metas[equipe])*(Metas_Diarias[[#This Row],[data]]&gt;Metas[data_inicio])*(Metas_Diarias[[#This Row],[data]]&lt;Metas[data_fim])),Metas[meta_mensal],0)</f>
        <v>168000</v>
      </c>
      <c r="L138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86" spans="2:12" x14ac:dyDescent="0.3">
      <c r="B1386" s="34">
        <v>46307</v>
      </c>
      <c r="C1386" s="34" t="str">
        <f>TEXT(Metas_Diarias[[#This Row],[data]],"dddd")</f>
        <v>segunda-feira</v>
      </c>
      <c r="D1386" s="33">
        <v>1</v>
      </c>
      <c r="E1386" s="33">
        <v>1</v>
      </c>
      <c r="F1386" s="18"/>
      <c r="G1386" s="35">
        <f>WEEKDAY(Metas_Diarias[[#This Row],[data]])</f>
        <v>2</v>
      </c>
      <c r="H1386" s="35">
        <f>IF(Metas_Diarias[[#This Row],[dias_da_demana]]=1,"domingo",IF(Metas_Diarias[[#This Row],[dias_da_demana]]=7,0.5,1))</f>
        <v>1</v>
      </c>
      <c r="I1386" s="35" t="str">
        <f>_xlfn.XLOOKUP(Metas_Diarias[[#This Row],[data]],Feriados[Data],Feriados[Feriado],1)</f>
        <v>Nossa Sr.a Aparecida - Padroeira do Brasil</v>
      </c>
      <c r="J1386" s="33" cm="1">
        <f t="array" aca="1" ref="J1386" ca="1">SUMPRODUCT(IF((NOT(ISERROR(MATCH(ROW(INDIRECT(DATE(YEAR(B1386),MONTH(B1386),1)&amp;":"&amp;DATE(YEAR(B1386),MONTH(B1386)+1,0))),Feriados[Data],0))))=FALSE,
IF(WEEKDAY(ROW(INDIRECT(DATE(YEAR(B1386),MONTH(B1386),1)&amp;":"&amp;DATE(YEAR(B1386),MONTH(B1386)+1,0))),2)&lt;=5,1,IF(WEEKDAY(ROW(INDIRECT(DATE(YEAR(B1386),MONTH(B1386),1)&amp;":"&amp;DATE(YEAR(B1386),MONTH(B1386)+1,0))),2)=6,0.5,0)),0))</f>
        <v>23.5</v>
      </c>
      <c r="K1386" s="22" cm="1">
        <f t="array" ref="K1386">_xlfn.XLOOKUP(1,((Metas_Diarias[[#This Row],[tipo_equipe_id]]=Metas[equipe])*(Metas_Diarias[[#This Row],[data]]&gt;Metas[data_inicio])*(Metas_Diarias[[#This Row],[data]]&lt;Metas[data_fim])),Metas[meta_mensal],0)</f>
        <v>168000</v>
      </c>
      <c r="L13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87" spans="2:12" x14ac:dyDescent="0.3">
      <c r="B1387" s="34">
        <v>46308</v>
      </c>
      <c r="C1387" s="34" t="str">
        <f>TEXT(Metas_Diarias[[#This Row],[data]],"dddd")</f>
        <v>terça-feira</v>
      </c>
      <c r="D1387" s="33">
        <v>1</v>
      </c>
      <c r="E1387" s="33">
        <v>1</v>
      </c>
      <c r="F1387" s="18"/>
      <c r="G1387" s="35">
        <f>WEEKDAY(Metas_Diarias[[#This Row],[data]])</f>
        <v>3</v>
      </c>
      <c r="H1387" s="35">
        <f>IF(Metas_Diarias[[#This Row],[dias_da_demana]]=1,"domingo",IF(Metas_Diarias[[#This Row],[dias_da_demana]]=7,0.5,1))</f>
        <v>1</v>
      </c>
      <c r="I1387" s="35">
        <f>_xlfn.XLOOKUP(Metas_Diarias[[#This Row],[data]],Feriados[Data],Feriados[Feriado],1)</f>
        <v>1</v>
      </c>
      <c r="J1387" s="33" cm="1">
        <f t="array" aca="1" ref="J1387" ca="1">SUMPRODUCT(IF((NOT(ISERROR(MATCH(ROW(INDIRECT(DATE(YEAR(B1387),MONTH(B1387),1)&amp;":"&amp;DATE(YEAR(B1387),MONTH(B1387)+1,0))),Feriados[Data],0))))=FALSE,
IF(WEEKDAY(ROW(INDIRECT(DATE(YEAR(B1387),MONTH(B1387),1)&amp;":"&amp;DATE(YEAR(B1387),MONTH(B1387)+1,0))),2)&lt;=5,1,IF(WEEKDAY(ROW(INDIRECT(DATE(YEAR(B1387),MONTH(B1387),1)&amp;":"&amp;DATE(YEAR(B1387),MONTH(B1387)+1,0))),2)=6,0.5,0)),0))</f>
        <v>23.5</v>
      </c>
      <c r="K1387" s="22" cm="1">
        <f t="array" ref="K1387">_xlfn.XLOOKUP(1,((Metas_Diarias[[#This Row],[tipo_equipe_id]]=Metas[equipe])*(Metas_Diarias[[#This Row],[data]]&gt;Metas[data_inicio])*(Metas_Diarias[[#This Row],[data]]&lt;Metas[data_fim])),Metas[meta_mensal],0)</f>
        <v>168000</v>
      </c>
      <c r="L1387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88" spans="2:12" x14ac:dyDescent="0.3">
      <c r="B1388" s="34">
        <v>46309</v>
      </c>
      <c r="C1388" s="34" t="str">
        <f>TEXT(Metas_Diarias[[#This Row],[data]],"dddd")</f>
        <v>quarta-feira</v>
      </c>
      <c r="D1388" s="33">
        <v>1</v>
      </c>
      <c r="E1388" s="33">
        <v>1</v>
      </c>
      <c r="F1388" s="18"/>
      <c r="G1388" s="35">
        <f>WEEKDAY(Metas_Diarias[[#This Row],[data]])</f>
        <v>4</v>
      </c>
      <c r="H1388" s="35">
        <f>IF(Metas_Diarias[[#This Row],[dias_da_demana]]=1,"domingo",IF(Metas_Diarias[[#This Row],[dias_da_demana]]=7,0.5,1))</f>
        <v>1</v>
      </c>
      <c r="I1388" s="35">
        <f>_xlfn.XLOOKUP(Metas_Diarias[[#This Row],[data]],Feriados[Data],Feriados[Feriado],1)</f>
        <v>1</v>
      </c>
      <c r="J1388" s="33" cm="1">
        <f t="array" aca="1" ref="J1388" ca="1">SUMPRODUCT(IF((NOT(ISERROR(MATCH(ROW(INDIRECT(DATE(YEAR(B1388),MONTH(B1388),1)&amp;":"&amp;DATE(YEAR(B1388),MONTH(B1388)+1,0))),Feriados[Data],0))))=FALSE,
IF(WEEKDAY(ROW(INDIRECT(DATE(YEAR(B1388),MONTH(B1388),1)&amp;":"&amp;DATE(YEAR(B1388),MONTH(B1388)+1,0))),2)&lt;=5,1,IF(WEEKDAY(ROW(INDIRECT(DATE(YEAR(B1388),MONTH(B1388),1)&amp;":"&amp;DATE(YEAR(B1388),MONTH(B1388)+1,0))),2)=6,0.5,0)),0))</f>
        <v>23.5</v>
      </c>
      <c r="K1388" s="22" cm="1">
        <f t="array" ref="K1388">_xlfn.XLOOKUP(1,((Metas_Diarias[[#This Row],[tipo_equipe_id]]=Metas[equipe])*(Metas_Diarias[[#This Row],[data]]&gt;Metas[data_inicio])*(Metas_Diarias[[#This Row],[data]]&lt;Metas[data_fim])),Metas[meta_mensal],0)</f>
        <v>168000</v>
      </c>
      <c r="L1388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89" spans="2:12" x14ac:dyDescent="0.3">
      <c r="B1389" s="34">
        <v>46310</v>
      </c>
      <c r="C1389" s="34" t="str">
        <f>TEXT(Metas_Diarias[[#This Row],[data]],"dddd")</f>
        <v>quinta-feira</v>
      </c>
      <c r="D1389" s="33">
        <v>1</v>
      </c>
      <c r="E1389" s="33">
        <v>1</v>
      </c>
      <c r="F1389" s="18"/>
      <c r="G1389" s="35">
        <f>WEEKDAY(Metas_Diarias[[#This Row],[data]])</f>
        <v>5</v>
      </c>
      <c r="H1389" s="35">
        <f>IF(Metas_Diarias[[#This Row],[dias_da_demana]]=1,"domingo",IF(Metas_Diarias[[#This Row],[dias_da_demana]]=7,0.5,1))</f>
        <v>1</v>
      </c>
      <c r="I1389" s="35">
        <f>_xlfn.XLOOKUP(Metas_Diarias[[#This Row],[data]],Feriados[Data],Feriados[Feriado],1)</f>
        <v>1</v>
      </c>
      <c r="J1389" s="33" cm="1">
        <f t="array" aca="1" ref="J1389" ca="1">SUMPRODUCT(IF((NOT(ISERROR(MATCH(ROW(INDIRECT(DATE(YEAR(B1389),MONTH(B1389),1)&amp;":"&amp;DATE(YEAR(B1389),MONTH(B1389)+1,0))),Feriados[Data],0))))=FALSE,
IF(WEEKDAY(ROW(INDIRECT(DATE(YEAR(B1389),MONTH(B1389),1)&amp;":"&amp;DATE(YEAR(B1389),MONTH(B1389)+1,0))),2)&lt;=5,1,IF(WEEKDAY(ROW(INDIRECT(DATE(YEAR(B1389),MONTH(B1389),1)&amp;":"&amp;DATE(YEAR(B1389),MONTH(B1389)+1,0))),2)=6,0.5,0)),0))</f>
        <v>23.5</v>
      </c>
      <c r="K1389" s="22" cm="1">
        <f t="array" ref="K1389">_xlfn.XLOOKUP(1,((Metas_Diarias[[#This Row],[tipo_equipe_id]]=Metas[equipe])*(Metas_Diarias[[#This Row],[data]]&gt;Metas[data_inicio])*(Metas_Diarias[[#This Row],[data]]&lt;Metas[data_fim])),Metas[meta_mensal],0)</f>
        <v>168000</v>
      </c>
      <c r="L1389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90" spans="2:12" x14ac:dyDescent="0.3">
      <c r="B1390" s="34">
        <v>46311</v>
      </c>
      <c r="C1390" s="34" t="str">
        <f>TEXT(Metas_Diarias[[#This Row],[data]],"dddd")</f>
        <v>sexta-feira</v>
      </c>
      <c r="D1390" s="33">
        <v>1</v>
      </c>
      <c r="E1390" s="33">
        <v>1</v>
      </c>
      <c r="F1390" s="18"/>
      <c r="G1390" s="35">
        <f>WEEKDAY(Metas_Diarias[[#This Row],[data]])</f>
        <v>6</v>
      </c>
      <c r="H1390" s="35">
        <f>IF(Metas_Diarias[[#This Row],[dias_da_demana]]=1,"domingo",IF(Metas_Diarias[[#This Row],[dias_da_demana]]=7,0.5,1))</f>
        <v>1</v>
      </c>
      <c r="I1390" s="35">
        <f>_xlfn.XLOOKUP(Metas_Diarias[[#This Row],[data]],Feriados[Data],Feriados[Feriado],1)</f>
        <v>1</v>
      </c>
      <c r="J1390" s="33" cm="1">
        <f t="array" aca="1" ref="J1390" ca="1">SUMPRODUCT(IF((NOT(ISERROR(MATCH(ROW(INDIRECT(DATE(YEAR(B1390),MONTH(B1390),1)&amp;":"&amp;DATE(YEAR(B1390),MONTH(B1390)+1,0))),Feriados[Data],0))))=FALSE,
IF(WEEKDAY(ROW(INDIRECT(DATE(YEAR(B1390),MONTH(B1390),1)&amp;":"&amp;DATE(YEAR(B1390),MONTH(B1390)+1,0))),2)&lt;=5,1,IF(WEEKDAY(ROW(INDIRECT(DATE(YEAR(B1390),MONTH(B1390),1)&amp;":"&amp;DATE(YEAR(B1390),MONTH(B1390)+1,0))),2)=6,0.5,0)),0))</f>
        <v>23.5</v>
      </c>
      <c r="K1390" s="22" cm="1">
        <f t="array" ref="K1390">_xlfn.XLOOKUP(1,((Metas_Diarias[[#This Row],[tipo_equipe_id]]=Metas[equipe])*(Metas_Diarias[[#This Row],[data]]&gt;Metas[data_inicio])*(Metas_Diarias[[#This Row],[data]]&lt;Metas[data_fim])),Metas[meta_mensal],0)</f>
        <v>168000</v>
      </c>
      <c r="L139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91" spans="2:12" x14ac:dyDescent="0.3">
      <c r="B1391" s="34">
        <v>46312</v>
      </c>
      <c r="C1391" s="34" t="str">
        <f>TEXT(Metas_Diarias[[#This Row],[data]],"dddd")</f>
        <v>sábado</v>
      </c>
      <c r="D1391" s="33">
        <v>1</v>
      </c>
      <c r="E1391" s="33">
        <v>1</v>
      </c>
      <c r="F1391" s="18"/>
      <c r="G1391" s="35">
        <f>WEEKDAY(Metas_Diarias[[#This Row],[data]])</f>
        <v>7</v>
      </c>
      <c r="H1391" s="35">
        <f>IF(Metas_Diarias[[#This Row],[dias_da_demana]]=1,"domingo",IF(Metas_Diarias[[#This Row],[dias_da_demana]]=7,0.5,1))</f>
        <v>0.5</v>
      </c>
      <c r="I1391" s="35">
        <f>_xlfn.XLOOKUP(Metas_Diarias[[#This Row],[data]],Feriados[Data],Feriados[Feriado],1)</f>
        <v>1</v>
      </c>
      <c r="J1391" s="33" cm="1">
        <f t="array" aca="1" ref="J1391" ca="1">SUMPRODUCT(IF((NOT(ISERROR(MATCH(ROW(INDIRECT(DATE(YEAR(B1391),MONTH(B1391),1)&amp;":"&amp;DATE(YEAR(B1391),MONTH(B1391)+1,0))),Feriados[Data],0))))=FALSE,
IF(WEEKDAY(ROW(INDIRECT(DATE(YEAR(B1391),MONTH(B1391),1)&amp;":"&amp;DATE(YEAR(B1391),MONTH(B1391)+1,0))),2)&lt;=5,1,IF(WEEKDAY(ROW(INDIRECT(DATE(YEAR(B1391),MONTH(B1391),1)&amp;":"&amp;DATE(YEAR(B1391),MONTH(B1391)+1,0))),2)=6,0.5,0)),0))</f>
        <v>23.5</v>
      </c>
      <c r="K1391" s="22" cm="1">
        <f t="array" ref="K1391">_xlfn.XLOOKUP(1,((Metas_Diarias[[#This Row],[tipo_equipe_id]]=Metas[equipe])*(Metas_Diarias[[#This Row],[data]]&gt;Metas[data_inicio])*(Metas_Diarias[[#This Row],[data]]&lt;Metas[data_fim])),Metas[meta_mensal],0)</f>
        <v>168000</v>
      </c>
      <c r="L1391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92" spans="2:12" x14ac:dyDescent="0.3">
      <c r="B1392" s="34">
        <v>46313</v>
      </c>
      <c r="C1392" s="34" t="str">
        <f>TEXT(Metas_Diarias[[#This Row],[data]],"dddd")</f>
        <v>domingo</v>
      </c>
      <c r="D1392" s="33">
        <v>1</v>
      </c>
      <c r="E1392" s="33">
        <v>1</v>
      </c>
      <c r="F1392" s="18"/>
      <c r="G1392" s="35">
        <f>WEEKDAY(Metas_Diarias[[#This Row],[data]])</f>
        <v>1</v>
      </c>
      <c r="H1392" s="35" t="str">
        <f>IF(Metas_Diarias[[#This Row],[dias_da_demana]]=1,"domingo",IF(Metas_Diarias[[#This Row],[dias_da_demana]]=7,0.5,1))</f>
        <v>domingo</v>
      </c>
      <c r="I1392" s="35">
        <f>_xlfn.XLOOKUP(Metas_Diarias[[#This Row],[data]],Feriados[Data],Feriados[Feriado],1)</f>
        <v>1</v>
      </c>
      <c r="J1392" s="33" cm="1">
        <f t="array" aca="1" ref="J1392" ca="1">SUMPRODUCT(IF((NOT(ISERROR(MATCH(ROW(INDIRECT(DATE(YEAR(B1392),MONTH(B1392),1)&amp;":"&amp;DATE(YEAR(B1392),MONTH(B1392)+1,0))),Feriados[Data],0))))=FALSE,
IF(WEEKDAY(ROW(INDIRECT(DATE(YEAR(B1392),MONTH(B1392),1)&amp;":"&amp;DATE(YEAR(B1392),MONTH(B1392)+1,0))),2)&lt;=5,1,IF(WEEKDAY(ROW(INDIRECT(DATE(YEAR(B1392),MONTH(B1392),1)&amp;":"&amp;DATE(YEAR(B1392),MONTH(B1392)+1,0))),2)=6,0.5,0)),0))</f>
        <v>23.5</v>
      </c>
      <c r="K1392" s="22" cm="1">
        <f t="array" ref="K1392">_xlfn.XLOOKUP(1,((Metas_Diarias[[#This Row],[tipo_equipe_id]]=Metas[equipe])*(Metas_Diarias[[#This Row],[data]]&gt;Metas[data_inicio])*(Metas_Diarias[[#This Row],[data]]&lt;Metas[data_fim])),Metas[meta_mensal],0)</f>
        <v>168000</v>
      </c>
      <c r="L139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393" spans="2:12" x14ac:dyDescent="0.3">
      <c r="B1393" s="34">
        <v>46314</v>
      </c>
      <c r="C1393" s="34" t="str">
        <f>TEXT(Metas_Diarias[[#This Row],[data]],"dddd")</f>
        <v>segunda-feira</v>
      </c>
      <c r="D1393" s="33">
        <v>1</v>
      </c>
      <c r="E1393" s="33">
        <v>1</v>
      </c>
      <c r="F1393" s="18"/>
      <c r="G1393" s="35">
        <f>WEEKDAY(Metas_Diarias[[#This Row],[data]])</f>
        <v>2</v>
      </c>
      <c r="H1393" s="35">
        <f>IF(Metas_Diarias[[#This Row],[dias_da_demana]]=1,"domingo",IF(Metas_Diarias[[#This Row],[dias_da_demana]]=7,0.5,1))</f>
        <v>1</v>
      </c>
      <c r="I1393" s="35">
        <f>_xlfn.XLOOKUP(Metas_Diarias[[#This Row],[data]],Feriados[Data],Feriados[Feriado],1)</f>
        <v>1</v>
      </c>
      <c r="J1393" s="33" cm="1">
        <f t="array" aca="1" ref="J1393" ca="1">SUMPRODUCT(IF((NOT(ISERROR(MATCH(ROW(INDIRECT(DATE(YEAR(B1393),MONTH(B1393),1)&amp;":"&amp;DATE(YEAR(B1393),MONTH(B1393)+1,0))),Feriados[Data],0))))=FALSE,
IF(WEEKDAY(ROW(INDIRECT(DATE(YEAR(B1393),MONTH(B1393),1)&amp;":"&amp;DATE(YEAR(B1393),MONTH(B1393)+1,0))),2)&lt;=5,1,IF(WEEKDAY(ROW(INDIRECT(DATE(YEAR(B1393),MONTH(B1393),1)&amp;":"&amp;DATE(YEAR(B1393),MONTH(B1393)+1,0))),2)=6,0.5,0)),0))</f>
        <v>23.5</v>
      </c>
      <c r="K1393" s="22" cm="1">
        <f t="array" ref="K1393">_xlfn.XLOOKUP(1,((Metas_Diarias[[#This Row],[tipo_equipe_id]]=Metas[equipe])*(Metas_Diarias[[#This Row],[data]]&gt;Metas[data_inicio])*(Metas_Diarias[[#This Row],[data]]&lt;Metas[data_fim])),Metas[meta_mensal],0)</f>
        <v>168000</v>
      </c>
      <c r="L1393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94" spans="2:12" x14ac:dyDescent="0.3">
      <c r="B1394" s="34">
        <v>46315</v>
      </c>
      <c r="C1394" s="34" t="str">
        <f>TEXT(Metas_Diarias[[#This Row],[data]],"dddd")</f>
        <v>terça-feira</v>
      </c>
      <c r="D1394" s="33">
        <v>1</v>
      </c>
      <c r="E1394" s="33">
        <v>1</v>
      </c>
      <c r="F1394" s="18"/>
      <c r="G1394" s="35">
        <f>WEEKDAY(Metas_Diarias[[#This Row],[data]])</f>
        <v>3</v>
      </c>
      <c r="H1394" s="35">
        <f>IF(Metas_Diarias[[#This Row],[dias_da_demana]]=1,"domingo",IF(Metas_Diarias[[#This Row],[dias_da_demana]]=7,0.5,1))</f>
        <v>1</v>
      </c>
      <c r="I1394" s="35">
        <f>_xlfn.XLOOKUP(Metas_Diarias[[#This Row],[data]],Feriados[Data],Feriados[Feriado],1)</f>
        <v>1</v>
      </c>
      <c r="J1394" s="33" cm="1">
        <f t="array" aca="1" ref="J1394" ca="1">SUMPRODUCT(IF((NOT(ISERROR(MATCH(ROW(INDIRECT(DATE(YEAR(B1394),MONTH(B1394),1)&amp;":"&amp;DATE(YEAR(B1394),MONTH(B1394)+1,0))),Feriados[Data],0))))=FALSE,
IF(WEEKDAY(ROW(INDIRECT(DATE(YEAR(B1394),MONTH(B1394),1)&amp;":"&amp;DATE(YEAR(B1394),MONTH(B1394)+1,0))),2)&lt;=5,1,IF(WEEKDAY(ROW(INDIRECT(DATE(YEAR(B1394),MONTH(B1394),1)&amp;":"&amp;DATE(YEAR(B1394),MONTH(B1394)+1,0))),2)=6,0.5,0)),0))</f>
        <v>23.5</v>
      </c>
      <c r="K1394" s="22" cm="1">
        <f t="array" ref="K1394">_xlfn.XLOOKUP(1,((Metas_Diarias[[#This Row],[tipo_equipe_id]]=Metas[equipe])*(Metas_Diarias[[#This Row],[data]]&gt;Metas[data_inicio])*(Metas_Diarias[[#This Row],[data]]&lt;Metas[data_fim])),Metas[meta_mensal],0)</f>
        <v>168000</v>
      </c>
      <c r="L1394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95" spans="2:12" x14ac:dyDescent="0.3">
      <c r="B1395" s="34">
        <v>46316</v>
      </c>
      <c r="C1395" s="34" t="str">
        <f>TEXT(Metas_Diarias[[#This Row],[data]],"dddd")</f>
        <v>quarta-feira</v>
      </c>
      <c r="D1395" s="33">
        <v>1</v>
      </c>
      <c r="E1395" s="33">
        <v>1</v>
      </c>
      <c r="F1395" s="18"/>
      <c r="G1395" s="35">
        <f>WEEKDAY(Metas_Diarias[[#This Row],[data]])</f>
        <v>4</v>
      </c>
      <c r="H1395" s="35">
        <f>IF(Metas_Diarias[[#This Row],[dias_da_demana]]=1,"domingo",IF(Metas_Diarias[[#This Row],[dias_da_demana]]=7,0.5,1))</f>
        <v>1</v>
      </c>
      <c r="I1395" s="35">
        <f>_xlfn.XLOOKUP(Metas_Diarias[[#This Row],[data]],Feriados[Data],Feriados[Feriado],1)</f>
        <v>1</v>
      </c>
      <c r="J1395" s="33" cm="1">
        <f t="array" aca="1" ref="J1395" ca="1">SUMPRODUCT(IF((NOT(ISERROR(MATCH(ROW(INDIRECT(DATE(YEAR(B1395),MONTH(B1395),1)&amp;":"&amp;DATE(YEAR(B1395),MONTH(B1395)+1,0))),Feriados[Data],0))))=FALSE,
IF(WEEKDAY(ROW(INDIRECT(DATE(YEAR(B1395),MONTH(B1395),1)&amp;":"&amp;DATE(YEAR(B1395),MONTH(B1395)+1,0))),2)&lt;=5,1,IF(WEEKDAY(ROW(INDIRECT(DATE(YEAR(B1395),MONTH(B1395),1)&amp;":"&amp;DATE(YEAR(B1395),MONTH(B1395)+1,0))),2)=6,0.5,0)),0))</f>
        <v>23.5</v>
      </c>
      <c r="K1395" s="22" cm="1">
        <f t="array" ref="K1395">_xlfn.XLOOKUP(1,((Metas_Diarias[[#This Row],[tipo_equipe_id]]=Metas[equipe])*(Metas_Diarias[[#This Row],[data]]&gt;Metas[data_inicio])*(Metas_Diarias[[#This Row],[data]]&lt;Metas[data_fim])),Metas[meta_mensal],0)</f>
        <v>168000</v>
      </c>
      <c r="L1395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96" spans="2:12" x14ac:dyDescent="0.3">
      <c r="B1396" s="34">
        <v>46317</v>
      </c>
      <c r="C1396" s="34" t="str">
        <f>TEXT(Metas_Diarias[[#This Row],[data]],"dddd")</f>
        <v>quinta-feira</v>
      </c>
      <c r="D1396" s="33">
        <v>1</v>
      </c>
      <c r="E1396" s="33">
        <v>1</v>
      </c>
      <c r="F1396" s="18"/>
      <c r="G1396" s="35">
        <f>WEEKDAY(Metas_Diarias[[#This Row],[data]])</f>
        <v>5</v>
      </c>
      <c r="H1396" s="35">
        <f>IF(Metas_Diarias[[#This Row],[dias_da_demana]]=1,"domingo",IF(Metas_Diarias[[#This Row],[dias_da_demana]]=7,0.5,1))</f>
        <v>1</v>
      </c>
      <c r="I1396" s="35">
        <f>_xlfn.XLOOKUP(Metas_Diarias[[#This Row],[data]],Feriados[Data],Feriados[Feriado],1)</f>
        <v>1</v>
      </c>
      <c r="J1396" s="33" cm="1">
        <f t="array" aca="1" ref="J1396" ca="1">SUMPRODUCT(IF((NOT(ISERROR(MATCH(ROW(INDIRECT(DATE(YEAR(B1396),MONTH(B1396),1)&amp;":"&amp;DATE(YEAR(B1396),MONTH(B1396)+1,0))),Feriados[Data],0))))=FALSE,
IF(WEEKDAY(ROW(INDIRECT(DATE(YEAR(B1396),MONTH(B1396),1)&amp;":"&amp;DATE(YEAR(B1396),MONTH(B1396)+1,0))),2)&lt;=5,1,IF(WEEKDAY(ROW(INDIRECT(DATE(YEAR(B1396),MONTH(B1396),1)&amp;":"&amp;DATE(YEAR(B1396),MONTH(B1396)+1,0))),2)=6,0.5,0)),0))</f>
        <v>23.5</v>
      </c>
      <c r="K1396" s="22" cm="1">
        <f t="array" ref="K1396">_xlfn.XLOOKUP(1,((Metas_Diarias[[#This Row],[tipo_equipe_id]]=Metas[equipe])*(Metas_Diarias[[#This Row],[data]]&gt;Metas[data_inicio])*(Metas_Diarias[[#This Row],[data]]&lt;Metas[data_fim])),Metas[meta_mensal],0)</f>
        <v>168000</v>
      </c>
      <c r="L1396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97" spans="2:12" x14ac:dyDescent="0.3">
      <c r="B1397" s="34">
        <v>46318</v>
      </c>
      <c r="C1397" s="34" t="str">
        <f>TEXT(Metas_Diarias[[#This Row],[data]],"dddd")</f>
        <v>sexta-feira</v>
      </c>
      <c r="D1397" s="33">
        <v>1</v>
      </c>
      <c r="E1397" s="33">
        <v>1</v>
      </c>
      <c r="F1397" s="18"/>
      <c r="G1397" s="35">
        <f>WEEKDAY(Metas_Diarias[[#This Row],[data]])</f>
        <v>6</v>
      </c>
      <c r="H1397" s="35">
        <f>IF(Metas_Diarias[[#This Row],[dias_da_demana]]=1,"domingo",IF(Metas_Diarias[[#This Row],[dias_da_demana]]=7,0.5,1))</f>
        <v>1</v>
      </c>
      <c r="I1397" s="35">
        <f>_xlfn.XLOOKUP(Metas_Diarias[[#This Row],[data]],Feriados[Data],Feriados[Feriado],1)</f>
        <v>1</v>
      </c>
      <c r="J1397" s="33" cm="1">
        <f t="array" aca="1" ref="J1397" ca="1">SUMPRODUCT(IF((NOT(ISERROR(MATCH(ROW(INDIRECT(DATE(YEAR(B1397),MONTH(B1397),1)&amp;":"&amp;DATE(YEAR(B1397),MONTH(B1397)+1,0))),Feriados[Data],0))))=FALSE,
IF(WEEKDAY(ROW(INDIRECT(DATE(YEAR(B1397),MONTH(B1397),1)&amp;":"&amp;DATE(YEAR(B1397),MONTH(B1397)+1,0))),2)&lt;=5,1,IF(WEEKDAY(ROW(INDIRECT(DATE(YEAR(B1397),MONTH(B1397),1)&amp;":"&amp;DATE(YEAR(B1397),MONTH(B1397)+1,0))),2)=6,0.5,0)),0))</f>
        <v>23.5</v>
      </c>
      <c r="K1397" s="22" cm="1">
        <f t="array" ref="K1397">_xlfn.XLOOKUP(1,((Metas_Diarias[[#This Row],[tipo_equipe_id]]=Metas[equipe])*(Metas_Diarias[[#This Row],[data]]&gt;Metas[data_inicio])*(Metas_Diarias[[#This Row],[data]]&lt;Metas[data_fim])),Metas[meta_mensal],0)</f>
        <v>168000</v>
      </c>
      <c r="L1397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398" spans="2:12" x14ac:dyDescent="0.3">
      <c r="B1398" s="34">
        <v>46319</v>
      </c>
      <c r="C1398" s="34" t="str">
        <f>TEXT(Metas_Diarias[[#This Row],[data]],"dddd")</f>
        <v>sábado</v>
      </c>
      <c r="D1398" s="33">
        <v>1</v>
      </c>
      <c r="E1398" s="33">
        <v>1</v>
      </c>
      <c r="F1398" s="18"/>
      <c r="G1398" s="35">
        <f>WEEKDAY(Metas_Diarias[[#This Row],[data]])</f>
        <v>7</v>
      </c>
      <c r="H1398" s="35">
        <f>IF(Metas_Diarias[[#This Row],[dias_da_demana]]=1,"domingo",IF(Metas_Diarias[[#This Row],[dias_da_demana]]=7,0.5,1))</f>
        <v>0.5</v>
      </c>
      <c r="I1398" s="35">
        <f>_xlfn.XLOOKUP(Metas_Diarias[[#This Row],[data]],Feriados[Data],Feriados[Feriado],1)</f>
        <v>1</v>
      </c>
      <c r="J1398" s="33" cm="1">
        <f t="array" aca="1" ref="J1398" ca="1">SUMPRODUCT(IF((NOT(ISERROR(MATCH(ROW(INDIRECT(DATE(YEAR(B1398),MONTH(B1398),1)&amp;":"&amp;DATE(YEAR(B1398),MONTH(B1398)+1,0))),Feriados[Data],0))))=FALSE,
IF(WEEKDAY(ROW(INDIRECT(DATE(YEAR(B1398),MONTH(B1398),1)&amp;":"&amp;DATE(YEAR(B1398),MONTH(B1398)+1,0))),2)&lt;=5,1,IF(WEEKDAY(ROW(INDIRECT(DATE(YEAR(B1398),MONTH(B1398),1)&amp;":"&amp;DATE(YEAR(B1398),MONTH(B1398)+1,0))),2)=6,0.5,0)),0))</f>
        <v>23.5</v>
      </c>
      <c r="K1398" s="22" cm="1">
        <f t="array" ref="K1398">_xlfn.XLOOKUP(1,((Metas_Diarias[[#This Row],[tipo_equipe_id]]=Metas[equipe])*(Metas_Diarias[[#This Row],[data]]&gt;Metas[data_inicio])*(Metas_Diarias[[#This Row],[data]]&lt;Metas[data_fim])),Metas[meta_mensal],0)</f>
        <v>168000</v>
      </c>
      <c r="L1398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399" spans="2:12" x14ac:dyDescent="0.3">
      <c r="B1399" s="34">
        <v>46320</v>
      </c>
      <c r="C1399" s="34" t="str">
        <f>TEXT(Metas_Diarias[[#This Row],[data]],"dddd")</f>
        <v>domingo</v>
      </c>
      <c r="D1399" s="33">
        <v>1</v>
      </c>
      <c r="E1399" s="33">
        <v>1</v>
      </c>
      <c r="F1399" s="18"/>
      <c r="G1399" s="35">
        <f>WEEKDAY(Metas_Diarias[[#This Row],[data]])</f>
        <v>1</v>
      </c>
      <c r="H1399" s="35" t="str">
        <f>IF(Metas_Diarias[[#This Row],[dias_da_demana]]=1,"domingo",IF(Metas_Diarias[[#This Row],[dias_da_demana]]=7,0.5,1))</f>
        <v>domingo</v>
      </c>
      <c r="I1399" s="35">
        <f>_xlfn.XLOOKUP(Metas_Diarias[[#This Row],[data]],Feriados[Data],Feriados[Feriado],1)</f>
        <v>1</v>
      </c>
      <c r="J1399" s="33" cm="1">
        <f t="array" aca="1" ref="J1399" ca="1">SUMPRODUCT(IF((NOT(ISERROR(MATCH(ROW(INDIRECT(DATE(YEAR(B1399),MONTH(B1399),1)&amp;":"&amp;DATE(YEAR(B1399),MONTH(B1399)+1,0))),Feriados[Data],0))))=FALSE,
IF(WEEKDAY(ROW(INDIRECT(DATE(YEAR(B1399),MONTH(B1399),1)&amp;":"&amp;DATE(YEAR(B1399),MONTH(B1399)+1,0))),2)&lt;=5,1,IF(WEEKDAY(ROW(INDIRECT(DATE(YEAR(B1399),MONTH(B1399),1)&amp;":"&amp;DATE(YEAR(B1399),MONTH(B1399)+1,0))),2)=6,0.5,0)),0))</f>
        <v>23.5</v>
      </c>
      <c r="K1399" s="22" cm="1">
        <f t="array" ref="K1399">_xlfn.XLOOKUP(1,((Metas_Diarias[[#This Row],[tipo_equipe_id]]=Metas[equipe])*(Metas_Diarias[[#This Row],[data]]&gt;Metas[data_inicio])*(Metas_Diarias[[#This Row],[data]]&lt;Metas[data_fim])),Metas[meta_mensal],0)</f>
        <v>168000</v>
      </c>
      <c r="L139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00" spans="2:12" x14ac:dyDescent="0.3">
      <c r="B1400" s="34">
        <v>46321</v>
      </c>
      <c r="C1400" s="34" t="str">
        <f>TEXT(Metas_Diarias[[#This Row],[data]],"dddd")</f>
        <v>segunda-feira</v>
      </c>
      <c r="D1400" s="33">
        <v>1</v>
      </c>
      <c r="E1400" s="33">
        <v>1</v>
      </c>
      <c r="F1400" s="18"/>
      <c r="G1400" s="35">
        <f>WEEKDAY(Metas_Diarias[[#This Row],[data]])</f>
        <v>2</v>
      </c>
      <c r="H1400" s="35">
        <f>IF(Metas_Diarias[[#This Row],[dias_da_demana]]=1,"domingo",IF(Metas_Diarias[[#This Row],[dias_da_demana]]=7,0.5,1))</f>
        <v>1</v>
      </c>
      <c r="I1400" s="35">
        <f>_xlfn.XLOOKUP(Metas_Diarias[[#This Row],[data]],Feriados[Data],Feriados[Feriado],1)</f>
        <v>1</v>
      </c>
      <c r="J1400" s="33" cm="1">
        <f t="array" aca="1" ref="J1400" ca="1">SUMPRODUCT(IF((NOT(ISERROR(MATCH(ROW(INDIRECT(DATE(YEAR(B1400),MONTH(B1400),1)&amp;":"&amp;DATE(YEAR(B1400),MONTH(B1400)+1,0))),Feriados[Data],0))))=FALSE,
IF(WEEKDAY(ROW(INDIRECT(DATE(YEAR(B1400),MONTH(B1400),1)&amp;":"&amp;DATE(YEAR(B1400),MONTH(B1400)+1,0))),2)&lt;=5,1,IF(WEEKDAY(ROW(INDIRECT(DATE(YEAR(B1400),MONTH(B1400),1)&amp;":"&amp;DATE(YEAR(B1400),MONTH(B1400)+1,0))),2)=6,0.5,0)),0))</f>
        <v>23.5</v>
      </c>
      <c r="K1400" s="22" cm="1">
        <f t="array" ref="K1400">_xlfn.XLOOKUP(1,((Metas_Diarias[[#This Row],[tipo_equipe_id]]=Metas[equipe])*(Metas_Diarias[[#This Row],[data]]&gt;Metas[data_inicio])*(Metas_Diarias[[#This Row],[data]]&lt;Metas[data_fim])),Metas[meta_mensal],0)</f>
        <v>168000</v>
      </c>
      <c r="L1400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401" spans="2:12" x14ac:dyDescent="0.3">
      <c r="B1401" s="34">
        <v>46322</v>
      </c>
      <c r="C1401" s="34" t="str">
        <f>TEXT(Metas_Diarias[[#This Row],[data]],"dddd")</f>
        <v>terça-feira</v>
      </c>
      <c r="D1401" s="33">
        <v>1</v>
      </c>
      <c r="E1401" s="33">
        <v>1</v>
      </c>
      <c r="F1401" s="18"/>
      <c r="G1401" s="35">
        <f>WEEKDAY(Metas_Diarias[[#This Row],[data]])</f>
        <v>3</v>
      </c>
      <c r="H1401" s="35">
        <f>IF(Metas_Diarias[[#This Row],[dias_da_demana]]=1,"domingo",IF(Metas_Diarias[[#This Row],[dias_da_demana]]=7,0.5,1))</f>
        <v>1</v>
      </c>
      <c r="I1401" s="35">
        <f>_xlfn.XLOOKUP(Metas_Diarias[[#This Row],[data]],Feriados[Data],Feriados[Feriado],1)</f>
        <v>1</v>
      </c>
      <c r="J1401" s="33" cm="1">
        <f t="array" aca="1" ref="J1401" ca="1">SUMPRODUCT(IF((NOT(ISERROR(MATCH(ROW(INDIRECT(DATE(YEAR(B1401),MONTH(B1401),1)&amp;":"&amp;DATE(YEAR(B1401),MONTH(B1401)+1,0))),Feriados[Data],0))))=FALSE,
IF(WEEKDAY(ROW(INDIRECT(DATE(YEAR(B1401),MONTH(B1401),1)&amp;":"&amp;DATE(YEAR(B1401),MONTH(B1401)+1,0))),2)&lt;=5,1,IF(WEEKDAY(ROW(INDIRECT(DATE(YEAR(B1401),MONTH(B1401),1)&amp;":"&amp;DATE(YEAR(B1401),MONTH(B1401)+1,0))),2)=6,0.5,0)),0))</f>
        <v>23.5</v>
      </c>
      <c r="K1401" s="22" cm="1">
        <f t="array" ref="K1401">_xlfn.XLOOKUP(1,((Metas_Diarias[[#This Row],[tipo_equipe_id]]=Metas[equipe])*(Metas_Diarias[[#This Row],[data]]&gt;Metas[data_inicio])*(Metas_Diarias[[#This Row],[data]]&lt;Metas[data_fim])),Metas[meta_mensal],0)</f>
        <v>168000</v>
      </c>
      <c r="L1401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402" spans="2:12" x14ac:dyDescent="0.3">
      <c r="B1402" s="34">
        <v>46323</v>
      </c>
      <c r="C1402" s="34" t="str">
        <f>TEXT(Metas_Diarias[[#This Row],[data]],"dddd")</f>
        <v>quarta-feira</v>
      </c>
      <c r="D1402" s="33">
        <v>1</v>
      </c>
      <c r="E1402" s="33">
        <v>1</v>
      </c>
      <c r="F1402" s="18"/>
      <c r="G1402" s="35">
        <f>WEEKDAY(Metas_Diarias[[#This Row],[data]])</f>
        <v>4</v>
      </c>
      <c r="H1402" s="35">
        <f>IF(Metas_Diarias[[#This Row],[dias_da_demana]]=1,"domingo",IF(Metas_Diarias[[#This Row],[dias_da_demana]]=7,0.5,1))</f>
        <v>1</v>
      </c>
      <c r="I1402" s="35">
        <f>_xlfn.XLOOKUP(Metas_Diarias[[#This Row],[data]],Feriados[Data],Feriados[Feriado],1)</f>
        <v>1</v>
      </c>
      <c r="J1402" s="33" cm="1">
        <f t="array" aca="1" ref="J1402" ca="1">SUMPRODUCT(IF((NOT(ISERROR(MATCH(ROW(INDIRECT(DATE(YEAR(B1402),MONTH(B1402),1)&amp;":"&amp;DATE(YEAR(B1402),MONTH(B1402)+1,0))),Feriados[Data],0))))=FALSE,
IF(WEEKDAY(ROW(INDIRECT(DATE(YEAR(B1402),MONTH(B1402),1)&amp;":"&amp;DATE(YEAR(B1402),MONTH(B1402)+1,0))),2)&lt;=5,1,IF(WEEKDAY(ROW(INDIRECT(DATE(YEAR(B1402),MONTH(B1402),1)&amp;":"&amp;DATE(YEAR(B1402),MONTH(B1402)+1,0))),2)=6,0.5,0)),0))</f>
        <v>23.5</v>
      </c>
      <c r="K1402" s="22" cm="1">
        <f t="array" ref="K1402">_xlfn.XLOOKUP(1,((Metas_Diarias[[#This Row],[tipo_equipe_id]]=Metas[equipe])*(Metas_Diarias[[#This Row],[data]]&gt;Metas[data_inicio])*(Metas_Diarias[[#This Row],[data]]&lt;Metas[data_fim])),Metas[meta_mensal],0)</f>
        <v>168000</v>
      </c>
      <c r="L1402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403" spans="2:12" x14ac:dyDescent="0.3">
      <c r="B1403" s="34">
        <v>46324</v>
      </c>
      <c r="C1403" s="34" t="str">
        <f>TEXT(Metas_Diarias[[#This Row],[data]],"dddd")</f>
        <v>quinta-feira</v>
      </c>
      <c r="D1403" s="33">
        <v>1</v>
      </c>
      <c r="E1403" s="33">
        <v>1</v>
      </c>
      <c r="F1403" s="18"/>
      <c r="G1403" s="35">
        <f>WEEKDAY(Metas_Diarias[[#This Row],[data]])</f>
        <v>5</v>
      </c>
      <c r="H1403" s="35">
        <f>IF(Metas_Diarias[[#This Row],[dias_da_demana]]=1,"domingo",IF(Metas_Diarias[[#This Row],[dias_da_demana]]=7,0.5,1))</f>
        <v>1</v>
      </c>
      <c r="I1403" s="35">
        <f>_xlfn.XLOOKUP(Metas_Diarias[[#This Row],[data]],Feriados[Data],Feriados[Feriado],1)</f>
        <v>1</v>
      </c>
      <c r="J1403" s="33" cm="1">
        <f t="array" aca="1" ref="J1403" ca="1">SUMPRODUCT(IF((NOT(ISERROR(MATCH(ROW(INDIRECT(DATE(YEAR(B1403),MONTH(B1403),1)&amp;":"&amp;DATE(YEAR(B1403),MONTH(B1403)+1,0))),Feriados[Data],0))))=FALSE,
IF(WEEKDAY(ROW(INDIRECT(DATE(YEAR(B1403),MONTH(B1403),1)&amp;":"&amp;DATE(YEAR(B1403),MONTH(B1403)+1,0))),2)&lt;=5,1,IF(WEEKDAY(ROW(INDIRECT(DATE(YEAR(B1403),MONTH(B1403),1)&amp;":"&amp;DATE(YEAR(B1403),MONTH(B1403)+1,0))),2)=6,0.5,0)),0))</f>
        <v>23.5</v>
      </c>
      <c r="K1403" s="22" cm="1">
        <f t="array" ref="K1403">_xlfn.XLOOKUP(1,((Metas_Diarias[[#This Row],[tipo_equipe_id]]=Metas[equipe])*(Metas_Diarias[[#This Row],[data]]&gt;Metas[data_inicio])*(Metas_Diarias[[#This Row],[data]]&lt;Metas[data_fim])),Metas[meta_mensal],0)</f>
        <v>168000</v>
      </c>
      <c r="L1403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404" spans="2:12" x14ac:dyDescent="0.3">
      <c r="B1404" s="34">
        <v>46325</v>
      </c>
      <c r="C1404" s="34" t="str">
        <f>TEXT(Metas_Diarias[[#This Row],[data]],"dddd")</f>
        <v>sexta-feira</v>
      </c>
      <c r="D1404" s="33">
        <v>1</v>
      </c>
      <c r="E1404" s="33">
        <v>1</v>
      </c>
      <c r="F1404" s="18"/>
      <c r="G1404" s="35">
        <f>WEEKDAY(Metas_Diarias[[#This Row],[data]])</f>
        <v>6</v>
      </c>
      <c r="H1404" s="35">
        <f>IF(Metas_Diarias[[#This Row],[dias_da_demana]]=1,"domingo",IF(Metas_Diarias[[#This Row],[dias_da_demana]]=7,0.5,1))</f>
        <v>1</v>
      </c>
      <c r="I1404" s="35">
        <f>_xlfn.XLOOKUP(Metas_Diarias[[#This Row],[data]],Feriados[Data],Feriados[Feriado],1)</f>
        <v>1</v>
      </c>
      <c r="J1404" s="33" cm="1">
        <f t="array" aca="1" ref="J1404" ca="1">SUMPRODUCT(IF((NOT(ISERROR(MATCH(ROW(INDIRECT(DATE(YEAR(B1404),MONTH(B1404),1)&amp;":"&amp;DATE(YEAR(B1404),MONTH(B1404)+1,0))),Feriados[Data],0))))=FALSE,
IF(WEEKDAY(ROW(INDIRECT(DATE(YEAR(B1404),MONTH(B1404),1)&amp;":"&amp;DATE(YEAR(B1404),MONTH(B1404)+1,0))),2)&lt;=5,1,IF(WEEKDAY(ROW(INDIRECT(DATE(YEAR(B1404),MONTH(B1404),1)&amp;":"&amp;DATE(YEAR(B1404),MONTH(B1404)+1,0))),2)=6,0.5,0)),0))</f>
        <v>23.5</v>
      </c>
      <c r="K1404" s="22" cm="1">
        <f t="array" ref="K1404">_xlfn.XLOOKUP(1,((Metas_Diarias[[#This Row],[tipo_equipe_id]]=Metas[equipe])*(Metas_Diarias[[#This Row],[data]]&gt;Metas[data_inicio])*(Metas_Diarias[[#This Row],[data]]&lt;Metas[data_fim])),Metas[meta_mensal],0)</f>
        <v>168000</v>
      </c>
      <c r="L1404" s="24">
        <f ca="1">Metas_Diarias[[#This Row],[meta_mensal]]*IF(Metas_Diarias[[#This Row],[semana]]="domingo",0,Metas_Diarias[[#This Row],[semana]])*IF(Metas_Diarias[[#This Row],[feriado]]&lt;&gt;1,0,1)/Metas_Diarias[[#This Row],[dias_úteis_Mês]]</f>
        <v>7148.9361702127662</v>
      </c>
    </row>
    <row r="1405" spans="2:12" x14ac:dyDescent="0.3">
      <c r="B1405" s="34">
        <v>46326</v>
      </c>
      <c r="C1405" s="34" t="str">
        <f>TEXT(Metas_Diarias[[#This Row],[data]],"dddd")</f>
        <v>sábado</v>
      </c>
      <c r="D1405" s="33">
        <v>1</v>
      </c>
      <c r="E1405" s="33">
        <v>1</v>
      </c>
      <c r="F1405" s="18"/>
      <c r="G1405" s="35">
        <f>WEEKDAY(Metas_Diarias[[#This Row],[data]])</f>
        <v>7</v>
      </c>
      <c r="H1405" s="35">
        <f>IF(Metas_Diarias[[#This Row],[dias_da_demana]]=1,"domingo",IF(Metas_Diarias[[#This Row],[dias_da_demana]]=7,0.5,1))</f>
        <v>0.5</v>
      </c>
      <c r="I1405" s="35">
        <f>_xlfn.XLOOKUP(Metas_Diarias[[#This Row],[data]],Feriados[Data],Feriados[Feriado],1)</f>
        <v>1</v>
      </c>
      <c r="J1405" s="33" cm="1">
        <f t="array" aca="1" ref="J1405" ca="1">SUMPRODUCT(IF((NOT(ISERROR(MATCH(ROW(INDIRECT(DATE(YEAR(B1405),MONTH(B1405),1)&amp;":"&amp;DATE(YEAR(B1405),MONTH(B1405)+1,0))),Feriados[Data],0))))=FALSE,
IF(WEEKDAY(ROW(INDIRECT(DATE(YEAR(B1405),MONTH(B1405),1)&amp;":"&amp;DATE(YEAR(B1405),MONTH(B1405)+1,0))),2)&lt;=5,1,IF(WEEKDAY(ROW(INDIRECT(DATE(YEAR(B1405),MONTH(B1405),1)&amp;":"&amp;DATE(YEAR(B1405),MONTH(B1405)+1,0))),2)=6,0.5,0)),0))</f>
        <v>23.5</v>
      </c>
      <c r="K1405" s="22" cm="1">
        <f t="array" ref="K1405">_xlfn.XLOOKUP(1,((Metas_Diarias[[#This Row],[tipo_equipe_id]]=Metas[equipe])*(Metas_Diarias[[#This Row],[data]]&gt;Metas[data_inicio])*(Metas_Diarias[[#This Row],[data]]&lt;Metas[data_fim])),Metas[meta_mensal],0)</f>
        <v>168000</v>
      </c>
      <c r="L1405" s="24">
        <f ca="1">Metas_Diarias[[#This Row],[meta_mensal]]*IF(Metas_Diarias[[#This Row],[semana]]="domingo",0,Metas_Diarias[[#This Row],[semana]])*IF(Metas_Diarias[[#This Row],[feriado]]&lt;&gt;1,0,1)/Metas_Diarias[[#This Row],[dias_úteis_Mês]]</f>
        <v>3574.4680851063831</v>
      </c>
    </row>
    <row r="1406" spans="2:12" x14ac:dyDescent="0.3">
      <c r="B1406" s="34">
        <v>46327</v>
      </c>
      <c r="C1406" s="34" t="str">
        <f>TEXT(Metas_Diarias[[#This Row],[data]],"dddd")</f>
        <v>domingo</v>
      </c>
      <c r="D1406" s="33">
        <v>1</v>
      </c>
      <c r="E1406" s="33">
        <v>1</v>
      </c>
      <c r="F1406" s="18"/>
      <c r="G1406" s="35">
        <f>WEEKDAY(Metas_Diarias[[#This Row],[data]])</f>
        <v>1</v>
      </c>
      <c r="H1406" s="35" t="str">
        <f>IF(Metas_Diarias[[#This Row],[dias_da_demana]]=1,"domingo",IF(Metas_Diarias[[#This Row],[dias_da_demana]]=7,0.5,1))</f>
        <v>domingo</v>
      </c>
      <c r="I1406" s="35">
        <f>_xlfn.XLOOKUP(Metas_Diarias[[#This Row],[data]],Feriados[Data],Feriados[Feriado],1)</f>
        <v>1</v>
      </c>
      <c r="J1406" s="33" cm="1">
        <f t="array" aca="1" ref="J1406" ca="1">SUMPRODUCT(IF((NOT(ISERROR(MATCH(ROW(INDIRECT(DATE(YEAR(B1406),MONTH(B1406),1)&amp;":"&amp;DATE(YEAR(B1406),MONTH(B1406)+1,0))),Feriados[Data],0))))=FALSE,
IF(WEEKDAY(ROW(INDIRECT(DATE(YEAR(B1406),MONTH(B1406),1)&amp;":"&amp;DATE(YEAR(B1406),MONTH(B1406)+1,0))),2)&lt;=5,1,IF(WEEKDAY(ROW(INDIRECT(DATE(YEAR(B1406),MONTH(B1406),1)&amp;":"&amp;DATE(YEAR(B1406),MONTH(B1406)+1,0))),2)=6,0.5,0)),0))</f>
        <v>22</v>
      </c>
      <c r="K1406" s="22" cm="1">
        <f t="array" ref="K1406">_xlfn.XLOOKUP(1,((Metas_Diarias[[#This Row],[tipo_equipe_id]]=Metas[equipe])*(Metas_Diarias[[#This Row],[data]]&gt;Metas[data_inicio])*(Metas_Diarias[[#This Row],[data]]&lt;Metas[data_fim])),Metas[meta_mensal],0)</f>
        <v>168000</v>
      </c>
      <c r="L140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07" spans="2:12" x14ac:dyDescent="0.3">
      <c r="B1407" s="34">
        <v>46328</v>
      </c>
      <c r="C1407" s="34" t="str">
        <f>TEXT(Metas_Diarias[[#This Row],[data]],"dddd")</f>
        <v>segunda-feira</v>
      </c>
      <c r="D1407" s="33">
        <v>1</v>
      </c>
      <c r="E1407" s="33">
        <v>1</v>
      </c>
      <c r="F1407" s="18"/>
      <c r="G1407" s="35">
        <f>WEEKDAY(Metas_Diarias[[#This Row],[data]])</f>
        <v>2</v>
      </c>
      <c r="H1407" s="35">
        <f>IF(Metas_Diarias[[#This Row],[dias_da_demana]]=1,"domingo",IF(Metas_Diarias[[#This Row],[dias_da_demana]]=7,0.5,1))</f>
        <v>1</v>
      </c>
      <c r="I1407" s="35" t="str">
        <f>_xlfn.XLOOKUP(Metas_Diarias[[#This Row],[data]],Feriados[Data],Feriados[Feriado],1)</f>
        <v>Finados</v>
      </c>
      <c r="J1407" s="33" cm="1">
        <f t="array" aca="1" ref="J1407" ca="1">SUMPRODUCT(IF((NOT(ISERROR(MATCH(ROW(INDIRECT(DATE(YEAR(B1407),MONTH(B1407),1)&amp;":"&amp;DATE(YEAR(B1407),MONTH(B1407)+1,0))),Feriados[Data],0))))=FALSE,
IF(WEEKDAY(ROW(INDIRECT(DATE(YEAR(B1407),MONTH(B1407),1)&amp;":"&amp;DATE(YEAR(B1407),MONTH(B1407)+1,0))),2)&lt;=5,1,IF(WEEKDAY(ROW(INDIRECT(DATE(YEAR(B1407),MONTH(B1407),1)&amp;":"&amp;DATE(YEAR(B1407),MONTH(B1407)+1,0))),2)=6,0.5,0)),0))</f>
        <v>22</v>
      </c>
      <c r="K1407" s="22" cm="1">
        <f t="array" ref="K1407">_xlfn.XLOOKUP(1,((Metas_Diarias[[#This Row],[tipo_equipe_id]]=Metas[equipe])*(Metas_Diarias[[#This Row],[data]]&gt;Metas[data_inicio])*(Metas_Diarias[[#This Row],[data]]&lt;Metas[data_fim])),Metas[meta_mensal],0)</f>
        <v>168000</v>
      </c>
      <c r="L14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08" spans="2:12" x14ac:dyDescent="0.3">
      <c r="B1408" s="34">
        <v>46329</v>
      </c>
      <c r="C1408" s="34" t="str">
        <f>TEXT(Metas_Diarias[[#This Row],[data]],"dddd")</f>
        <v>terça-feira</v>
      </c>
      <c r="D1408" s="33">
        <v>1</v>
      </c>
      <c r="E1408" s="33">
        <v>1</v>
      </c>
      <c r="F1408" s="18"/>
      <c r="G1408" s="35">
        <f>WEEKDAY(Metas_Diarias[[#This Row],[data]])</f>
        <v>3</v>
      </c>
      <c r="H1408" s="35">
        <f>IF(Metas_Diarias[[#This Row],[dias_da_demana]]=1,"domingo",IF(Metas_Diarias[[#This Row],[dias_da_demana]]=7,0.5,1))</f>
        <v>1</v>
      </c>
      <c r="I1408" s="35">
        <f>_xlfn.XLOOKUP(Metas_Diarias[[#This Row],[data]],Feriados[Data],Feriados[Feriado],1)</f>
        <v>1</v>
      </c>
      <c r="J1408" s="33" cm="1">
        <f t="array" aca="1" ref="J1408" ca="1">SUMPRODUCT(IF((NOT(ISERROR(MATCH(ROW(INDIRECT(DATE(YEAR(B1408),MONTH(B1408),1)&amp;":"&amp;DATE(YEAR(B1408),MONTH(B1408)+1,0))),Feriados[Data],0))))=FALSE,
IF(WEEKDAY(ROW(INDIRECT(DATE(YEAR(B1408),MONTH(B1408),1)&amp;":"&amp;DATE(YEAR(B1408),MONTH(B1408)+1,0))),2)&lt;=5,1,IF(WEEKDAY(ROW(INDIRECT(DATE(YEAR(B1408),MONTH(B1408),1)&amp;":"&amp;DATE(YEAR(B1408),MONTH(B1408)+1,0))),2)=6,0.5,0)),0))</f>
        <v>22</v>
      </c>
      <c r="K1408" s="22" cm="1">
        <f t="array" ref="K1408">_xlfn.XLOOKUP(1,((Metas_Diarias[[#This Row],[tipo_equipe_id]]=Metas[equipe])*(Metas_Diarias[[#This Row],[data]]&gt;Metas[data_inicio])*(Metas_Diarias[[#This Row],[data]]&lt;Metas[data_fim])),Metas[meta_mensal],0)</f>
        <v>168000</v>
      </c>
      <c r="L1408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09" spans="2:12" x14ac:dyDescent="0.3">
      <c r="B1409" s="34">
        <v>46330</v>
      </c>
      <c r="C1409" s="34" t="str">
        <f>TEXT(Metas_Diarias[[#This Row],[data]],"dddd")</f>
        <v>quarta-feira</v>
      </c>
      <c r="D1409" s="33">
        <v>1</v>
      </c>
      <c r="E1409" s="33">
        <v>1</v>
      </c>
      <c r="F1409" s="18"/>
      <c r="G1409" s="35">
        <f>WEEKDAY(Metas_Diarias[[#This Row],[data]])</f>
        <v>4</v>
      </c>
      <c r="H1409" s="35">
        <f>IF(Metas_Diarias[[#This Row],[dias_da_demana]]=1,"domingo",IF(Metas_Diarias[[#This Row],[dias_da_demana]]=7,0.5,1))</f>
        <v>1</v>
      </c>
      <c r="I1409" s="35">
        <f>_xlfn.XLOOKUP(Metas_Diarias[[#This Row],[data]],Feriados[Data],Feriados[Feriado],1)</f>
        <v>1</v>
      </c>
      <c r="J1409" s="33" cm="1">
        <f t="array" aca="1" ref="J1409" ca="1">SUMPRODUCT(IF((NOT(ISERROR(MATCH(ROW(INDIRECT(DATE(YEAR(B1409),MONTH(B1409),1)&amp;":"&amp;DATE(YEAR(B1409),MONTH(B1409)+1,0))),Feriados[Data],0))))=FALSE,
IF(WEEKDAY(ROW(INDIRECT(DATE(YEAR(B1409),MONTH(B1409),1)&amp;":"&amp;DATE(YEAR(B1409),MONTH(B1409)+1,0))),2)&lt;=5,1,IF(WEEKDAY(ROW(INDIRECT(DATE(YEAR(B1409),MONTH(B1409),1)&amp;":"&amp;DATE(YEAR(B1409),MONTH(B1409)+1,0))),2)=6,0.5,0)),0))</f>
        <v>22</v>
      </c>
      <c r="K1409" s="22" cm="1">
        <f t="array" ref="K1409">_xlfn.XLOOKUP(1,((Metas_Diarias[[#This Row],[tipo_equipe_id]]=Metas[equipe])*(Metas_Diarias[[#This Row],[data]]&gt;Metas[data_inicio])*(Metas_Diarias[[#This Row],[data]]&lt;Metas[data_fim])),Metas[meta_mensal],0)</f>
        <v>168000</v>
      </c>
      <c r="L1409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10" spans="2:12" x14ac:dyDescent="0.3">
      <c r="B1410" s="34">
        <v>46331</v>
      </c>
      <c r="C1410" s="34" t="str">
        <f>TEXT(Metas_Diarias[[#This Row],[data]],"dddd")</f>
        <v>quinta-feira</v>
      </c>
      <c r="D1410" s="33">
        <v>1</v>
      </c>
      <c r="E1410" s="33">
        <v>1</v>
      </c>
      <c r="F1410" s="18"/>
      <c r="G1410" s="35">
        <f>WEEKDAY(Metas_Diarias[[#This Row],[data]])</f>
        <v>5</v>
      </c>
      <c r="H1410" s="35">
        <f>IF(Metas_Diarias[[#This Row],[dias_da_demana]]=1,"domingo",IF(Metas_Diarias[[#This Row],[dias_da_demana]]=7,0.5,1))</f>
        <v>1</v>
      </c>
      <c r="I1410" s="35">
        <f>_xlfn.XLOOKUP(Metas_Diarias[[#This Row],[data]],Feriados[Data],Feriados[Feriado],1)</f>
        <v>1</v>
      </c>
      <c r="J1410" s="33" cm="1">
        <f t="array" aca="1" ref="J1410" ca="1">SUMPRODUCT(IF((NOT(ISERROR(MATCH(ROW(INDIRECT(DATE(YEAR(B1410),MONTH(B1410),1)&amp;":"&amp;DATE(YEAR(B1410),MONTH(B1410)+1,0))),Feriados[Data],0))))=FALSE,
IF(WEEKDAY(ROW(INDIRECT(DATE(YEAR(B1410),MONTH(B1410),1)&amp;":"&amp;DATE(YEAR(B1410),MONTH(B1410)+1,0))),2)&lt;=5,1,IF(WEEKDAY(ROW(INDIRECT(DATE(YEAR(B1410),MONTH(B1410),1)&amp;":"&amp;DATE(YEAR(B1410),MONTH(B1410)+1,0))),2)=6,0.5,0)),0))</f>
        <v>22</v>
      </c>
      <c r="K1410" s="22" cm="1">
        <f t="array" ref="K1410">_xlfn.XLOOKUP(1,((Metas_Diarias[[#This Row],[tipo_equipe_id]]=Metas[equipe])*(Metas_Diarias[[#This Row],[data]]&gt;Metas[data_inicio])*(Metas_Diarias[[#This Row],[data]]&lt;Metas[data_fim])),Metas[meta_mensal],0)</f>
        <v>168000</v>
      </c>
      <c r="L1410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11" spans="2:12" x14ac:dyDescent="0.3">
      <c r="B1411" s="34">
        <v>46332</v>
      </c>
      <c r="C1411" s="34" t="str">
        <f>TEXT(Metas_Diarias[[#This Row],[data]],"dddd")</f>
        <v>sexta-feira</v>
      </c>
      <c r="D1411" s="33">
        <v>1</v>
      </c>
      <c r="E1411" s="33">
        <v>1</v>
      </c>
      <c r="F1411" s="18"/>
      <c r="G1411" s="35">
        <f>WEEKDAY(Metas_Diarias[[#This Row],[data]])</f>
        <v>6</v>
      </c>
      <c r="H1411" s="35">
        <f>IF(Metas_Diarias[[#This Row],[dias_da_demana]]=1,"domingo",IF(Metas_Diarias[[#This Row],[dias_da_demana]]=7,0.5,1))</f>
        <v>1</v>
      </c>
      <c r="I1411" s="35">
        <f>_xlfn.XLOOKUP(Metas_Diarias[[#This Row],[data]],Feriados[Data],Feriados[Feriado],1)</f>
        <v>1</v>
      </c>
      <c r="J1411" s="33" cm="1">
        <f t="array" aca="1" ref="J1411" ca="1">SUMPRODUCT(IF((NOT(ISERROR(MATCH(ROW(INDIRECT(DATE(YEAR(B1411),MONTH(B1411),1)&amp;":"&amp;DATE(YEAR(B1411),MONTH(B1411)+1,0))),Feriados[Data],0))))=FALSE,
IF(WEEKDAY(ROW(INDIRECT(DATE(YEAR(B1411),MONTH(B1411),1)&amp;":"&amp;DATE(YEAR(B1411),MONTH(B1411)+1,0))),2)&lt;=5,1,IF(WEEKDAY(ROW(INDIRECT(DATE(YEAR(B1411),MONTH(B1411),1)&amp;":"&amp;DATE(YEAR(B1411),MONTH(B1411)+1,0))),2)=6,0.5,0)),0))</f>
        <v>22</v>
      </c>
      <c r="K1411" s="22" cm="1">
        <f t="array" ref="K1411">_xlfn.XLOOKUP(1,((Metas_Diarias[[#This Row],[tipo_equipe_id]]=Metas[equipe])*(Metas_Diarias[[#This Row],[data]]&gt;Metas[data_inicio])*(Metas_Diarias[[#This Row],[data]]&lt;Metas[data_fim])),Metas[meta_mensal],0)</f>
        <v>168000</v>
      </c>
      <c r="L1411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12" spans="2:12" x14ac:dyDescent="0.3">
      <c r="B1412" s="34">
        <v>46333</v>
      </c>
      <c r="C1412" s="34" t="str">
        <f>TEXT(Metas_Diarias[[#This Row],[data]],"dddd")</f>
        <v>sábado</v>
      </c>
      <c r="D1412" s="33">
        <v>1</v>
      </c>
      <c r="E1412" s="33">
        <v>1</v>
      </c>
      <c r="F1412" s="18"/>
      <c r="G1412" s="35">
        <f>WEEKDAY(Metas_Diarias[[#This Row],[data]])</f>
        <v>7</v>
      </c>
      <c r="H1412" s="35">
        <f>IF(Metas_Diarias[[#This Row],[dias_da_demana]]=1,"domingo",IF(Metas_Diarias[[#This Row],[dias_da_demana]]=7,0.5,1))</f>
        <v>0.5</v>
      </c>
      <c r="I1412" s="35">
        <f>_xlfn.XLOOKUP(Metas_Diarias[[#This Row],[data]],Feriados[Data],Feriados[Feriado],1)</f>
        <v>1</v>
      </c>
      <c r="J1412" s="33" cm="1">
        <f t="array" aca="1" ref="J1412" ca="1">SUMPRODUCT(IF((NOT(ISERROR(MATCH(ROW(INDIRECT(DATE(YEAR(B1412),MONTH(B1412),1)&amp;":"&amp;DATE(YEAR(B1412),MONTH(B1412)+1,0))),Feriados[Data],0))))=FALSE,
IF(WEEKDAY(ROW(INDIRECT(DATE(YEAR(B1412),MONTH(B1412),1)&amp;":"&amp;DATE(YEAR(B1412),MONTH(B1412)+1,0))),2)&lt;=5,1,IF(WEEKDAY(ROW(INDIRECT(DATE(YEAR(B1412),MONTH(B1412),1)&amp;":"&amp;DATE(YEAR(B1412),MONTH(B1412)+1,0))),2)=6,0.5,0)),0))</f>
        <v>22</v>
      </c>
      <c r="K1412" s="22" cm="1">
        <f t="array" ref="K1412">_xlfn.XLOOKUP(1,((Metas_Diarias[[#This Row],[tipo_equipe_id]]=Metas[equipe])*(Metas_Diarias[[#This Row],[data]]&gt;Metas[data_inicio])*(Metas_Diarias[[#This Row],[data]]&lt;Metas[data_fim])),Metas[meta_mensal],0)</f>
        <v>168000</v>
      </c>
      <c r="L1412" s="24">
        <f ca="1">Metas_Diarias[[#This Row],[meta_mensal]]*IF(Metas_Diarias[[#This Row],[semana]]="domingo",0,Metas_Diarias[[#This Row],[semana]])*IF(Metas_Diarias[[#This Row],[feriado]]&lt;&gt;1,0,1)/Metas_Diarias[[#This Row],[dias_úteis_Mês]]</f>
        <v>3818.181818181818</v>
      </c>
    </row>
    <row r="1413" spans="2:12" x14ac:dyDescent="0.3">
      <c r="B1413" s="34">
        <v>46334</v>
      </c>
      <c r="C1413" s="34" t="str">
        <f>TEXT(Metas_Diarias[[#This Row],[data]],"dddd")</f>
        <v>domingo</v>
      </c>
      <c r="D1413" s="33">
        <v>1</v>
      </c>
      <c r="E1413" s="33">
        <v>1</v>
      </c>
      <c r="F1413" s="18"/>
      <c r="G1413" s="35">
        <f>WEEKDAY(Metas_Diarias[[#This Row],[data]])</f>
        <v>1</v>
      </c>
      <c r="H1413" s="35" t="str">
        <f>IF(Metas_Diarias[[#This Row],[dias_da_demana]]=1,"domingo",IF(Metas_Diarias[[#This Row],[dias_da_demana]]=7,0.5,1))</f>
        <v>domingo</v>
      </c>
      <c r="I1413" s="35">
        <f>_xlfn.XLOOKUP(Metas_Diarias[[#This Row],[data]],Feriados[Data],Feriados[Feriado],1)</f>
        <v>1</v>
      </c>
      <c r="J1413" s="33" cm="1">
        <f t="array" aca="1" ref="J1413" ca="1">SUMPRODUCT(IF((NOT(ISERROR(MATCH(ROW(INDIRECT(DATE(YEAR(B1413),MONTH(B1413),1)&amp;":"&amp;DATE(YEAR(B1413),MONTH(B1413)+1,0))),Feriados[Data],0))))=FALSE,
IF(WEEKDAY(ROW(INDIRECT(DATE(YEAR(B1413),MONTH(B1413),1)&amp;":"&amp;DATE(YEAR(B1413),MONTH(B1413)+1,0))),2)&lt;=5,1,IF(WEEKDAY(ROW(INDIRECT(DATE(YEAR(B1413),MONTH(B1413),1)&amp;":"&amp;DATE(YEAR(B1413),MONTH(B1413)+1,0))),2)=6,0.5,0)),0))</f>
        <v>22</v>
      </c>
      <c r="K1413" s="22" cm="1">
        <f t="array" ref="K1413">_xlfn.XLOOKUP(1,((Metas_Diarias[[#This Row],[tipo_equipe_id]]=Metas[equipe])*(Metas_Diarias[[#This Row],[data]]&gt;Metas[data_inicio])*(Metas_Diarias[[#This Row],[data]]&lt;Metas[data_fim])),Metas[meta_mensal],0)</f>
        <v>168000</v>
      </c>
      <c r="L141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14" spans="2:12" x14ac:dyDescent="0.3">
      <c r="B1414" s="34">
        <v>46335</v>
      </c>
      <c r="C1414" s="34" t="str">
        <f>TEXT(Metas_Diarias[[#This Row],[data]],"dddd")</f>
        <v>segunda-feira</v>
      </c>
      <c r="D1414" s="33">
        <v>1</v>
      </c>
      <c r="E1414" s="33">
        <v>1</v>
      </c>
      <c r="F1414" s="18"/>
      <c r="G1414" s="35">
        <f>WEEKDAY(Metas_Diarias[[#This Row],[data]])</f>
        <v>2</v>
      </c>
      <c r="H1414" s="35">
        <f>IF(Metas_Diarias[[#This Row],[dias_da_demana]]=1,"domingo",IF(Metas_Diarias[[#This Row],[dias_da_demana]]=7,0.5,1))</f>
        <v>1</v>
      </c>
      <c r="I1414" s="35">
        <f>_xlfn.XLOOKUP(Metas_Diarias[[#This Row],[data]],Feriados[Data],Feriados[Feriado],1)</f>
        <v>1</v>
      </c>
      <c r="J1414" s="33" cm="1">
        <f t="array" aca="1" ref="J1414" ca="1">SUMPRODUCT(IF((NOT(ISERROR(MATCH(ROW(INDIRECT(DATE(YEAR(B1414),MONTH(B1414),1)&amp;":"&amp;DATE(YEAR(B1414),MONTH(B1414)+1,0))),Feriados[Data],0))))=FALSE,
IF(WEEKDAY(ROW(INDIRECT(DATE(YEAR(B1414),MONTH(B1414),1)&amp;":"&amp;DATE(YEAR(B1414),MONTH(B1414)+1,0))),2)&lt;=5,1,IF(WEEKDAY(ROW(INDIRECT(DATE(YEAR(B1414),MONTH(B1414),1)&amp;":"&amp;DATE(YEAR(B1414),MONTH(B1414)+1,0))),2)=6,0.5,0)),0))</f>
        <v>22</v>
      </c>
      <c r="K1414" s="22" cm="1">
        <f t="array" ref="K1414">_xlfn.XLOOKUP(1,((Metas_Diarias[[#This Row],[tipo_equipe_id]]=Metas[equipe])*(Metas_Diarias[[#This Row],[data]]&gt;Metas[data_inicio])*(Metas_Diarias[[#This Row],[data]]&lt;Metas[data_fim])),Metas[meta_mensal],0)</f>
        <v>168000</v>
      </c>
      <c r="L1414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15" spans="2:12" x14ac:dyDescent="0.3">
      <c r="B1415" s="34">
        <v>46336</v>
      </c>
      <c r="C1415" s="34" t="str">
        <f>TEXT(Metas_Diarias[[#This Row],[data]],"dddd")</f>
        <v>terça-feira</v>
      </c>
      <c r="D1415" s="33">
        <v>1</v>
      </c>
      <c r="E1415" s="33">
        <v>1</v>
      </c>
      <c r="F1415" s="18"/>
      <c r="G1415" s="35">
        <f>WEEKDAY(Metas_Diarias[[#This Row],[data]])</f>
        <v>3</v>
      </c>
      <c r="H1415" s="35">
        <f>IF(Metas_Diarias[[#This Row],[dias_da_demana]]=1,"domingo",IF(Metas_Diarias[[#This Row],[dias_da_demana]]=7,0.5,1))</f>
        <v>1</v>
      </c>
      <c r="I1415" s="35">
        <f>_xlfn.XLOOKUP(Metas_Diarias[[#This Row],[data]],Feriados[Data],Feriados[Feriado],1)</f>
        <v>1</v>
      </c>
      <c r="J1415" s="33" cm="1">
        <f t="array" aca="1" ref="J1415" ca="1">SUMPRODUCT(IF((NOT(ISERROR(MATCH(ROW(INDIRECT(DATE(YEAR(B1415),MONTH(B1415),1)&amp;":"&amp;DATE(YEAR(B1415),MONTH(B1415)+1,0))),Feriados[Data],0))))=FALSE,
IF(WEEKDAY(ROW(INDIRECT(DATE(YEAR(B1415),MONTH(B1415),1)&amp;":"&amp;DATE(YEAR(B1415),MONTH(B1415)+1,0))),2)&lt;=5,1,IF(WEEKDAY(ROW(INDIRECT(DATE(YEAR(B1415),MONTH(B1415),1)&amp;":"&amp;DATE(YEAR(B1415),MONTH(B1415)+1,0))),2)=6,0.5,0)),0))</f>
        <v>22</v>
      </c>
      <c r="K1415" s="22" cm="1">
        <f t="array" ref="K1415">_xlfn.XLOOKUP(1,((Metas_Diarias[[#This Row],[tipo_equipe_id]]=Metas[equipe])*(Metas_Diarias[[#This Row],[data]]&gt;Metas[data_inicio])*(Metas_Diarias[[#This Row],[data]]&lt;Metas[data_fim])),Metas[meta_mensal],0)</f>
        <v>168000</v>
      </c>
      <c r="L1415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16" spans="2:12" x14ac:dyDescent="0.3">
      <c r="B1416" s="34">
        <v>46337</v>
      </c>
      <c r="C1416" s="34" t="str">
        <f>TEXT(Metas_Diarias[[#This Row],[data]],"dddd")</f>
        <v>quarta-feira</v>
      </c>
      <c r="D1416" s="33">
        <v>1</v>
      </c>
      <c r="E1416" s="33">
        <v>1</v>
      </c>
      <c r="F1416" s="18"/>
      <c r="G1416" s="35">
        <f>WEEKDAY(Metas_Diarias[[#This Row],[data]])</f>
        <v>4</v>
      </c>
      <c r="H1416" s="35">
        <f>IF(Metas_Diarias[[#This Row],[dias_da_demana]]=1,"domingo",IF(Metas_Diarias[[#This Row],[dias_da_demana]]=7,0.5,1))</f>
        <v>1</v>
      </c>
      <c r="I1416" s="35">
        <f>_xlfn.XLOOKUP(Metas_Diarias[[#This Row],[data]],Feriados[Data],Feriados[Feriado],1)</f>
        <v>1</v>
      </c>
      <c r="J1416" s="33" cm="1">
        <f t="array" aca="1" ref="J1416" ca="1">SUMPRODUCT(IF((NOT(ISERROR(MATCH(ROW(INDIRECT(DATE(YEAR(B1416),MONTH(B1416),1)&amp;":"&amp;DATE(YEAR(B1416),MONTH(B1416)+1,0))),Feriados[Data],0))))=FALSE,
IF(WEEKDAY(ROW(INDIRECT(DATE(YEAR(B1416),MONTH(B1416),1)&amp;":"&amp;DATE(YEAR(B1416),MONTH(B1416)+1,0))),2)&lt;=5,1,IF(WEEKDAY(ROW(INDIRECT(DATE(YEAR(B1416),MONTH(B1416),1)&amp;":"&amp;DATE(YEAR(B1416),MONTH(B1416)+1,0))),2)=6,0.5,0)),0))</f>
        <v>22</v>
      </c>
      <c r="K1416" s="22" cm="1">
        <f t="array" ref="K1416">_xlfn.XLOOKUP(1,((Metas_Diarias[[#This Row],[tipo_equipe_id]]=Metas[equipe])*(Metas_Diarias[[#This Row],[data]]&gt;Metas[data_inicio])*(Metas_Diarias[[#This Row],[data]]&lt;Metas[data_fim])),Metas[meta_mensal],0)</f>
        <v>168000</v>
      </c>
      <c r="L1416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17" spans="2:12" x14ac:dyDescent="0.3">
      <c r="B1417" s="34">
        <v>46338</v>
      </c>
      <c r="C1417" s="34" t="str">
        <f>TEXT(Metas_Diarias[[#This Row],[data]],"dddd")</f>
        <v>quinta-feira</v>
      </c>
      <c r="D1417" s="33">
        <v>1</v>
      </c>
      <c r="E1417" s="33">
        <v>1</v>
      </c>
      <c r="F1417" s="18"/>
      <c r="G1417" s="35">
        <f>WEEKDAY(Metas_Diarias[[#This Row],[data]])</f>
        <v>5</v>
      </c>
      <c r="H1417" s="35">
        <f>IF(Metas_Diarias[[#This Row],[dias_da_demana]]=1,"domingo",IF(Metas_Diarias[[#This Row],[dias_da_demana]]=7,0.5,1))</f>
        <v>1</v>
      </c>
      <c r="I1417" s="35">
        <f>_xlfn.XLOOKUP(Metas_Diarias[[#This Row],[data]],Feriados[Data],Feriados[Feriado],1)</f>
        <v>1</v>
      </c>
      <c r="J1417" s="33" cm="1">
        <f t="array" aca="1" ref="J1417" ca="1">SUMPRODUCT(IF((NOT(ISERROR(MATCH(ROW(INDIRECT(DATE(YEAR(B1417),MONTH(B1417),1)&amp;":"&amp;DATE(YEAR(B1417),MONTH(B1417)+1,0))),Feriados[Data],0))))=FALSE,
IF(WEEKDAY(ROW(INDIRECT(DATE(YEAR(B1417),MONTH(B1417),1)&amp;":"&amp;DATE(YEAR(B1417),MONTH(B1417)+1,0))),2)&lt;=5,1,IF(WEEKDAY(ROW(INDIRECT(DATE(YEAR(B1417),MONTH(B1417),1)&amp;":"&amp;DATE(YEAR(B1417),MONTH(B1417)+1,0))),2)=6,0.5,0)),0))</f>
        <v>22</v>
      </c>
      <c r="K1417" s="22" cm="1">
        <f t="array" ref="K1417">_xlfn.XLOOKUP(1,((Metas_Diarias[[#This Row],[tipo_equipe_id]]=Metas[equipe])*(Metas_Diarias[[#This Row],[data]]&gt;Metas[data_inicio])*(Metas_Diarias[[#This Row],[data]]&lt;Metas[data_fim])),Metas[meta_mensal],0)</f>
        <v>168000</v>
      </c>
      <c r="L1417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18" spans="2:12" x14ac:dyDescent="0.3">
      <c r="B1418" s="34">
        <v>46339</v>
      </c>
      <c r="C1418" s="34" t="str">
        <f>TEXT(Metas_Diarias[[#This Row],[data]],"dddd")</f>
        <v>sexta-feira</v>
      </c>
      <c r="D1418" s="33">
        <v>1</v>
      </c>
      <c r="E1418" s="33">
        <v>1</v>
      </c>
      <c r="F1418" s="18"/>
      <c r="G1418" s="35">
        <f>WEEKDAY(Metas_Diarias[[#This Row],[data]])</f>
        <v>6</v>
      </c>
      <c r="H1418" s="35">
        <f>IF(Metas_Diarias[[#This Row],[dias_da_demana]]=1,"domingo",IF(Metas_Diarias[[#This Row],[dias_da_demana]]=7,0.5,1))</f>
        <v>1</v>
      </c>
      <c r="I1418" s="35">
        <f>_xlfn.XLOOKUP(Metas_Diarias[[#This Row],[data]],Feriados[Data],Feriados[Feriado],1)</f>
        <v>1</v>
      </c>
      <c r="J1418" s="33" cm="1">
        <f t="array" aca="1" ref="J1418" ca="1">SUMPRODUCT(IF((NOT(ISERROR(MATCH(ROW(INDIRECT(DATE(YEAR(B1418),MONTH(B1418),1)&amp;":"&amp;DATE(YEAR(B1418),MONTH(B1418)+1,0))),Feriados[Data],0))))=FALSE,
IF(WEEKDAY(ROW(INDIRECT(DATE(YEAR(B1418),MONTH(B1418),1)&amp;":"&amp;DATE(YEAR(B1418),MONTH(B1418)+1,0))),2)&lt;=5,1,IF(WEEKDAY(ROW(INDIRECT(DATE(YEAR(B1418),MONTH(B1418),1)&amp;":"&amp;DATE(YEAR(B1418),MONTH(B1418)+1,0))),2)=6,0.5,0)),0))</f>
        <v>22</v>
      </c>
      <c r="K1418" s="22" cm="1">
        <f t="array" ref="K1418">_xlfn.XLOOKUP(1,((Metas_Diarias[[#This Row],[tipo_equipe_id]]=Metas[equipe])*(Metas_Diarias[[#This Row],[data]]&gt;Metas[data_inicio])*(Metas_Diarias[[#This Row],[data]]&lt;Metas[data_fim])),Metas[meta_mensal],0)</f>
        <v>168000</v>
      </c>
      <c r="L1418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19" spans="2:12" x14ac:dyDescent="0.3">
      <c r="B1419" s="34">
        <v>46340</v>
      </c>
      <c r="C1419" s="34" t="str">
        <f>TEXT(Metas_Diarias[[#This Row],[data]],"dddd")</f>
        <v>sábado</v>
      </c>
      <c r="D1419" s="33">
        <v>1</v>
      </c>
      <c r="E1419" s="33">
        <v>1</v>
      </c>
      <c r="F1419" s="18"/>
      <c r="G1419" s="35">
        <f>WEEKDAY(Metas_Diarias[[#This Row],[data]])</f>
        <v>7</v>
      </c>
      <c r="H1419" s="35">
        <f>IF(Metas_Diarias[[#This Row],[dias_da_demana]]=1,"domingo",IF(Metas_Diarias[[#This Row],[dias_da_demana]]=7,0.5,1))</f>
        <v>0.5</v>
      </c>
      <c r="I1419" s="35">
        <f>_xlfn.XLOOKUP(Metas_Diarias[[#This Row],[data]],Feriados[Data],Feriados[Feriado],1)</f>
        <v>1</v>
      </c>
      <c r="J1419" s="33" cm="1">
        <f t="array" aca="1" ref="J1419" ca="1">SUMPRODUCT(IF((NOT(ISERROR(MATCH(ROW(INDIRECT(DATE(YEAR(B1419),MONTH(B1419),1)&amp;":"&amp;DATE(YEAR(B1419),MONTH(B1419)+1,0))),Feriados[Data],0))))=FALSE,
IF(WEEKDAY(ROW(INDIRECT(DATE(YEAR(B1419),MONTH(B1419),1)&amp;":"&amp;DATE(YEAR(B1419),MONTH(B1419)+1,0))),2)&lt;=5,1,IF(WEEKDAY(ROW(INDIRECT(DATE(YEAR(B1419),MONTH(B1419),1)&amp;":"&amp;DATE(YEAR(B1419),MONTH(B1419)+1,0))),2)=6,0.5,0)),0))</f>
        <v>22</v>
      </c>
      <c r="K1419" s="22" cm="1">
        <f t="array" ref="K1419">_xlfn.XLOOKUP(1,((Metas_Diarias[[#This Row],[tipo_equipe_id]]=Metas[equipe])*(Metas_Diarias[[#This Row],[data]]&gt;Metas[data_inicio])*(Metas_Diarias[[#This Row],[data]]&lt;Metas[data_fim])),Metas[meta_mensal],0)</f>
        <v>168000</v>
      </c>
      <c r="L1419" s="24">
        <f ca="1">Metas_Diarias[[#This Row],[meta_mensal]]*IF(Metas_Diarias[[#This Row],[semana]]="domingo",0,Metas_Diarias[[#This Row],[semana]])*IF(Metas_Diarias[[#This Row],[feriado]]&lt;&gt;1,0,1)/Metas_Diarias[[#This Row],[dias_úteis_Mês]]</f>
        <v>3818.181818181818</v>
      </c>
    </row>
    <row r="1420" spans="2:12" x14ac:dyDescent="0.3">
      <c r="B1420" s="34">
        <v>46341</v>
      </c>
      <c r="C1420" s="34" t="str">
        <f>TEXT(Metas_Diarias[[#This Row],[data]],"dddd")</f>
        <v>domingo</v>
      </c>
      <c r="D1420" s="33">
        <v>1</v>
      </c>
      <c r="E1420" s="33">
        <v>1</v>
      </c>
      <c r="F1420" s="18"/>
      <c r="G1420" s="35">
        <f>WEEKDAY(Metas_Diarias[[#This Row],[data]])</f>
        <v>1</v>
      </c>
      <c r="H1420" s="35" t="str">
        <f>IF(Metas_Diarias[[#This Row],[dias_da_demana]]=1,"domingo",IF(Metas_Diarias[[#This Row],[dias_da_demana]]=7,0.5,1))</f>
        <v>domingo</v>
      </c>
      <c r="I1420" s="35" t="str">
        <f>_xlfn.XLOOKUP(Metas_Diarias[[#This Row],[data]],Feriados[Data],Feriados[Feriado],1)</f>
        <v>Proclamação da República</v>
      </c>
      <c r="J1420" s="33" cm="1">
        <f t="array" aca="1" ref="J1420" ca="1">SUMPRODUCT(IF((NOT(ISERROR(MATCH(ROW(INDIRECT(DATE(YEAR(B1420),MONTH(B1420),1)&amp;":"&amp;DATE(YEAR(B1420),MONTH(B1420)+1,0))),Feriados[Data],0))))=FALSE,
IF(WEEKDAY(ROW(INDIRECT(DATE(YEAR(B1420),MONTH(B1420),1)&amp;":"&amp;DATE(YEAR(B1420),MONTH(B1420)+1,0))),2)&lt;=5,1,IF(WEEKDAY(ROW(INDIRECT(DATE(YEAR(B1420),MONTH(B1420),1)&amp;":"&amp;DATE(YEAR(B1420),MONTH(B1420)+1,0))),2)=6,0.5,0)),0))</f>
        <v>22</v>
      </c>
      <c r="K1420" s="22" cm="1">
        <f t="array" ref="K1420">_xlfn.XLOOKUP(1,((Metas_Diarias[[#This Row],[tipo_equipe_id]]=Metas[equipe])*(Metas_Diarias[[#This Row],[data]]&gt;Metas[data_inicio])*(Metas_Diarias[[#This Row],[data]]&lt;Metas[data_fim])),Metas[meta_mensal],0)</f>
        <v>168000</v>
      </c>
      <c r="L142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21" spans="2:12" x14ac:dyDescent="0.3">
      <c r="B1421" s="34">
        <v>46342</v>
      </c>
      <c r="C1421" s="34" t="str">
        <f>TEXT(Metas_Diarias[[#This Row],[data]],"dddd")</f>
        <v>segunda-feira</v>
      </c>
      <c r="D1421" s="33">
        <v>1</v>
      </c>
      <c r="E1421" s="33">
        <v>1</v>
      </c>
      <c r="F1421" s="18"/>
      <c r="G1421" s="35">
        <f>WEEKDAY(Metas_Diarias[[#This Row],[data]])</f>
        <v>2</v>
      </c>
      <c r="H1421" s="35">
        <f>IF(Metas_Diarias[[#This Row],[dias_da_demana]]=1,"domingo",IF(Metas_Diarias[[#This Row],[dias_da_demana]]=7,0.5,1))</f>
        <v>1</v>
      </c>
      <c r="I1421" s="35">
        <f>_xlfn.XLOOKUP(Metas_Diarias[[#This Row],[data]],Feriados[Data],Feriados[Feriado],1)</f>
        <v>1</v>
      </c>
      <c r="J1421" s="33" cm="1">
        <f t="array" aca="1" ref="J1421" ca="1">SUMPRODUCT(IF((NOT(ISERROR(MATCH(ROW(INDIRECT(DATE(YEAR(B1421),MONTH(B1421),1)&amp;":"&amp;DATE(YEAR(B1421),MONTH(B1421)+1,0))),Feriados[Data],0))))=FALSE,
IF(WEEKDAY(ROW(INDIRECT(DATE(YEAR(B1421),MONTH(B1421),1)&amp;":"&amp;DATE(YEAR(B1421),MONTH(B1421)+1,0))),2)&lt;=5,1,IF(WEEKDAY(ROW(INDIRECT(DATE(YEAR(B1421),MONTH(B1421),1)&amp;":"&amp;DATE(YEAR(B1421),MONTH(B1421)+1,0))),2)=6,0.5,0)),0))</f>
        <v>22</v>
      </c>
      <c r="K1421" s="22" cm="1">
        <f t="array" ref="K1421">_xlfn.XLOOKUP(1,((Metas_Diarias[[#This Row],[tipo_equipe_id]]=Metas[equipe])*(Metas_Diarias[[#This Row],[data]]&gt;Metas[data_inicio])*(Metas_Diarias[[#This Row],[data]]&lt;Metas[data_fim])),Metas[meta_mensal],0)</f>
        <v>168000</v>
      </c>
      <c r="L1421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22" spans="2:12" x14ac:dyDescent="0.3">
      <c r="B1422" s="34">
        <v>46343</v>
      </c>
      <c r="C1422" s="34" t="str">
        <f>TEXT(Metas_Diarias[[#This Row],[data]],"dddd")</f>
        <v>terça-feira</v>
      </c>
      <c r="D1422" s="33">
        <v>1</v>
      </c>
      <c r="E1422" s="33">
        <v>1</v>
      </c>
      <c r="F1422" s="18"/>
      <c r="G1422" s="35">
        <f>WEEKDAY(Metas_Diarias[[#This Row],[data]])</f>
        <v>3</v>
      </c>
      <c r="H1422" s="35">
        <f>IF(Metas_Diarias[[#This Row],[dias_da_demana]]=1,"domingo",IF(Metas_Diarias[[#This Row],[dias_da_demana]]=7,0.5,1))</f>
        <v>1</v>
      </c>
      <c r="I1422" s="35">
        <f>_xlfn.XLOOKUP(Metas_Diarias[[#This Row],[data]],Feriados[Data],Feriados[Feriado],1)</f>
        <v>1</v>
      </c>
      <c r="J1422" s="33" cm="1">
        <f t="array" aca="1" ref="J1422" ca="1">SUMPRODUCT(IF((NOT(ISERROR(MATCH(ROW(INDIRECT(DATE(YEAR(B1422),MONTH(B1422),1)&amp;":"&amp;DATE(YEAR(B1422),MONTH(B1422)+1,0))),Feriados[Data],0))))=FALSE,
IF(WEEKDAY(ROW(INDIRECT(DATE(YEAR(B1422),MONTH(B1422),1)&amp;":"&amp;DATE(YEAR(B1422),MONTH(B1422)+1,0))),2)&lt;=5,1,IF(WEEKDAY(ROW(INDIRECT(DATE(YEAR(B1422),MONTH(B1422),1)&amp;":"&amp;DATE(YEAR(B1422),MONTH(B1422)+1,0))),2)=6,0.5,0)),0))</f>
        <v>22</v>
      </c>
      <c r="K1422" s="22" cm="1">
        <f t="array" ref="K1422">_xlfn.XLOOKUP(1,((Metas_Diarias[[#This Row],[tipo_equipe_id]]=Metas[equipe])*(Metas_Diarias[[#This Row],[data]]&gt;Metas[data_inicio])*(Metas_Diarias[[#This Row],[data]]&lt;Metas[data_fim])),Metas[meta_mensal],0)</f>
        <v>168000</v>
      </c>
      <c r="L1422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23" spans="2:12" x14ac:dyDescent="0.3">
      <c r="B1423" s="34">
        <v>46344</v>
      </c>
      <c r="C1423" s="34" t="str">
        <f>TEXT(Metas_Diarias[[#This Row],[data]],"dddd")</f>
        <v>quarta-feira</v>
      </c>
      <c r="D1423" s="33">
        <v>1</v>
      </c>
      <c r="E1423" s="33">
        <v>1</v>
      </c>
      <c r="F1423" s="18"/>
      <c r="G1423" s="35">
        <f>WEEKDAY(Metas_Diarias[[#This Row],[data]])</f>
        <v>4</v>
      </c>
      <c r="H1423" s="35">
        <f>IF(Metas_Diarias[[#This Row],[dias_da_demana]]=1,"domingo",IF(Metas_Diarias[[#This Row],[dias_da_demana]]=7,0.5,1))</f>
        <v>1</v>
      </c>
      <c r="I1423" s="35">
        <f>_xlfn.XLOOKUP(Metas_Diarias[[#This Row],[data]],Feriados[Data],Feriados[Feriado],1)</f>
        <v>1</v>
      </c>
      <c r="J1423" s="33" cm="1">
        <f t="array" aca="1" ref="J1423" ca="1">SUMPRODUCT(IF((NOT(ISERROR(MATCH(ROW(INDIRECT(DATE(YEAR(B1423),MONTH(B1423),1)&amp;":"&amp;DATE(YEAR(B1423),MONTH(B1423)+1,0))),Feriados[Data],0))))=FALSE,
IF(WEEKDAY(ROW(INDIRECT(DATE(YEAR(B1423),MONTH(B1423),1)&amp;":"&amp;DATE(YEAR(B1423),MONTH(B1423)+1,0))),2)&lt;=5,1,IF(WEEKDAY(ROW(INDIRECT(DATE(YEAR(B1423),MONTH(B1423),1)&amp;":"&amp;DATE(YEAR(B1423),MONTH(B1423)+1,0))),2)=6,0.5,0)),0))</f>
        <v>22</v>
      </c>
      <c r="K1423" s="22" cm="1">
        <f t="array" ref="K1423">_xlfn.XLOOKUP(1,((Metas_Diarias[[#This Row],[tipo_equipe_id]]=Metas[equipe])*(Metas_Diarias[[#This Row],[data]]&gt;Metas[data_inicio])*(Metas_Diarias[[#This Row],[data]]&lt;Metas[data_fim])),Metas[meta_mensal],0)</f>
        <v>168000</v>
      </c>
      <c r="L1423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24" spans="2:12" x14ac:dyDescent="0.3">
      <c r="B1424" s="34">
        <v>46345</v>
      </c>
      <c r="C1424" s="34" t="str">
        <f>TEXT(Metas_Diarias[[#This Row],[data]],"dddd")</f>
        <v>quinta-feira</v>
      </c>
      <c r="D1424" s="33">
        <v>1</v>
      </c>
      <c r="E1424" s="33">
        <v>1</v>
      </c>
      <c r="F1424" s="18"/>
      <c r="G1424" s="35">
        <f>WEEKDAY(Metas_Diarias[[#This Row],[data]])</f>
        <v>5</v>
      </c>
      <c r="H1424" s="35">
        <f>IF(Metas_Diarias[[#This Row],[dias_da_demana]]=1,"domingo",IF(Metas_Diarias[[#This Row],[dias_da_demana]]=7,0.5,1))</f>
        <v>1</v>
      </c>
      <c r="I1424" s="35">
        <f>_xlfn.XLOOKUP(Metas_Diarias[[#This Row],[data]],Feriados[Data],Feriados[Feriado],1)</f>
        <v>1</v>
      </c>
      <c r="J1424" s="33" cm="1">
        <f t="array" aca="1" ref="J1424" ca="1">SUMPRODUCT(IF((NOT(ISERROR(MATCH(ROW(INDIRECT(DATE(YEAR(B1424),MONTH(B1424),1)&amp;":"&amp;DATE(YEAR(B1424),MONTH(B1424)+1,0))),Feriados[Data],0))))=FALSE,
IF(WEEKDAY(ROW(INDIRECT(DATE(YEAR(B1424),MONTH(B1424),1)&amp;":"&amp;DATE(YEAR(B1424),MONTH(B1424)+1,0))),2)&lt;=5,1,IF(WEEKDAY(ROW(INDIRECT(DATE(YEAR(B1424),MONTH(B1424),1)&amp;":"&amp;DATE(YEAR(B1424),MONTH(B1424)+1,0))),2)=6,0.5,0)),0))</f>
        <v>22</v>
      </c>
      <c r="K1424" s="22" cm="1">
        <f t="array" ref="K1424">_xlfn.XLOOKUP(1,((Metas_Diarias[[#This Row],[tipo_equipe_id]]=Metas[equipe])*(Metas_Diarias[[#This Row],[data]]&gt;Metas[data_inicio])*(Metas_Diarias[[#This Row],[data]]&lt;Metas[data_fim])),Metas[meta_mensal],0)</f>
        <v>168000</v>
      </c>
      <c r="L1424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25" spans="2:12" x14ac:dyDescent="0.3">
      <c r="B1425" s="34">
        <v>46346</v>
      </c>
      <c r="C1425" s="34" t="str">
        <f>TEXT(Metas_Diarias[[#This Row],[data]],"dddd")</f>
        <v>sexta-feira</v>
      </c>
      <c r="D1425" s="33">
        <v>1</v>
      </c>
      <c r="E1425" s="33">
        <v>1</v>
      </c>
      <c r="F1425" s="18"/>
      <c r="G1425" s="35">
        <f>WEEKDAY(Metas_Diarias[[#This Row],[data]])</f>
        <v>6</v>
      </c>
      <c r="H1425" s="35">
        <f>IF(Metas_Diarias[[#This Row],[dias_da_demana]]=1,"domingo",IF(Metas_Diarias[[#This Row],[dias_da_demana]]=7,0.5,1))</f>
        <v>1</v>
      </c>
      <c r="I1425" s="35">
        <f>_xlfn.XLOOKUP(Metas_Diarias[[#This Row],[data]],Feriados[Data],Feriados[Feriado],1)</f>
        <v>1</v>
      </c>
      <c r="J1425" s="33" cm="1">
        <f t="array" aca="1" ref="J1425" ca="1">SUMPRODUCT(IF((NOT(ISERROR(MATCH(ROW(INDIRECT(DATE(YEAR(B1425),MONTH(B1425),1)&amp;":"&amp;DATE(YEAR(B1425),MONTH(B1425)+1,0))),Feriados[Data],0))))=FALSE,
IF(WEEKDAY(ROW(INDIRECT(DATE(YEAR(B1425),MONTH(B1425),1)&amp;":"&amp;DATE(YEAR(B1425),MONTH(B1425)+1,0))),2)&lt;=5,1,IF(WEEKDAY(ROW(INDIRECT(DATE(YEAR(B1425),MONTH(B1425),1)&amp;":"&amp;DATE(YEAR(B1425),MONTH(B1425)+1,0))),2)=6,0.5,0)),0))</f>
        <v>22</v>
      </c>
      <c r="K1425" s="22" cm="1">
        <f t="array" ref="K1425">_xlfn.XLOOKUP(1,((Metas_Diarias[[#This Row],[tipo_equipe_id]]=Metas[equipe])*(Metas_Diarias[[#This Row],[data]]&gt;Metas[data_inicio])*(Metas_Diarias[[#This Row],[data]]&lt;Metas[data_fim])),Metas[meta_mensal],0)</f>
        <v>168000</v>
      </c>
      <c r="L1425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26" spans="2:12" x14ac:dyDescent="0.3">
      <c r="B1426" s="34">
        <v>46347</v>
      </c>
      <c r="C1426" s="34" t="str">
        <f>TEXT(Metas_Diarias[[#This Row],[data]],"dddd")</f>
        <v>sábado</v>
      </c>
      <c r="D1426" s="33">
        <v>1</v>
      </c>
      <c r="E1426" s="33">
        <v>1</v>
      </c>
      <c r="F1426" s="18"/>
      <c r="G1426" s="35">
        <f>WEEKDAY(Metas_Diarias[[#This Row],[data]])</f>
        <v>7</v>
      </c>
      <c r="H1426" s="35">
        <f>IF(Metas_Diarias[[#This Row],[dias_da_demana]]=1,"domingo",IF(Metas_Diarias[[#This Row],[dias_da_demana]]=7,0.5,1))</f>
        <v>0.5</v>
      </c>
      <c r="I1426" s="35">
        <f>_xlfn.XLOOKUP(Metas_Diarias[[#This Row],[data]],Feriados[Data],Feriados[Feriado],1)</f>
        <v>1</v>
      </c>
      <c r="J1426" s="33" cm="1">
        <f t="array" aca="1" ref="J1426" ca="1">SUMPRODUCT(IF((NOT(ISERROR(MATCH(ROW(INDIRECT(DATE(YEAR(B1426),MONTH(B1426),1)&amp;":"&amp;DATE(YEAR(B1426),MONTH(B1426)+1,0))),Feriados[Data],0))))=FALSE,
IF(WEEKDAY(ROW(INDIRECT(DATE(YEAR(B1426),MONTH(B1426),1)&amp;":"&amp;DATE(YEAR(B1426),MONTH(B1426)+1,0))),2)&lt;=5,1,IF(WEEKDAY(ROW(INDIRECT(DATE(YEAR(B1426),MONTH(B1426),1)&amp;":"&amp;DATE(YEAR(B1426),MONTH(B1426)+1,0))),2)=6,0.5,0)),0))</f>
        <v>22</v>
      </c>
      <c r="K1426" s="22" cm="1">
        <f t="array" ref="K1426">_xlfn.XLOOKUP(1,((Metas_Diarias[[#This Row],[tipo_equipe_id]]=Metas[equipe])*(Metas_Diarias[[#This Row],[data]]&gt;Metas[data_inicio])*(Metas_Diarias[[#This Row],[data]]&lt;Metas[data_fim])),Metas[meta_mensal],0)</f>
        <v>168000</v>
      </c>
      <c r="L1426" s="24">
        <f ca="1">Metas_Diarias[[#This Row],[meta_mensal]]*IF(Metas_Diarias[[#This Row],[semana]]="domingo",0,Metas_Diarias[[#This Row],[semana]])*IF(Metas_Diarias[[#This Row],[feriado]]&lt;&gt;1,0,1)/Metas_Diarias[[#This Row],[dias_úteis_Mês]]</f>
        <v>3818.181818181818</v>
      </c>
    </row>
    <row r="1427" spans="2:12" x14ac:dyDescent="0.3">
      <c r="B1427" s="34">
        <v>46348</v>
      </c>
      <c r="C1427" s="34" t="str">
        <f>TEXT(Metas_Diarias[[#This Row],[data]],"dddd")</f>
        <v>domingo</v>
      </c>
      <c r="D1427" s="33">
        <v>1</v>
      </c>
      <c r="E1427" s="33">
        <v>1</v>
      </c>
      <c r="F1427" s="18"/>
      <c r="G1427" s="35">
        <f>WEEKDAY(Metas_Diarias[[#This Row],[data]])</f>
        <v>1</v>
      </c>
      <c r="H1427" s="35" t="str">
        <f>IF(Metas_Diarias[[#This Row],[dias_da_demana]]=1,"domingo",IF(Metas_Diarias[[#This Row],[dias_da_demana]]=7,0.5,1))</f>
        <v>domingo</v>
      </c>
      <c r="I1427" s="35">
        <f>_xlfn.XLOOKUP(Metas_Diarias[[#This Row],[data]],Feriados[Data],Feriados[Feriado],1)</f>
        <v>1</v>
      </c>
      <c r="J1427" s="33" cm="1">
        <f t="array" aca="1" ref="J1427" ca="1">SUMPRODUCT(IF((NOT(ISERROR(MATCH(ROW(INDIRECT(DATE(YEAR(B1427),MONTH(B1427),1)&amp;":"&amp;DATE(YEAR(B1427),MONTH(B1427)+1,0))),Feriados[Data],0))))=FALSE,
IF(WEEKDAY(ROW(INDIRECT(DATE(YEAR(B1427),MONTH(B1427),1)&amp;":"&amp;DATE(YEAR(B1427),MONTH(B1427)+1,0))),2)&lt;=5,1,IF(WEEKDAY(ROW(INDIRECT(DATE(YEAR(B1427),MONTH(B1427),1)&amp;":"&amp;DATE(YEAR(B1427),MONTH(B1427)+1,0))),2)=6,0.5,0)),0))</f>
        <v>22</v>
      </c>
      <c r="K1427" s="22" cm="1">
        <f t="array" ref="K1427">_xlfn.XLOOKUP(1,((Metas_Diarias[[#This Row],[tipo_equipe_id]]=Metas[equipe])*(Metas_Diarias[[#This Row],[data]]&gt;Metas[data_inicio])*(Metas_Diarias[[#This Row],[data]]&lt;Metas[data_fim])),Metas[meta_mensal],0)</f>
        <v>168000</v>
      </c>
      <c r="L142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28" spans="2:12" x14ac:dyDescent="0.3">
      <c r="B1428" s="34">
        <v>46349</v>
      </c>
      <c r="C1428" s="34" t="str">
        <f>TEXT(Metas_Diarias[[#This Row],[data]],"dddd")</f>
        <v>segunda-feira</v>
      </c>
      <c r="D1428" s="33">
        <v>1</v>
      </c>
      <c r="E1428" s="33">
        <v>1</v>
      </c>
      <c r="F1428" s="18"/>
      <c r="G1428" s="35">
        <f>WEEKDAY(Metas_Diarias[[#This Row],[data]])</f>
        <v>2</v>
      </c>
      <c r="H1428" s="35">
        <f>IF(Metas_Diarias[[#This Row],[dias_da_demana]]=1,"domingo",IF(Metas_Diarias[[#This Row],[dias_da_demana]]=7,0.5,1))</f>
        <v>1</v>
      </c>
      <c r="I1428" s="35">
        <f>_xlfn.XLOOKUP(Metas_Diarias[[#This Row],[data]],Feriados[Data],Feriados[Feriado],1)</f>
        <v>1</v>
      </c>
      <c r="J1428" s="33" cm="1">
        <f t="array" aca="1" ref="J1428" ca="1">SUMPRODUCT(IF((NOT(ISERROR(MATCH(ROW(INDIRECT(DATE(YEAR(B1428),MONTH(B1428),1)&amp;":"&amp;DATE(YEAR(B1428),MONTH(B1428)+1,0))),Feriados[Data],0))))=FALSE,
IF(WEEKDAY(ROW(INDIRECT(DATE(YEAR(B1428),MONTH(B1428),1)&amp;":"&amp;DATE(YEAR(B1428),MONTH(B1428)+1,0))),2)&lt;=5,1,IF(WEEKDAY(ROW(INDIRECT(DATE(YEAR(B1428),MONTH(B1428),1)&amp;":"&amp;DATE(YEAR(B1428),MONTH(B1428)+1,0))),2)=6,0.5,0)),0))</f>
        <v>22</v>
      </c>
      <c r="K1428" s="22" cm="1">
        <f t="array" ref="K1428">_xlfn.XLOOKUP(1,((Metas_Diarias[[#This Row],[tipo_equipe_id]]=Metas[equipe])*(Metas_Diarias[[#This Row],[data]]&gt;Metas[data_inicio])*(Metas_Diarias[[#This Row],[data]]&lt;Metas[data_fim])),Metas[meta_mensal],0)</f>
        <v>168000</v>
      </c>
      <c r="L1428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29" spans="2:12" x14ac:dyDescent="0.3">
      <c r="B1429" s="34">
        <v>46350</v>
      </c>
      <c r="C1429" s="34" t="str">
        <f>TEXT(Metas_Diarias[[#This Row],[data]],"dddd")</f>
        <v>terça-feira</v>
      </c>
      <c r="D1429" s="33">
        <v>1</v>
      </c>
      <c r="E1429" s="33">
        <v>1</v>
      </c>
      <c r="F1429" s="18"/>
      <c r="G1429" s="35">
        <f>WEEKDAY(Metas_Diarias[[#This Row],[data]])</f>
        <v>3</v>
      </c>
      <c r="H1429" s="35">
        <f>IF(Metas_Diarias[[#This Row],[dias_da_demana]]=1,"domingo",IF(Metas_Diarias[[#This Row],[dias_da_demana]]=7,0.5,1))</f>
        <v>1</v>
      </c>
      <c r="I1429" s="35">
        <f>_xlfn.XLOOKUP(Metas_Diarias[[#This Row],[data]],Feriados[Data],Feriados[Feriado],1)</f>
        <v>1</v>
      </c>
      <c r="J1429" s="33" cm="1">
        <f t="array" aca="1" ref="J1429" ca="1">SUMPRODUCT(IF((NOT(ISERROR(MATCH(ROW(INDIRECT(DATE(YEAR(B1429),MONTH(B1429),1)&amp;":"&amp;DATE(YEAR(B1429),MONTH(B1429)+1,0))),Feriados[Data],0))))=FALSE,
IF(WEEKDAY(ROW(INDIRECT(DATE(YEAR(B1429),MONTH(B1429),1)&amp;":"&amp;DATE(YEAR(B1429),MONTH(B1429)+1,0))),2)&lt;=5,1,IF(WEEKDAY(ROW(INDIRECT(DATE(YEAR(B1429),MONTH(B1429),1)&amp;":"&amp;DATE(YEAR(B1429),MONTH(B1429)+1,0))),2)=6,0.5,0)),0))</f>
        <v>22</v>
      </c>
      <c r="K1429" s="22" cm="1">
        <f t="array" ref="K1429">_xlfn.XLOOKUP(1,((Metas_Diarias[[#This Row],[tipo_equipe_id]]=Metas[equipe])*(Metas_Diarias[[#This Row],[data]]&gt;Metas[data_inicio])*(Metas_Diarias[[#This Row],[data]]&lt;Metas[data_fim])),Metas[meta_mensal],0)</f>
        <v>168000</v>
      </c>
      <c r="L1429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30" spans="2:12" x14ac:dyDescent="0.3">
      <c r="B1430" s="34">
        <v>46351</v>
      </c>
      <c r="C1430" s="34" t="str">
        <f>TEXT(Metas_Diarias[[#This Row],[data]],"dddd")</f>
        <v>quarta-feira</v>
      </c>
      <c r="D1430" s="33">
        <v>1</v>
      </c>
      <c r="E1430" s="33">
        <v>1</v>
      </c>
      <c r="F1430" s="18"/>
      <c r="G1430" s="35">
        <f>WEEKDAY(Metas_Diarias[[#This Row],[data]])</f>
        <v>4</v>
      </c>
      <c r="H1430" s="35">
        <f>IF(Metas_Diarias[[#This Row],[dias_da_demana]]=1,"domingo",IF(Metas_Diarias[[#This Row],[dias_da_demana]]=7,0.5,1))</f>
        <v>1</v>
      </c>
      <c r="I1430" s="35">
        <f>_xlfn.XLOOKUP(Metas_Diarias[[#This Row],[data]],Feriados[Data],Feriados[Feriado],1)</f>
        <v>1</v>
      </c>
      <c r="J1430" s="33" cm="1">
        <f t="array" aca="1" ref="J1430" ca="1">SUMPRODUCT(IF((NOT(ISERROR(MATCH(ROW(INDIRECT(DATE(YEAR(B1430),MONTH(B1430),1)&amp;":"&amp;DATE(YEAR(B1430),MONTH(B1430)+1,0))),Feriados[Data],0))))=FALSE,
IF(WEEKDAY(ROW(INDIRECT(DATE(YEAR(B1430),MONTH(B1430),1)&amp;":"&amp;DATE(YEAR(B1430),MONTH(B1430)+1,0))),2)&lt;=5,1,IF(WEEKDAY(ROW(INDIRECT(DATE(YEAR(B1430),MONTH(B1430),1)&amp;":"&amp;DATE(YEAR(B1430),MONTH(B1430)+1,0))),2)=6,0.5,0)),0))</f>
        <v>22</v>
      </c>
      <c r="K1430" s="22" cm="1">
        <f t="array" ref="K1430">_xlfn.XLOOKUP(1,((Metas_Diarias[[#This Row],[tipo_equipe_id]]=Metas[equipe])*(Metas_Diarias[[#This Row],[data]]&gt;Metas[data_inicio])*(Metas_Diarias[[#This Row],[data]]&lt;Metas[data_fim])),Metas[meta_mensal],0)</f>
        <v>168000</v>
      </c>
      <c r="L1430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31" spans="2:12" x14ac:dyDescent="0.3">
      <c r="B1431" s="34">
        <v>46352</v>
      </c>
      <c r="C1431" s="34" t="str">
        <f>TEXT(Metas_Diarias[[#This Row],[data]],"dddd")</f>
        <v>quinta-feira</v>
      </c>
      <c r="D1431" s="33">
        <v>1</v>
      </c>
      <c r="E1431" s="33">
        <v>1</v>
      </c>
      <c r="F1431" s="18"/>
      <c r="G1431" s="35">
        <f>WEEKDAY(Metas_Diarias[[#This Row],[data]])</f>
        <v>5</v>
      </c>
      <c r="H1431" s="35">
        <f>IF(Metas_Diarias[[#This Row],[dias_da_demana]]=1,"domingo",IF(Metas_Diarias[[#This Row],[dias_da_demana]]=7,0.5,1))</f>
        <v>1</v>
      </c>
      <c r="I1431" s="35">
        <f>_xlfn.XLOOKUP(Metas_Diarias[[#This Row],[data]],Feriados[Data],Feriados[Feriado],1)</f>
        <v>1</v>
      </c>
      <c r="J1431" s="33" cm="1">
        <f t="array" aca="1" ref="J1431" ca="1">SUMPRODUCT(IF((NOT(ISERROR(MATCH(ROW(INDIRECT(DATE(YEAR(B1431),MONTH(B1431),1)&amp;":"&amp;DATE(YEAR(B1431),MONTH(B1431)+1,0))),Feriados[Data],0))))=FALSE,
IF(WEEKDAY(ROW(INDIRECT(DATE(YEAR(B1431),MONTH(B1431),1)&amp;":"&amp;DATE(YEAR(B1431),MONTH(B1431)+1,0))),2)&lt;=5,1,IF(WEEKDAY(ROW(INDIRECT(DATE(YEAR(B1431),MONTH(B1431),1)&amp;":"&amp;DATE(YEAR(B1431),MONTH(B1431)+1,0))),2)=6,0.5,0)),0))</f>
        <v>22</v>
      </c>
      <c r="K1431" s="22" cm="1">
        <f t="array" ref="K1431">_xlfn.XLOOKUP(1,((Metas_Diarias[[#This Row],[tipo_equipe_id]]=Metas[equipe])*(Metas_Diarias[[#This Row],[data]]&gt;Metas[data_inicio])*(Metas_Diarias[[#This Row],[data]]&lt;Metas[data_fim])),Metas[meta_mensal],0)</f>
        <v>168000</v>
      </c>
      <c r="L1431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32" spans="2:12" x14ac:dyDescent="0.3">
      <c r="B1432" s="34">
        <v>46353</v>
      </c>
      <c r="C1432" s="34" t="str">
        <f>TEXT(Metas_Diarias[[#This Row],[data]],"dddd")</f>
        <v>sexta-feira</v>
      </c>
      <c r="D1432" s="33">
        <v>1</v>
      </c>
      <c r="E1432" s="33">
        <v>1</v>
      </c>
      <c r="F1432" s="18"/>
      <c r="G1432" s="35">
        <f>WEEKDAY(Metas_Diarias[[#This Row],[data]])</f>
        <v>6</v>
      </c>
      <c r="H1432" s="35">
        <f>IF(Metas_Diarias[[#This Row],[dias_da_demana]]=1,"domingo",IF(Metas_Diarias[[#This Row],[dias_da_demana]]=7,0.5,1))</f>
        <v>1</v>
      </c>
      <c r="I1432" s="35">
        <f>_xlfn.XLOOKUP(Metas_Diarias[[#This Row],[data]],Feriados[Data],Feriados[Feriado],1)</f>
        <v>1</v>
      </c>
      <c r="J1432" s="33" cm="1">
        <f t="array" aca="1" ref="J1432" ca="1">SUMPRODUCT(IF((NOT(ISERROR(MATCH(ROW(INDIRECT(DATE(YEAR(B1432),MONTH(B1432),1)&amp;":"&amp;DATE(YEAR(B1432),MONTH(B1432)+1,0))),Feriados[Data],0))))=FALSE,
IF(WEEKDAY(ROW(INDIRECT(DATE(YEAR(B1432),MONTH(B1432),1)&amp;":"&amp;DATE(YEAR(B1432),MONTH(B1432)+1,0))),2)&lt;=5,1,IF(WEEKDAY(ROW(INDIRECT(DATE(YEAR(B1432),MONTH(B1432),1)&amp;":"&amp;DATE(YEAR(B1432),MONTH(B1432)+1,0))),2)=6,0.5,0)),0))</f>
        <v>22</v>
      </c>
      <c r="K1432" s="22" cm="1">
        <f t="array" ref="K1432">_xlfn.XLOOKUP(1,((Metas_Diarias[[#This Row],[tipo_equipe_id]]=Metas[equipe])*(Metas_Diarias[[#This Row],[data]]&gt;Metas[data_inicio])*(Metas_Diarias[[#This Row],[data]]&lt;Metas[data_fim])),Metas[meta_mensal],0)</f>
        <v>168000</v>
      </c>
      <c r="L1432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33" spans="2:12" x14ac:dyDescent="0.3">
      <c r="B1433" s="34">
        <v>46354</v>
      </c>
      <c r="C1433" s="34" t="str">
        <f>TEXT(Metas_Diarias[[#This Row],[data]],"dddd")</f>
        <v>sábado</v>
      </c>
      <c r="D1433" s="33">
        <v>1</v>
      </c>
      <c r="E1433" s="33">
        <v>1</v>
      </c>
      <c r="F1433" s="18"/>
      <c r="G1433" s="35">
        <f>WEEKDAY(Metas_Diarias[[#This Row],[data]])</f>
        <v>7</v>
      </c>
      <c r="H1433" s="35">
        <f>IF(Metas_Diarias[[#This Row],[dias_da_demana]]=1,"domingo",IF(Metas_Diarias[[#This Row],[dias_da_demana]]=7,0.5,1))</f>
        <v>0.5</v>
      </c>
      <c r="I1433" s="35">
        <f>_xlfn.XLOOKUP(Metas_Diarias[[#This Row],[data]],Feriados[Data],Feriados[Feriado],1)</f>
        <v>1</v>
      </c>
      <c r="J1433" s="33" cm="1">
        <f t="array" aca="1" ref="J1433" ca="1">SUMPRODUCT(IF((NOT(ISERROR(MATCH(ROW(INDIRECT(DATE(YEAR(B1433),MONTH(B1433),1)&amp;":"&amp;DATE(YEAR(B1433),MONTH(B1433)+1,0))),Feriados[Data],0))))=FALSE,
IF(WEEKDAY(ROW(INDIRECT(DATE(YEAR(B1433),MONTH(B1433),1)&amp;":"&amp;DATE(YEAR(B1433),MONTH(B1433)+1,0))),2)&lt;=5,1,IF(WEEKDAY(ROW(INDIRECT(DATE(YEAR(B1433),MONTH(B1433),1)&amp;":"&amp;DATE(YEAR(B1433),MONTH(B1433)+1,0))),2)=6,0.5,0)),0))</f>
        <v>22</v>
      </c>
      <c r="K1433" s="22" cm="1">
        <f t="array" ref="K1433">_xlfn.XLOOKUP(1,((Metas_Diarias[[#This Row],[tipo_equipe_id]]=Metas[equipe])*(Metas_Diarias[[#This Row],[data]]&gt;Metas[data_inicio])*(Metas_Diarias[[#This Row],[data]]&lt;Metas[data_fim])),Metas[meta_mensal],0)</f>
        <v>168000</v>
      </c>
      <c r="L1433" s="24">
        <f ca="1">Metas_Diarias[[#This Row],[meta_mensal]]*IF(Metas_Diarias[[#This Row],[semana]]="domingo",0,Metas_Diarias[[#This Row],[semana]])*IF(Metas_Diarias[[#This Row],[feriado]]&lt;&gt;1,0,1)/Metas_Diarias[[#This Row],[dias_úteis_Mês]]</f>
        <v>3818.181818181818</v>
      </c>
    </row>
    <row r="1434" spans="2:12" x14ac:dyDescent="0.3">
      <c r="B1434" s="34">
        <v>46355</v>
      </c>
      <c r="C1434" s="34" t="str">
        <f>TEXT(Metas_Diarias[[#This Row],[data]],"dddd")</f>
        <v>domingo</v>
      </c>
      <c r="D1434" s="33">
        <v>1</v>
      </c>
      <c r="E1434" s="33">
        <v>1</v>
      </c>
      <c r="F1434" s="18"/>
      <c r="G1434" s="35">
        <f>WEEKDAY(Metas_Diarias[[#This Row],[data]])</f>
        <v>1</v>
      </c>
      <c r="H1434" s="35" t="str">
        <f>IF(Metas_Diarias[[#This Row],[dias_da_demana]]=1,"domingo",IF(Metas_Diarias[[#This Row],[dias_da_demana]]=7,0.5,1))</f>
        <v>domingo</v>
      </c>
      <c r="I1434" s="35">
        <f>_xlfn.XLOOKUP(Metas_Diarias[[#This Row],[data]],Feriados[Data],Feriados[Feriado],1)</f>
        <v>1</v>
      </c>
      <c r="J1434" s="33" cm="1">
        <f t="array" aca="1" ref="J1434" ca="1">SUMPRODUCT(IF((NOT(ISERROR(MATCH(ROW(INDIRECT(DATE(YEAR(B1434),MONTH(B1434),1)&amp;":"&amp;DATE(YEAR(B1434),MONTH(B1434)+1,0))),Feriados[Data],0))))=FALSE,
IF(WEEKDAY(ROW(INDIRECT(DATE(YEAR(B1434),MONTH(B1434),1)&amp;":"&amp;DATE(YEAR(B1434),MONTH(B1434)+1,0))),2)&lt;=5,1,IF(WEEKDAY(ROW(INDIRECT(DATE(YEAR(B1434),MONTH(B1434),1)&amp;":"&amp;DATE(YEAR(B1434),MONTH(B1434)+1,0))),2)=6,0.5,0)),0))</f>
        <v>22</v>
      </c>
      <c r="K1434" s="22" cm="1">
        <f t="array" ref="K1434">_xlfn.XLOOKUP(1,((Metas_Diarias[[#This Row],[tipo_equipe_id]]=Metas[equipe])*(Metas_Diarias[[#This Row],[data]]&gt;Metas[data_inicio])*(Metas_Diarias[[#This Row],[data]]&lt;Metas[data_fim])),Metas[meta_mensal],0)</f>
        <v>168000</v>
      </c>
      <c r="L143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35" spans="2:12" x14ac:dyDescent="0.3">
      <c r="B1435" s="34">
        <v>46356</v>
      </c>
      <c r="C1435" s="34" t="str">
        <f>TEXT(Metas_Diarias[[#This Row],[data]],"dddd")</f>
        <v>segunda-feira</v>
      </c>
      <c r="D1435" s="33">
        <v>1</v>
      </c>
      <c r="E1435" s="33">
        <v>1</v>
      </c>
      <c r="F1435" s="18"/>
      <c r="G1435" s="35">
        <f>WEEKDAY(Metas_Diarias[[#This Row],[data]])</f>
        <v>2</v>
      </c>
      <c r="H1435" s="35">
        <f>IF(Metas_Diarias[[#This Row],[dias_da_demana]]=1,"domingo",IF(Metas_Diarias[[#This Row],[dias_da_demana]]=7,0.5,1))</f>
        <v>1</v>
      </c>
      <c r="I1435" s="35">
        <f>_xlfn.XLOOKUP(Metas_Diarias[[#This Row],[data]],Feriados[Data],Feriados[Feriado],1)</f>
        <v>1</v>
      </c>
      <c r="J1435" s="33" cm="1">
        <f t="array" aca="1" ref="J1435" ca="1">SUMPRODUCT(IF((NOT(ISERROR(MATCH(ROW(INDIRECT(DATE(YEAR(B1435),MONTH(B1435),1)&amp;":"&amp;DATE(YEAR(B1435),MONTH(B1435)+1,0))),Feriados[Data],0))))=FALSE,
IF(WEEKDAY(ROW(INDIRECT(DATE(YEAR(B1435),MONTH(B1435),1)&amp;":"&amp;DATE(YEAR(B1435),MONTH(B1435)+1,0))),2)&lt;=5,1,IF(WEEKDAY(ROW(INDIRECT(DATE(YEAR(B1435),MONTH(B1435),1)&amp;":"&amp;DATE(YEAR(B1435),MONTH(B1435)+1,0))),2)=6,0.5,0)),0))</f>
        <v>22</v>
      </c>
      <c r="K1435" s="22" cm="1">
        <f t="array" ref="K1435">_xlfn.XLOOKUP(1,((Metas_Diarias[[#This Row],[tipo_equipe_id]]=Metas[equipe])*(Metas_Diarias[[#This Row],[data]]&gt;Metas[data_inicio])*(Metas_Diarias[[#This Row],[data]]&lt;Metas[data_fim])),Metas[meta_mensal],0)</f>
        <v>168000</v>
      </c>
      <c r="L1435" s="24">
        <f ca="1">Metas_Diarias[[#This Row],[meta_mensal]]*IF(Metas_Diarias[[#This Row],[semana]]="domingo",0,Metas_Diarias[[#This Row],[semana]])*IF(Metas_Diarias[[#This Row],[feriado]]&lt;&gt;1,0,1)/Metas_Diarias[[#This Row],[dias_úteis_Mês]]</f>
        <v>7636.363636363636</v>
      </c>
    </row>
    <row r="1436" spans="2:12" x14ac:dyDescent="0.3">
      <c r="B1436" s="34">
        <v>46357</v>
      </c>
      <c r="C1436" s="34" t="str">
        <f>TEXT(Metas_Diarias[[#This Row],[data]],"dddd")</f>
        <v>terça-feira</v>
      </c>
      <c r="D1436" s="33">
        <v>1</v>
      </c>
      <c r="E1436" s="33">
        <v>1</v>
      </c>
      <c r="F1436" s="18"/>
      <c r="G1436" s="35">
        <f>WEEKDAY(Metas_Diarias[[#This Row],[data]])</f>
        <v>3</v>
      </c>
      <c r="H1436" s="35">
        <f>IF(Metas_Diarias[[#This Row],[dias_da_demana]]=1,"domingo",IF(Metas_Diarias[[#This Row],[dias_da_demana]]=7,0.5,1))</f>
        <v>1</v>
      </c>
      <c r="I1436" s="35">
        <f>_xlfn.XLOOKUP(Metas_Diarias[[#This Row],[data]],Feriados[Data],Feriados[Feriado],1)</f>
        <v>1</v>
      </c>
      <c r="J1436" s="33" cm="1">
        <f t="array" aca="1" ref="J1436" ca="1">SUMPRODUCT(IF((NOT(ISERROR(MATCH(ROW(INDIRECT(DATE(YEAR(B1436),MONTH(B1436),1)&amp;":"&amp;DATE(YEAR(B1436),MONTH(B1436)+1,0))),Feriados[Data],0))))=FALSE,
IF(WEEKDAY(ROW(INDIRECT(DATE(YEAR(B1436),MONTH(B1436),1)&amp;":"&amp;DATE(YEAR(B1436),MONTH(B1436)+1,0))),2)&lt;=5,1,IF(WEEKDAY(ROW(INDIRECT(DATE(YEAR(B1436),MONTH(B1436),1)&amp;":"&amp;DATE(YEAR(B1436),MONTH(B1436)+1,0))),2)=6,0.5,0)),0))</f>
        <v>24</v>
      </c>
      <c r="K1436" s="22" cm="1">
        <f t="array" ref="K1436">_xlfn.XLOOKUP(1,((Metas_Diarias[[#This Row],[tipo_equipe_id]]=Metas[equipe])*(Metas_Diarias[[#This Row],[data]]&gt;Metas[data_inicio])*(Metas_Diarias[[#This Row],[data]]&lt;Metas[data_fim])),Metas[meta_mensal],0)</f>
        <v>168000</v>
      </c>
      <c r="L1436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37" spans="2:12" x14ac:dyDescent="0.3">
      <c r="B1437" s="34">
        <v>46358</v>
      </c>
      <c r="C1437" s="34" t="str">
        <f>TEXT(Metas_Diarias[[#This Row],[data]],"dddd")</f>
        <v>quarta-feira</v>
      </c>
      <c r="D1437" s="33">
        <v>1</v>
      </c>
      <c r="E1437" s="33">
        <v>1</v>
      </c>
      <c r="F1437" s="18"/>
      <c r="G1437" s="35">
        <f>WEEKDAY(Metas_Diarias[[#This Row],[data]])</f>
        <v>4</v>
      </c>
      <c r="H1437" s="35">
        <f>IF(Metas_Diarias[[#This Row],[dias_da_demana]]=1,"domingo",IF(Metas_Diarias[[#This Row],[dias_da_demana]]=7,0.5,1))</f>
        <v>1</v>
      </c>
      <c r="I1437" s="35">
        <f>_xlfn.XLOOKUP(Metas_Diarias[[#This Row],[data]],Feriados[Data],Feriados[Feriado],1)</f>
        <v>1</v>
      </c>
      <c r="J1437" s="33" cm="1">
        <f t="array" aca="1" ref="J1437" ca="1">SUMPRODUCT(IF((NOT(ISERROR(MATCH(ROW(INDIRECT(DATE(YEAR(B1437),MONTH(B1437),1)&amp;":"&amp;DATE(YEAR(B1437),MONTH(B1437)+1,0))),Feriados[Data],0))))=FALSE,
IF(WEEKDAY(ROW(INDIRECT(DATE(YEAR(B1437),MONTH(B1437),1)&amp;":"&amp;DATE(YEAR(B1437),MONTH(B1437)+1,0))),2)&lt;=5,1,IF(WEEKDAY(ROW(INDIRECT(DATE(YEAR(B1437),MONTH(B1437),1)&amp;":"&amp;DATE(YEAR(B1437),MONTH(B1437)+1,0))),2)=6,0.5,0)),0))</f>
        <v>24</v>
      </c>
      <c r="K1437" s="22" cm="1">
        <f t="array" ref="K1437">_xlfn.XLOOKUP(1,((Metas_Diarias[[#This Row],[tipo_equipe_id]]=Metas[equipe])*(Metas_Diarias[[#This Row],[data]]&gt;Metas[data_inicio])*(Metas_Diarias[[#This Row],[data]]&lt;Metas[data_fim])),Metas[meta_mensal],0)</f>
        <v>168000</v>
      </c>
      <c r="L1437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38" spans="2:12" x14ac:dyDescent="0.3">
      <c r="B1438" s="34">
        <v>46359</v>
      </c>
      <c r="C1438" s="34" t="str">
        <f>TEXT(Metas_Diarias[[#This Row],[data]],"dddd")</f>
        <v>quinta-feira</v>
      </c>
      <c r="D1438" s="33">
        <v>1</v>
      </c>
      <c r="E1438" s="33">
        <v>1</v>
      </c>
      <c r="F1438" s="18"/>
      <c r="G1438" s="35">
        <f>WEEKDAY(Metas_Diarias[[#This Row],[data]])</f>
        <v>5</v>
      </c>
      <c r="H1438" s="35">
        <f>IF(Metas_Diarias[[#This Row],[dias_da_demana]]=1,"domingo",IF(Metas_Diarias[[#This Row],[dias_da_demana]]=7,0.5,1))</f>
        <v>1</v>
      </c>
      <c r="I1438" s="35">
        <f>_xlfn.XLOOKUP(Metas_Diarias[[#This Row],[data]],Feriados[Data],Feriados[Feriado],1)</f>
        <v>1</v>
      </c>
      <c r="J1438" s="33" cm="1">
        <f t="array" aca="1" ref="J1438" ca="1">SUMPRODUCT(IF((NOT(ISERROR(MATCH(ROW(INDIRECT(DATE(YEAR(B1438),MONTH(B1438),1)&amp;":"&amp;DATE(YEAR(B1438),MONTH(B1438)+1,0))),Feriados[Data],0))))=FALSE,
IF(WEEKDAY(ROW(INDIRECT(DATE(YEAR(B1438),MONTH(B1438),1)&amp;":"&amp;DATE(YEAR(B1438),MONTH(B1438)+1,0))),2)&lt;=5,1,IF(WEEKDAY(ROW(INDIRECT(DATE(YEAR(B1438),MONTH(B1438),1)&amp;":"&amp;DATE(YEAR(B1438),MONTH(B1438)+1,0))),2)=6,0.5,0)),0))</f>
        <v>24</v>
      </c>
      <c r="K1438" s="22" cm="1">
        <f t="array" ref="K1438">_xlfn.XLOOKUP(1,((Metas_Diarias[[#This Row],[tipo_equipe_id]]=Metas[equipe])*(Metas_Diarias[[#This Row],[data]]&gt;Metas[data_inicio])*(Metas_Diarias[[#This Row],[data]]&lt;Metas[data_fim])),Metas[meta_mensal],0)</f>
        <v>168000</v>
      </c>
      <c r="L1438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39" spans="2:12" x14ac:dyDescent="0.3">
      <c r="B1439" s="34">
        <v>46360</v>
      </c>
      <c r="C1439" s="34" t="str">
        <f>TEXT(Metas_Diarias[[#This Row],[data]],"dddd")</f>
        <v>sexta-feira</v>
      </c>
      <c r="D1439" s="33">
        <v>1</v>
      </c>
      <c r="E1439" s="33">
        <v>1</v>
      </c>
      <c r="F1439" s="18"/>
      <c r="G1439" s="35">
        <f>WEEKDAY(Metas_Diarias[[#This Row],[data]])</f>
        <v>6</v>
      </c>
      <c r="H1439" s="35">
        <f>IF(Metas_Diarias[[#This Row],[dias_da_demana]]=1,"domingo",IF(Metas_Diarias[[#This Row],[dias_da_demana]]=7,0.5,1))</f>
        <v>1</v>
      </c>
      <c r="I1439" s="35">
        <f>_xlfn.XLOOKUP(Metas_Diarias[[#This Row],[data]],Feriados[Data],Feriados[Feriado],1)</f>
        <v>1</v>
      </c>
      <c r="J1439" s="33" cm="1">
        <f t="array" aca="1" ref="J1439" ca="1">SUMPRODUCT(IF((NOT(ISERROR(MATCH(ROW(INDIRECT(DATE(YEAR(B1439),MONTH(B1439),1)&amp;":"&amp;DATE(YEAR(B1439),MONTH(B1439)+1,0))),Feriados[Data],0))))=FALSE,
IF(WEEKDAY(ROW(INDIRECT(DATE(YEAR(B1439),MONTH(B1439),1)&amp;":"&amp;DATE(YEAR(B1439),MONTH(B1439)+1,0))),2)&lt;=5,1,IF(WEEKDAY(ROW(INDIRECT(DATE(YEAR(B1439),MONTH(B1439),1)&amp;":"&amp;DATE(YEAR(B1439),MONTH(B1439)+1,0))),2)=6,0.5,0)),0))</f>
        <v>24</v>
      </c>
      <c r="K1439" s="22" cm="1">
        <f t="array" ref="K1439">_xlfn.XLOOKUP(1,((Metas_Diarias[[#This Row],[tipo_equipe_id]]=Metas[equipe])*(Metas_Diarias[[#This Row],[data]]&gt;Metas[data_inicio])*(Metas_Diarias[[#This Row],[data]]&lt;Metas[data_fim])),Metas[meta_mensal],0)</f>
        <v>168000</v>
      </c>
      <c r="L1439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40" spans="2:12" x14ac:dyDescent="0.3">
      <c r="B1440" s="34">
        <v>46361</v>
      </c>
      <c r="C1440" s="34" t="str">
        <f>TEXT(Metas_Diarias[[#This Row],[data]],"dddd")</f>
        <v>sábado</v>
      </c>
      <c r="D1440" s="33">
        <v>1</v>
      </c>
      <c r="E1440" s="33">
        <v>1</v>
      </c>
      <c r="F1440" s="18"/>
      <c r="G1440" s="35">
        <f>WEEKDAY(Metas_Diarias[[#This Row],[data]])</f>
        <v>7</v>
      </c>
      <c r="H1440" s="35">
        <f>IF(Metas_Diarias[[#This Row],[dias_da_demana]]=1,"domingo",IF(Metas_Diarias[[#This Row],[dias_da_demana]]=7,0.5,1))</f>
        <v>0.5</v>
      </c>
      <c r="I1440" s="35">
        <f>_xlfn.XLOOKUP(Metas_Diarias[[#This Row],[data]],Feriados[Data],Feriados[Feriado],1)</f>
        <v>1</v>
      </c>
      <c r="J1440" s="33" cm="1">
        <f t="array" aca="1" ref="J1440" ca="1">SUMPRODUCT(IF((NOT(ISERROR(MATCH(ROW(INDIRECT(DATE(YEAR(B1440),MONTH(B1440),1)&amp;":"&amp;DATE(YEAR(B1440),MONTH(B1440)+1,0))),Feriados[Data],0))))=FALSE,
IF(WEEKDAY(ROW(INDIRECT(DATE(YEAR(B1440),MONTH(B1440),1)&amp;":"&amp;DATE(YEAR(B1440),MONTH(B1440)+1,0))),2)&lt;=5,1,IF(WEEKDAY(ROW(INDIRECT(DATE(YEAR(B1440),MONTH(B1440),1)&amp;":"&amp;DATE(YEAR(B1440),MONTH(B1440)+1,0))),2)=6,0.5,0)),0))</f>
        <v>24</v>
      </c>
      <c r="K1440" s="22" cm="1">
        <f t="array" ref="K1440">_xlfn.XLOOKUP(1,((Metas_Diarias[[#This Row],[tipo_equipe_id]]=Metas[equipe])*(Metas_Diarias[[#This Row],[data]]&gt;Metas[data_inicio])*(Metas_Diarias[[#This Row],[data]]&lt;Metas[data_fim])),Metas[meta_mensal],0)</f>
        <v>168000</v>
      </c>
      <c r="L1440" s="24">
        <f ca="1">Metas_Diarias[[#This Row],[meta_mensal]]*IF(Metas_Diarias[[#This Row],[semana]]="domingo",0,Metas_Diarias[[#This Row],[semana]])*IF(Metas_Diarias[[#This Row],[feriado]]&lt;&gt;1,0,1)/Metas_Diarias[[#This Row],[dias_úteis_Mês]]</f>
        <v>3500</v>
      </c>
    </row>
    <row r="1441" spans="2:12" x14ac:dyDescent="0.3">
      <c r="B1441" s="34">
        <v>46362</v>
      </c>
      <c r="C1441" s="34" t="str">
        <f>TEXT(Metas_Diarias[[#This Row],[data]],"dddd")</f>
        <v>domingo</v>
      </c>
      <c r="D1441" s="33">
        <v>1</v>
      </c>
      <c r="E1441" s="33">
        <v>1</v>
      </c>
      <c r="F1441" s="18"/>
      <c r="G1441" s="35">
        <f>WEEKDAY(Metas_Diarias[[#This Row],[data]])</f>
        <v>1</v>
      </c>
      <c r="H1441" s="35" t="str">
        <f>IF(Metas_Diarias[[#This Row],[dias_da_demana]]=1,"domingo",IF(Metas_Diarias[[#This Row],[dias_da_demana]]=7,0.5,1))</f>
        <v>domingo</v>
      </c>
      <c r="I1441" s="35">
        <f>_xlfn.XLOOKUP(Metas_Diarias[[#This Row],[data]],Feriados[Data],Feriados[Feriado],1)</f>
        <v>1</v>
      </c>
      <c r="J1441" s="33" cm="1">
        <f t="array" aca="1" ref="J1441" ca="1">SUMPRODUCT(IF((NOT(ISERROR(MATCH(ROW(INDIRECT(DATE(YEAR(B1441),MONTH(B1441),1)&amp;":"&amp;DATE(YEAR(B1441),MONTH(B1441)+1,0))),Feriados[Data],0))))=FALSE,
IF(WEEKDAY(ROW(INDIRECT(DATE(YEAR(B1441),MONTH(B1441),1)&amp;":"&amp;DATE(YEAR(B1441),MONTH(B1441)+1,0))),2)&lt;=5,1,IF(WEEKDAY(ROW(INDIRECT(DATE(YEAR(B1441),MONTH(B1441),1)&amp;":"&amp;DATE(YEAR(B1441),MONTH(B1441)+1,0))),2)=6,0.5,0)),0))</f>
        <v>24</v>
      </c>
      <c r="K1441" s="22" cm="1">
        <f t="array" ref="K1441">_xlfn.XLOOKUP(1,((Metas_Diarias[[#This Row],[tipo_equipe_id]]=Metas[equipe])*(Metas_Diarias[[#This Row],[data]]&gt;Metas[data_inicio])*(Metas_Diarias[[#This Row],[data]]&lt;Metas[data_fim])),Metas[meta_mensal],0)</f>
        <v>168000</v>
      </c>
      <c r="L144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42" spans="2:12" x14ac:dyDescent="0.3">
      <c r="B1442" s="34">
        <v>46363</v>
      </c>
      <c r="C1442" s="34" t="str">
        <f>TEXT(Metas_Diarias[[#This Row],[data]],"dddd")</f>
        <v>segunda-feira</v>
      </c>
      <c r="D1442" s="33">
        <v>1</v>
      </c>
      <c r="E1442" s="33">
        <v>1</v>
      </c>
      <c r="F1442" s="18"/>
      <c r="G1442" s="35">
        <f>WEEKDAY(Metas_Diarias[[#This Row],[data]])</f>
        <v>2</v>
      </c>
      <c r="H1442" s="35">
        <f>IF(Metas_Diarias[[#This Row],[dias_da_demana]]=1,"domingo",IF(Metas_Diarias[[#This Row],[dias_da_demana]]=7,0.5,1))</f>
        <v>1</v>
      </c>
      <c r="I1442" s="35">
        <f>_xlfn.XLOOKUP(Metas_Diarias[[#This Row],[data]],Feriados[Data],Feriados[Feriado],1)</f>
        <v>1</v>
      </c>
      <c r="J1442" s="33" cm="1">
        <f t="array" aca="1" ref="J1442" ca="1">SUMPRODUCT(IF((NOT(ISERROR(MATCH(ROW(INDIRECT(DATE(YEAR(B1442),MONTH(B1442),1)&amp;":"&amp;DATE(YEAR(B1442),MONTH(B1442)+1,0))),Feriados[Data],0))))=FALSE,
IF(WEEKDAY(ROW(INDIRECT(DATE(YEAR(B1442),MONTH(B1442),1)&amp;":"&amp;DATE(YEAR(B1442),MONTH(B1442)+1,0))),2)&lt;=5,1,IF(WEEKDAY(ROW(INDIRECT(DATE(YEAR(B1442),MONTH(B1442),1)&amp;":"&amp;DATE(YEAR(B1442),MONTH(B1442)+1,0))),2)=6,0.5,0)),0))</f>
        <v>24</v>
      </c>
      <c r="K1442" s="22" cm="1">
        <f t="array" ref="K1442">_xlfn.XLOOKUP(1,((Metas_Diarias[[#This Row],[tipo_equipe_id]]=Metas[equipe])*(Metas_Diarias[[#This Row],[data]]&gt;Metas[data_inicio])*(Metas_Diarias[[#This Row],[data]]&lt;Metas[data_fim])),Metas[meta_mensal],0)</f>
        <v>168000</v>
      </c>
      <c r="L1442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43" spans="2:12" x14ac:dyDescent="0.3">
      <c r="B1443" s="34">
        <v>46364</v>
      </c>
      <c r="C1443" s="34" t="str">
        <f>TEXT(Metas_Diarias[[#This Row],[data]],"dddd")</f>
        <v>terça-feira</v>
      </c>
      <c r="D1443" s="33">
        <v>1</v>
      </c>
      <c r="E1443" s="33">
        <v>1</v>
      </c>
      <c r="F1443" s="18"/>
      <c r="G1443" s="35">
        <f>WEEKDAY(Metas_Diarias[[#This Row],[data]])</f>
        <v>3</v>
      </c>
      <c r="H1443" s="35">
        <f>IF(Metas_Diarias[[#This Row],[dias_da_demana]]=1,"domingo",IF(Metas_Diarias[[#This Row],[dias_da_demana]]=7,0.5,1))</f>
        <v>1</v>
      </c>
      <c r="I1443" s="35">
        <f>_xlfn.XLOOKUP(Metas_Diarias[[#This Row],[data]],Feriados[Data],Feriados[Feriado],1)</f>
        <v>1</v>
      </c>
      <c r="J1443" s="33" cm="1">
        <f t="array" aca="1" ref="J1443" ca="1">SUMPRODUCT(IF((NOT(ISERROR(MATCH(ROW(INDIRECT(DATE(YEAR(B1443),MONTH(B1443),1)&amp;":"&amp;DATE(YEAR(B1443),MONTH(B1443)+1,0))),Feriados[Data],0))))=FALSE,
IF(WEEKDAY(ROW(INDIRECT(DATE(YEAR(B1443),MONTH(B1443),1)&amp;":"&amp;DATE(YEAR(B1443),MONTH(B1443)+1,0))),2)&lt;=5,1,IF(WEEKDAY(ROW(INDIRECT(DATE(YEAR(B1443),MONTH(B1443),1)&amp;":"&amp;DATE(YEAR(B1443),MONTH(B1443)+1,0))),2)=6,0.5,0)),0))</f>
        <v>24</v>
      </c>
      <c r="K1443" s="22" cm="1">
        <f t="array" ref="K1443">_xlfn.XLOOKUP(1,((Metas_Diarias[[#This Row],[tipo_equipe_id]]=Metas[equipe])*(Metas_Diarias[[#This Row],[data]]&gt;Metas[data_inicio])*(Metas_Diarias[[#This Row],[data]]&lt;Metas[data_fim])),Metas[meta_mensal],0)</f>
        <v>168000</v>
      </c>
      <c r="L1443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44" spans="2:12" x14ac:dyDescent="0.3">
      <c r="B1444" s="34">
        <v>46365</v>
      </c>
      <c r="C1444" s="34" t="str">
        <f>TEXT(Metas_Diarias[[#This Row],[data]],"dddd")</f>
        <v>quarta-feira</v>
      </c>
      <c r="D1444" s="33">
        <v>1</v>
      </c>
      <c r="E1444" s="33">
        <v>1</v>
      </c>
      <c r="F1444" s="18"/>
      <c r="G1444" s="35">
        <f>WEEKDAY(Metas_Diarias[[#This Row],[data]])</f>
        <v>4</v>
      </c>
      <c r="H1444" s="35">
        <f>IF(Metas_Diarias[[#This Row],[dias_da_demana]]=1,"domingo",IF(Metas_Diarias[[#This Row],[dias_da_demana]]=7,0.5,1))</f>
        <v>1</v>
      </c>
      <c r="I1444" s="35">
        <f>_xlfn.XLOOKUP(Metas_Diarias[[#This Row],[data]],Feriados[Data],Feriados[Feriado],1)</f>
        <v>1</v>
      </c>
      <c r="J1444" s="33" cm="1">
        <f t="array" aca="1" ref="J1444" ca="1">SUMPRODUCT(IF((NOT(ISERROR(MATCH(ROW(INDIRECT(DATE(YEAR(B1444),MONTH(B1444),1)&amp;":"&amp;DATE(YEAR(B1444),MONTH(B1444)+1,0))),Feriados[Data],0))))=FALSE,
IF(WEEKDAY(ROW(INDIRECT(DATE(YEAR(B1444),MONTH(B1444),1)&amp;":"&amp;DATE(YEAR(B1444),MONTH(B1444)+1,0))),2)&lt;=5,1,IF(WEEKDAY(ROW(INDIRECT(DATE(YEAR(B1444),MONTH(B1444),1)&amp;":"&amp;DATE(YEAR(B1444),MONTH(B1444)+1,0))),2)=6,0.5,0)),0))</f>
        <v>24</v>
      </c>
      <c r="K1444" s="22" cm="1">
        <f t="array" ref="K1444">_xlfn.XLOOKUP(1,((Metas_Diarias[[#This Row],[tipo_equipe_id]]=Metas[equipe])*(Metas_Diarias[[#This Row],[data]]&gt;Metas[data_inicio])*(Metas_Diarias[[#This Row],[data]]&lt;Metas[data_fim])),Metas[meta_mensal],0)</f>
        <v>168000</v>
      </c>
      <c r="L1444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45" spans="2:12" x14ac:dyDescent="0.3">
      <c r="B1445" s="34">
        <v>46366</v>
      </c>
      <c r="C1445" s="34" t="str">
        <f>TEXT(Metas_Diarias[[#This Row],[data]],"dddd")</f>
        <v>quinta-feira</v>
      </c>
      <c r="D1445" s="33">
        <v>1</v>
      </c>
      <c r="E1445" s="33">
        <v>1</v>
      </c>
      <c r="F1445" s="18"/>
      <c r="G1445" s="35">
        <f>WEEKDAY(Metas_Diarias[[#This Row],[data]])</f>
        <v>5</v>
      </c>
      <c r="H1445" s="35">
        <f>IF(Metas_Diarias[[#This Row],[dias_da_demana]]=1,"domingo",IF(Metas_Diarias[[#This Row],[dias_da_demana]]=7,0.5,1))</f>
        <v>1</v>
      </c>
      <c r="I1445" s="35">
        <f>_xlfn.XLOOKUP(Metas_Diarias[[#This Row],[data]],Feriados[Data],Feriados[Feriado],1)</f>
        <v>1</v>
      </c>
      <c r="J1445" s="33" cm="1">
        <f t="array" aca="1" ref="J1445" ca="1">SUMPRODUCT(IF((NOT(ISERROR(MATCH(ROW(INDIRECT(DATE(YEAR(B1445),MONTH(B1445),1)&amp;":"&amp;DATE(YEAR(B1445),MONTH(B1445)+1,0))),Feriados[Data],0))))=FALSE,
IF(WEEKDAY(ROW(INDIRECT(DATE(YEAR(B1445),MONTH(B1445),1)&amp;":"&amp;DATE(YEAR(B1445),MONTH(B1445)+1,0))),2)&lt;=5,1,IF(WEEKDAY(ROW(INDIRECT(DATE(YEAR(B1445),MONTH(B1445),1)&amp;":"&amp;DATE(YEAR(B1445),MONTH(B1445)+1,0))),2)=6,0.5,0)),0))</f>
        <v>24</v>
      </c>
      <c r="K1445" s="22" cm="1">
        <f t="array" ref="K1445">_xlfn.XLOOKUP(1,((Metas_Diarias[[#This Row],[tipo_equipe_id]]=Metas[equipe])*(Metas_Diarias[[#This Row],[data]]&gt;Metas[data_inicio])*(Metas_Diarias[[#This Row],[data]]&lt;Metas[data_fim])),Metas[meta_mensal],0)</f>
        <v>168000</v>
      </c>
      <c r="L1445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46" spans="2:12" x14ac:dyDescent="0.3">
      <c r="B1446" s="34">
        <v>46367</v>
      </c>
      <c r="C1446" s="34" t="str">
        <f>TEXT(Metas_Diarias[[#This Row],[data]],"dddd")</f>
        <v>sexta-feira</v>
      </c>
      <c r="D1446" s="33">
        <v>1</v>
      </c>
      <c r="E1446" s="33">
        <v>1</v>
      </c>
      <c r="F1446" s="18"/>
      <c r="G1446" s="35">
        <f>WEEKDAY(Metas_Diarias[[#This Row],[data]])</f>
        <v>6</v>
      </c>
      <c r="H1446" s="35">
        <f>IF(Metas_Diarias[[#This Row],[dias_da_demana]]=1,"domingo",IF(Metas_Diarias[[#This Row],[dias_da_demana]]=7,0.5,1))</f>
        <v>1</v>
      </c>
      <c r="I1446" s="35">
        <f>_xlfn.XLOOKUP(Metas_Diarias[[#This Row],[data]],Feriados[Data],Feriados[Feriado],1)</f>
        <v>1</v>
      </c>
      <c r="J1446" s="33" cm="1">
        <f t="array" aca="1" ref="J1446" ca="1">SUMPRODUCT(IF((NOT(ISERROR(MATCH(ROW(INDIRECT(DATE(YEAR(B1446),MONTH(B1446),1)&amp;":"&amp;DATE(YEAR(B1446),MONTH(B1446)+1,0))),Feriados[Data],0))))=FALSE,
IF(WEEKDAY(ROW(INDIRECT(DATE(YEAR(B1446),MONTH(B1446),1)&amp;":"&amp;DATE(YEAR(B1446),MONTH(B1446)+1,0))),2)&lt;=5,1,IF(WEEKDAY(ROW(INDIRECT(DATE(YEAR(B1446),MONTH(B1446),1)&amp;":"&amp;DATE(YEAR(B1446),MONTH(B1446)+1,0))),2)=6,0.5,0)),0))</f>
        <v>24</v>
      </c>
      <c r="K1446" s="22" cm="1">
        <f t="array" ref="K1446">_xlfn.XLOOKUP(1,((Metas_Diarias[[#This Row],[tipo_equipe_id]]=Metas[equipe])*(Metas_Diarias[[#This Row],[data]]&gt;Metas[data_inicio])*(Metas_Diarias[[#This Row],[data]]&lt;Metas[data_fim])),Metas[meta_mensal],0)</f>
        <v>168000</v>
      </c>
      <c r="L1446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47" spans="2:12" x14ac:dyDescent="0.3">
      <c r="B1447" s="34">
        <v>46368</v>
      </c>
      <c r="C1447" s="34" t="str">
        <f>TEXT(Metas_Diarias[[#This Row],[data]],"dddd")</f>
        <v>sábado</v>
      </c>
      <c r="D1447" s="33">
        <v>1</v>
      </c>
      <c r="E1447" s="33">
        <v>1</v>
      </c>
      <c r="F1447" s="18"/>
      <c r="G1447" s="35">
        <f>WEEKDAY(Metas_Diarias[[#This Row],[data]])</f>
        <v>7</v>
      </c>
      <c r="H1447" s="35">
        <f>IF(Metas_Diarias[[#This Row],[dias_da_demana]]=1,"domingo",IF(Metas_Diarias[[#This Row],[dias_da_demana]]=7,0.5,1))</f>
        <v>0.5</v>
      </c>
      <c r="I1447" s="35">
        <f>_xlfn.XLOOKUP(Metas_Diarias[[#This Row],[data]],Feriados[Data],Feriados[Feriado],1)</f>
        <v>1</v>
      </c>
      <c r="J1447" s="33" cm="1">
        <f t="array" aca="1" ref="J1447" ca="1">SUMPRODUCT(IF((NOT(ISERROR(MATCH(ROW(INDIRECT(DATE(YEAR(B1447),MONTH(B1447),1)&amp;":"&amp;DATE(YEAR(B1447),MONTH(B1447)+1,0))),Feriados[Data],0))))=FALSE,
IF(WEEKDAY(ROW(INDIRECT(DATE(YEAR(B1447),MONTH(B1447),1)&amp;":"&amp;DATE(YEAR(B1447),MONTH(B1447)+1,0))),2)&lt;=5,1,IF(WEEKDAY(ROW(INDIRECT(DATE(YEAR(B1447),MONTH(B1447),1)&amp;":"&amp;DATE(YEAR(B1447),MONTH(B1447)+1,0))),2)=6,0.5,0)),0))</f>
        <v>24</v>
      </c>
      <c r="K1447" s="22" cm="1">
        <f t="array" ref="K1447">_xlfn.XLOOKUP(1,((Metas_Diarias[[#This Row],[tipo_equipe_id]]=Metas[equipe])*(Metas_Diarias[[#This Row],[data]]&gt;Metas[data_inicio])*(Metas_Diarias[[#This Row],[data]]&lt;Metas[data_fim])),Metas[meta_mensal],0)</f>
        <v>168000</v>
      </c>
      <c r="L1447" s="24">
        <f ca="1">Metas_Diarias[[#This Row],[meta_mensal]]*IF(Metas_Diarias[[#This Row],[semana]]="domingo",0,Metas_Diarias[[#This Row],[semana]])*IF(Metas_Diarias[[#This Row],[feriado]]&lt;&gt;1,0,1)/Metas_Diarias[[#This Row],[dias_úteis_Mês]]</f>
        <v>3500</v>
      </c>
    </row>
    <row r="1448" spans="2:12" x14ac:dyDescent="0.3">
      <c r="B1448" s="34">
        <v>46369</v>
      </c>
      <c r="C1448" s="34" t="str">
        <f>TEXT(Metas_Diarias[[#This Row],[data]],"dddd")</f>
        <v>domingo</v>
      </c>
      <c r="D1448" s="33">
        <v>1</v>
      </c>
      <c r="E1448" s="33">
        <v>1</v>
      </c>
      <c r="F1448" s="18"/>
      <c r="G1448" s="35">
        <f>WEEKDAY(Metas_Diarias[[#This Row],[data]])</f>
        <v>1</v>
      </c>
      <c r="H1448" s="35" t="str">
        <f>IF(Metas_Diarias[[#This Row],[dias_da_demana]]=1,"domingo",IF(Metas_Diarias[[#This Row],[dias_da_demana]]=7,0.5,1))</f>
        <v>domingo</v>
      </c>
      <c r="I1448" s="35">
        <f>_xlfn.XLOOKUP(Metas_Diarias[[#This Row],[data]],Feriados[Data],Feriados[Feriado],1)</f>
        <v>1</v>
      </c>
      <c r="J1448" s="33" cm="1">
        <f t="array" aca="1" ref="J1448" ca="1">SUMPRODUCT(IF((NOT(ISERROR(MATCH(ROW(INDIRECT(DATE(YEAR(B1448),MONTH(B1448),1)&amp;":"&amp;DATE(YEAR(B1448),MONTH(B1448)+1,0))),Feriados[Data],0))))=FALSE,
IF(WEEKDAY(ROW(INDIRECT(DATE(YEAR(B1448),MONTH(B1448),1)&amp;":"&amp;DATE(YEAR(B1448),MONTH(B1448)+1,0))),2)&lt;=5,1,IF(WEEKDAY(ROW(INDIRECT(DATE(YEAR(B1448),MONTH(B1448),1)&amp;":"&amp;DATE(YEAR(B1448),MONTH(B1448)+1,0))),2)=6,0.5,0)),0))</f>
        <v>24</v>
      </c>
      <c r="K1448" s="22" cm="1">
        <f t="array" ref="K1448">_xlfn.XLOOKUP(1,((Metas_Diarias[[#This Row],[tipo_equipe_id]]=Metas[equipe])*(Metas_Diarias[[#This Row],[data]]&gt;Metas[data_inicio])*(Metas_Diarias[[#This Row],[data]]&lt;Metas[data_fim])),Metas[meta_mensal],0)</f>
        <v>168000</v>
      </c>
      <c r="L144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49" spans="2:12" x14ac:dyDescent="0.3">
      <c r="B1449" s="34">
        <v>46370</v>
      </c>
      <c r="C1449" s="34" t="str">
        <f>TEXT(Metas_Diarias[[#This Row],[data]],"dddd")</f>
        <v>segunda-feira</v>
      </c>
      <c r="D1449" s="33">
        <v>1</v>
      </c>
      <c r="E1449" s="33">
        <v>1</v>
      </c>
      <c r="F1449" s="18"/>
      <c r="G1449" s="35">
        <f>WEEKDAY(Metas_Diarias[[#This Row],[data]])</f>
        <v>2</v>
      </c>
      <c r="H1449" s="35">
        <f>IF(Metas_Diarias[[#This Row],[dias_da_demana]]=1,"domingo",IF(Metas_Diarias[[#This Row],[dias_da_demana]]=7,0.5,1))</f>
        <v>1</v>
      </c>
      <c r="I1449" s="35">
        <f>_xlfn.XLOOKUP(Metas_Diarias[[#This Row],[data]],Feriados[Data],Feriados[Feriado],1)</f>
        <v>1</v>
      </c>
      <c r="J1449" s="33" cm="1">
        <f t="array" aca="1" ref="J1449" ca="1">SUMPRODUCT(IF((NOT(ISERROR(MATCH(ROW(INDIRECT(DATE(YEAR(B1449),MONTH(B1449),1)&amp;":"&amp;DATE(YEAR(B1449),MONTH(B1449)+1,0))),Feriados[Data],0))))=FALSE,
IF(WEEKDAY(ROW(INDIRECT(DATE(YEAR(B1449),MONTH(B1449),1)&amp;":"&amp;DATE(YEAR(B1449),MONTH(B1449)+1,0))),2)&lt;=5,1,IF(WEEKDAY(ROW(INDIRECT(DATE(YEAR(B1449),MONTH(B1449),1)&amp;":"&amp;DATE(YEAR(B1449),MONTH(B1449)+1,0))),2)=6,0.5,0)),0))</f>
        <v>24</v>
      </c>
      <c r="K1449" s="22" cm="1">
        <f t="array" ref="K1449">_xlfn.XLOOKUP(1,((Metas_Diarias[[#This Row],[tipo_equipe_id]]=Metas[equipe])*(Metas_Diarias[[#This Row],[data]]&gt;Metas[data_inicio])*(Metas_Diarias[[#This Row],[data]]&lt;Metas[data_fim])),Metas[meta_mensal],0)</f>
        <v>168000</v>
      </c>
      <c r="L1449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50" spans="2:12" x14ac:dyDescent="0.3">
      <c r="B1450" s="34">
        <v>46371</v>
      </c>
      <c r="C1450" s="34" t="str">
        <f>TEXT(Metas_Diarias[[#This Row],[data]],"dddd")</f>
        <v>terça-feira</v>
      </c>
      <c r="D1450" s="33">
        <v>1</v>
      </c>
      <c r="E1450" s="33">
        <v>1</v>
      </c>
      <c r="F1450" s="18"/>
      <c r="G1450" s="35">
        <f>WEEKDAY(Metas_Diarias[[#This Row],[data]])</f>
        <v>3</v>
      </c>
      <c r="H1450" s="35">
        <f>IF(Metas_Diarias[[#This Row],[dias_da_demana]]=1,"domingo",IF(Metas_Diarias[[#This Row],[dias_da_demana]]=7,0.5,1))</f>
        <v>1</v>
      </c>
      <c r="I1450" s="35">
        <f>_xlfn.XLOOKUP(Metas_Diarias[[#This Row],[data]],Feriados[Data],Feriados[Feriado],1)</f>
        <v>1</v>
      </c>
      <c r="J1450" s="33" cm="1">
        <f t="array" aca="1" ref="J1450" ca="1">SUMPRODUCT(IF((NOT(ISERROR(MATCH(ROW(INDIRECT(DATE(YEAR(B1450),MONTH(B1450),1)&amp;":"&amp;DATE(YEAR(B1450),MONTH(B1450)+1,0))),Feriados[Data],0))))=FALSE,
IF(WEEKDAY(ROW(INDIRECT(DATE(YEAR(B1450),MONTH(B1450),1)&amp;":"&amp;DATE(YEAR(B1450),MONTH(B1450)+1,0))),2)&lt;=5,1,IF(WEEKDAY(ROW(INDIRECT(DATE(YEAR(B1450),MONTH(B1450),1)&amp;":"&amp;DATE(YEAR(B1450),MONTH(B1450)+1,0))),2)=6,0.5,0)),0))</f>
        <v>24</v>
      </c>
      <c r="K1450" s="22" cm="1">
        <f t="array" ref="K1450">_xlfn.XLOOKUP(1,((Metas_Diarias[[#This Row],[tipo_equipe_id]]=Metas[equipe])*(Metas_Diarias[[#This Row],[data]]&gt;Metas[data_inicio])*(Metas_Diarias[[#This Row],[data]]&lt;Metas[data_fim])),Metas[meta_mensal],0)</f>
        <v>168000</v>
      </c>
      <c r="L1450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51" spans="2:12" x14ac:dyDescent="0.3">
      <c r="B1451" s="34">
        <v>46372</v>
      </c>
      <c r="C1451" s="34" t="str">
        <f>TEXT(Metas_Diarias[[#This Row],[data]],"dddd")</f>
        <v>quarta-feira</v>
      </c>
      <c r="D1451" s="33">
        <v>1</v>
      </c>
      <c r="E1451" s="33">
        <v>1</v>
      </c>
      <c r="F1451" s="18"/>
      <c r="G1451" s="35">
        <f>WEEKDAY(Metas_Diarias[[#This Row],[data]])</f>
        <v>4</v>
      </c>
      <c r="H1451" s="35">
        <f>IF(Metas_Diarias[[#This Row],[dias_da_demana]]=1,"domingo",IF(Metas_Diarias[[#This Row],[dias_da_demana]]=7,0.5,1))</f>
        <v>1</v>
      </c>
      <c r="I1451" s="35">
        <f>_xlfn.XLOOKUP(Metas_Diarias[[#This Row],[data]],Feriados[Data],Feriados[Feriado],1)</f>
        <v>1</v>
      </c>
      <c r="J1451" s="33" cm="1">
        <f t="array" aca="1" ref="J1451" ca="1">SUMPRODUCT(IF((NOT(ISERROR(MATCH(ROW(INDIRECT(DATE(YEAR(B1451),MONTH(B1451),1)&amp;":"&amp;DATE(YEAR(B1451),MONTH(B1451)+1,0))),Feriados[Data],0))))=FALSE,
IF(WEEKDAY(ROW(INDIRECT(DATE(YEAR(B1451),MONTH(B1451),1)&amp;":"&amp;DATE(YEAR(B1451),MONTH(B1451)+1,0))),2)&lt;=5,1,IF(WEEKDAY(ROW(INDIRECT(DATE(YEAR(B1451),MONTH(B1451),1)&amp;":"&amp;DATE(YEAR(B1451),MONTH(B1451)+1,0))),2)=6,0.5,0)),0))</f>
        <v>24</v>
      </c>
      <c r="K1451" s="22" cm="1">
        <f t="array" ref="K1451">_xlfn.XLOOKUP(1,((Metas_Diarias[[#This Row],[tipo_equipe_id]]=Metas[equipe])*(Metas_Diarias[[#This Row],[data]]&gt;Metas[data_inicio])*(Metas_Diarias[[#This Row],[data]]&lt;Metas[data_fim])),Metas[meta_mensal],0)</f>
        <v>168000</v>
      </c>
      <c r="L1451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52" spans="2:12" x14ac:dyDescent="0.3">
      <c r="B1452" s="34">
        <v>46373</v>
      </c>
      <c r="C1452" s="34" t="str">
        <f>TEXT(Metas_Diarias[[#This Row],[data]],"dddd")</f>
        <v>quinta-feira</v>
      </c>
      <c r="D1452" s="33">
        <v>1</v>
      </c>
      <c r="E1452" s="33">
        <v>1</v>
      </c>
      <c r="F1452" s="18"/>
      <c r="G1452" s="35">
        <f>WEEKDAY(Metas_Diarias[[#This Row],[data]])</f>
        <v>5</v>
      </c>
      <c r="H1452" s="35">
        <f>IF(Metas_Diarias[[#This Row],[dias_da_demana]]=1,"domingo",IF(Metas_Diarias[[#This Row],[dias_da_demana]]=7,0.5,1))</f>
        <v>1</v>
      </c>
      <c r="I1452" s="35">
        <f>_xlfn.XLOOKUP(Metas_Diarias[[#This Row],[data]],Feriados[Data],Feriados[Feriado],1)</f>
        <v>1</v>
      </c>
      <c r="J1452" s="33" cm="1">
        <f t="array" aca="1" ref="J1452" ca="1">SUMPRODUCT(IF((NOT(ISERROR(MATCH(ROW(INDIRECT(DATE(YEAR(B1452),MONTH(B1452),1)&amp;":"&amp;DATE(YEAR(B1452),MONTH(B1452)+1,0))),Feriados[Data],0))))=FALSE,
IF(WEEKDAY(ROW(INDIRECT(DATE(YEAR(B1452),MONTH(B1452),1)&amp;":"&amp;DATE(YEAR(B1452),MONTH(B1452)+1,0))),2)&lt;=5,1,IF(WEEKDAY(ROW(INDIRECT(DATE(YEAR(B1452),MONTH(B1452),1)&amp;":"&amp;DATE(YEAR(B1452),MONTH(B1452)+1,0))),2)=6,0.5,0)),0))</f>
        <v>24</v>
      </c>
      <c r="K1452" s="22" cm="1">
        <f t="array" ref="K1452">_xlfn.XLOOKUP(1,((Metas_Diarias[[#This Row],[tipo_equipe_id]]=Metas[equipe])*(Metas_Diarias[[#This Row],[data]]&gt;Metas[data_inicio])*(Metas_Diarias[[#This Row],[data]]&lt;Metas[data_fim])),Metas[meta_mensal],0)</f>
        <v>168000</v>
      </c>
      <c r="L1452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53" spans="2:12" x14ac:dyDescent="0.3">
      <c r="B1453" s="34">
        <v>46374</v>
      </c>
      <c r="C1453" s="34" t="str">
        <f>TEXT(Metas_Diarias[[#This Row],[data]],"dddd")</f>
        <v>sexta-feira</v>
      </c>
      <c r="D1453" s="33">
        <v>1</v>
      </c>
      <c r="E1453" s="33">
        <v>1</v>
      </c>
      <c r="F1453" s="18"/>
      <c r="G1453" s="35">
        <f>WEEKDAY(Metas_Diarias[[#This Row],[data]])</f>
        <v>6</v>
      </c>
      <c r="H1453" s="35">
        <f>IF(Metas_Diarias[[#This Row],[dias_da_demana]]=1,"domingo",IF(Metas_Diarias[[#This Row],[dias_da_demana]]=7,0.5,1))</f>
        <v>1</v>
      </c>
      <c r="I1453" s="35">
        <f>_xlfn.XLOOKUP(Metas_Diarias[[#This Row],[data]],Feriados[Data],Feriados[Feriado],1)</f>
        <v>1</v>
      </c>
      <c r="J1453" s="33" cm="1">
        <f t="array" aca="1" ref="J1453" ca="1">SUMPRODUCT(IF((NOT(ISERROR(MATCH(ROW(INDIRECT(DATE(YEAR(B1453),MONTH(B1453),1)&amp;":"&amp;DATE(YEAR(B1453),MONTH(B1453)+1,0))),Feriados[Data],0))))=FALSE,
IF(WEEKDAY(ROW(INDIRECT(DATE(YEAR(B1453),MONTH(B1453),1)&amp;":"&amp;DATE(YEAR(B1453),MONTH(B1453)+1,0))),2)&lt;=5,1,IF(WEEKDAY(ROW(INDIRECT(DATE(YEAR(B1453),MONTH(B1453),1)&amp;":"&amp;DATE(YEAR(B1453),MONTH(B1453)+1,0))),2)=6,0.5,0)),0))</f>
        <v>24</v>
      </c>
      <c r="K1453" s="22" cm="1">
        <f t="array" ref="K1453">_xlfn.XLOOKUP(1,((Metas_Diarias[[#This Row],[tipo_equipe_id]]=Metas[equipe])*(Metas_Diarias[[#This Row],[data]]&gt;Metas[data_inicio])*(Metas_Diarias[[#This Row],[data]]&lt;Metas[data_fim])),Metas[meta_mensal],0)</f>
        <v>168000</v>
      </c>
      <c r="L1453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54" spans="2:12" x14ac:dyDescent="0.3">
      <c r="B1454" s="34">
        <v>46375</v>
      </c>
      <c r="C1454" s="34" t="str">
        <f>TEXT(Metas_Diarias[[#This Row],[data]],"dddd")</f>
        <v>sábado</v>
      </c>
      <c r="D1454" s="33">
        <v>1</v>
      </c>
      <c r="E1454" s="33">
        <v>1</v>
      </c>
      <c r="F1454" s="18"/>
      <c r="G1454" s="35">
        <f>WEEKDAY(Metas_Diarias[[#This Row],[data]])</f>
        <v>7</v>
      </c>
      <c r="H1454" s="35">
        <f>IF(Metas_Diarias[[#This Row],[dias_da_demana]]=1,"domingo",IF(Metas_Diarias[[#This Row],[dias_da_demana]]=7,0.5,1))</f>
        <v>0.5</v>
      </c>
      <c r="I1454" s="35">
        <f>_xlfn.XLOOKUP(Metas_Diarias[[#This Row],[data]],Feriados[Data],Feriados[Feriado],1)</f>
        <v>1</v>
      </c>
      <c r="J1454" s="33" cm="1">
        <f t="array" aca="1" ref="J1454" ca="1">SUMPRODUCT(IF((NOT(ISERROR(MATCH(ROW(INDIRECT(DATE(YEAR(B1454),MONTH(B1454),1)&amp;":"&amp;DATE(YEAR(B1454),MONTH(B1454)+1,0))),Feriados[Data],0))))=FALSE,
IF(WEEKDAY(ROW(INDIRECT(DATE(YEAR(B1454),MONTH(B1454),1)&amp;":"&amp;DATE(YEAR(B1454),MONTH(B1454)+1,0))),2)&lt;=5,1,IF(WEEKDAY(ROW(INDIRECT(DATE(YEAR(B1454),MONTH(B1454),1)&amp;":"&amp;DATE(YEAR(B1454),MONTH(B1454)+1,0))),2)=6,0.5,0)),0))</f>
        <v>24</v>
      </c>
      <c r="K1454" s="22" cm="1">
        <f t="array" ref="K1454">_xlfn.XLOOKUP(1,((Metas_Diarias[[#This Row],[tipo_equipe_id]]=Metas[equipe])*(Metas_Diarias[[#This Row],[data]]&gt;Metas[data_inicio])*(Metas_Diarias[[#This Row],[data]]&lt;Metas[data_fim])),Metas[meta_mensal],0)</f>
        <v>168000</v>
      </c>
      <c r="L1454" s="24">
        <f ca="1">Metas_Diarias[[#This Row],[meta_mensal]]*IF(Metas_Diarias[[#This Row],[semana]]="domingo",0,Metas_Diarias[[#This Row],[semana]])*IF(Metas_Diarias[[#This Row],[feriado]]&lt;&gt;1,0,1)/Metas_Diarias[[#This Row],[dias_úteis_Mês]]</f>
        <v>3500</v>
      </c>
    </row>
    <row r="1455" spans="2:12" x14ac:dyDescent="0.3">
      <c r="B1455" s="34">
        <v>46376</v>
      </c>
      <c r="C1455" s="34" t="str">
        <f>TEXT(Metas_Diarias[[#This Row],[data]],"dddd")</f>
        <v>domingo</v>
      </c>
      <c r="D1455" s="33">
        <v>1</v>
      </c>
      <c r="E1455" s="33">
        <v>1</v>
      </c>
      <c r="F1455" s="18"/>
      <c r="G1455" s="35">
        <f>WEEKDAY(Metas_Diarias[[#This Row],[data]])</f>
        <v>1</v>
      </c>
      <c r="H1455" s="35" t="str">
        <f>IF(Metas_Diarias[[#This Row],[dias_da_demana]]=1,"domingo",IF(Metas_Diarias[[#This Row],[dias_da_demana]]=7,0.5,1))</f>
        <v>domingo</v>
      </c>
      <c r="I1455" s="35">
        <f>_xlfn.XLOOKUP(Metas_Diarias[[#This Row],[data]],Feriados[Data],Feriados[Feriado],1)</f>
        <v>1</v>
      </c>
      <c r="J1455" s="33" cm="1">
        <f t="array" aca="1" ref="J1455" ca="1">SUMPRODUCT(IF((NOT(ISERROR(MATCH(ROW(INDIRECT(DATE(YEAR(B1455),MONTH(B1455),1)&amp;":"&amp;DATE(YEAR(B1455),MONTH(B1455)+1,0))),Feriados[Data],0))))=FALSE,
IF(WEEKDAY(ROW(INDIRECT(DATE(YEAR(B1455),MONTH(B1455),1)&amp;":"&amp;DATE(YEAR(B1455),MONTH(B1455)+1,0))),2)&lt;=5,1,IF(WEEKDAY(ROW(INDIRECT(DATE(YEAR(B1455),MONTH(B1455),1)&amp;":"&amp;DATE(YEAR(B1455),MONTH(B1455)+1,0))),2)=6,0.5,0)),0))</f>
        <v>24</v>
      </c>
      <c r="K1455" s="22" cm="1">
        <f t="array" ref="K1455">_xlfn.XLOOKUP(1,((Metas_Diarias[[#This Row],[tipo_equipe_id]]=Metas[equipe])*(Metas_Diarias[[#This Row],[data]]&gt;Metas[data_inicio])*(Metas_Diarias[[#This Row],[data]]&lt;Metas[data_fim])),Metas[meta_mensal],0)</f>
        <v>168000</v>
      </c>
      <c r="L145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56" spans="2:12" x14ac:dyDescent="0.3">
      <c r="B1456" s="34">
        <v>46377</v>
      </c>
      <c r="C1456" s="34" t="str">
        <f>TEXT(Metas_Diarias[[#This Row],[data]],"dddd")</f>
        <v>segunda-feira</v>
      </c>
      <c r="D1456" s="33">
        <v>1</v>
      </c>
      <c r="E1456" s="33">
        <v>1</v>
      </c>
      <c r="F1456" s="18"/>
      <c r="G1456" s="35">
        <f>WEEKDAY(Metas_Diarias[[#This Row],[data]])</f>
        <v>2</v>
      </c>
      <c r="H1456" s="35">
        <f>IF(Metas_Diarias[[#This Row],[dias_da_demana]]=1,"domingo",IF(Metas_Diarias[[#This Row],[dias_da_demana]]=7,0.5,1))</f>
        <v>1</v>
      </c>
      <c r="I1456" s="35">
        <f>_xlfn.XLOOKUP(Metas_Diarias[[#This Row],[data]],Feriados[Data],Feriados[Feriado],1)</f>
        <v>1</v>
      </c>
      <c r="J1456" s="33" cm="1">
        <f t="array" aca="1" ref="J1456" ca="1">SUMPRODUCT(IF((NOT(ISERROR(MATCH(ROW(INDIRECT(DATE(YEAR(B1456),MONTH(B1456),1)&amp;":"&amp;DATE(YEAR(B1456),MONTH(B1456)+1,0))),Feriados[Data],0))))=FALSE,
IF(WEEKDAY(ROW(INDIRECT(DATE(YEAR(B1456),MONTH(B1456),1)&amp;":"&amp;DATE(YEAR(B1456),MONTH(B1456)+1,0))),2)&lt;=5,1,IF(WEEKDAY(ROW(INDIRECT(DATE(YEAR(B1456),MONTH(B1456),1)&amp;":"&amp;DATE(YEAR(B1456),MONTH(B1456)+1,0))),2)=6,0.5,0)),0))</f>
        <v>24</v>
      </c>
      <c r="K1456" s="22" cm="1">
        <f t="array" ref="K1456">_xlfn.XLOOKUP(1,((Metas_Diarias[[#This Row],[tipo_equipe_id]]=Metas[equipe])*(Metas_Diarias[[#This Row],[data]]&gt;Metas[data_inicio])*(Metas_Diarias[[#This Row],[data]]&lt;Metas[data_fim])),Metas[meta_mensal],0)</f>
        <v>168000</v>
      </c>
      <c r="L1456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57" spans="2:12" x14ac:dyDescent="0.3">
      <c r="B1457" s="34">
        <v>46378</v>
      </c>
      <c r="C1457" s="34" t="str">
        <f>TEXT(Metas_Diarias[[#This Row],[data]],"dddd")</f>
        <v>terça-feira</v>
      </c>
      <c r="D1457" s="33">
        <v>1</v>
      </c>
      <c r="E1457" s="33">
        <v>1</v>
      </c>
      <c r="F1457" s="18"/>
      <c r="G1457" s="35">
        <f>WEEKDAY(Metas_Diarias[[#This Row],[data]])</f>
        <v>3</v>
      </c>
      <c r="H1457" s="35">
        <f>IF(Metas_Diarias[[#This Row],[dias_da_demana]]=1,"domingo",IF(Metas_Diarias[[#This Row],[dias_da_demana]]=7,0.5,1))</f>
        <v>1</v>
      </c>
      <c r="I1457" s="35">
        <f>_xlfn.XLOOKUP(Metas_Diarias[[#This Row],[data]],Feriados[Data],Feriados[Feriado],1)</f>
        <v>1</v>
      </c>
      <c r="J1457" s="33" cm="1">
        <f t="array" aca="1" ref="J1457" ca="1">SUMPRODUCT(IF((NOT(ISERROR(MATCH(ROW(INDIRECT(DATE(YEAR(B1457),MONTH(B1457),1)&amp;":"&amp;DATE(YEAR(B1457),MONTH(B1457)+1,0))),Feriados[Data],0))))=FALSE,
IF(WEEKDAY(ROW(INDIRECT(DATE(YEAR(B1457),MONTH(B1457),1)&amp;":"&amp;DATE(YEAR(B1457),MONTH(B1457)+1,0))),2)&lt;=5,1,IF(WEEKDAY(ROW(INDIRECT(DATE(YEAR(B1457),MONTH(B1457),1)&amp;":"&amp;DATE(YEAR(B1457),MONTH(B1457)+1,0))),2)=6,0.5,0)),0))</f>
        <v>24</v>
      </c>
      <c r="K1457" s="22" cm="1">
        <f t="array" ref="K1457">_xlfn.XLOOKUP(1,((Metas_Diarias[[#This Row],[tipo_equipe_id]]=Metas[equipe])*(Metas_Diarias[[#This Row],[data]]&gt;Metas[data_inicio])*(Metas_Diarias[[#This Row],[data]]&lt;Metas[data_fim])),Metas[meta_mensal],0)</f>
        <v>168000</v>
      </c>
      <c r="L1457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58" spans="2:12" x14ac:dyDescent="0.3">
      <c r="B1458" s="34">
        <v>46379</v>
      </c>
      <c r="C1458" s="34" t="str">
        <f>TEXT(Metas_Diarias[[#This Row],[data]],"dddd")</f>
        <v>quarta-feira</v>
      </c>
      <c r="D1458" s="33">
        <v>1</v>
      </c>
      <c r="E1458" s="33">
        <v>1</v>
      </c>
      <c r="F1458" s="18"/>
      <c r="G1458" s="35">
        <f>WEEKDAY(Metas_Diarias[[#This Row],[data]])</f>
        <v>4</v>
      </c>
      <c r="H1458" s="35">
        <f>IF(Metas_Diarias[[#This Row],[dias_da_demana]]=1,"domingo",IF(Metas_Diarias[[#This Row],[dias_da_demana]]=7,0.5,1))</f>
        <v>1</v>
      </c>
      <c r="I1458" s="35">
        <f>_xlfn.XLOOKUP(Metas_Diarias[[#This Row],[data]],Feriados[Data],Feriados[Feriado],1)</f>
        <v>1</v>
      </c>
      <c r="J1458" s="33" cm="1">
        <f t="array" aca="1" ref="J1458" ca="1">SUMPRODUCT(IF((NOT(ISERROR(MATCH(ROW(INDIRECT(DATE(YEAR(B1458),MONTH(B1458),1)&amp;":"&amp;DATE(YEAR(B1458),MONTH(B1458)+1,0))),Feriados[Data],0))))=FALSE,
IF(WEEKDAY(ROW(INDIRECT(DATE(YEAR(B1458),MONTH(B1458),1)&amp;":"&amp;DATE(YEAR(B1458),MONTH(B1458)+1,0))),2)&lt;=5,1,IF(WEEKDAY(ROW(INDIRECT(DATE(YEAR(B1458),MONTH(B1458),1)&amp;":"&amp;DATE(YEAR(B1458),MONTH(B1458)+1,0))),2)=6,0.5,0)),0))</f>
        <v>24</v>
      </c>
      <c r="K1458" s="22" cm="1">
        <f t="array" ref="K1458">_xlfn.XLOOKUP(1,((Metas_Diarias[[#This Row],[tipo_equipe_id]]=Metas[equipe])*(Metas_Diarias[[#This Row],[data]]&gt;Metas[data_inicio])*(Metas_Diarias[[#This Row],[data]]&lt;Metas[data_fim])),Metas[meta_mensal],0)</f>
        <v>168000</v>
      </c>
      <c r="L1458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59" spans="2:12" x14ac:dyDescent="0.3">
      <c r="B1459" s="34">
        <v>46380</v>
      </c>
      <c r="C1459" s="34" t="str">
        <f>TEXT(Metas_Diarias[[#This Row],[data]],"dddd")</f>
        <v>quinta-feira</v>
      </c>
      <c r="D1459" s="33">
        <v>1</v>
      </c>
      <c r="E1459" s="33">
        <v>1</v>
      </c>
      <c r="F1459" s="18"/>
      <c r="G1459" s="35">
        <f>WEEKDAY(Metas_Diarias[[#This Row],[data]])</f>
        <v>5</v>
      </c>
      <c r="H1459" s="35">
        <f>IF(Metas_Diarias[[#This Row],[dias_da_demana]]=1,"domingo",IF(Metas_Diarias[[#This Row],[dias_da_demana]]=7,0.5,1))</f>
        <v>1</v>
      </c>
      <c r="I1459" s="35">
        <f>_xlfn.XLOOKUP(Metas_Diarias[[#This Row],[data]],Feriados[Data],Feriados[Feriado],1)</f>
        <v>1</v>
      </c>
      <c r="J1459" s="33" cm="1">
        <f t="array" aca="1" ref="J1459" ca="1">SUMPRODUCT(IF((NOT(ISERROR(MATCH(ROW(INDIRECT(DATE(YEAR(B1459),MONTH(B1459),1)&amp;":"&amp;DATE(YEAR(B1459),MONTH(B1459)+1,0))),Feriados[Data],0))))=FALSE,
IF(WEEKDAY(ROW(INDIRECT(DATE(YEAR(B1459),MONTH(B1459),1)&amp;":"&amp;DATE(YEAR(B1459),MONTH(B1459)+1,0))),2)&lt;=5,1,IF(WEEKDAY(ROW(INDIRECT(DATE(YEAR(B1459),MONTH(B1459),1)&amp;":"&amp;DATE(YEAR(B1459),MONTH(B1459)+1,0))),2)=6,0.5,0)),0))</f>
        <v>24</v>
      </c>
      <c r="K1459" s="22" cm="1">
        <f t="array" ref="K1459">_xlfn.XLOOKUP(1,((Metas_Diarias[[#This Row],[tipo_equipe_id]]=Metas[equipe])*(Metas_Diarias[[#This Row],[data]]&gt;Metas[data_inicio])*(Metas_Diarias[[#This Row],[data]]&lt;Metas[data_fim])),Metas[meta_mensal],0)</f>
        <v>168000</v>
      </c>
      <c r="L1459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60" spans="2:12" x14ac:dyDescent="0.3">
      <c r="B1460" s="34">
        <v>46381</v>
      </c>
      <c r="C1460" s="34" t="str">
        <f>TEXT(Metas_Diarias[[#This Row],[data]],"dddd")</f>
        <v>sexta-feira</v>
      </c>
      <c r="D1460" s="33">
        <v>1</v>
      </c>
      <c r="E1460" s="33">
        <v>1</v>
      </c>
      <c r="F1460" s="18"/>
      <c r="G1460" s="35">
        <f>WEEKDAY(Metas_Diarias[[#This Row],[data]])</f>
        <v>6</v>
      </c>
      <c r="H1460" s="35">
        <f>IF(Metas_Diarias[[#This Row],[dias_da_demana]]=1,"domingo",IF(Metas_Diarias[[#This Row],[dias_da_demana]]=7,0.5,1))</f>
        <v>1</v>
      </c>
      <c r="I1460" s="35" t="str">
        <f>_xlfn.XLOOKUP(Metas_Diarias[[#This Row],[data]],Feriados[Data],Feriados[Feriado],1)</f>
        <v>Natal</v>
      </c>
      <c r="J1460" s="33" cm="1">
        <f t="array" aca="1" ref="J1460" ca="1">SUMPRODUCT(IF((NOT(ISERROR(MATCH(ROW(INDIRECT(DATE(YEAR(B1460),MONTH(B1460),1)&amp;":"&amp;DATE(YEAR(B1460),MONTH(B1460)+1,0))),Feriados[Data],0))))=FALSE,
IF(WEEKDAY(ROW(INDIRECT(DATE(YEAR(B1460),MONTH(B1460),1)&amp;":"&amp;DATE(YEAR(B1460),MONTH(B1460)+1,0))),2)&lt;=5,1,IF(WEEKDAY(ROW(INDIRECT(DATE(YEAR(B1460),MONTH(B1460),1)&amp;":"&amp;DATE(YEAR(B1460),MONTH(B1460)+1,0))),2)=6,0.5,0)),0))</f>
        <v>24</v>
      </c>
      <c r="K1460" s="22" cm="1">
        <f t="array" ref="K1460">_xlfn.XLOOKUP(1,((Metas_Diarias[[#This Row],[tipo_equipe_id]]=Metas[equipe])*(Metas_Diarias[[#This Row],[data]]&gt;Metas[data_inicio])*(Metas_Diarias[[#This Row],[data]]&lt;Metas[data_fim])),Metas[meta_mensal],0)</f>
        <v>168000</v>
      </c>
      <c r="L146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61" spans="2:12" x14ac:dyDescent="0.3">
      <c r="B1461" s="34">
        <v>46382</v>
      </c>
      <c r="C1461" s="34" t="str">
        <f>TEXT(Metas_Diarias[[#This Row],[data]],"dddd")</f>
        <v>sábado</v>
      </c>
      <c r="D1461" s="33">
        <v>1</v>
      </c>
      <c r="E1461" s="33">
        <v>1</v>
      </c>
      <c r="F1461" s="18"/>
      <c r="G1461" s="35">
        <f>WEEKDAY(Metas_Diarias[[#This Row],[data]])</f>
        <v>7</v>
      </c>
      <c r="H1461" s="35">
        <f>IF(Metas_Diarias[[#This Row],[dias_da_demana]]=1,"domingo",IF(Metas_Diarias[[#This Row],[dias_da_demana]]=7,0.5,1))</f>
        <v>0.5</v>
      </c>
      <c r="I1461" s="35">
        <f>_xlfn.XLOOKUP(Metas_Diarias[[#This Row],[data]],Feriados[Data],Feriados[Feriado],1)</f>
        <v>1</v>
      </c>
      <c r="J1461" s="33" cm="1">
        <f t="array" aca="1" ref="J1461" ca="1">SUMPRODUCT(IF((NOT(ISERROR(MATCH(ROW(INDIRECT(DATE(YEAR(B1461),MONTH(B1461),1)&amp;":"&amp;DATE(YEAR(B1461),MONTH(B1461)+1,0))),Feriados[Data],0))))=FALSE,
IF(WEEKDAY(ROW(INDIRECT(DATE(YEAR(B1461),MONTH(B1461),1)&amp;":"&amp;DATE(YEAR(B1461),MONTH(B1461)+1,0))),2)&lt;=5,1,IF(WEEKDAY(ROW(INDIRECT(DATE(YEAR(B1461),MONTH(B1461),1)&amp;":"&amp;DATE(YEAR(B1461),MONTH(B1461)+1,0))),2)=6,0.5,0)),0))</f>
        <v>24</v>
      </c>
      <c r="K1461" s="22" cm="1">
        <f t="array" ref="K1461">_xlfn.XLOOKUP(1,((Metas_Diarias[[#This Row],[tipo_equipe_id]]=Metas[equipe])*(Metas_Diarias[[#This Row],[data]]&gt;Metas[data_inicio])*(Metas_Diarias[[#This Row],[data]]&lt;Metas[data_fim])),Metas[meta_mensal],0)</f>
        <v>168000</v>
      </c>
      <c r="L1461" s="24">
        <f ca="1">Metas_Diarias[[#This Row],[meta_mensal]]*IF(Metas_Diarias[[#This Row],[semana]]="domingo",0,Metas_Diarias[[#This Row],[semana]])*IF(Metas_Diarias[[#This Row],[feriado]]&lt;&gt;1,0,1)/Metas_Diarias[[#This Row],[dias_úteis_Mês]]</f>
        <v>3500</v>
      </c>
    </row>
    <row r="1462" spans="2:12" x14ac:dyDescent="0.3">
      <c r="B1462" s="34">
        <v>46383</v>
      </c>
      <c r="C1462" s="34" t="str">
        <f>TEXT(Metas_Diarias[[#This Row],[data]],"dddd")</f>
        <v>domingo</v>
      </c>
      <c r="D1462" s="33">
        <v>1</v>
      </c>
      <c r="E1462" s="33">
        <v>1</v>
      </c>
      <c r="F1462" s="18"/>
      <c r="G1462" s="35">
        <f>WEEKDAY(Metas_Diarias[[#This Row],[data]])</f>
        <v>1</v>
      </c>
      <c r="H1462" s="35" t="str">
        <f>IF(Metas_Diarias[[#This Row],[dias_da_demana]]=1,"domingo",IF(Metas_Diarias[[#This Row],[dias_da_demana]]=7,0.5,1))</f>
        <v>domingo</v>
      </c>
      <c r="I1462" s="35">
        <f>_xlfn.XLOOKUP(Metas_Diarias[[#This Row],[data]],Feriados[Data],Feriados[Feriado],1)</f>
        <v>1</v>
      </c>
      <c r="J1462" s="33" cm="1">
        <f t="array" aca="1" ref="J1462" ca="1">SUMPRODUCT(IF((NOT(ISERROR(MATCH(ROW(INDIRECT(DATE(YEAR(B1462),MONTH(B1462),1)&amp;":"&amp;DATE(YEAR(B1462),MONTH(B1462)+1,0))),Feriados[Data],0))))=FALSE,
IF(WEEKDAY(ROW(INDIRECT(DATE(YEAR(B1462),MONTH(B1462),1)&amp;":"&amp;DATE(YEAR(B1462),MONTH(B1462)+1,0))),2)&lt;=5,1,IF(WEEKDAY(ROW(INDIRECT(DATE(YEAR(B1462),MONTH(B1462),1)&amp;":"&amp;DATE(YEAR(B1462),MONTH(B1462)+1,0))),2)=6,0.5,0)),0))</f>
        <v>24</v>
      </c>
      <c r="K1462" s="22" cm="1">
        <f t="array" ref="K1462">_xlfn.XLOOKUP(1,((Metas_Diarias[[#This Row],[tipo_equipe_id]]=Metas[equipe])*(Metas_Diarias[[#This Row],[data]]&gt;Metas[data_inicio])*(Metas_Diarias[[#This Row],[data]]&lt;Metas[data_fim])),Metas[meta_mensal],0)</f>
        <v>168000</v>
      </c>
      <c r="L146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63" spans="2:12" x14ac:dyDescent="0.3">
      <c r="B1463" s="34">
        <v>46384</v>
      </c>
      <c r="C1463" s="34" t="str">
        <f>TEXT(Metas_Diarias[[#This Row],[data]],"dddd")</f>
        <v>segunda-feira</v>
      </c>
      <c r="D1463" s="33">
        <v>1</v>
      </c>
      <c r="E1463" s="33">
        <v>1</v>
      </c>
      <c r="F1463" s="18"/>
      <c r="G1463" s="35">
        <f>WEEKDAY(Metas_Diarias[[#This Row],[data]])</f>
        <v>2</v>
      </c>
      <c r="H1463" s="35">
        <f>IF(Metas_Diarias[[#This Row],[dias_da_demana]]=1,"domingo",IF(Metas_Diarias[[#This Row],[dias_da_demana]]=7,0.5,1))</f>
        <v>1</v>
      </c>
      <c r="I1463" s="35">
        <f>_xlfn.XLOOKUP(Metas_Diarias[[#This Row],[data]],Feriados[Data],Feriados[Feriado],1)</f>
        <v>1</v>
      </c>
      <c r="J1463" s="33" cm="1">
        <f t="array" aca="1" ref="J1463" ca="1">SUMPRODUCT(IF((NOT(ISERROR(MATCH(ROW(INDIRECT(DATE(YEAR(B1463),MONTH(B1463),1)&amp;":"&amp;DATE(YEAR(B1463),MONTH(B1463)+1,0))),Feriados[Data],0))))=FALSE,
IF(WEEKDAY(ROW(INDIRECT(DATE(YEAR(B1463),MONTH(B1463),1)&amp;":"&amp;DATE(YEAR(B1463),MONTH(B1463)+1,0))),2)&lt;=5,1,IF(WEEKDAY(ROW(INDIRECT(DATE(YEAR(B1463),MONTH(B1463),1)&amp;":"&amp;DATE(YEAR(B1463),MONTH(B1463)+1,0))),2)=6,0.5,0)),0))</f>
        <v>24</v>
      </c>
      <c r="K1463" s="22" cm="1">
        <f t="array" ref="K1463">_xlfn.XLOOKUP(1,((Metas_Diarias[[#This Row],[tipo_equipe_id]]=Metas[equipe])*(Metas_Diarias[[#This Row],[data]]&gt;Metas[data_inicio])*(Metas_Diarias[[#This Row],[data]]&lt;Metas[data_fim])),Metas[meta_mensal],0)</f>
        <v>168000</v>
      </c>
      <c r="L1463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64" spans="2:12" x14ac:dyDescent="0.3">
      <c r="B1464" s="34">
        <v>46385</v>
      </c>
      <c r="C1464" s="34" t="str">
        <f>TEXT(Metas_Diarias[[#This Row],[data]],"dddd")</f>
        <v>terça-feira</v>
      </c>
      <c r="D1464" s="33">
        <v>1</v>
      </c>
      <c r="E1464" s="33">
        <v>1</v>
      </c>
      <c r="F1464" s="18"/>
      <c r="G1464" s="35">
        <f>WEEKDAY(Metas_Diarias[[#This Row],[data]])</f>
        <v>3</v>
      </c>
      <c r="H1464" s="35">
        <f>IF(Metas_Diarias[[#This Row],[dias_da_demana]]=1,"domingo",IF(Metas_Diarias[[#This Row],[dias_da_demana]]=7,0.5,1))</f>
        <v>1</v>
      </c>
      <c r="I1464" s="35">
        <f>_xlfn.XLOOKUP(Metas_Diarias[[#This Row],[data]],Feriados[Data],Feriados[Feriado],1)</f>
        <v>1</v>
      </c>
      <c r="J1464" s="33" cm="1">
        <f t="array" aca="1" ref="J1464" ca="1">SUMPRODUCT(IF((NOT(ISERROR(MATCH(ROW(INDIRECT(DATE(YEAR(B1464),MONTH(B1464),1)&amp;":"&amp;DATE(YEAR(B1464),MONTH(B1464)+1,0))),Feriados[Data],0))))=FALSE,
IF(WEEKDAY(ROW(INDIRECT(DATE(YEAR(B1464),MONTH(B1464),1)&amp;":"&amp;DATE(YEAR(B1464),MONTH(B1464)+1,0))),2)&lt;=5,1,IF(WEEKDAY(ROW(INDIRECT(DATE(YEAR(B1464),MONTH(B1464),1)&amp;":"&amp;DATE(YEAR(B1464),MONTH(B1464)+1,0))),2)=6,0.5,0)),0))</f>
        <v>24</v>
      </c>
      <c r="K1464" s="22" cm="1">
        <f t="array" ref="K1464">_xlfn.XLOOKUP(1,((Metas_Diarias[[#This Row],[tipo_equipe_id]]=Metas[equipe])*(Metas_Diarias[[#This Row],[data]]&gt;Metas[data_inicio])*(Metas_Diarias[[#This Row],[data]]&lt;Metas[data_fim])),Metas[meta_mensal],0)</f>
        <v>168000</v>
      </c>
      <c r="L1464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65" spans="2:12" x14ac:dyDescent="0.3">
      <c r="B1465" s="34">
        <v>46386</v>
      </c>
      <c r="C1465" s="34" t="str">
        <f>TEXT(Metas_Diarias[[#This Row],[data]],"dddd")</f>
        <v>quarta-feira</v>
      </c>
      <c r="D1465" s="33">
        <v>1</v>
      </c>
      <c r="E1465" s="33">
        <v>1</v>
      </c>
      <c r="F1465" s="18"/>
      <c r="G1465" s="35">
        <f>WEEKDAY(Metas_Diarias[[#This Row],[data]])</f>
        <v>4</v>
      </c>
      <c r="H1465" s="35">
        <f>IF(Metas_Diarias[[#This Row],[dias_da_demana]]=1,"domingo",IF(Metas_Diarias[[#This Row],[dias_da_demana]]=7,0.5,1))</f>
        <v>1</v>
      </c>
      <c r="I1465" s="35">
        <f>_xlfn.XLOOKUP(Metas_Diarias[[#This Row],[data]],Feriados[Data],Feriados[Feriado],1)</f>
        <v>1</v>
      </c>
      <c r="J1465" s="33" cm="1">
        <f t="array" aca="1" ref="J1465" ca="1">SUMPRODUCT(IF((NOT(ISERROR(MATCH(ROW(INDIRECT(DATE(YEAR(B1465),MONTH(B1465),1)&amp;":"&amp;DATE(YEAR(B1465),MONTH(B1465)+1,0))),Feriados[Data],0))))=FALSE,
IF(WEEKDAY(ROW(INDIRECT(DATE(YEAR(B1465),MONTH(B1465),1)&amp;":"&amp;DATE(YEAR(B1465),MONTH(B1465)+1,0))),2)&lt;=5,1,IF(WEEKDAY(ROW(INDIRECT(DATE(YEAR(B1465),MONTH(B1465),1)&amp;":"&amp;DATE(YEAR(B1465),MONTH(B1465)+1,0))),2)=6,0.5,0)),0))</f>
        <v>24</v>
      </c>
      <c r="K1465" s="22" cm="1">
        <f t="array" ref="K1465">_xlfn.XLOOKUP(1,((Metas_Diarias[[#This Row],[tipo_equipe_id]]=Metas[equipe])*(Metas_Diarias[[#This Row],[data]]&gt;Metas[data_inicio])*(Metas_Diarias[[#This Row],[data]]&lt;Metas[data_fim])),Metas[meta_mensal],0)</f>
        <v>168000</v>
      </c>
      <c r="L1465" s="24">
        <f ca="1">Metas_Diarias[[#This Row],[meta_mensal]]*IF(Metas_Diarias[[#This Row],[semana]]="domingo",0,Metas_Diarias[[#This Row],[semana]])*IF(Metas_Diarias[[#This Row],[feriado]]&lt;&gt;1,0,1)/Metas_Diarias[[#This Row],[dias_úteis_Mês]]</f>
        <v>7000</v>
      </c>
    </row>
    <row r="1466" spans="2:12" x14ac:dyDescent="0.3">
      <c r="B1466" s="34">
        <v>46387</v>
      </c>
      <c r="C1466" s="34" t="str">
        <f>TEXT(Metas_Diarias[[#This Row],[data]],"dddd")</f>
        <v>quinta-feira</v>
      </c>
      <c r="D1466" s="33">
        <v>1</v>
      </c>
      <c r="E1466" s="33">
        <v>1</v>
      </c>
      <c r="F1466" s="18"/>
      <c r="G1466" s="35">
        <f>WEEKDAY(Metas_Diarias[[#This Row],[data]])</f>
        <v>5</v>
      </c>
      <c r="H1466" s="35">
        <f>IF(Metas_Diarias[[#This Row],[dias_da_demana]]=1,"domingo",IF(Metas_Diarias[[#This Row],[dias_da_demana]]=7,0.5,1))</f>
        <v>1</v>
      </c>
      <c r="I1466" s="35">
        <f>_xlfn.XLOOKUP(Metas_Diarias[[#This Row],[data]],Feriados[Data],Feriados[Feriado],1)</f>
        <v>1</v>
      </c>
      <c r="J1466" s="33" cm="1">
        <f t="array" aca="1" ref="J1466" ca="1">SUMPRODUCT(IF((NOT(ISERROR(MATCH(ROW(INDIRECT(DATE(YEAR(B1466),MONTH(B1466),1)&amp;":"&amp;DATE(YEAR(B1466),MONTH(B1466)+1,0))),Feriados[Data],0))))=FALSE,
IF(WEEKDAY(ROW(INDIRECT(DATE(YEAR(B1466),MONTH(B1466),1)&amp;":"&amp;DATE(YEAR(B1466),MONTH(B1466)+1,0))),2)&lt;=5,1,IF(WEEKDAY(ROW(INDIRECT(DATE(YEAR(B1466),MONTH(B1466),1)&amp;":"&amp;DATE(YEAR(B1466),MONTH(B1466)+1,0))),2)=6,0.5,0)),0))</f>
        <v>24</v>
      </c>
      <c r="K1466" s="22" cm="1">
        <f t="array" ref="K1466">_xlfn.XLOOKUP(1,((Metas_Diarias[[#This Row],[tipo_equipe_id]]=Metas[equipe])*(Metas_Diarias[[#This Row],[data]]&gt;Metas[data_inicio])*(Metas_Diarias[[#This Row],[data]]&lt;Metas[data_fim])),Metas[meta_mensal],0)</f>
        <v>0</v>
      </c>
      <c r="L14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67" spans="2:12" x14ac:dyDescent="0.3">
      <c r="B1467" s="34">
        <v>46023</v>
      </c>
      <c r="C1467" s="34" t="str">
        <f>TEXT(Metas_Diarias[[#This Row],[data]],"dddd")</f>
        <v>quinta-feira</v>
      </c>
      <c r="D1467" s="33">
        <v>2</v>
      </c>
      <c r="E1467" s="33">
        <v>2</v>
      </c>
      <c r="F1467" s="18"/>
      <c r="G1467" s="35">
        <f>WEEKDAY(Metas_Diarias[[#This Row],[data]])</f>
        <v>5</v>
      </c>
      <c r="H1467" s="35">
        <f>IF(Metas_Diarias[[#This Row],[dias_da_demana]]=1,"domingo",IF(Metas_Diarias[[#This Row],[dias_da_demana]]=7,0.5,1))</f>
        <v>1</v>
      </c>
      <c r="I1467" s="35" t="str">
        <f>_xlfn.XLOOKUP(Metas_Diarias[[#This Row],[data]],Feriados[Data],Feriados[Feriado],1)</f>
        <v>Confraternização Universal</v>
      </c>
      <c r="J1467" s="33" cm="1">
        <f t="array" aca="1" ref="J1467" ca="1">SUMPRODUCT(IF((NOT(ISERROR(MATCH(ROW(INDIRECT(DATE(YEAR(B1467),MONTH(B1467),1)&amp;":"&amp;DATE(YEAR(B1467),MONTH(B1467)+1,0))),Feriados[Data],0))))=FALSE,
IF(WEEKDAY(ROW(INDIRECT(DATE(YEAR(B1467),MONTH(B1467),1)&amp;":"&amp;DATE(YEAR(B1467),MONTH(B1467)+1,0))),2)&lt;=5,1,IF(WEEKDAY(ROW(INDIRECT(DATE(YEAR(B1467),MONTH(B1467),1)&amp;":"&amp;DATE(YEAR(B1467),MONTH(B1467)+1,0))),2)=6,0.5,0)),0))</f>
        <v>23.5</v>
      </c>
      <c r="K1467" s="22" cm="1">
        <f t="array" ref="K1467">_xlfn.XLOOKUP(1,((Metas_Diarias[[#This Row],[tipo_equipe_id]]=Metas[equipe])*(Metas_Diarias[[#This Row],[data]]&gt;Metas[data_inicio])*(Metas_Diarias[[#This Row],[data]]&lt;Metas[data_fim])),Metas[meta_mensal],0)</f>
        <v>0</v>
      </c>
      <c r="L146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68" spans="2:12" x14ac:dyDescent="0.3">
      <c r="B1468" s="34">
        <v>46024</v>
      </c>
      <c r="C1468" s="34" t="str">
        <f>TEXT(Metas_Diarias[[#This Row],[data]],"dddd")</f>
        <v>sexta-feira</v>
      </c>
      <c r="D1468" s="33">
        <v>2</v>
      </c>
      <c r="E1468" s="33">
        <v>2</v>
      </c>
      <c r="F1468" s="18"/>
      <c r="G1468" s="35">
        <f>WEEKDAY(Metas_Diarias[[#This Row],[data]])</f>
        <v>6</v>
      </c>
      <c r="H1468" s="35">
        <f>IF(Metas_Diarias[[#This Row],[dias_da_demana]]=1,"domingo",IF(Metas_Diarias[[#This Row],[dias_da_demana]]=7,0.5,1))</f>
        <v>1</v>
      </c>
      <c r="I1468" s="35">
        <f>_xlfn.XLOOKUP(Metas_Diarias[[#This Row],[data]],Feriados[Data],Feriados[Feriado],1)</f>
        <v>1</v>
      </c>
      <c r="J1468" s="33" cm="1">
        <f t="array" aca="1" ref="J1468" ca="1">SUMPRODUCT(IF((NOT(ISERROR(MATCH(ROW(INDIRECT(DATE(YEAR(B1468),MONTH(B1468),1)&amp;":"&amp;DATE(YEAR(B1468),MONTH(B1468)+1,0))),Feriados[Data],0))))=FALSE,
IF(WEEKDAY(ROW(INDIRECT(DATE(YEAR(B1468),MONTH(B1468),1)&amp;":"&amp;DATE(YEAR(B1468),MONTH(B1468)+1,0))),2)&lt;=5,1,IF(WEEKDAY(ROW(INDIRECT(DATE(YEAR(B1468),MONTH(B1468),1)&amp;":"&amp;DATE(YEAR(B1468),MONTH(B1468)+1,0))),2)=6,0.5,0)),0))</f>
        <v>23.5</v>
      </c>
      <c r="K1468" s="22" cm="1">
        <f t="array" ref="K1468">_xlfn.XLOOKUP(1,((Metas_Diarias[[#This Row],[tipo_equipe_id]]=Metas[equipe])*(Metas_Diarias[[#This Row],[data]]&gt;Metas[data_inicio])*(Metas_Diarias[[#This Row],[data]]&lt;Metas[data_fim])),Metas[meta_mensal],0)</f>
        <v>115500</v>
      </c>
      <c r="L1468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69" spans="2:12" x14ac:dyDescent="0.3">
      <c r="B1469" s="34">
        <v>46025</v>
      </c>
      <c r="C1469" s="34" t="str">
        <f>TEXT(Metas_Diarias[[#This Row],[data]],"dddd")</f>
        <v>sábado</v>
      </c>
      <c r="D1469" s="33">
        <v>2</v>
      </c>
      <c r="E1469" s="33">
        <v>2</v>
      </c>
      <c r="F1469" s="18"/>
      <c r="G1469" s="35">
        <f>WEEKDAY(Metas_Diarias[[#This Row],[data]])</f>
        <v>7</v>
      </c>
      <c r="H1469" s="35">
        <f>IF(Metas_Diarias[[#This Row],[dias_da_demana]]=1,"domingo",IF(Metas_Diarias[[#This Row],[dias_da_demana]]=7,0.5,1))</f>
        <v>0.5</v>
      </c>
      <c r="I1469" s="35">
        <f>_xlfn.XLOOKUP(Metas_Diarias[[#This Row],[data]],Feriados[Data],Feriados[Feriado],1)</f>
        <v>1</v>
      </c>
      <c r="J1469" s="33" cm="1">
        <f t="array" aca="1" ref="J1469" ca="1">SUMPRODUCT(IF((NOT(ISERROR(MATCH(ROW(INDIRECT(DATE(YEAR(B1469),MONTH(B1469),1)&amp;":"&amp;DATE(YEAR(B1469),MONTH(B1469)+1,0))),Feriados[Data],0))))=FALSE,
IF(WEEKDAY(ROW(INDIRECT(DATE(YEAR(B1469),MONTH(B1469),1)&amp;":"&amp;DATE(YEAR(B1469),MONTH(B1469)+1,0))),2)&lt;=5,1,IF(WEEKDAY(ROW(INDIRECT(DATE(YEAR(B1469),MONTH(B1469),1)&amp;":"&amp;DATE(YEAR(B1469),MONTH(B1469)+1,0))),2)=6,0.5,0)),0))</f>
        <v>23.5</v>
      </c>
      <c r="K1469" s="22" cm="1">
        <f t="array" ref="K1469">_xlfn.XLOOKUP(1,((Metas_Diarias[[#This Row],[tipo_equipe_id]]=Metas[equipe])*(Metas_Diarias[[#This Row],[data]]&gt;Metas[data_inicio])*(Metas_Diarias[[#This Row],[data]]&lt;Metas[data_fim])),Metas[meta_mensal],0)</f>
        <v>115500</v>
      </c>
      <c r="L1469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470" spans="2:12" x14ac:dyDescent="0.3">
      <c r="B1470" s="34">
        <v>46026</v>
      </c>
      <c r="C1470" s="34" t="str">
        <f>TEXT(Metas_Diarias[[#This Row],[data]],"dddd")</f>
        <v>domingo</v>
      </c>
      <c r="D1470" s="33">
        <v>2</v>
      </c>
      <c r="E1470" s="33">
        <v>2</v>
      </c>
      <c r="F1470" s="18"/>
      <c r="G1470" s="35">
        <f>WEEKDAY(Metas_Diarias[[#This Row],[data]])</f>
        <v>1</v>
      </c>
      <c r="H1470" s="35" t="str">
        <f>IF(Metas_Diarias[[#This Row],[dias_da_demana]]=1,"domingo",IF(Metas_Diarias[[#This Row],[dias_da_demana]]=7,0.5,1))</f>
        <v>domingo</v>
      </c>
      <c r="I1470" s="35">
        <f>_xlfn.XLOOKUP(Metas_Diarias[[#This Row],[data]],Feriados[Data],Feriados[Feriado],1)</f>
        <v>1</v>
      </c>
      <c r="J1470" s="33" cm="1">
        <f t="array" aca="1" ref="J1470" ca="1">SUMPRODUCT(IF((NOT(ISERROR(MATCH(ROW(INDIRECT(DATE(YEAR(B1470),MONTH(B1470),1)&amp;":"&amp;DATE(YEAR(B1470),MONTH(B1470)+1,0))),Feriados[Data],0))))=FALSE,
IF(WEEKDAY(ROW(INDIRECT(DATE(YEAR(B1470),MONTH(B1470),1)&amp;":"&amp;DATE(YEAR(B1470),MONTH(B1470)+1,0))),2)&lt;=5,1,IF(WEEKDAY(ROW(INDIRECT(DATE(YEAR(B1470),MONTH(B1470),1)&amp;":"&amp;DATE(YEAR(B1470),MONTH(B1470)+1,0))),2)=6,0.5,0)),0))</f>
        <v>23.5</v>
      </c>
      <c r="K1470" s="22" cm="1">
        <f t="array" ref="K1470">_xlfn.XLOOKUP(1,((Metas_Diarias[[#This Row],[tipo_equipe_id]]=Metas[equipe])*(Metas_Diarias[[#This Row],[data]]&gt;Metas[data_inicio])*(Metas_Diarias[[#This Row],[data]]&lt;Metas[data_fim])),Metas[meta_mensal],0)</f>
        <v>115500</v>
      </c>
      <c r="L14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71" spans="2:12" x14ac:dyDescent="0.3">
      <c r="B1471" s="34">
        <v>46027</v>
      </c>
      <c r="C1471" s="34" t="str">
        <f>TEXT(Metas_Diarias[[#This Row],[data]],"dddd")</f>
        <v>segunda-feira</v>
      </c>
      <c r="D1471" s="33">
        <v>2</v>
      </c>
      <c r="E1471" s="33">
        <v>2</v>
      </c>
      <c r="F1471" s="18"/>
      <c r="G1471" s="35">
        <f>WEEKDAY(Metas_Diarias[[#This Row],[data]])</f>
        <v>2</v>
      </c>
      <c r="H1471" s="35">
        <f>IF(Metas_Diarias[[#This Row],[dias_da_demana]]=1,"domingo",IF(Metas_Diarias[[#This Row],[dias_da_demana]]=7,0.5,1))</f>
        <v>1</v>
      </c>
      <c r="I1471" s="35">
        <f>_xlfn.XLOOKUP(Metas_Diarias[[#This Row],[data]],Feriados[Data],Feriados[Feriado],1)</f>
        <v>1</v>
      </c>
      <c r="J1471" s="33" cm="1">
        <f t="array" aca="1" ref="J1471" ca="1">SUMPRODUCT(IF((NOT(ISERROR(MATCH(ROW(INDIRECT(DATE(YEAR(B1471),MONTH(B1471),1)&amp;":"&amp;DATE(YEAR(B1471),MONTH(B1471)+1,0))),Feriados[Data],0))))=FALSE,
IF(WEEKDAY(ROW(INDIRECT(DATE(YEAR(B1471),MONTH(B1471),1)&amp;":"&amp;DATE(YEAR(B1471),MONTH(B1471)+1,0))),2)&lt;=5,1,IF(WEEKDAY(ROW(INDIRECT(DATE(YEAR(B1471),MONTH(B1471),1)&amp;":"&amp;DATE(YEAR(B1471),MONTH(B1471)+1,0))),2)=6,0.5,0)),0))</f>
        <v>23.5</v>
      </c>
      <c r="K1471" s="22" cm="1">
        <f t="array" ref="K1471">_xlfn.XLOOKUP(1,((Metas_Diarias[[#This Row],[tipo_equipe_id]]=Metas[equipe])*(Metas_Diarias[[#This Row],[data]]&gt;Metas[data_inicio])*(Metas_Diarias[[#This Row],[data]]&lt;Metas[data_fim])),Metas[meta_mensal],0)</f>
        <v>115500</v>
      </c>
      <c r="L1471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72" spans="2:12" x14ac:dyDescent="0.3">
      <c r="B1472" s="34">
        <v>46028</v>
      </c>
      <c r="C1472" s="34" t="str">
        <f>TEXT(Metas_Diarias[[#This Row],[data]],"dddd")</f>
        <v>terça-feira</v>
      </c>
      <c r="D1472" s="33">
        <v>2</v>
      </c>
      <c r="E1472" s="33">
        <v>2</v>
      </c>
      <c r="F1472" s="18"/>
      <c r="G1472" s="35">
        <f>WEEKDAY(Metas_Diarias[[#This Row],[data]])</f>
        <v>3</v>
      </c>
      <c r="H1472" s="35">
        <f>IF(Metas_Diarias[[#This Row],[dias_da_demana]]=1,"domingo",IF(Metas_Diarias[[#This Row],[dias_da_demana]]=7,0.5,1))</f>
        <v>1</v>
      </c>
      <c r="I1472" s="35">
        <f>_xlfn.XLOOKUP(Metas_Diarias[[#This Row],[data]],Feriados[Data],Feriados[Feriado],1)</f>
        <v>1</v>
      </c>
      <c r="J1472" s="33" cm="1">
        <f t="array" aca="1" ref="J1472" ca="1">SUMPRODUCT(IF((NOT(ISERROR(MATCH(ROW(INDIRECT(DATE(YEAR(B1472),MONTH(B1472),1)&amp;":"&amp;DATE(YEAR(B1472),MONTH(B1472)+1,0))),Feriados[Data],0))))=FALSE,
IF(WEEKDAY(ROW(INDIRECT(DATE(YEAR(B1472),MONTH(B1472),1)&amp;":"&amp;DATE(YEAR(B1472),MONTH(B1472)+1,0))),2)&lt;=5,1,IF(WEEKDAY(ROW(INDIRECT(DATE(YEAR(B1472),MONTH(B1472),1)&amp;":"&amp;DATE(YEAR(B1472),MONTH(B1472)+1,0))),2)=6,0.5,0)),0))</f>
        <v>23.5</v>
      </c>
      <c r="K1472" s="22" cm="1">
        <f t="array" ref="K1472">_xlfn.XLOOKUP(1,((Metas_Diarias[[#This Row],[tipo_equipe_id]]=Metas[equipe])*(Metas_Diarias[[#This Row],[data]]&gt;Metas[data_inicio])*(Metas_Diarias[[#This Row],[data]]&lt;Metas[data_fim])),Metas[meta_mensal],0)</f>
        <v>115500</v>
      </c>
      <c r="L1472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73" spans="2:12" x14ac:dyDescent="0.3">
      <c r="B1473" s="34">
        <v>46029</v>
      </c>
      <c r="C1473" s="34" t="str">
        <f>TEXT(Metas_Diarias[[#This Row],[data]],"dddd")</f>
        <v>quarta-feira</v>
      </c>
      <c r="D1473" s="33">
        <v>2</v>
      </c>
      <c r="E1473" s="33">
        <v>2</v>
      </c>
      <c r="F1473" s="18"/>
      <c r="G1473" s="35">
        <f>WEEKDAY(Metas_Diarias[[#This Row],[data]])</f>
        <v>4</v>
      </c>
      <c r="H1473" s="35">
        <f>IF(Metas_Diarias[[#This Row],[dias_da_demana]]=1,"domingo",IF(Metas_Diarias[[#This Row],[dias_da_demana]]=7,0.5,1))</f>
        <v>1</v>
      </c>
      <c r="I1473" s="35">
        <f>_xlfn.XLOOKUP(Metas_Diarias[[#This Row],[data]],Feriados[Data],Feriados[Feriado],1)</f>
        <v>1</v>
      </c>
      <c r="J1473" s="33" cm="1">
        <f t="array" aca="1" ref="J1473" ca="1">SUMPRODUCT(IF((NOT(ISERROR(MATCH(ROW(INDIRECT(DATE(YEAR(B1473),MONTH(B1473),1)&amp;":"&amp;DATE(YEAR(B1473),MONTH(B1473)+1,0))),Feriados[Data],0))))=FALSE,
IF(WEEKDAY(ROW(INDIRECT(DATE(YEAR(B1473),MONTH(B1473),1)&amp;":"&amp;DATE(YEAR(B1473),MONTH(B1473)+1,0))),2)&lt;=5,1,IF(WEEKDAY(ROW(INDIRECT(DATE(YEAR(B1473),MONTH(B1473),1)&amp;":"&amp;DATE(YEAR(B1473),MONTH(B1473)+1,0))),2)=6,0.5,0)),0))</f>
        <v>23.5</v>
      </c>
      <c r="K1473" s="22" cm="1">
        <f t="array" ref="K1473">_xlfn.XLOOKUP(1,((Metas_Diarias[[#This Row],[tipo_equipe_id]]=Metas[equipe])*(Metas_Diarias[[#This Row],[data]]&gt;Metas[data_inicio])*(Metas_Diarias[[#This Row],[data]]&lt;Metas[data_fim])),Metas[meta_mensal],0)</f>
        <v>115500</v>
      </c>
      <c r="L1473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74" spans="2:12" x14ac:dyDescent="0.3">
      <c r="B1474" s="34">
        <v>46030</v>
      </c>
      <c r="C1474" s="34" t="str">
        <f>TEXT(Metas_Diarias[[#This Row],[data]],"dddd")</f>
        <v>quinta-feira</v>
      </c>
      <c r="D1474" s="33">
        <v>2</v>
      </c>
      <c r="E1474" s="33">
        <v>2</v>
      </c>
      <c r="F1474" s="18"/>
      <c r="G1474" s="35">
        <f>WEEKDAY(Metas_Diarias[[#This Row],[data]])</f>
        <v>5</v>
      </c>
      <c r="H1474" s="35">
        <f>IF(Metas_Diarias[[#This Row],[dias_da_demana]]=1,"domingo",IF(Metas_Diarias[[#This Row],[dias_da_demana]]=7,0.5,1))</f>
        <v>1</v>
      </c>
      <c r="I1474" s="35">
        <f>_xlfn.XLOOKUP(Metas_Diarias[[#This Row],[data]],Feriados[Data],Feriados[Feriado],1)</f>
        <v>1</v>
      </c>
      <c r="J1474" s="33" cm="1">
        <f t="array" aca="1" ref="J1474" ca="1">SUMPRODUCT(IF((NOT(ISERROR(MATCH(ROW(INDIRECT(DATE(YEAR(B1474),MONTH(B1474),1)&amp;":"&amp;DATE(YEAR(B1474),MONTH(B1474)+1,0))),Feriados[Data],0))))=FALSE,
IF(WEEKDAY(ROW(INDIRECT(DATE(YEAR(B1474),MONTH(B1474),1)&amp;":"&amp;DATE(YEAR(B1474),MONTH(B1474)+1,0))),2)&lt;=5,1,IF(WEEKDAY(ROW(INDIRECT(DATE(YEAR(B1474),MONTH(B1474),1)&amp;":"&amp;DATE(YEAR(B1474),MONTH(B1474)+1,0))),2)=6,0.5,0)),0))</f>
        <v>23.5</v>
      </c>
      <c r="K1474" s="22" cm="1">
        <f t="array" ref="K1474">_xlfn.XLOOKUP(1,((Metas_Diarias[[#This Row],[tipo_equipe_id]]=Metas[equipe])*(Metas_Diarias[[#This Row],[data]]&gt;Metas[data_inicio])*(Metas_Diarias[[#This Row],[data]]&lt;Metas[data_fim])),Metas[meta_mensal],0)</f>
        <v>115500</v>
      </c>
      <c r="L1474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75" spans="2:12" x14ac:dyDescent="0.3">
      <c r="B1475" s="34">
        <v>46031</v>
      </c>
      <c r="C1475" s="34" t="str">
        <f>TEXT(Metas_Diarias[[#This Row],[data]],"dddd")</f>
        <v>sexta-feira</v>
      </c>
      <c r="D1475" s="33">
        <v>2</v>
      </c>
      <c r="E1475" s="33">
        <v>2</v>
      </c>
      <c r="F1475" s="18"/>
      <c r="G1475" s="35">
        <f>WEEKDAY(Metas_Diarias[[#This Row],[data]])</f>
        <v>6</v>
      </c>
      <c r="H1475" s="35">
        <f>IF(Metas_Diarias[[#This Row],[dias_da_demana]]=1,"domingo",IF(Metas_Diarias[[#This Row],[dias_da_demana]]=7,0.5,1))</f>
        <v>1</v>
      </c>
      <c r="I1475" s="35">
        <f>_xlfn.XLOOKUP(Metas_Diarias[[#This Row],[data]],Feriados[Data],Feriados[Feriado],1)</f>
        <v>1</v>
      </c>
      <c r="J1475" s="33" cm="1">
        <f t="array" aca="1" ref="J1475" ca="1">SUMPRODUCT(IF((NOT(ISERROR(MATCH(ROW(INDIRECT(DATE(YEAR(B1475),MONTH(B1475),1)&amp;":"&amp;DATE(YEAR(B1475),MONTH(B1475)+1,0))),Feriados[Data],0))))=FALSE,
IF(WEEKDAY(ROW(INDIRECT(DATE(YEAR(B1475),MONTH(B1475),1)&amp;":"&amp;DATE(YEAR(B1475),MONTH(B1475)+1,0))),2)&lt;=5,1,IF(WEEKDAY(ROW(INDIRECT(DATE(YEAR(B1475),MONTH(B1475),1)&amp;":"&amp;DATE(YEAR(B1475),MONTH(B1475)+1,0))),2)=6,0.5,0)),0))</f>
        <v>23.5</v>
      </c>
      <c r="K1475" s="22" cm="1">
        <f t="array" ref="K1475">_xlfn.XLOOKUP(1,((Metas_Diarias[[#This Row],[tipo_equipe_id]]=Metas[equipe])*(Metas_Diarias[[#This Row],[data]]&gt;Metas[data_inicio])*(Metas_Diarias[[#This Row],[data]]&lt;Metas[data_fim])),Metas[meta_mensal],0)</f>
        <v>115500</v>
      </c>
      <c r="L147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76" spans="2:12" x14ac:dyDescent="0.3">
      <c r="B1476" s="34">
        <v>46032</v>
      </c>
      <c r="C1476" s="34" t="str">
        <f>TEXT(Metas_Diarias[[#This Row],[data]],"dddd")</f>
        <v>sábado</v>
      </c>
      <c r="D1476" s="33">
        <v>2</v>
      </c>
      <c r="E1476" s="33">
        <v>2</v>
      </c>
      <c r="F1476" s="18"/>
      <c r="G1476" s="35">
        <f>WEEKDAY(Metas_Diarias[[#This Row],[data]])</f>
        <v>7</v>
      </c>
      <c r="H1476" s="35">
        <f>IF(Metas_Diarias[[#This Row],[dias_da_demana]]=1,"domingo",IF(Metas_Diarias[[#This Row],[dias_da_demana]]=7,0.5,1))</f>
        <v>0.5</v>
      </c>
      <c r="I1476" s="35">
        <f>_xlfn.XLOOKUP(Metas_Diarias[[#This Row],[data]],Feriados[Data],Feriados[Feriado],1)</f>
        <v>1</v>
      </c>
      <c r="J1476" s="33" cm="1">
        <f t="array" aca="1" ref="J1476" ca="1">SUMPRODUCT(IF((NOT(ISERROR(MATCH(ROW(INDIRECT(DATE(YEAR(B1476),MONTH(B1476),1)&amp;":"&amp;DATE(YEAR(B1476),MONTH(B1476)+1,0))),Feriados[Data],0))))=FALSE,
IF(WEEKDAY(ROW(INDIRECT(DATE(YEAR(B1476),MONTH(B1476),1)&amp;":"&amp;DATE(YEAR(B1476),MONTH(B1476)+1,0))),2)&lt;=5,1,IF(WEEKDAY(ROW(INDIRECT(DATE(YEAR(B1476),MONTH(B1476),1)&amp;":"&amp;DATE(YEAR(B1476),MONTH(B1476)+1,0))),2)=6,0.5,0)),0))</f>
        <v>23.5</v>
      </c>
      <c r="K1476" s="22" cm="1">
        <f t="array" ref="K1476">_xlfn.XLOOKUP(1,((Metas_Diarias[[#This Row],[tipo_equipe_id]]=Metas[equipe])*(Metas_Diarias[[#This Row],[data]]&gt;Metas[data_inicio])*(Metas_Diarias[[#This Row],[data]]&lt;Metas[data_fim])),Metas[meta_mensal],0)</f>
        <v>115500</v>
      </c>
      <c r="L1476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477" spans="2:12" x14ac:dyDescent="0.3">
      <c r="B1477" s="34">
        <v>46033</v>
      </c>
      <c r="C1477" s="34" t="str">
        <f>TEXT(Metas_Diarias[[#This Row],[data]],"dddd")</f>
        <v>domingo</v>
      </c>
      <c r="D1477" s="33">
        <v>2</v>
      </c>
      <c r="E1477" s="33">
        <v>2</v>
      </c>
      <c r="F1477" s="18"/>
      <c r="G1477" s="35">
        <f>WEEKDAY(Metas_Diarias[[#This Row],[data]])</f>
        <v>1</v>
      </c>
      <c r="H1477" s="35" t="str">
        <f>IF(Metas_Diarias[[#This Row],[dias_da_demana]]=1,"domingo",IF(Metas_Diarias[[#This Row],[dias_da_demana]]=7,0.5,1))</f>
        <v>domingo</v>
      </c>
      <c r="I1477" s="35">
        <f>_xlfn.XLOOKUP(Metas_Diarias[[#This Row],[data]],Feriados[Data],Feriados[Feriado],1)</f>
        <v>1</v>
      </c>
      <c r="J1477" s="33" cm="1">
        <f t="array" aca="1" ref="J1477" ca="1">SUMPRODUCT(IF((NOT(ISERROR(MATCH(ROW(INDIRECT(DATE(YEAR(B1477),MONTH(B1477),1)&amp;":"&amp;DATE(YEAR(B1477),MONTH(B1477)+1,0))),Feriados[Data],0))))=FALSE,
IF(WEEKDAY(ROW(INDIRECT(DATE(YEAR(B1477),MONTH(B1477),1)&amp;":"&amp;DATE(YEAR(B1477),MONTH(B1477)+1,0))),2)&lt;=5,1,IF(WEEKDAY(ROW(INDIRECT(DATE(YEAR(B1477),MONTH(B1477),1)&amp;":"&amp;DATE(YEAR(B1477),MONTH(B1477)+1,0))),2)=6,0.5,0)),0))</f>
        <v>23.5</v>
      </c>
      <c r="K1477" s="22" cm="1">
        <f t="array" ref="K1477">_xlfn.XLOOKUP(1,((Metas_Diarias[[#This Row],[tipo_equipe_id]]=Metas[equipe])*(Metas_Diarias[[#This Row],[data]]&gt;Metas[data_inicio])*(Metas_Diarias[[#This Row],[data]]&lt;Metas[data_fim])),Metas[meta_mensal],0)</f>
        <v>115500</v>
      </c>
      <c r="L14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78" spans="2:12" x14ac:dyDescent="0.3">
      <c r="B1478" s="34">
        <v>46034</v>
      </c>
      <c r="C1478" s="34" t="str">
        <f>TEXT(Metas_Diarias[[#This Row],[data]],"dddd")</f>
        <v>segunda-feira</v>
      </c>
      <c r="D1478" s="33">
        <v>2</v>
      </c>
      <c r="E1478" s="33">
        <v>2</v>
      </c>
      <c r="F1478" s="18"/>
      <c r="G1478" s="35">
        <f>WEEKDAY(Metas_Diarias[[#This Row],[data]])</f>
        <v>2</v>
      </c>
      <c r="H1478" s="35">
        <f>IF(Metas_Diarias[[#This Row],[dias_da_demana]]=1,"domingo",IF(Metas_Diarias[[#This Row],[dias_da_demana]]=7,0.5,1))</f>
        <v>1</v>
      </c>
      <c r="I1478" s="35">
        <f>_xlfn.XLOOKUP(Metas_Diarias[[#This Row],[data]],Feriados[Data],Feriados[Feriado],1)</f>
        <v>1</v>
      </c>
      <c r="J1478" s="33" cm="1">
        <f t="array" aca="1" ref="J1478" ca="1">SUMPRODUCT(IF((NOT(ISERROR(MATCH(ROW(INDIRECT(DATE(YEAR(B1478),MONTH(B1478),1)&amp;":"&amp;DATE(YEAR(B1478),MONTH(B1478)+1,0))),Feriados[Data],0))))=FALSE,
IF(WEEKDAY(ROW(INDIRECT(DATE(YEAR(B1478),MONTH(B1478),1)&amp;":"&amp;DATE(YEAR(B1478),MONTH(B1478)+1,0))),2)&lt;=5,1,IF(WEEKDAY(ROW(INDIRECT(DATE(YEAR(B1478),MONTH(B1478),1)&amp;":"&amp;DATE(YEAR(B1478),MONTH(B1478)+1,0))),2)=6,0.5,0)),0))</f>
        <v>23.5</v>
      </c>
      <c r="K1478" s="22" cm="1">
        <f t="array" ref="K1478">_xlfn.XLOOKUP(1,((Metas_Diarias[[#This Row],[tipo_equipe_id]]=Metas[equipe])*(Metas_Diarias[[#This Row],[data]]&gt;Metas[data_inicio])*(Metas_Diarias[[#This Row],[data]]&lt;Metas[data_fim])),Metas[meta_mensal],0)</f>
        <v>115500</v>
      </c>
      <c r="L1478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79" spans="2:12" x14ac:dyDescent="0.3">
      <c r="B1479" s="34">
        <v>46035</v>
      </c>
      <c r="C1479" s="34" t="str">
        <f>TEXT(Metas_Diarias[[#This Row],[data]],"dddd")</f>
        <v>terça-feira</v>
      </c>
      <c r="D1479" s="33">
        <v>2</v>
      </c>
      <c r="E1479" s="33">
        <v>2</v>
      </c>
      <c r="F1479" s="18"/>
      <c r="G1479" s="35">
        <f>WEEKDAY(Metas_Diarias[[#This Row],[data]])</f>
        <v>3</v>
      </c>
      <c r="H1479" s="35">
        <f>IF(Metas_Diarias[[#This Row],[dias_da_demana]]=1,"domingo",IF(Metas_Diarias[[#This Row],[dias_da_demana]]=7,0.5,1))</f>
        <v>1</v>
      </c>
      <c r="I1479" s="35">
        <f>_xlfn.XLOOKUP(Metas_Diarias[[#This Row],[data]],Feriados[Data],Feriados[Feriado],1)</f>
        <v>1</v>
      </c>
      <c r="J1479" s="33" cm="1">
        <f t="array" aca="1" ref="J1479" ca="1">SUMPRODUCT(IF((NOT(ISERROR(MATCH(ROW(INDIRECT(DATE(YEAR(B1479),MONTH(B1479),1)&amp;":"&amp;DATE(YEAR(B1479),MONTH(B1479)+1,0))),Feriados[Data],0))))=FALSE,
IF(WEEKDAY(ROW(INDIRECT(DATE(YEAR(B1479),MONTH(B1479),1)&amp;":"&amp;DATE(YEAR(B1479),MONTH(B1479)+1,0))),2)&lt;=5,1,IF(WEEKDAY(ROW(INDIRECT(DATE(YEAR(B1479),MONTH(B1479),1)&amp;":"&amp;DATE(YEAR(B1479),MONTH(B1479)+1,0))),2)=6,0.5,0)),0))</f>
        <v>23.5</v>
      </c>
      <c r="K1479" s="22" cm="1">
        <f t="array" ref="K1479">_xlfn.XLOOKUP(1,((Metas_Diarias[[#This Row],[tipo_equipe_id]]=Metas[equipe])*(Metas_Diarias[[#This Row],[data]]&gt;Metas[data_inicio])*(Metas_Diarias[[#This Row],[data]]&lt;Metas[data_fim])),Metas[meta_mensal],0)</f>
        <v>115500</v>
      </c>
      <c r="L1479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80" spans="2:12" x14ac:dyDescent="0.3">
      <c r="B1480" s="34">
        <v>46036</v>
      </c>
      <c r="C1480" s="34" t="str">
        <f>TEXT(Metas_Diarias[[#This Row],[data]],"dddd")</f>
        <v>quarta-feira</v>
      </c>
      <c r="D1480" s="33">
        <v>2</v>
      </c>
      <c r="E1480" s="33">
        <v>2</v>
      </c>
      <c r="F1480" s="18"/>
      <c r="G1480" s="35">
        <f>WEEKDAY(Metas_Diarias[[#This Row],[data]])</f>
        <v>4</v>
      </c>
      <c r="H1480" s="35">
        <f>IF(Metas_Diarias[[#This Row],[dias_da_demana]]=1,"domingo",IF(Metas_Diarias[[#This Row],[dias_da_demana]]=7,0.5,1))</f>
        <v>1</v>
      </c>
      <c r="I1480" s="35">
        <f>_xlfn.XLOOKUP(Metas_Diarias[[#This Row],[data]],Feriados[Data],Feriados[Feriado],1)</f>
        <v>1</v>
      </c>
      <c r="J1480" s="33" cm="1">
        <f t="array" aca="1" ref="J1480" ca="1">SUMPRODUCT(IF((NOT(ISERROR(MATCH(ROW(INDIRECT(DATE(YEAR(B1480),MONTH(B1480),1)&amp;":"&amp;DATE(YEAR(B1480),MONTH(B1480)+1,0))),Feriados[Data],0))))=FALSE,
IF(WEEKDAY(ROW(INDIRECT(DATE(YEAR(B1480),MONTH(B1480),1)&amp;":"&amp;DATE(YEAR(B1480),MONTH(B1480)+1,0))),2)&lt;=5,1,IF(WEEKDAY(ROW(INDIRECT(DATE(YEAR(B1480),MONTH(B1480),1)&amp;":"&amp;DATE(YEAR(B1480),MONTH(B1480)+1,0))),2)=6,0.5,0)),0))</f>
        <v>23.5</v>
      </c>
      <c r="K1480" s="22" cm="1">
        <f t="array" ref="K1480">_xlfn.XLOOKUP(1,((Metas_Diarias[[#This Row],[tipo_equipe_id]]=Metas[equipe])*(Metas_Diarias[[#This Row],[data]]&gt;Metas[data_inicio])*(Metas_Diarias[[#This Row],[data]]&lt;Metas[data_fim])),Metas[meta_mensal],0)</f>
        <v>115500</v>
      </c>
      <c r="L1480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81" spans="2:12" x14ac:dyDescent="0.3">
      <c r="B1481" s="34">
        <v>46037</v>
      </c>
      <c r="C1481" s="34" t="str">
        <f>TEXT(Metas_Diarias[[#This Row],[data]],"dddd")</f>
        <v>quinta-feira</v>
      </c>
      <c r="D1481" s="33">
        <v>2</v>
      </c>
      <c r="E1481" s="33">
        <v>2</v>
      </c>
      <c r="F1481" s="18"/>
      <c r="G1481" s="35">
        <f>WEEKDAY(Metas_Diarias[[#This Row],[data]])</f>
        <v>5</v>
      </c>
      <c r="H1481" s="35">
        <f>IF(Metas_Diarias[[#This Row],[dias_da_demana]]=1,"domingo",IF(Metas_Diarias[[#This Row],[dias_da_demana]]=7,0.5,1))</f>
        <v>1</v>
      </c>
      <c r="I1481" s="35">
        <f>_xlfn.XLOOKUP(Metas_Diarias[[#This Row],[data]],Feriados[Data],Feriados[Feriado],1)</f>
        <v>1</v>
      </c>
      <c r="J1481" s="33" cm="1">
        <f t="array" aca="1" ref="J1481" ca="1">SUMPRODUCT(IF((NOT(ISERROR(MATCH(ROW(INDIRECT(DATE(YEAR(B1481),MONTH(B1481),1)&amp;":"&amp;DATE(YEAR(B1481),MONTH(B1481)+1,0))),Feriados[Data],0))))=FALSE,
IF(WEEKDAY(ROW(INDIRECT(DATE(YEAR(B1481),MONTH(B1481),1)&amp;":"&amp;DATE(YEAR(B1481),MONTH(B1481)+1,0))),2)&lt;=5,1,IF(WEEKDAY(ROW(INDIRECT(DATE(YEAR(B1481),MONTH(B1481),1)&amp;":"&amp;DATE(YEAR(B1481),MONTH(B1481)+1,0))),2)=6,0.5,0)),0))</f>
        <v>23.5</v>
      </c>
      <c r="K1481" s="22" cm="1">
        <f t="array" ref="K1481">_xlfn.XLOOKUP(1,((Metas_Diarias[[#This Row],[tipo_equipe_id]]=Metas[equipe])*(Metas_Diarias[[#This Row],[data]]&gt;Metas[data_inicio])*(Metas_Diarias[[#This Row],[data]]&lt;Metas[data_fim])),Metas[meta_mensal],0)</f>
        <v>115500</v>
      </c>
      <c r="L1481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82" spans="2:12" x14ac:dyDescent="0.3">
      <c r="B1482" s="34">
        <v>46038</v>
      </c>
      <c r="C1482" s="34" t="str">
        <f>TEXT(Metas_Diarias[[#This Row],[data]],"dddd")</f>
        <v>sexta-feira</v>
      </c>
      <c r="D1482" s="33">
        <v>2</v>
      </c>
      <c r="E1482" s="33">
        <v>2</v>
      </c>
      <c r="F1482" s="18"/>
      <c r="G1482" s="35">
        <f>WEEKDAY(Metas_Diarias[[#This Row],[data]])</f>
        <v>6</v>
      </c>
      <c r="H1482" s="35">
        <f>IF(Metas_Diarias[[#This Row],[dias_da_demana]]=1,"domingo",IF(Metas_Diarias[[#This Row],[dias_da_demana]]=7,0.5,1))</f>
        <v>1</v>
      </c>
      <c r="I1482" s="35">
        <f>_xlfn.XLOOKUP(Metas_Diarias[[#This Row],[data]],Feriados[Data],Feriados[Feriado],1)</f>
        <v>1</v>
      </c>
      <c r="J1482" s="33" cm="1">
        <f t="array" aca="1" ref="J1482" ca="1">SUMPRODUCT(IF((NOT(ISERROR(MATCH(ROW(INDIRECT(DATE(YEAR(B1482),MONTH(B1482),1)&amp;":"&amp;DATE(YEAR(B1482),MONTH(B1482)+1,0))),Feriados[Data],0))))=FALSE,
IF(WEEKDAY(ROW(INDIRECT(DATE(YEAR(B1482),MONTH(B1482),1)&amp;":"&amp;DATE(YEAR(B1482),MONTH(B1482)+1,0))),2)&lt;=5,1,IF(WEEKDAY(ROW(INDIRECT(DATE(YEAR(B1482),MONTH(B1482),1)&amp;":"&amp;DATE(YEAR(B1482),MONTH(B1482)+1,0))),2)=6,0.5,0)),0))</f>
        <v>23.5</v>
      </c>
      <c r="K1482" s="22" cm="1">
        <f t="array" ref="K1482">_xlfn.XLOOKUP(1,((Metas_Diarias[[#This Row],[tipo_equipe_id]]=Metas[equipe])*(Metas_Diarias[[#This Row],[data]]&gt;Metas[data_inicio])*(Metas_Diarias[[#This Row],[data]]&lt;Metas[data_fim])),Metas[meta_mensal],0)</f>
        <v>115500</v>
      </c>
      <c r="L1482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83" spans="2:12" x14ac:dyDescent="0.3">
      <c r="B1483" s="34">
        <v>46039</v>
      </c>
      <c r="C1483" s="34" t="str">
        <f>TEXT(Metas_Diarias[[#This Row],[data]],"dddd")</f>
        <v>sábado</v>
      </c>
      <c r="D1483" s="33">
        <v>2</v>
      </c>
      <c r="E1483" s="33">
        <v>2</v>
      </c>
      <c r="F1483" s="18"/>
      <c r="G1483" s="35">
        <f>WEEKDAY(Metas_Diarias[[#This Row],[data]])</f>
        <v>7</v>
      </c>
      <c r="H1483" s="35">
        <f>IF(Metas_Diarias[[#This Row],[dias_da_demana]]=1,"domingo",IF(Metas_Diarias[[#This Row],[dias_da_demana]]=7,0.5,1))</f>
        <v>0.5</v>
      </c>
      <c r="I1483" s="35">
        <f>_xlfn.XLOOKUP(Metas_Diarias[[#This Row],[data]],Feriados[Data],Feriados[Feriado],1)</f>
        <v>1</v>
      </c>
      <c r="J1483" s="33" cm="1">
        <f t="array" aca="1" ref="J1483" ca="1">SUMPRODUCT(IF((NOT(ISERROR(MATCH(ROW(INDIRECT(DATE(YEAR(B1483),MONTH(B1483),1)&amp;":"&amp;DATE(YEAR(B1483),MONTH(B1483)+1,0))),Feriados[Data],0))))=FALSE,
IF(WEEKDAY(ROW(INDIRECT(DATE(YEAR(B1483),MONTH(B1483),1)&amp;":"&amp;DATE(YEAR(B1483),MONTH(B1483)+1,0))),2)&lt;=5,1,IF(WEEKDAY(ROW(INDIRECT(DATE(YEAR(B1483),MONTH(B1483),1)&amp;":"&amp;DATE(YEAR(B1483),MONTH(B1483)+1,0))),2)=6,0.5,0)),0))</f>
        <v>23.5</v>
      </c>
      <c r="K1483" s="22" cm="1">
        <f t="array" ref="K1483">_xlfn.XLOOKUP(1,((Metas_Diarias[[#This Row],[tipo_equipe_id]]=Metas[equipe])*(Metas_Diarias[[#This Row],[data]]&gt;Metas[data_inicio])*(Metas_Diarias[[#This Row],[data]]&lt;Metas[data_fim])),Metas[meta_mensal],0)</f>
        <v>115500</v>
      </c>
      <c r="L1483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484" spans="2:12" x14ac:dyDescent="0.3">
      <c r="B1484" s="34">
        <v>46040</v>
      </c>
      <c r="C1484" s="34" t="str">
        <f>TEXT(Metas_Diarias[[#This Row],[data]],"dddd")</f>
        <v>domingo</v>
      </c>
      <c r="D1484" s="33">
        <v>2</v>
      </c>
      <c r="E1484" s="33">
        <v>2</v>
      </c>
      <c r="F1484" s="18"/>
      <c r="G1484" s="35">
        <f>WEEKDAY(Metas_Diarias[[#This Row],[data]])</f>
        <v>1</v>
      </c>
      <c r="H1484" s="35" t="str">
        <f>IF(Metas_Diarias[[#This Row],[dias_da_demana]]=1,"domingo",IF(Metas_Diarias[[#This Row],[dias_da_demana]]=7,0.5,1))</f>
        <v>domingo</v>
      </c>
      <c r="I1484" s="35">
        <f>_xlfn.XLOOKUP(Metas_Diarias[[#This Row],[data]],Feriados[Data],Feriados[Feriado],1)</f>
        <v>1</v>
      </c>
      <c r="J1484" s="33" cm="1">
        <f t="array" aca="1" ref="J1484" ca="1">SUMPRODUCT(IF((NOT(ISERROR(MATCH(ROW(INDIRECT(DATE(YEAR(B1484),MONTH(B1484),1)&amp;":"&amp;DATE(YEAR(B1484),MONTH(B1484)+1,0))),Feriados[Data],0))))=FALSE,
IF(WEEKDAY(ROW(INDIRECT(DATE(YEAR(B1484),MONTH(B1484),1)&amp;":"&amp;DATE(YEAR(B1484),MONTH(B1484)+1,0))),2)&lt;=5,1,IF(WEEKDAY(ROW(INDIRECT(DATE(YEAR(B1484),MONTH(B1484),1)&amp;":"&amp;DATE(YEAR(B1484),MONTH(B1484)+1,0))),2)=6,0.5,0)),0))</f>
        <v>23.5</v>
      </c>
      <c r="K1484" s="22" cm="1">
        <f t="array" ref="K1484">_xlfn.XLOOKUP(1,((Metas_Diarias[[#This Row],[tipo_equipe_id]]=Metas[equipe])*(Metas_Diarias[[#This Row],[data]]&gt;Metas[data_inicio])*(Metas_Diarias[[#This Row],[data]]&lt;Metas[data_fim])),Metas[meta_mensal],0)</f>
        <v>115500</v>
      </c>
      <c r="L14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85" spans="2:12" x14ac:dyDescent="0.3">
      <c r="B1485" s="34">
        <v>46041</v>
      </c>
      <c r="C1485" s="34" t="str">
        <f>TEXT(Metas_Diarias[[#This Row],[data]],"dddd")</f>
        <v>segunda-feira</v>
      </c>
      <c r="D1485" s="33">
        <v>2</v>
      </c>
      <c r="E1485" s="33">
        <v>2</v>
      </c>
      <c r="F1485" s="18"/>
      <c r="G1485" s="35">
        <f>WEEKDAY(Metas_Diarias[[#This Row],[data]])</f>
        <v>2</v>
      </c>
      <c r="H1485" s="35">
        <f>IF(Metas_Diarias[[#This Row],[dias_da_demana]]=1,"domingo",IF(Metas_Diarias[[#This Row],[dias_da_demana]]=7,0.5,1))</f>
        <v>1</v>
      </c>
      <c r="I1485" s="35">
        <f>_xlfn.XLOOKUP(Metas_Diarias[[#This Row],[data]],Feriados[Data],Feriados[Feriado],1)</f>
        <v>1</v>
      </c>
      <c r="J1485" s="33" cm="1">
        <f t="array" aca="1" ref="J1485" ca="1">SUMPRODUCT(IF((NOT(ISERROR(MATCH(ROW(INDIRECT(DATE(YEAR(B1485),MONTH(B1485),1)&amp;":"&amp;DATE(YEAR(B1485),MONTH(B1485)+1,0))),Feriados[Data],0))))=FALSE,
IF(WEEKDAY(ROW(INDIRECT(DATE(YEAR(B1485),MONTH(B1485),1)&amp;":"&amp;DATE(YEAR(B1485),MONTH(B1485)+1,0))),2)&lt;=5,1,IF(WEEKDAY(ROW(INDIRECT(DATE(YEAR(B1485),MONTH(B1485),1)&amp;":"&amp;DATE(YEAR(B1485),MONTH(B1485)+1,0))),2)=6,0.5,0)),0))</f>
        <v>23.5</v>
      </c>
      <c r="K1485" s="22" cm="1">
        <f t="array" ref="K1485">_xlfn.XLOOKUP(1,((Metas_Diarias[[#This Row],[tipo_equipe_id]]=Metas[equipe])*(Metas_Diarias[[#This Row],[data]]&gt;Metas[data_inicio])*(Metas_Diarias[[#This Row],[data]]&lt;Metas[data_fim])),Metas[meta_mensal],0)</f>
        <v>115500</v>
      </c>
      <c r="L148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86" spans="2:12" x14ac:dyDescent="0.3">
      <c r="B1486" s="34">
        <v>46042</v>
      </c>
      <c r="C1486" s="34" t="str">
        <f>TEXT(Metas_Diarias[[#This Row],[data]],"dddd")</f>
        <v>terça-feira</v>
      </c>
      <c r="D1486" s="33">
        <v>2</v>
      </c>
      <c r="E1486" s="33">
        <v>2</v>
      </c>
      <c r="F1486" s="18"/>
      <c r="G1486" s="35">
        <f>WEEKDAY(Metas_Diarias[[#This Row],[data]])</f>
        <v>3</v>
      </c>
      <c r="H1486" s="35">
        <f>IF(Metas_Diarias[[#This Row],[dias_da_demana]]=1,"domingo",IF(Metas_Diarias[[#This Row],[dias_da_demana]]=7,0.5,1))</f>
        <v>1</v>
      </c>
      <c r="I1486" s="35">
        <f>_xlfn.XLOOKUP(Metas_Diarias[[#This Row],[data]],Feriados[Data],Feriados[Feriado],1)</f>
        <v>1</v>
      </c>
      <c r="J1486" s="33" cm="1">
        <f t="array" aca="1" ref="J1486" ca="1">SUMPRODUCT(IF((NOT(ISERROR(MATCH(ROW(INDIRECT(DATE(YEAR(B1486),MONTH(B1486),1)&amp;":"&amp;DATE(YEAR(B1486),MONTH(B1486)+1,0))),Feriados[Data],0))))=FALSE,
IF(WEEKDAY(ROW(INDIRECT(DATE(YEAR(B1486),MONTH(B1486),1)&amp;":"&amp;DATE(YEAR(B1486),MONTH(B1486)+1,0))),2)&lt;=5,1,IF(WEEKDAY(ROW(INDIRECT(DATE(YEAR(B1486),MONTH(B1486),1)&amp;":"&amp;DATE(YEAR(B1486),MONTH(B1486)+1,0))),2)=6,0.5,0)),0))</f>
        <v>23.5</v>
      </c>
      <c r="K1486" s="22" cm="1">
        <f t="array" ref="K1486">_xlfn.XLOOKUP(1,((Metas_Diarias[[#This Row],[tipo_equipe_id]]=Metas[equipe])*(Metas_Diarias[[#This Row],[data]]&gt;Metas[data_inicio])*(Metas_Diarias[[#This Row],[data]]&lt;Metas[data_fim])),Metas[meta_mensal],0)</f>
        <v>115500</v>
      </c>
      <c r="L1486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87" spans="2:12" x14ac:dyDescent="0.3">
      <c r="B1487" s="34">
        <v>46043</v>
      </c>
      <c r="C1487" s="34" t="str">
        <f>TEXT(Metas_Diarias[[#This Row],[data]],"dddd")</f>
        <v>quarta-feira</v>
      </c>
      <c r="D1487" s="33">
        <v>2</v>
      </c>
      <c r="E1487" s="33">
        <v>2</v>
      </c>
      <c r="F1487" s="18"/>
      <c r="G1487" s="35">
        <f>WEEKDAY(Metas_Diarias[[#This Row],[data]])</f>
        <v>4</v>
      </c>
      <c r="H1487" s="35">
        <f>IF(Metas_Diarias[[#This Row],[dias_da_demana]]=1,"domingo",IF(Metas_Diarias[[#This Row],[dias_da_demana]]=7,0.5,1))</f>
        <v>1</v>
      </c>
      <c r="I1487" s="35">
        <f>_xlfn.XLOOKUP(Metas_Diarias[[#This Row],[data]],Feriados[Data],Feriados[Feriado],1)</f>
        <v>1</v>
      </c>
      <c r="J1487" s="33" cm="1">
        <f t="array" aca="1" ref="J1487" ca="1">SUMPRODUCT(IF((NOT(ISERROR(MATCH(ROW(INDIRECT(DATE(YEAR(B1487),MONTH(B1487),1)&amp;":"&amp;DATE(YEAR(B1487),MONTH(B1487)+1,0))),Feriados[Data],0))))=FALSE,
IF(WEEKDAY(ROW(INDIRECT(DATE(YEAR(B1487),MONTH(B1487),1)&amp;":"&amp;DATE(YEAR(B1487),MONTH(B1487)+1,0))),2)&lt;=5,1,IF(WEEKDAY(ROW(INDIRECT(DATE(YEAR(B1487),MONTH(B1487),1)&amp;":"&amp;DATE(YEAR(B1487),MONTH(B1487)+1,0))),2)=6,0.5,0)),0))</f>
        <v>23.5</v>
      </c>
      <c r="K1487" s="22" cm="1">
        <f t="array" ref="K1487">_xlfn.XLOOKUP(1,((Metas_Diarias[[#This Row],[tipo_equipe_id]]=Metas[equipe])*(Metas_Diarias[[#This Row],[data]]&gt;Metas[data_inicio])*(Metas_Diarias[[#This Row],[data]]&lt;Metas[data_fim])),Metas[meta_mensal],0)</f>
        <v>115500</v>
      </c>
      <c r="L1487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88" spans="2:12" x14ac:dyDescent="0.3">
      <c r="B1488" s="34">
        <v>46044</v>
      </c>
      <c r="C1488" s="34" t="str">
        <f>TEXT(Metas_Diarias[[#This Row],[data]],"dddd")</f>
        <v>quinta-feira</v>
      </c>
      <c r="D1488" s="33">
        <v>2</v>
      </c>
      <c r="E1488" s="33">
        <v>2</v>
      </c>
      <c r="F1488" s="18"/>
      <c r="G1488" s="35">
        <f>WEEKDAY(Metas_Diarias[[#This Row],[data]])</f>
        <v>5</v>
      </c>
      <c r="H1488" s="35">
        <f>IF(Metas_Diarias[[#This Row],[dias_da_demana]]=1,"domingo",IF(Metas_Diarias[[#This Row],[dias_da_demana]]=7,0.5,1))</f>
        <v>1</v>
      </c>
      <c r="I1488" s="35">
        <f>_xlfn.XLOOKUP(Metas_Diarias[[#This Row],[data]],Feriados[Data],Feriados[Feriado],1)</f>
        <v>1</v>
      </c>
      <c r="J1488" s="33" cm="1">
        <f t="array" aca="1" ref="J1488" ca="1">SUMPRODUCT(IF((NOT(ISERROR(MATCH(ROW(INDIRECT(DATE(YEAR(B1488),MONTH(B1488),1)&amp;":"&amp;DATE(YEAR(B1488),MONTH(B1488)+1,0))),Feriados[Data],0))))=FALSE,
IF(WEEKDAY(ROW(INDIRECT(DATE(YEAR(B1488),MONTH(B1488),1)&amp;":"&amp;DATE(YEAR(B1488),MONTH(B1488)+1,0))),2)&lt;=5,1,IF(WEEKDAY(ROW(INDIRECT(DATE(YEAR(B1488),MONTH(B1488),1)&amp;":"&amp;DATE(YEAR(B1488),MONTH(B1488)+1,0))),2)=6,0.5,0)),0))</f>
        <v>23.5</v>
      </c>
      <c r="K1488" s="22" cm="1">
        <f t="array" ref="K1488">_xlfn.XLOOKUP(1,((Metas_Diarias[[#This Row],[tipo_equipe_id]]=Metas[equipe])*(Metas_Diarias[[#This Row],[data]]&gt;Metas[data_inicio])*(Metas_Diarias[[#This Row],[data]]&lt;Metas[data_fim])),Metas[meta_mensal],0)</f>
        <v>115500</v>
      </c>
      <c r="L1488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89" spans="2:12" x14ac:dyDescent="0.3">
      <c r="B1489" s="34">
        <v>46045</v>
      </c>
      <c r="C1489" s="34" t="str">
        <f>TEXT(Metas_Diarias[[#This Row],[data]],"dddd")</f>
        <v>sexta-feira</v>
      </c>
      <c r="D1489" s="33">
        <v>2</v>
      </c>
      <c r="E1489" s="33">
        <v>2</v>
      </c>
      <c r="F1489" s="18"/>
      <c r="G1489" s="35">
        <f>WEEKDAY(Metas_Diarias[[#This Row],[data]])</f>
        <v>6</v>
      </c>
      <c r="H1489" s="35">
        <f>IF(Metas_Diarias[[#This Row],[dias_da_demana]]=1,"domingo",IF(Metas_Diarias[[#This Row],[dias_da_demana]]=7,0.5,1))</f>
        <v>1</v>
      </c>
      <c r="I1489" s="35">
        <f>_xlfn.XLOOKUP(Metas_Diarias[[#This Row],[data]],Feriados[Data],Feriados[Feriado],1)</f>
        <v>1</v>
      </c>
      <c r="J1489" s="33" cm="1">
        <f t="array" aca="1" ref="J1489" ca="1">SUMPRODUCT(IF((NOT(ISERROR(MATCH(ROW(INDIRECT(DATE(YEAR(B1489),MONTH(B1489),1)&amp;":"&amp;DATE(YEAR(B1489),MONTH(B1489)+1,0))),Feriados[Data],0))))=FALSE,
IF(WEEKDAY(ROW(INDIRECT(DATE(YEAR(B1489),MONTH(B1489),1)&amp;":"&amp;DATE(YEAR(B1489),MONTH(B1489)+1,0))),2)&lt;=5,1,IF(WEEKDAY(ROW(INDIRECT(DATE(YEAR(B1489),MONTH(B1489),1)&amp;":"&amp;DATE(YEAR(B1489),MONTH(B1489)+1,0))),2)=6,0.5,0)),0))</f>
        <v>23.5</v>
      </c>
      <c r="K1489" s="22" cm="1">
        <f t="array" ref="K1489">_xlfn.XLOOKUP(1,((Metas_Diarias[[#This Row],[tipo_equipe_id]]=Metas[equipe])*(Metas_Diarias[[#This Row],[data]]&gt;Metas[data_inicio])*(Metas_Diarias[[#This Row],[data]]&lt;Metas[data_fim])),Metas[meta_mensal],0)</f>
        <v>115500</v>
      </c>
      <c r="L1489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90" spans="2:12" x14ac:dyDescent="0.3">
      <c r="B1490" s="34">
        <v>46046</v>
      </c>
      <c r="C1490" s="34" t="str">
        <f>TEXT(Metas_Diarias[[#This Row],[data]],"dddd")</f>
        <v>sábado</v>
      </c>
      <c r="D1490" s="33">
        <v>2</v>
      </c>
      <c r="E1490" s="33">
        <v>2</v>
      </c>
      <c r="F1490" s="18"/>
      <c r="G1490" s="35">
        <f>WEEKDAY(Metas_Diarias[[#This Row],[data]])</f>
        <v>7</v>
      </c>
      <c r="H1490" s="35">
        <f>IF(Metas_Diarias[[#This Row],[dias_da_demana]]=1,"domingo",IF(Metas_Diarias[[#This Row],[dias_da_demana]]=7,0.5,1))</f>
        <v>0.5</v>
      </c>
      <c r="I1490" s="35">
        <f>_xlfn.XLOOKUP(Metas_Diarias[[#This Row],[data]],Feriados[Data],Feriados[Feriado],1)</f>
        <v>1</v>
      </c>
      <c r="J1490" s="33" cm="1">
        <f t="array" aca="1" ref="J1490" ca="1">SUMPRODUCT(IF((NOT(ISERROR(MATCH(ROW(INDIRECT(DATE(YEAR(B1490),MONTH(B1490),1)&amp;":"&amp;DATE(YEAR(B1490),MONTH(B1490)+1,0))),Feriados[Data],0))))=FALSE,
IF(WEEKDAY(ROW(INDIRECT(DATE(YEAR(B1490),MONTH(B1490),1)&amp;":"&amp;DATE(YEAR(B1490),MONTH(B1490)+1,0))),2)&lt;=5,1,IF(WEEKDAY(ROW(INDIRECT(DATE(YEAR(B1490),MONTH(B1490),1)&amp;":"&amp;DATE(YEAR(B1490),MONTH(B1490)+1,0))),2)=6,0.5,0)),0))</f>
        <v>23.5</v>
      </c>
      <c r="K1490" s="22" cm="1">
        <f t="array" ref="K1490">_xlfn.XLOOKUP(1,((Metas_Diarias[[#This Row],[tipo_equipe_id]]=Metas[equipe])*(Metas_Diarias[[#This Row],[data]]&gt;Metas[data_inicio])*(Metas_Diarias[[#This Row],[data]]&lt;Metas[data_fim])),Metas[meta_mensal],0)</f>
        <v>115500</v>
      </c>
      <c r="L1490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491" spans="2:12" x14ac:dyDescent="0.3">
      <c r="B1491" s="34">
        <v>46047</v>
      </c>
      <c r="C1491" s="34" t="str">
        <f>TEXT(Metas_Diarias[[#This Row],[data]],"dddd")</f>
        <v>domingo</v>
      </c>
      <c r="D1491" s="33">
        <v>2</v>
      </c>
      <c r="E1491" s="33">
        <v>2</v>
      </c>
      <c r="F1491" s="18"/>
      <c r="G1491" s="35">
        <f>WEEKDAY(Metas_Diarias[[#This Row],[data]])</f>
        <v>1</v>
      </c>
      <c r="H1491" s="35" t="str">
        <f>IF(Metas_Diarias[[#This Row],[dias_da_demana]]=1,"domingo",IF(Metas_Diarias[[#This Row],[dias_da_demana]]=7,0.5,1))</f>
        <v>domingo</v>
      </c>
      <c r="I1491" s="35">
        <f>_xlfn.XLOOKUP(Metas_Diarias[[#This Row],[data]],Feriados[Data],Feriados[Feriado],1)</f>
        <v>1</v>
      </c>
      <c r="J1491" s="33" cm="1">
        <f t="array" aca="1" ref="J1491" ca="1">SUMPRODUCT(IF((NOT(ISERROR(MATCH(ROW(INDIRECT(DATE(YEAR(B1491),MONTH(B1491),1)&amp;":"&amp;DATE(YEAR(B1491),MONTH(B1491)+1,0))),Feriados[Data],0))))=FALSE,
IF(WEEKDAY(ROW(INDIRECT(DATE(YEAR(B1491),MONTH(B1491),1)&amp;":"&amp;DATE(YEAR(B1491),MONTH(B1491)+1,0))),2)&lt;=5,1,IF(WEEKDAY(ROW(INDIRECT(DATE(YEAR(B1491),MONTH(B1491),1)&amp;":"&amp;DATE(YEAR(B1491),MONTH(B1491)+1,0))),2)=6,0.5,0)),0))</f>
        <v>23.5</v>
      </c>
      <c r="K1491" s="22" cm="1">
        <f t="array" ref="K1491">_xlfn.XLOOKUP(1,((Metas_Diarias[[#This Row],[tipo_equipe_id]]=Metas[equipe])*(Metas_Diarias[[#This Row],[data]]&gt;Metas[data_inicio])*(Metas_Diarias[[#This Row],[data]]&lt;Metas[data_fim])),Metas[meta_mensal],0)</f>
        <v>115500</v>
      </c>
      <c r="L14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92" spans="2:12" x14ac:dyDescent="0.3">
      <c r="B1492" s="34">
        <v>46048</v>
      </c>
      <c r="C1492" s="34" t="str">
        <f>TEXT(Metas_Diarias[[#This Row],[data]],"dddd")</f>
        <v>segunda-feira</v>
      </c>
      <c r="D1492" s="33">
        <v>2</v>
      </c>
      <c r="E1492" s="33">
        <v>2</v>
      </c>
      <c r="F1492" s="18"/>
      <c r="G1492" s="35">
        <f>WEEKDAY(Metas_Diarias[[#This Row],[data]])</f>
        <v>2</v>
      </c>
      <c r="H1492" s="35">
        <f>IF(Metas_Diarias[[#This Row],[dias_da_demana]]=1,"domingo",IF(Metas_Diarias[[#This Row],[dias_da_demana]]=7,0.5,1))</f>
        <v>1</v>
      </c>
      <c r="I1492" s="35">
        <f>_xlfn.XLOOKUP(Metas_Diarias[[#This Row],[data]],Feriados[Data],Feriados[Feriado],1)</f>
        <v>1</v>
      </c>
      <c r="J1492" s="33" cm="1">
        <f t="array" aca="1" ref="J1492" ca="1">SUMPRODUCT(IF((NOT(ISERROR(MATCH(ROW(INDIRECT(DATE(YEAR(B1492),MONTH(B1492),1)&amp;":"&amp;DATE(YEAR(B1492),MONTH(B1492)+1,0))),Feriados[Data],0))))=FALSE,
IF(WEEKDAY(ROW(INDIRECT(DATE(YEAR(B1492),MONTH(B1492),1)&amp;":"&amp;DATE(YEAR(B1492),MONTH(B1492)+1,0))),2)&lt;=5,1,IF(WEEKDAY(ROW(INDIRECT(DATE(YEAR(B1492),MONTH(B1492),1)&amp;":"&amp;DATE(YEAR(B1492),MONTH(B1492)+1,0))),2)=6,0.5,0)),0))</f>
        <v>23.5</v>
      </c>
      <c r="K1492" s="22" cm="1">
        <f t="array" ref="K1492">_xlfn.XLOOKUP(1,((Metas_Diarias[[#This Row],[tipo_equipe_id]]=Metas[equipe])*(Metas_Diarias[[#This Row],[data]]&gt;Metas[data_inicio])*(Metas_Diarias[[#This Row],[data]]&lt;Metas[data_fim])),Metas[meta_mensal],0)</f>
        <v>115500</v>
      </c>
      <c r="L1492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93" spans="2:12" x14ac:dyDescent="0.3">
      <c r="B1493" s="34">
        <v>46049</v>
      </c>
      <c r="C1493" s="34" t="str">
        <f>TEXT(Metas_Diarias[[#This Row],[data]],"dddd")</f>
        <v>terça-feira</v>
      </c>
      <c r="D1493" s="33">
        <v>2</v>
      </c>
      <c r="E1493" s="33">
        <v>2</v>
      </c>
      <c r="F1493" s="18"/>
      <c r="G1493" s="35">
        <f>WEEKDAY(Metas_Diarias[[#This Row],[data]])</f>
        <v>3</v>
      </c>
      <c r="H1493" s="35">
        <f>IF(Metas_Diarias[[#This Row],[dias_da_demana]]=1,"domingo",IF(Metas_Diarias[[#This Row],[dias_da_demana]]=7,0.5,1))</f>
        <v>1</v>
      </c>
      <c r="I1493" s="35">
        <f>_xlfn.XLOOKUP(Metas_Diarias[[#This Row],[data]],Feriados[Data],Feriados[Feriado],1)</f>
        <v>1</v>
      </c>
      <c r="J1493" s="33" cm="1">
        <f t="array" aca="1" ref="J1493" ca="1">SUMPRODUCT(IF((NOT(ISERROR(MATCH(ROW(INDIRECT(DATE(YEAR(B1493),MONTH(B1493),1)&amp;":"&amp;DATE(YEAR(B1493),MONTH(B1493)+1,0))),Feriados[Data],0))))=FALSE,
IF(WEEKDAY(ROW(INDIRECT(DATE(YEAR(B1493),MONTH(B1493),1)&amp;":"&amp;DATE(YEAR(B1493),MONTH(B1493)+1,0))),2)&lt;=5,1,IF(WEEKDAY(ROW(INDIRECT(DATE(YEAR(B1493),MONTH(B1493),1)&amp;":"&amp;DATE(YEAR(B1493),MONTH(B1493)+1,0))),2)=6,0.5,0)),0))</f>
        <v>23.5</v>
      </c>
      <c r="K1493" s="22" cm="1">
        <f t="array" ref="K1493">_xlfn.XLOOKUP(1,((Metas_Diarias[[#This Row],[tipo_equipe_id]]=Metas[equipe])*(Metas_Diarias[[#This Row],[data]]&gt;Metas[data_inicio])*(Metas_Diarias[[#This Row],[data]]&lt;Metas[data_fim])),Metas[meta_mensal],0)</f>
        <v>115500</v>
      </c>
      <c r="L1493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94" spans="2:12" x14ac:dyDescent="0.3">
      <c r="B1494" s="34">
        <v>46050</v>
      </c>
      <c r="C1494" s="34" t="str">
        <f>TEXT(Metas_Diarias[[#This Row],[data]],"dddd")</f>
        <v>quarta-feira</v>
      </c>
      <c r="D1494" s="33">
        <v>2</v>
      </c>
      <c r="E1494" s="33">
        <v>2</v>
      </c>
      <c r="F1494" s="18"/>
      <c r="G1494" s="35">
        <f>WEEKDAY(Metas_Diarias[[#This Row],[data]])</f>
        <v>4</v>
      </c>
      <c r="H1494" s="35">
        <f>IF(Metas_Diarias[[#This Row],[dias_da_demana]]=1,"domingo",IF(Metas_Diarias[[#This Row],[dias_da_demana]]=7,0.5,1))</f>
        <v>1</v>
      </c>
      <c r="I1494" s="35">
        <f>_xlfn.XLOOKUP(Metas_Diarias[[#This Row],[data]],Feriados[Data],Feriados[Feriado],1)</f>
        <v>1</v>
      </c>
      <c r="J1494" s="33" cm="1">
        <f t="array" aca="1" ref="J1494" ca="1">SUMPRODUCT(IF((NOT(ISERROR(MATCH(ROW(INDIRECT(DATE(YEAR(B1494),MONTH(B1494),1)&amp;":"&amp;DATE(YEAR(B1494),MONTH(B1494)+1,0))),Feriados[Data],0))))=FALSE,
IF(WEEKDAY(ROW(INDIRECT(DATE(YEAR(B1494),MONTH(B1494),1)&amp;":"&amp;DATE(YEAR(B1494),MONTH(B1494)+1,0))),2)&lt;=5,1,IF(WEEKDAY(ROW(INDIRECT(DATE(YEAR(B1494),MONTH(B1494),1)&amp;":"&amp;DATE(YEAR(B1494),MONTH(B1494)+1,0))),2)=6,0.5,0)),0))</f>
        <v>23.5</v>
      </c>
      <c r="K1494" s="22" cm="1">
        <f t="array" ref="K1494">_xlfn.XLOOKUP(1,((Metas_Diarias[[#This Row],[tipo_equipe_id]]=Metas[equipe])*(Metas_Diarias[[#This Row],[data]]&gt;Metas[data_inicio])*(Metas_Diarias[[#This Row],[data]]&lt;Metas[data_fim])),Metas[meta_mensal],0)</f>
        <v>115500</v>
      </c>
      <c r="L1494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95" spans="2:12" x14ac:dyDescent="0.3">
      <c r="B1495" s="34">
        <v>46051</v>
      </c>
      <c r="C1495" s="34" t="str">
        <f>TEXT(Metas_Diarias[[#This Row],[data]],"dddd")</f>
        <v>quinta-feira</v>
      </c>
      <c r="D1495" s="33">
        <v>2</v>
      </c>
      <c r="E1495" s="33">
        <v>2</v>
      </c>
      <c r="F1495" s="18"/>
      <c r="G1495" s="35">
        <f>WEEKDAY(Metas_Diarias[[#This Row],[data]])</f>
        <v>5</v>
      </c>
      <c r="H1495" s="35">
        <f>IF(Metas_Diarias[[#This Row],[dias_da_demana]]=1,"domingo",IF(Metas_Diarias[[#This Row],[dias_da_demana]]=7,0.5,1))</f>
        <v>1</v>
      </c>
      <c r="I1495" s="35">
        <f>_xlfn.XLOOKUP(Metas_Diarias[[#This Row],[data]],Feriados[Data],Feriados[Feriado],1)</f>
        <v>1</v>
      </c>
      <c r="J1495" s="33" cm="1">
        <f t="array" aca="1" ref="J1495" ca="1">SUMPRODUCT(IF((NOT(ISERROR(MATCH(ROW(INDIRECT(DATE(YEAR(B1495),MONTH(B1495),1)&amp;":"&amp;DATE(YEAR(B1495),MONTH(B1495)+1,0))),Feriados[Data],0))))=FALSE,
IF(WEEKDAY(ROW(INDIRECT(DATE(YEAR(B1495),MONTH(B1495),1)&amp;":"&amp;DATE(YEAR(B1495),MONTH(B1495)+1,0))),2)&lt;=5,1,IF(WEEKDAY(ROW(INDIRECT(DATE(YEAR(B1495),MONTH(B1495),1)&amp;":"&amp;DATE(YEAR(B1495),MONTH(B1495)+1,0))),2)=6,0.5,0)),0))</f>
        <v>23.5</v>
      </c>
      <c r="K1495" s="22" cm="1">
        <f t="array" ref="K1495">_xlfn.XLOOKUP(1,((Metas_Diarias[[#This Row],[tipo_equipe_id]]=Metas[equipe])*(Metas_Diarias[[#This Row],[data]]&gt;Metas[data_inicio])*(Metas_Diarias[[#This Row],[data]]&lt;Metas[data_fim])),Metas[meta_mensal],0)</f>
        <v>115500</v>
      </c>
      <c r="L149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96" spans="2:12" x14ac:dyDescent="0.3">
      <c r="B1496" s="34">
        <v>46052</v>
      </c>
      <c r="C1496" s="34" t="str">
        <f>TEXT(Metas_Diarias[[#This Row],[data]],"dddd")</f>
        <v>sexta-feira</v>
      </c>
      <c r="D1496" s="33">
        <v>2</v>
      </c>
      <c r="E1496" s="33">
        <v>2</v>
      </c>
      <c r="F1496" s="18"/>
      <c r="G1496" s="35">
        <f>WEEKDAY(Metas_Diarias[[#This Row],[data]])</f>
        <v>6</v>
      </c>
      <c r="H1496" s="35">
        <f>IF(Metas_Diarias[[#This Row],[dias_da_demana]]=1,"domingo",IF(Metas_Diarias[[#This Row],[dias_da_demana]]=7,0.5,1))</f>
        <v>1</v>
      </c>
      <c r="I1496" s="35">
        <f>_xlfn.XLOOKUP(Metas_Diarias[[#This Row],[data]],Feriados[Data],Feriados[Feriado],1)</f>
        <v>1</v>
      </c>
      <c r="J1496" s="33" cm="1">
        <f t="array" aca="1" ref="J1496" ca="1">SUMPRODUCT(IF((NOT(ISERROR(MATCH(ROW(INDIRECT(DATE(YEAR(B1496),MONTH(B1496),1)&amp;":"&amp;DATE(YEAR(B1496),MONTH(B1496)+1,0))),Feriados[Data],0))))=FALSE,
IF(WEEKDAY(ROW(INDIRECT(DATE(YEAR(B1496),MONTH(B1496),1)&amp;":"&amp;DATE(YEAR(B1496),MONTH(B1496)+1,0))),2)&lt;=5,1,IF(WEEKDAY(ROW(INDIRECT(DATE(YEAR(B1496),MONTH(B1496),1)&amp;":"&amp;DATE(YEAR(B1496),MONTH(B1496)+1,0))),2)=6,0.5,0)),0))</f>
        <v>23.5</v>
      </c>
      <c r="K1496" s="22" cm="1">
        <f t="array" ref="K1496">_xlfn.XLOOKUP(1,((Metas_Diarias[[#This Row],[tipo_equipe_id]]=Metas[equipe])*(Metas_Diarias[[#This Row],[data]]&gt;Metas[data_inicio])*(Metas_Diarias[[#This Row],[data]]&lt;Metas[data_fim])),Metas[meta_mensal],0)</f>
        <v>115500</v>
      </c>
      <c r="L1496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497" spans="2:12" x14ac:dyDescent="0.3">
      <c r="B1497" s="34">
        <v>46053</v>
      </c>
      <c r="C1497" s="34" t="str">
        <f>TEXT(Metas_Diarias[[#This Row],[data]],"dddd")</f>
        <v>sábado</v>
      </c>
      <c r="D1497" s="33">
        <v>2</v>
      </c>
      <c r="E1497" s="33">
        <v>2</v>
      </c>
      <c r="F1497" s="18"/>
      <c r="G1497" s="35">
        <f>WEEKDAY(Metas_Diarias[[#This Row],[data]])</f>
        <v>7</v>
      </c>
      <c r="H1497" s="35">
        <f>IF(Metas_Diarias[[#This Row],[dias_da_demana]]=1,"domingo",IF(Metas_Diarias[[#This Row],[dias_da_demana]]=7,0.5,1))</f>
        <v>0.5</v>
      </c>
      <c r="I1497" s="35">
        <f>_xlfn.XLOOKUP(Metas_Diarias[[#This Row],[data]],Feriados[Data],Feriados[Feriado],1)</f>
        <v>1</v>
      </c>
      <c r="J1497" s="33" cm="1">
        <f t="array" aca="1" ref="J1497" ca="1">SUMPRODUCT(IF((NOT(ISERROR(MATCH(ROW(INDIRECT(DATE(YEAR(B1497),MONTH(B1497),1)&amp;":"&amp;DATE(YEAR(B1497),MONTH(B1497)+1,0))),Feriados[Data],0))))=FALSE,
IF(WEEKDAY(ROW(INDIRECT(DATE(YEAR(B1497),MONTH(B1497),1)&amp;":"&amp;DATE(YEAR(B1497),MONTH(B1497)+1,0))),2)&lt;=5,1,IF(WEEKDAY(ROW(INDIRECT(DATE(YEAR(B1497),MONTH(B1497),1)&amp;":"&amp;DATE(YEAR(B1497),MONTH(B1497)+1,0))),2)=6,0.5,0)),0))</f>
        <v>23.5</v>
      </c>
      <c r="K1497" s="22" cm="1">
        <f t="array" ref="K1497">_xlfn.XLOOKUP(1,((Metas_Diarias[[#This Row],[tipo_equipe_id]]=Metas[equipe])*(Metas_Diarias[[#This Row],[data]]&gt;Metas[data_inicio])*(Metas_Diarias[[#This Row],[data]]&lt;Metas[data_fim])),Metas[meta_mensal],0)</f>
        <v>115500</v>
      </c>
      <c r="L1497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498" spans="2:12" x14ac:dyDescent="0.3">
      <c r="B1498" s="34">
        <v>46054</v>
      </c>
      <c r="C1498" s="34" t="str">
        <f>TEXT(Metas_Diarias[[#This Row],[data]],"dddd")</f>
        <v>domingo</v>
      </c>
      <c r="D1498" s="33">
        <v>2</v>
      </c>
      <c r="E1498" s="33">
        <v>2</v>
      </c>
      <c r="F1498" s="18"/>
      <c r="G1498" s="35">
        <f>WEEKDAY(Metas_Diarias[[#This Row],[data]])</f>
        <v>1</v>
      </c>
      <c r="H1498" s="35" t="str">
        <f>IF(Metas_Diarias[[#This Row],[dias_da_demana]]=1,"domingo",IF(Metas_Diarias[[#This Row],[dias_da_demana]]=7,0.5,1))</f>
        <v>domingo</v>
      </c>
      <c r="I1498" s="35">
        <f>_xlfn.XLOOKUP(Metas_Diarias[[#This Row],[data]],Feriados[Data],Feriados[Feriado],1)</f>
        <v>1</v>
      </c>
      <c r="J1498" s="33" cm="1">
        <f t="array" aca="1" ref="J1498" ca="1">SUMPRODUCT(IF((NOT(ISERROR(MATCH(ROW(INDIRECT(DATE(YEAR(B1498),MONTH(B1498),1)&amp;":"&amp;DATE(YEAR(B1498),MONTH(B1498)+1,0))),Feriados[Data],0))))=FALSE,
IF(WEEKDAY(ROW(INDIRECT(DATE(YEAR(B1498),MONTH(B1498),1)&amp;":"&amp;DATE(YEAR(B1498),MONTH(B1498)+1,0))),2)&lt;=5,1,IF(WEEKDAY(ROW(INDIRECT(DATE(YEAR(B1498),MONTH(B1498),1)&amp;":"&amp;DATE(YEAR(B1498),MONTH(B1498)+1,0))),2)=6,0.5,0)),0))</f>
        <v>20</v>
      </c>
      <c r="K1498" s="22" cm="1">
        <f t="array" ref="K1498">_xlfn.XLOOKUP(1,((Metas_Diarias[[#This Row],[tipo_equipe_id]]=Metas[equipe])*(Metas_Diarias[[#This Row],[data]]&gt;Metas[data_inicio])*(Metas_Diarias[[#This Row],[data]]&lt;Metas[data_fim])),Metas[meta_mensal],0)</f>
        <v>115500</v>
      </c>
      <c r="L14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499" spans="2:12" x14ac:dyDescent="0.3">
      <c r="B1499" s="34">
        <v>46055</v>
      </c>
      <c r="C1499" s="34" t="str">
        <f>TEXT(Metas_Diarias[[#This Row],[data]],"dddd")</f>
        <v>segunda-feira</v>
      </c>
      <c r="D1499" s="33">
        <v>2</v>
      </c>
      <c r="E1499" s="33">
        <v>2</v>
      </c>
      <c r="F1499" s="18"/>
      <c r="G1499" s="35">
        <f>WEEKDAY(Metas_Diarias[[#This Row],[data]])</f>
        <v>2</v>
      </c>
      <c r="H1499" s="35">
        <f>IF(Metas_Diarias[[#This Row],[dias_da_demana]]=1,"domingo",IF(Metas_Diarias[[#This Row],[dias_da_demana]]=7,0.5,1))</f>
        <v>1</v>
      </c>
      <c r="I1499" s="35">
        <f>_xlfn.XLOOKUP(Metas_Diarias[[#This Row],[data]],Feriados[Data],Feriados[Feriado],1)</f>
        <v>1</v>
      </c>
      <c r="J1499" s="33" cm="1">
        <f t="array" aca="1" ref="J1499" ca="1">SUMPRODUCT(IF((NOT(ISERROR(MATCH(ROW(INDIRECT(DATE(YEAR(B1499),MONTH(B1499),1)&amp;":"&amp;DATE(YEAR(B1499),MONTH(B1499)+1,0))),Feriados[Data],0))))=FALSE,
IF(WEEKDAY(ROW(INDIRECT(DATE(YEAR(B1499),MONTH(B1499),1)&amp;":"&amp;DATE(YEAR(B1499),MONTH(B1499)+1,0))),2)&lt;=5,1,IF(WEEKDAY(ROW(INDIRECT(DATE(YEAR(B1499),MONTH(B1499),1)&amp;":"&amp;DATE(YEAR(B1499),MONTH(B1499)+1,0))),2)=6,0.5,0)),0))</f>
        <v>20</v>
      </c>
      <c r="K1499" s="22" cm="1">
        <f t="array" ref="K1499">_xlfn.XLOOKUP(1,((Metas_Diarias[[#This Row],[tipo_equipe_id]]=Metas[equipe])*(Metas_Diarias[[#This Row],[data]]&gt;Metas[data_inicio])*(Metas_Diarias[[#This Row],[data]]&lt;Metas[data_fim])),Metas[meta_mensal],0)</f>
        <v>115500</v>
      </c>
      <c r="L1499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00" spans="2:12" x14ac:dyDescent="0.3">
      <c r="B1500" s="34">
        <v>46056</v>
      </c>
      <c r="C1500" s="34" t="str">
        <f>TEXT(Metas_Diarias[[#This Row],[data]],"dddd")</f>
        <v>terça-feira</v>
      </c>
      <c r="D1500" s="33">
        <v>2</v>
      </c>
      <c r="E1500" s="33">
        <v>2</v>
      </c>
      <c r="F1500" s="18"/>
      <c r="G1500" s="35">
        <f>WEEKDAY(Metas_Diarias[[#This Row],[data]])</f>
        <v>3</v>
      </c>
      <c r="H1500" s="35">
        <f>IF(Metas_Diarias[[#This Row],[dias_da_demana]]=1,"domingo",IF(Metas_Diarias[[#This Row],[dias_da_demana]]=7,0.5,1))</f>
        <v>1</v>
      </c>
      <c r="I1500" s="35">
        <f>_xlfn.XLOOKUP(Metas_Diarias[[#This Row],[data]],Feriados[Data],Feriados[Feriado],1)</f>
        <v>1</v>
      </c>
      <c r="J1500" s="33" cm="1">
        <f t="array" aca="1" ref="J1500" ca="1">SUMPRODUCT(IF((NOT(ISERROR(MATCH(ROW(INDIRECT(DATE(YEAR(B1500),MONTH(B1500),1)&amp;":"&amp;DATE(YEAR(B1500),MONTH(B1500)+1,0))),Feriados[Data],0))))=FALSE,
IF(WEEKDAY(ROW(INDIRECT(DATE(YEAR(B1500),MONTH(B1500),1)&amp;":"&amp;DATE(YEAR(B1500),MONTH(B1500)+1,0))),2)&lt;=5,1,IF(WEEKDAY(ROW(INDIRECT(DATE(YEAR(B1500),MONTH(B1500),1)&amp;":"&amp;DATE(YEAR(B1500),MONTH(B1500)+1,0))),2)=6,0.5,0)),0))</f>
        <v>20</v>
      </c>
      <c r="K1500" s="22" cm="1">
        <f t="array" ref="K1500">_xlfn.XLOOKUP(1,((Metas_Diarias[[#This Row],[tipo_equipe_id]]=Metas[equipe])*(Metas_Diarias[[#This Row],[data]]&gt;Metas[data_inicio])*(Metas_Diarias[[#This Row],[data]]&lt;Metas[data_fim])),Metas[meta_mensal],0)</f>
        <v>115500</v>
      </c>
      <c r="L1500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01" spans="2:12" x14ac:dyDescent="0.3">
      <c r="B1501" s="34">
        <v>46057</v>
      </c>
      <c r="C1501" s="34" t="str">
        <f>TEXT(Metas_Diarias[[#This Row],[data]],"dddd")</f>
        <v>quarta-feira</v>
      </c>
      <c r="D1501" s="33">
        <v>2</v>
      </c>
      <c r="E1501" s="33">
        <v>2</v>
      </c>
      <c r="F1501" s="18"/>
      <c r="G1501" s="35">
        <f>WEEKDAY(Metas_Diarias[[#This Row],[data]])</f>
        <v>4</v>
      </c>
      <c r="H1501" s="35">
        <f>IF(Metas_Diarias[[#This Row],[dias_da_demana]]=1,"domingo",IF(Metas_Diarias[[#This Row],[dias_da_demana]]=7,0.5,1))</f>
        <v>1</v>
      </c>
      <c r="I1501" s="35">
        <f>_xlfn.XLOOKUP(Metas_Diarias[[#This Row],[data]],Feriados[Data],Feriados[Feriado],1)</f>
        <v>1</v>
      </c>
      <c r="J1501" s="33" cm="1">
        <f t="array" aca="1" ref="J1501" ca="1">SUMPRODUCT(IF((NOT(ISERROR(MATCH(ROW(INDIRECT(DATE(YEAR(B1501),MONTH(B1501),1)&amp;":"&amp;DATE(YEAR(B1501),MONTH(B1501)+1,0))),Feriados[Data],0))))=FALSE,
IF(WEEKDAY(ROW(INDIRECT(DATE(YEAR(B1501),MONTH(B1501),1)&amp;":"&amp;DATE(YEAR(B1501),MONTH(B1501)+1,0))),2)&lt;=5,1,IF(WEEKDAY(ROW(INDIRECT(DATE(YEAR(B1501),MONTH(B1501),1)&amp;":"&amp;DATE(YEAR(B1501),MONTH(B1501)+1,0))),2)=6,0.5,0)),0))</f>
        <v>20</v>
      </c>
      <c r="K1501" s="22" cm="1">
        <f t="array" ref="K1501">_xlfn.XLOOKUP(1,((Metas_Diarias[[#This Row],[tipo_equipe_id]]=Metas[equipe])*(Metas_Diarias[[#This Row],[data]]&gt;Metas[data_inicio])*(Metas_Diarias[[#This Row],[data]]&lt;Metas[data_fim])),Metas[meta_mensal],0)</f>
        <v>115500</v>
      </c>
      <c r="L1501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02" spans="2:12" x14ac:dyDescent="0.3">
      <c r="B1502" s="34">
        <v>46058</v>
      </c>
      <c r="C1502" s="34" t="str">
        <f>TEXT(Metas_Diarias[[#This Row],[data]],"dddd")</f>
        <v>quinta-feira</v>
      </c>
      <c r="D1502" s="33">
        <v>2</v>
      </c>
      <c r="E1502" s="33">
        <v>2</v>
      </c>
      <c r="F1502" s="18"/>
      <c r="G1502" s="35">
        <f>WEEKDAY(Metas_Diarias[[#This Row],[data]])</f>
        <v>5</v>
      </c>
      <c r="H1502" s="35">
        <f>IF(Metas_Diarias[[#This Row],[dias_da_demana]]=1,"domingo",IF(Metas_Diarias[[#This Row],[dias_da_demana]]=7,0.5,1))</f>
        <v>1</v>
      </c>
      <c r="I1502" s="35">
        <f>_xlfn.XLOOKUP(Metas_Diarias[[#This Row],[data]],Feriados[Data],Feriados[Feriado],1)</f>
        <v>1</v>
      </c>
      <c r="J1502" s="33" cm="1">
        <f t="array" aca="1" ref="J1502" ca="1">SUMPRODUCT(IF((NOT(ISERROR(MATCH(ROW(INDIRECT(DATE(YEAR(B1502),MONTH(B1502),1)&amp;":"&amp;DATE(YEAR(B1502),MONTH(B1502)+1,0))),Feriados[Data],0))))=FALSE,
IF(WEEKDAY(ROW(INDIRECT(DATE(YEAR(B1502),MONTH(B1502),1)&amp;":"&amp;DATE(YEAR(B1502),MONTH(B1502)+1,0))),2)&lt;=5,1,IF(WEEKDAY(ROW(INDIRECT(DATE(YEAR(B1502),MONTH(B1502),1)&amp;":"&amp;DATE(YEAR(B1502),MONTH(B1502)+1,0))),2)=6,0.5,0)),0))</f>
        <v>20</v>
      </c>
      <c r="K1502" s="22" cm="1">
        <f t="array" ref="K1502">_xlfn.XLOOKUP(1,((Metas_Diarias[[#This Row],[tipo_equipe_id]]=Metas[equipe])*(Metas_Diarias[[#This Row],[data]]&gt;Metas[data_inicio])*(Metas_Diarias[[#This Row],[data]]&lt;Metas[data_fim])),Metas[meta_mensal],0)</f>
        <v>115500</v>
      </c>
      <c r="L1502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03" spans="2:12" x14ac:dyDescent="0.3">
      <c r="B1503" s="34">
        <v>46059</v>
      </c>
      <c r="C1503" s="34" t="str">
        <f>TEXT(Metas_Diarias[[#This Row],[data]],"dddd")</f>
        <v>sexta-feira</v>
      </c>
      <c r="D1503" s="33">
        <v>2</v>
      </c>
      <c r="E1503" s="33">
        <v>2</v>
      </c>
      <c r="F1503" s="18"/>
      <c r="G1503" s="35">
        <f>WEEKDAY(Metas_Diarias[[#This Row],[data]])</f>
        <v>6</v>
      </c>
      <c r="H1503" s="35">
        <f>IF(Metas_Diarias[[#This Row],[dias_da_demana]]=1,"domingo",IF(Metas_Diarias[[#This Row],[dias_da_demana]]=7,0.5,1))</f>
        <v>1</v>
      </c>
      <c r="I1503" s="35">
        <f>_xlfn.XLOOKUP(Metas_Diarias[[#This Row],[data]],Feriados[Data],Feriados[Feriado],1)</f>
        <v>1</v>
      </c>
      <c r="J1503" s="33" cm="1">
        <f t="array" aca="1" ref="J1503" ca="1">SUMPRODUCT(IF((NOT(ISERROR(MATCH(ROW(INDIRECT(DATE(YEAR(B1503),MONTH(B1503),1)&amp;":"&amp;DATE(YEAR(B1503),MONTH(B1503)+1,0))),Feriados[Data],0))))=FALSE,
IF(WEEKDAY(ROW(INDIRECT(DATE(YEAR(B1503),MONTH(B1503),1)&amp;":"&amp;DATE(YEAR(B1503),MONTH(B1503)+1,0))),2)&lt;=5,1,IF(WEEKDAY(ROW(INDIRECT(DATE(YEAR(B1503),MONTH(B1503),1)&amp;":"&amp;DATE(YEAR(B1503),MONTH(B1503)+1,0))),2)=6,0.5,0)),0))</f>
        <v>20</v>
      </c>
      <c r="K1503" s="22" cm="1">
        <f t="array" ref="K1503">_xlfn.XLOOKUP(1,((Metas_Diarias[[#This Row],[tipo_equipe_id]]=Metas[equipe])*(Metas_Diarias[[#This Row],[data]]&gt;Metas[data_inicio])*(Metas_Diarias[[#This Row],[data]]&lt;Metas[data_fim])),Metas[meta_mensal],0)</f>
        <v>115500</v>
      </c>
      <c r="L1503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04" spans="2:12" x14ac:dyDescent="0.3">
      <c r="B1504" s="34">
        <v>46060</v>
      </c>
      <c r="C1504" s="34" t="str">
        <f>TEXT(Metas_Diarias[[#This Row],[data]],"dddd")</f>
        <v>sábado</v>
      </c>
      <c r="D1504" s="33">
        <v>2</v>
      </c>
      <c r="E1504" s="33">
        <v>2</v>
      </c>
      <c r="F1504" s="18"/>
      <c r="G1504" s="35">
        <f>WEEKDAY(Metas_Diarias[[#This Row],[data]])</f>
        <v>7</v>
      </c>
      <c r="H1504" s="35">
        <f>IF(Metas_Diarias[[#This Row],[dias_da_demana]]=1,"domingo",IF(Metas_Diarias[[#This Row],[dias_da_demana]]=7,0.5,1))</f>
        <v>0.5</v>
      </c>
      <c r="I1504" s="35">
        <f>_xlfn.XLOOKUP(Metas_Diarias[[#This Row],[data]],Feriados[Data],Feriados[Feriado],1)</f>
        <v>1</v>
      </c>
      <c r="J1504" s="33" cm="1">
        <f t="array" aca="1" ref="J1504" ca="1">SUMPRODUCT(IF((NOT(ISERROR(MATCH(ROW(INDIRECT(DATE(YEAR(B1504),MONTH(B1504),1)&amp;":"&amp;DATE(YEAR(B1504),MONTH(B1504)+1,0))),Feriados[Data],0))))=FALSE,
IF(WEEKDAY(ROW(INDIRECT(DATE(YEAR(B1504),MONTH(B1504),1)&amp;":"&amp;DATE(YEAR(B1504),MONTH(B1504)+1,0))),2)&lt;=5,1,IF(WEEKDAY(ROW(INDIRECT(DATE(YEAR(B1504),MONTH(B1504),1)&amp;":"&amp;DATE(YEAR(B1504),MONTH(B1504)+1,0))),2)=6,0.5,0)),0))</f>
        <v>20</v>
      </c>
      <c r="K1504" s="22" cm="1">
        <f t="array" ref="K1504">_xlfn.XLOOKUP(1,((Metas_Diarias[[#This Row],[tipo_equipe_id]]=Metas[equipe])*(Metas_Diarias[[#This Row],[data]]&gt;Metas[data_inicio])*(Metas_Diarias[[#This Row],[data]]&lt;Metas[data_fim])),Metas[meta_mensal],0)</f>
        <v>115500</v>
      </c>
      <c r="L1504" s="24">
        <f ca="1">Metas_Diarias[[#This Row],[meta_mensal]]*IF(Metas_Diarias[[#This Row],[semana]]="domingo",0,Metas_Diarias[[#This Row],[semana]])*IF(Metas_Diarias[[#This Row],[feriado]]&lt;&gt;1,0,1)/Metas_Diarias[[#This Row],[dias_úteis_Mês]]</f>
        <v>2887.5</v>
      </c>
    </row>
    <row r="1505" spans="2:12" x14ac:dyDescent="0.3">
      <c r="B1505" s="34">
        <v>46061</v>
      </c>
      <c r="C1505" s="34" t="str">
        <f>TEXT(Metas_Diarias[[#This Row],[data]],"dddd")</f>
        <v>domingo</v>
      </c>
      <c r="D1505" s="33">
        <v>2</v>
      </c>
      <c r="E1505" s="33">
        <v>2</v>
      </c>
      <c r="F1505" s="18"/>
      <c r="G1505" s="35">
        <f>WEEKDAY(Metas_Diarias[[#This Row],[data]])</f>
        <v>1</v>
      </c>
      <c r="H1505" s="35" t="str">
        <f>IF(Metas_Diarias[[#This Row],[dias_da_demana]]=1,"domingo",IF(Metas_Diarias[[#This Row],[dias_da_demana]]=7,0.5,1))</f>
        <v>domingo</v>
      </c>
      <c r="I1505" s="35">
        <f>_xlfn.XLOOKUP(Metas_Diarias[[#This Row],[data]],Feriados[Data],Feriados[Feriado],1)</f>
        <v>1</v>
      </c>
      <c r="J1505" s="33" cm="1">
        <f t="array" aca="1" ref="J1505" ca="1">SUMPRODUCT(IF((NOT(ISERROR(MATCH(ROW(INDIRECT(DATE(YEAR(B1505),MONTH(B1505),1)&amp;":"&amp;DATE(YEAR(B1505),MONTH(B1505)+1,0))),Feriados[Data],0))))=FALSE,
IF(WEEKDAY(ROW(INDIRECT(DATE(YEAR(B1505),MONTH(B1505),1)&amp;":"&amp;DATE(YEAR(B1505),MONTH(B1505)+1,0))),2)&lt;=5,1,IF(WEEKDAY(ROW(INDIRECT(DATE(YEAR(B1505),MONTH(B1505),1)&amp;":"&amp;DATE(YEAR(B1505),MONTH(B1505)+1,0))),2)=6,0.5,0)),0))</f>
        <v>20</v>
      </c>
      <c r="K1505" s="22" cm="1">
        <f t="array" ref="K1505">_xlfn.XLOOKUP(1,((Metas_Diarias[[#This Row],[tipo_equipe_id]]=Metas[equipe])*(Metas_Diarias[[#This Row],[data]]&gt;Metas[data_inicio])*(Metas_Diarias[[#This Row],[data]]&lt;Metas[data_fim])),Metas[meta_mensal],0)</f>
        <v>115500</v>
      </c>
      <c r="L15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06" spans="2:12" x14ac:dyDescent="0.3">
      <c r="B1506" s="34">
        <v>46062</v>
      </c>
      <c r="C1506" s="34" t="str">
        <f>TEXT(Metas_Diarias[[#This Row],[data]],"dddd")</f>
        <v>segunda-feira</v>
      </c>
      <c r="D1506" s="33">
        <v>2</v>
      </c>
      <c r="E1506" s="33">
        <v>2</v>
      </c>
      <c r="F1506" s="18"/>
      <c r="G1506" s="35">
        <f>WEEKDAY(Metas_Diarias[[#This Row],[data]])</f>
        <v>2</v>
      </c>
      <c r="H1506" s="35">
        <f>IF(Metas_Diarias[[#This Row],[dias_da_demana]]=1,"domingo",IF(Metas_Diarias[[#This Row],[dias_da_demana]]=7,0.5,1))</f>
        <v>1</v>
      </c>
      <c r="I1506" s="35">
        <f>_xlfn.XLOOKUP(Metas_Diarias[[#This Row],[data]],Feriados[Data],Feriados[Feriado],1)</f>
        <v>1</v>
      </c>
      <c r="J1506" s="33" cm="1">
        <f t="array" aca="1" ref="J1506" ca="1">SUMPRODUCT(IF((NOT(ISERROR(MATCH(ROW(INDIRECT(DATE(YEAR(B1506),MONTH(B1506),1)&amp;":"&amp;DATE(YEAR(B1506),MONTH(B1506)+1,0))),Feriados[Data],0))))=FALSE,
IF(WEEKDAY(ROW(INDIRECT(DATE(YEAR(B1506),MONTH(B1506),1)&amp;":"&amp;DATE(YEAR(B1506),MONTH(B1506)+1,0))),2)&lt;=5,1,IF(WEEKDAY(ROW(INDIRECT(DATE(YEAR(B1506),MONTH(B1506),1)&amp;":"&amp;DATE(YEAR(B1506),MONTH(B1506)+1,0))),2)=6,0.5,0)),0))</f>
        <v>20</v>
      </c>
      <c r="K1506" s="22" cm="1">
        <f t="array" ref="K1506">_xlfn.XLOOKUP(1,((Metas_Diarias[[#This Row],[tipo_equipe_id]]=Metas[equipe])*(Metas_Diarias[[#This Row],[data]]&gt;Metas[data_inicio])*(Metas_Diarias[[#This Row],[data]]&lt;Metas[data_fim])),Metas[meta_mensal],0)</f>
        <v>115500</v>
      </c>
      <c r="L1506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07" spans="2:12" x14ac:dyDescent="0.3">
      <c r="B1507" s="34">
        <v>46063</v>
      </c>
      <c r="C1507" s="34" t="str">
        <f>TEXT(Metas_Diarias[[#This Row],[data]],"dddd")</f>
        <v>terça-feira</v>
      </c>
      <c r="D1507" s="33">
        <v>2</v>
      </c>
      <c r="E1507" s="33">
        <v>2</v>
      </c>
      <c r="F1507" s="18"/>
      <c r="G1507" s="35">
        <f>WEEKDAY(Metas_Diarias[[#This Row],[data]])</f>
        <v>3</v>
      </c>
      <c r="H1507" s="35">
        <f>IF(Metas_Diarias[[#This Row],[dias_da_demana]]=1,"domingo",IF(Metas_Diarias[[#This Row],[dias_da_demana]]=7,0.5,1))</f>
        <v>1</v>
      </c>
      <c r="I1507" s="35">
        <f>_xlfn.XLOOKUP(Metas_Diarias[[#This Row],[data]],Feriados[Data],Feriados[Feriado],1)</f>
        <v>1</v>
      </c>
      <c r="J1507" s="33" cm="1">
        <f t="array" aca="1" ref="J1507" ca="1">SUMPRODUCT(IF((NOT(ISERROR(MATCH(ROW(INDIRECT(DATE(YEAR(B1507),MONTH(B1507),1)&amp;":"&amp;DATE(YEAR(B1507),MONTH(B1507)+1,0))),Feriados[Data],0))))=FALSE,
IF(WEEKDAY(ROW(INDIRECT(DATE(YEAR(B1507),MONTH(B1507),1)&amp;":"&amp;DATE(YEAR(B1507),MONTH(B1507)+1,0))),2)&lt;=5,1,IF(WEEKDAY(ROW(INDIRECT(DATE(YEAR(B1507),MONTH(B1507),1)&amp;":"&amp;DATE(YEAR(B1507),MONTH(B1507)+1,0))),2)=6,0.5,0)),0))</f>
        <v>20</v>
      </c>
      <c r="K1507" s="22" cm="1">
        <f t="array" ref="K1507">_xlfn.XLOOKUP(1,((Metas_Diarias[[#This Row],[tipo_equipe_id]]=Metas[equipe])*(Metas_Diarias[[#This Row],[data]]&gt;Metas[data_inicio])*(Metas_Diarias[[#This Row],[data]]&lt;Metas[data_fim])),Metas[meta_mensal],0)</f>
        <v>115500</v>
      </c>
      <c r="L1507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08" spans="2:12" x14ac:dyDescent="0.3">
      <c r="B1508" s="34">
        <v>46064</v>
      </c>
      <c r="C1508" s="34" t="str">
        <f>TEXT(Metas_Diarias[[#This Row],[data]],"dddd")</f>
        <v>quarta-feira</v>
      </c>
      <c r="D1508" s="33">
        <v>2</v>
      </c>
      <c r="E1508" s="33">
        <v>2</v>
      </c>
      <c r="F1508" s="18"/>
      <c r="G1508" s="35">
        <f>WEEKDAY(Metas_Diarias[[#This Row],[data]])</f>
        <v>4</v>
      </c>
      <c r="H1508" s="35">
        <f>IF(Metas_Diarias[[#This Row],[dias_da_demana]]=1,"domingo",IF(Metas_Diarias[[#This Row],[dias_da_demana]]=7,0.5,1))</f>
        <v>1</v>
      </c>
      <c r="I1508" s="35">
        <f>_xlfn.XLOOKUP(Metas_Diarias[[#This Row],[data]],Feriados[Data],Feriados[Feriado],1)</f>
        <v>1</v>
      </c>
      <c r="J1508" s="33" cm="1">
        <f t="array" aca="1" ref="J1508" ca="1">SUMPRODUCT(IF((NOT(ISERROR(MATCH(ROW(INDIRECT(DATE(YEAR(B1508),MONTH(B1508),1)&amp;":"&amp;DATE(YEAR(B1508),MONTH(B1508)+1,0))),Feriados[Data],0))))=FALSE,
IF(WEEKDAY(ROW(INDIRECT(DATE(YEAR(B1508),MONTH(B1508),1)&amp;":"&amp;DATE(YEAR(B1508),MONTH(B1508)+1,0))),2)&lt;=5,1,IF(WEEKDAY(ROW(INDIRECT(DATE(YEAR(B1508),MONTH(B1508),1)&amp;":"&amp;DATE(YEAR(B1508),MONTH(B1508)+1,0))),2)=6,0.5,0)),0))</f>
        <v>20</v>
      </c>
      <c r="K1508" s="22" cm="1">
        <f t="array" ref="K1508">_xlfn.XLOOKUP(1,((Metas_Diarias[[#This Row],[tipo_equipe_id]]=Metas[equipe])*(Metas_Diarias[[#This Row],[data]]&gt;Metas[data_inicio])*(Metas_Diarias[[#This Row],[data]]&lt;Metas[data_fim])),Metas[meta_mensal],0)</f>
        <v>115500</v>
      </c>
      <c r="L1508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09" spans="2:12" x14ac:dyDescent="0.3">
      <c r="B1509" s="34">
        <v>46065</v>
      </c>
      <c r="C1509" s="34" t="str">
        <f>TEXT(Metas_Diarias[[#This Row],[data]],"dddd")</f>
        <v>quinta-feira</v>
      </c>
      <c r="D1509" s="33">
        <v>2</v>
      </c>
      <c r="E1509" s="33">
        <v>2</v>
      </c>
      <c r="F1509" s="18"/>
      <c r="G1509" s="35">
        <f>WEEKDAY(Metas_Diarias[[#This Row],[data]])</f>
        <v>5</v>
      </c>
      <c r="H1509" s="35">
        <f>IF(Metas_Diarias[[#This Row],[dias_da_demana]]=1,"domingo",IF(Metas_Diarias[[#This Row],[dias_da_demana]]=7,0.5,1))</f>
        <v>1</v>
      </c>
      <c r="I1509" s="35">
        <f>_xlfn.XLOOKUP(Metas_Diarias[[#This Row],[data]],Feriados[Data],Feriados[Feriado],1)</f>
        <v>1</v>
      </c>
      <c r="J1509" s="33" cm="1">
        <f t="array" aca="1" ref="J1509" ca="1">SUMPRODUCT(IF((NOT(ISERROR(MATCH(ROW(INDIRECT(DATE(YEAR(B1509),MONTH(B1509),1)&amp;":"&amp;DATE(YEAR(B1509),MONTH(B1509)+1,0))),Feriados[Data],0))))=FALSE,
IF(WEEKDAY(ROW(INDIRECT(DATE(YEAR(B1509),MONTH(B1509),1)&amp;":"&amp;DATE(YEAR(B1509),MONTH(B1509)+1,0))),2)&lt;=5,1,IF(WEEKDAY(ROW(INDIRECT(DATE(YEAR(B1509),MONTH(B1509),1)&amp;":"&amp;DATE(YEAR(B1509),MONTH(B1509)+1,0))),2)=6,0.5,0)),0))</f>
        <v>20</v>
      </c>
      <c r="K1509" s="22" cm="1">
        <f t="array" ref="K1509">_xlfn.XLOOKUP(1,((Metas_Diarias[[#This Row],[tipo_equipe_id]]=Metas[equipe])*(Metas_Diarias[[#This Row],[data]]&gt;Metas[data_inicio])*(Metas_Diarias[[#This Row],[data]]&lt;Metas[data_fim])),Metas[meta_mensal],0)</f>
        <v>115500</v>
      </c>
      <c r="L1509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10" spans="2:12" x14ac:dyDescent="0.3">
      <c r="B1510" s="34">
        <v>46066</v>
      </c>
      <c r="C1510" s="34" t="str">
        <f>TEXT(Metas_Diarias[[#This Row],[data]],"dddd")</f>
        <v>sexta-feira</v>
      </c>
      <c r="D1510" s="33">
        <v>2</v>
      </c>
      <c r="E1510" s="33">
        <v>2</v>
      </c>
      <c r="F1510" s="18"/>
      <c r="G1510" s="35">
        <f>WEEKDAY(Metas_Diarias[[#This Row],[data]])</f>
        <v>6</v>
      </c>
      <c r="H1510" s="35">
        <f>IF(Metas_Diarias[[#This Row],[dias_da_demana]]=1,"domingo",IF(Metas_Diarias[[#This Row],[dias_da_demana]]=7,0.5,1))</f>
        <v>1</v>
      </c>
      <c r="I1510" s="35">
        <f>_xlfn.XLOOKUP(Metas_Diarias[[#This Row],[data]],Feriados[Data],Feriados[Feriado],1)</f>
        <v>1</v>
      </c>
      <c r="J1510" s="33" cm="1">
        <f t="array" aca="1" ref="J1510" ca="1">SUMPRODUCT(IF((NOT(ISERROR(MATCH(ROW(INDIRECT(DATE(YEAR(B1510),MONTH(B1510),1)&amp;":"&amp;DATE(YEAR(B1510),MONTH(B1510)+1,0))),Feriados[Data],0))))=FALSE,
IF(WEEKDAY(ROW(INDIRECT(DATE(YEAR(B1510),MONTH(B1510),1)&amp;":"&amp;DATE(YEAR(B1510),MONTH(B1510)+1,0))),2)&lt;=5,1,IF(WEEKDAY(ROW(INDIRECT(DATE(YEAR(B1510),MONTH(B1510),1)&amp;":"&amp;DATE(YEAR(B1510),MONTH(B1510)+1,0))),2)=6,0.5,0)),0))</f>
        <v>20</v>
      </c>
      <c r="K1510" s="22" cm="1">
        <f t="array" ref="K1510">_xlfn.XLOOKUP(1,((Metas_Diarias[[#This Row],[tipo_equipe_id]]=Metas[equipe])*(Metas_Diarias[[#This Row],[data]]&gt;Metas[data_inicio])*(Metas_Diarias[[#This Row],[data]]&lt;Metas[data_fim])),Metas[meta_mensal],0)</f>
        <v>115500</v>
      </c>
      <c r="L1510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11" spans="2:12" x14ac:dyDescent="0.3">
      <c r="B1511" s="34">
        <v>46067</v>
      </c>
      <c r="C1511" s="34" t="str">
        <f>TEXT(Metas_Diarias[[#This Row],[data]],"dddd")</f>
        <v>sábado</v>
      </c>
      <c r="D1511" s="33">
        <v>2</v>
      </c>
      <c r="E1511" s="33">
        <v>2</v>
      </c>
      <c r="F1511" s="18"/>
      <c r="G1511" s="35">
        <f>WEEKDAY(Metas_Diarias[[#This Row],[data]])</f>
        <v>7</v>
      </c>
      <c r="H1511" s="35">
        <f>IF(Metas_Diarias[[#This Row],[dias_da_demana]]=1,"domingo",IF(Metas_Diarias[[#This Row],[dias_da_demana]]=7,0.5,1))</f>
        <v>0.5</v>
      </c>
      <c r="I1511" s="35">
        <f>_xlfn.XLOOKUP(Metas_Diarias[[#This Row],[data]],Feriados[Data],Feriados[Feriado],1)</f>
        <v>1</v>
      </c>
      <c r="J1511" s="33" cm="1">
        <f t="array" aca="1" ref="J1511" ca="1">SUMPRODUCT(IF((NOT(ISERROR(MATCH(ROW(INDIRECT(DATE(YEAR(B1511),MONTH(B1511),1)&amp;":"&amp;DATE(YEAR(B1511),MONTH(B1511)+1,0))),Feriados[Data],0))))=FALSE,
IF(WEEKDAY(ROW(INDIRECT(DATE(YEAR(B1511),MONTH(B1511),1)&amp;":"&amp;DATE(YEAR(B1511),MONTH(B1511)+1,0))),2)&lt;=5,1,IF(WEEKDAY(ROW(INDIRECT(DATE(YEAR(B1511),MONTH(B1511),1)&amp;":"&amp;DATE(YEAR(B1511),MONTH(B1511)+1,0))),2)=6,0.5,0)),0))</f>
        <v>20</v>
      </c>
      <c r="K1511" s="22" cm="1">
        <f t="array" ref="K1511">_xlfn.XLOOKUP(1,((Metas_Diarias[[#This Row],[tipo_equipe_id]]=Metas[equipe])*(Metas_Diarias[[#This Row],[data]]&gt;Metas[data_inicio])*(Metas_Diarias[[#This Row],[data]]&lt;Metas[data_fim])),Metas[meta_mensal],0)</f>
        <v>115500</v>
      </c>
      <c r="L1511" s="24">
        <f ca="1">Metas_Diarias[[#This Row],[meta_mensal]]*IF(Metas_Diarias[[#This Row],[semana]]="domingo",0,Metas_Diarias[[#This Row],[semana]])*IF(Metas_Diarias[[#This Row],[feriado]]&lt;&gt;1,0,1)/Metas_Diarias[[#This Row],[dias_úteis_Mês]]</f>
        <v>2887.5</v>
      </c>
    </row>
    <row r="1512" spans="2:12" x14ac:dyDescent="0.3">
      <c r="B1512" s="34">
        <v>46068</v>
      </c>
      <c r="C1512" s="34" t="str">
        <f>TEXT(Metas_Diarias[[#This Row],[data]],"dddd")</f>
        <v>domingo</v>
      </c>
      <c r="D1512" s="33">
        <v>2</v>
      </c>
      <c r="E1512" s="33">
        <v>2</v>
      </c>
      <c r="F1512" s="18"/>
      <c r="G1512" s="35">
        <f>WEEKDAY(Metas_Diarias[[#This Row],[data]])</f>
        <v>1</v>
      </c>
      <c r="H1512" s="35" t="str">
        <f>IF(Metas_Diarias[[#This Row],[dias_da_demana]]=1,"domingo",IF(Metas_Diarias[[#This Row],[dias_da_demana]]=7,0.5,1))</f>
        <v>domingo</v>
      </c>
      <c r="I1512" s="35">
        <f>_xlfn.XLOOKUP(Metas_Diarias[[#This Row],[data]],Feriados[Data],Feriados[Feriado],1)</f>
        <v>1</v>
      </c>
      <c r="J1512" s="33" cm="1">
        <f t="array" aca="1" ref="J1512" ca="1">SUMPRODUCT(IF((NOT(ISERROR(MATCH(ROW(INDIRECT(DATE(YEAR(B1512),MONTH(B1512),1)&amp;":"&amp;DATE(YEAR(B1512),MONTH(B1512)+1,0))),Feriados[Data],0))))=FALSE,
IF(WEEKDAY(ROW(INDIRECT(DATE(YEAR(B1512),MONTH(B1512),1)&amp;":"&amp;DATE(YEAR(B1512),MONTH(B1512)+1,0))),2)&lt;=5,1,IF(WEEKDAY(ROW(INDIRECT(DATE(YEAR(B1512),MONTH(B1512),1)&amp;":"&amp;DATE(YEAR(B1512),MONTH(B1512)+1,0))),2)=6,0.5,0)),0))</f>
        <v>20</v>
      </c>
      <c r="K1512" s="22" cm="1">
        <f t="array" ref="K1512">_xlfn.XLOOKUP(1,((Metas_Diarias[[#This Row],[tipo_equipe_id]]=Metas[equipe])*(Metas_Diarias[[#This Row],[data]]&gt;Metas[data_inicio])*(Metas_Diarias[[#This Row],[data]]&lt;Metas[data_fim])),Metas[meta_mensal],0)</f>
        <v>115500</v>
      </c>
      <c r="L15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13" spans="2:12" x14ac:dyDescent="0.3">
      <c r="B1513" s="34">
        <v>46069</v>
      </c>
      <c r="C1513" s="34" t="str">
        <f>TEXT(Metas_Diarias[[#This Row],[data]],"dddd")</f>
        <v>segunda-feira</v>
      </c>
      <c r="D1513" s="33">
        <v>2</v>
      </c>
      <c r="E1513" s="33">
        <v>2</v>
      </c>
      <c r="F1513" s="18"/>
      <c r="G1513" s="35">
        <f>WEEKDAY(Metas_Diarias[[#This Row],[data]])</f>
        <v>2</v>
      </c>
      <c r="H1513" s="35">
        <f>IF(Metas_Diarias[[#This Row],[dias_da_demana]]=1,"domingo",IF(Metas_Diarias[[#This Row],[dias_da_demana]]=7,0.5,1))</f>
        <v>1</v>
      </c>
      <c r="I1513" s="35" t="str">
        <f>_xlfn.XLOOKUP(Metas_Diarias[[#This Row],[data]],Feriados[Data],Feriados[Feriado],1)</f>
        <v>Carnaval</v>
      </c>
      <c r="J1513" s="33" cm="1">
        <f t="array" aca="1" ref="J1513" ca="1">SUMPRODUCT(IF((NOT(ISERROR(MATCH(ROW(INDIRECT(DATE(YEAR(B1513),MONTH(B1513),1)&amp;":"&amp;DATE(YEAR(B1513),MONTH(B1513)+1,0))),Feriados[Data],0))))=FALSE,
IF(WEEKDAY(ROW(INDIRECT(DATE(YEAR(B1513),MONTH(B1513),1)&amp;":"&amp;DATE(YEAR(B1513),MONTH(B1513)+1,0))),2)&lt;=5,1,IF(WEEKDAY(ROW(INDIRECT(DATE(YEAR(B1513),MONTH(B1513),1)&amp;":"&amp;DATE(YEAR(B1513),MONTH(B1513)+1,0))),2)=6,0.5,0)),0))</f>
        <v>20</v>
      </c>
      <c r="K1513" s="22" cm="1">
        <f t="array" ref="K1513">_xlfn.XLOOKUP(1,((Metas_Diarias[[#This Row],[tipo_equipe_id]]=Metas[equipe])*(Metas_Diarias[[#This Row],[data]]&gt;Metas[data_inicio])*(Metas_Diarias[[#This Row],[data]]&lt;Metas[data_fim])),Metas[meta_mensal],0)</f>
        <v>115500</v>
      </c>
      <c r="L151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14" spans="2:12" x14ac:dyDescent="0.3">
      <c r="B1514" s="34">
        <v>46070</v>
      </c>
      <c r="C1514" s="34" t="str">
        <f>TEXT(Metas_Diarias[[#This Row],[data]],"dddd")</f>
        <v>terça-feira</v>
      </c>
      <c r="D1514" s="33">
        <v>2</v>
      </c>
      <c r="E1514" s="33">
        <v>2</v>
      </c>
      <c r="F1514" s="18"/>
      <c r="G1514" s="35">
        <f>WEEKDAY(Metas_Diarias[[#This Row],[data]])</f>
        <v>3</v>
      </c>
      <c r="H1514" s="35">
        <f>IF(Metas_Diarias[[#This Row],[dias_da_demana]]=1,"domingo",IF(Metas_Diarias[[#This Row],[dias_da_demana]]=7,0.5,1))</f>
        <v>1</v>
      </c>
      <c r="I1514" s="35" t="str">
        <f>_xlfn.XLOOKUP(Metas_Diarias[[#This Row],[data]],Feriados[Data],Feriados[Feriado],1)</f>
        <v>Carnaval</v>
      </c>
      <c r="J1514" s="33" cm="1">
        <f t="array" aca="1" ref="J1514" ca="1">SUMPRODUCT(IF((NOT(ISERROR(MATCH(ROW(INDIRECT(DATE(YEAR(B1514),MONTH(B1514),1)&amp;":"&amp;DATE(YEAR(B1514),MONTH(B1514)+1,0))),Feriados[Data],0))))=FALSE,
IF(WEEKDAY(ROW(INDIRECT(DATE(YEAR(B1514),MONTH(B1514),1)&amp;":"&amp;DATE(YEAR(B1514),MONTH(B1514)+1,0))),2)&lt;=5,1,IF(WEEKDAY(ROW(INDIRECT(DATE(YEAR(B1514),MONTH(B1514),1)&amp;":"&amp;DATE(YEAR(B1514),MONTH(B1514)+1,0))),2)=6,0.5,0)),0))</f>
        <v>20</v>
      </c>
      <c r="K1514" s="22" cm="1">
        <f t="array" ref="K1514">_xlfn.XLOOKUP(1,((Metas_Diarias[[#This Row],[tipo_equipe_id]]=Metas[equipe])*(Metas_Diarias[[#This Row],[data]]&gt;Metas[data_inicio])*(Metas_Diarias[[#This Row],[data]]&lt;Metas[data_fim])),Metas[meta_mensal],0)</f>
        <v>115500</v>
      </c>
      <c r="L15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15" spans="2:12" x14ac:dyDescent="0.3">
      <c r="B1515" s="34">
        <v>46071</v>
      </c>
      <c r="C1515" s="34" t="str">
        <f>TEXT(Metas_Diarias[[#This Row],[data]],"dddd")</f>
        <v>quarta-feira</v>
      </c>
      <c r="D1515" s="33">
        <v>2</v>
      </c>
      <c r="E1515" s="33">
        <v>2</v>
      </c>
      <c r="F1515" s="18"/>
      <c r="G1515" s="35">
        <f>WEEKDAY(Metas_Diarias[[#This Row],[data]])</f>
        <v>4</v>
      </c>
      <c r="H1515" s="35">
        <f>IF(Metas_Diarias[[#This Row],[dias_da_demana]]=1,"domingo",IF(Metas_Diarias[[#This Row],[dias_da_demana]]=7,0.5,1))</f>
        <v>1</v>
      </c>
      <c r="I1515" s="35">
        <f>_xlfn.XLOOKUP(Metas_Diarias[[#This Row],[data]],Feriados[Data],Feriados[Feriado],1)</f>
        <v>1</v>
      </c>
      <c r="J1515" s="33" cm="1">
        <f t="array" aca="1" ref="J1515" ca="1">SUMPRODUCT(IF((NOT(ISERROR(MATCH(ROW(INDIRECT(DATE(YEAR(B1515),MONTH(B1515),1)&amp;":"&amp;DATE(YEAR(B1515),MONTH(B1515)+1,0))),Feriados[Data],0))))=FALSE,
IF(WEEKDAY(ROW(INDIRECT(DATE(YEAR(B1515),MONTH(B1515),1)&amp;":"&amp;DATE(YEAR(B1515),MONTH(B1515)+1,0))),2)&lt;=5,1,IF(WEEKDAY(ROW(INDIRECT(DATE(YEAR(B1515),MONTH(B1515),1)&amp;":"&amp;DATE(YEAR(B1515),MONTH(B1515)+1,0))),2)=6,0.5,0)),0))</f>
        <v>20</v>
      </c>
      <c r="K1515" s="22" cm="1">
        <f t="array" ref="K1515">_xlfn.XLOOKUP(1,((Metas_Diarias[[#This Row],[tipo_equipe_id]]=Metas[equipe])*(Metas_Diarias[[#This Row],[data]]&gt;Metas[data_inicio])*(Metas_Diarias[[#This Row],[data]]&lt;Metas[data_fim])),Metas[meta_mensal],0)</f>
        <v>115500</v>
      </c>
      <c r="L1515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16" spans="2:12" x14ac:dyDescent="0.3">
      <c r="B1516" s="34">
        <v>46072</v>
      </c>
      <c r="C1516" s="34" t="str">
        <f>TEXT(Metas_Diarias[[#This Row],[data]],"dddd")</f>
        <v>quinta-feira</v>
      </c>
      <c r="D1516" s="33">
        <v>2</v>
      </c>
      <c r="E1516" s="33">
        <v>2</v>
      </c>
      <c r="F1516" s="18"/>
      <c r="G1516" s="35">
        <f>WEEKDAY(Metas_Diarias[[#This Row],[data]])</f>
        <v>5</v>
      </c>
      <c r="H1516" s="35">
        <f>IF(Metas_Diarias[[#This Row],[dias_da_demana]]=1,"domingo",IF(Metas_Diarias[[#This Row],[dias_da_demana]]=7,0.5,1))</f>
        <v>1</v>
      </c>
      <c r="I1516" s="35">
        <f>_xlfn.XLOOKUP(Metas_Diarias[[#This Row],[data]],Feriados[Data],Feriados[Feriado],1)</f>
        <v>1</v>
      </c>
      <c r="J1516" s="33" cm="1">
        <f t="array" aca="1" ref="J1516" ca="1">SUMPRODUCT(IF((NOT(ISERROR(MATCH(ROW(INDIRECT(DATE(YEAR(B1516),MONTH(B1516),1)&amp;":"&amp;DATE(YEAR(B1516),MONTH(B1516)+1,0))),Feriados[Data],0))))=FALSE,
IF(WEEKDAY(ROW(INDIRECT(DATE(YEAR(B1516),MONTH(B1516),1)&amp;":"&amp;DATE(YEAR(B1516),MONTH(B1516)+1,0))),2)&lt;=5,1,IF(WEEKDAY(ROW(INDIRECT(DATE(YEAR(B1516),MONTH(B1516),1)&amp;":"&amp;DATE(YEAR(B1516),MONTH(B1516)+1,0))),2)=6,0.5,0)),0))</f>
        <v>20</v>
      </c>
      <c r="K1516" s="22" cm="1">
        <f t="array" ref="K1516">_xlfn.XLOOKUP(1,((Metas_Diarias[[#This Row],[tipo_equipe_id]]=Metas[equipe])*(Metas_Diarias[[#This Row],[data]]&gt;Metas[data_inicio])*(Metas_Diarias[[#This Row],[data]]&lt;Metas[data_fim])),Metas[meta_mensal],0)</f>
        <v>115500</v>
      </c>
      <c r="L1516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17" spans="2:12" x14ac:dyDescent="0.3">
      <c r="B1517" s="34">
        <v>46073</v>
      </c>
      <c r="C1517" s="34" t="str">
        <f>TEXT(Metas_Diarias[[#This Row],[data]],"dddd")</f>
        <v>sexta-feira</v>
      </c>
      <c r="D1517" s="33">
        <v>2</v>
      </c>
      <c r="E1517" s="33">
        <v>2</v>
      </c>
      <c r="F1517" s="18"/>
      <c r="G1517" s="35">
        <f>WEEKDAY(Metas_Diarias[[#This Row],[data]])</f>
        <v>6</v>
      </c>
      <c r="H1517" s="35">
        <f>IF(Metas_Diarias[[#This Row],[dias_da_demana]]=1,"domingo",IF(Metas_Diarias[[#This Row],[dias_da_demana]]=7,0.5,1))</f>
        <v>1</v>
      </c>
      <c r="I1517" s="35">
        <f>_xlfn.XLOOKUP(Metas_Diarias[[#This Row],[data]],Feriados[Data],Feriados[Feriado],1)</f>
        <v>1</v>
      </c>
      <c r="J1517" s="33" cm="1">
        <f t="array" aca="1" ref="J1517" ca="1">SUMPRODUCT(IF((NOT(ISERROR(MATCH(ROW(INDIRECT(DATE(YEAR(B1517),MONTH(B1517),1)&amp;":"&amp;DATE(YEAR(B1517),MONTH(B1517)+1,0))),Feriados[Data],0))))=FALSE,
IF(WEEKDAY(ROW(INDIRECT(DATE(YEAR(B1517),MONTH(B1517),1)&amp;":"&amp;DATE(YEAR(B1517),MONTH(B1517)+1,0))),2)&lt;=5,1,IF(WEEKDAY(ROW(INDIRECT(DATE(YEAR(B1517),MONTH(B1517),1)&amp;":"&amp;DATE(YEAR(B1517),MONTH(B1517)+1,0))),2)=6,0.5,0)),0))</f>
        <v>20</v>
      </c>
      <c r="K1517" s="22" cm="1">
        <f t="array" ref="K1517">_xlfn.XLOOKUP(1,((Metas_Diarias[[#This Row],[tipo_equipe_id]]=Metas[equipe])*(Metas_Diarias[[#This Row],[data]]&gt;Metas[data_inicio])*(Metas_Diarias[[#This Row],[data]]&lt;Metas[data_fim])),Metas[meta_mensal],0)</f>
        <v>115500</v>
      </c>
      <c r="L1517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18" spans="2:12" x14ac:dyDescent="0.3">
      <c r="B1518" s="34">
        <v>46074</v>
      </c>
      <c r="C1518" s="34" t="str">
        <f>TEXT(Metas_Diarias[[#This Row],[data]],"dddd")</f>
        <v>sábado</v>
      </c>
      <c r="D1518" s="33">
        <v>2</v>
      </c>
      <c r="E1518" s="33">
        <v>2</v>
      </c>
      <c r="F1518" s="18"/>
      <c r="G1518" s="35">
        <f>WEEKDAY(Metas_Diarias[[#This Row],[data]])</f>
        <v>7</v>
      </c>
      <c r="H1518" s="35">
        <f>IF(Metas_Diarias[[#This Row],[dias_da_demana]]=1,"domingo",IF(Metas_Diarias[[#This Row],[dias_da_demana]]=7,0.5,1))</f>
        <v>0.5</v>
      </c>
      <c r="I1518" s="35">
        <f>_xlfn.XLOOKUP(Metas_Diarias[[#This Row],[data]],Feriados[Data],Feriados[Feriado],1)</f>
        <v>1</v>
      </c>
      <c r="J1518" s="33" cm="1">
        <f t="array" aca="1" ref="J1518" ca="1">SUMPRODUCT(IF((NOT(ISERROR(MATCH(ROW(INDIRECT(DATE(YEAR(B1518),MONTH(B1518),1)&amp;":"&amp;DATE(YEAR(B1518),MONTH(B1518)+1,0))),Feriados[Data],0))))=FALSE,
IF(WEEKDAY(ROW(INDIRECT(DATE(YEAR(B1518),MONTH(B1518),1)&amp;":"&amp;DATE(YEAR(B1518),MONTH(B1518)+1,0))),2)&lt;=5,1,IF(WEEKDAY(ROW(INDIRECT(DATE(YEAR(B1518),MONTH(B1518),1)&amp;":"&amp;DATE(YEAR(B1518),MONTH(B1518)+1,0))),2)=6,0.5,0)),0))</f>
        <v>20</v>
      </c>
      <c r="K1518" s="22" cm="1">
        <f t="array" ref="K1518">_xlfn.XLOOKUP(1,((Metas_Diarias[[#This Row],[tipo_equipe_id]]=Metas[equipe])*(Metas_Diarias[[#This Row],[data]]&gt;Metas[data_inicio])*(Metas_Diarias[[#This Row],[data]]&lt;Metas[data_fim])),Metas[meta_mensal],0)</f>
        <v>115500</v>
      </c>
      <c r="L1518" s="24">
        <f ca="1">Metas_Diarias[[#This Row],[meta_mensal]]*IF(Metas_Diarias[[#This Row],[semana]]="domingo",0,Metas_Diarias[[#This Row],[semana]])*IF(Metas_Diarias[[#This Row],[feriado]]&lt;&gt;1,0,1)/Metas_Diarias[[#This Row],[dias_úteis_Mês]]</f>
        <v>2887.5</v>
      </c>
    </row>
    <row r="1519" spans="2:12" x14ac:dyDescent="0.3">
      <c r="B1519" s="34">
        <v>46075</v>
      </c>
      <c r="C1519" s="34" t="str">
        <f>TEXT(Metas_Diarias[[#This Row],[data]],"dddd")</f>
        <v>domingo</v>
      </c>
      <c r="D1519" s="33">
        <v>2</v>
      </c>
      <c r="E1519" s="33">
        <v>2</v>
      </c>
      <c r="F1519" s="18"/>
      <c r="G1519" s="35">
        <f>WEEKDAY(Metas_Diarias[[#This Row],[data]])</f>
        <v>1</v>
      </c>
      <c r="H1519" s="35" t="str">
        <f>IF(Metas_Diarias[[#This Row],[dias_da_demana]]=1,"domingo",IF(Metas_Diarias[[#This Row],[dias_da_demana]]=7,0.5,1))</f>
        <v>domingo</v>
      </c>
      <c r="I1519" s="35">
        <f>_xlfn.XLOOKUP(Metas_Diarias[[#This Row],[data]],Feriados[Data],Feriados[Feriado],1)</f>
        <v>1</v>
      </c>
      <c r="J1519" s="33" cm="1">
        <f t="array" aca="1" ref="J1519" ca="1">SUMPRODUCT(IF((NOT(ISERROR(MATCH(ROW(INDIRECT(DATE(YEAR(B1519),MONTH(B1519),1)&amp;":"&amp;DATE(YEAR(B1519),MONTH(B1519)+1,0))),Feriados[Data],0))))=FALSE,
IF(WEEKDAY(ROW(INDIRECT(DATE(YEAR(B1519),MONTH(B1519),1)&amp;":"&amp;DATE(YEAR(B1519),MONTH(B1519)+1,0))),2)&lt;=5,1,IF(WEEKDAY(ROW(INDIRECT(DATE(YEAR(B1519),MONTH(B1519),1)&amp;":"&amp;DATE(YEAR(B1519),MONTH(B1519)+1,0))),2)=6,0.5,0)),0))</f>
        <v>20</v>
      </c>
      <c r="K1519" s="22" cm="1">
        <f t="array" ref="K1519">_xlfn.XLOOKUP(1,((Metas_Diarias[[#This Row],[tipo_equipe_id]]=Metas[equipe])*(Metas_Diarias[[#This Row],[data]]&gt;Metas[data_inicio])*(Metas_Diarias[[#This Row],[data]]&lt;Metas[data_fim])),Metas[meta_mensal],0)</f>
        <v>115500</v>
      </c>
      <c r="L15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20" spans="2:12" x14ac:dyDescent="0.3">
      <c r="B1520" s="34">
        <v>46076</v>
      </c>
      <c r="C1520" s="34" t="str">
        <f>TEXT(Metas_Diarias[[#This Row],[data]],"dddd")</f>
        <v>segunda-feira</v>
      </c>
      <c r="D1520" s="33">
        <v>2</v>
      </c>
      <c r="E1520" s="33">
        <v>2</v>
      </c>
      <c r="F1520" s="18"/>
      <c r="G1520" s="35">
        <f>WEEKDAY(Metas_Diarias[[#This Row],[data]])</f>
        <v>2</v>
      </c>
      <c r="H1520" s="35">
        <f>IF(Metas_Diarias[[#This Row],[dias_da_demana]]=1,"domingo",IF(Metas_Diarias[[#This Row],[dias_da_demana]]=7,0.5,1))</f>
        <v>1</v>
      </c>
      <c r="I1520" s="35">
        <f>_xlfn.XLOOKUP(Metas_Diarias[[#This Row],[data]],Feriados[Data],Feriados[Feriado],1)</f>
        <v>1</v>
      </c>
      <c r="J1520" s="33" cm="1">
        <f t="array" aca="1" ref="J1520" ca="1">SUMPRODUCT(IF((NOT(ISERROR(MATCH(ROW(INDIRECT(DATE(YEAR(B1520),MONTH(B1520),1)&amp;":"&amp;DATE(YEAR(B1520),MONTH(B1520)+1,0))),Feriados[Data],0))))=FALSE,
IF(WEEKDAY(ROW(INDIRECT(DATE(YEAR(B1520),MONTH(B1520),1)&amp;":"&amp;DATE(YEAR(B1520),MONTH(B1520)+1,0))),2)&lt;=5,1,IF(WEEKDAY(ROW(INDIRECT(DATE(YEAR(B1520),MONTH(B1520),1)&amp;":"&amp;DATE(YEAR(B1520),MONTH(B1520)+1,0))),2)=6,0.5,0)),0))</f>
        <v>20</v>
      </c>
      <c r="K1520" s="22" cm="1">
        <f t="array" ref="K1520">_xlfn.XLOOKUP(1,((Metas_Diarias[[#This Row],[tipo_equipe_id]]=Metas[equipe])*(Metas_Diarias[[#This Row],[data]]&gt;Metas[data_inicio])*(Metas_Diarias[[#This Row],[data]]&lt;Metas[data_fim])),Metas[meta_mensal],0)</f>
        <v>115500</v>
      </c>
      <c r="L1520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21" spans="2:12" x14ac:dyDescent="0.3">
      <c r="B1521" s="34">
        <v>46077</v>
      </c>
      <c r="C1521" s="34" t="str">
        <f>TEXT(Metas_Diarias[[#This Row],[data]],"dddd")</f>
        <v>terça-feira</v>
      </c>
      <c r="D1521" s="33">
        <v>2</v>
      </c>
      <c r="E1521" s="33">
        <v>2</v>
      </c>
      <c r="F1521" s="18"/>
      <c r="G1521" s="35">
        <f>WEEKDAY(Metas_Diarias[[#This Row],[data]])</f>
        <v>3</v>
      </c>
      <c r="H1521" s="35">
        <f>IF(Metas_Diarias[[#This Row],[dias_da_demana]]=1,"domingo",IF(Metas_Diarias[[#This Row],[dias_da_demana]]=7,0.5,1))</f>
        <v>1</v>
      </c>
      <c r="I1521" s="35">
        <f>_xlfn.XLOOKUP(Metas_Diarias[[#This Row],[data]],Feriados[Data],Feriados[Feriado],1)</f>
        <v>1</v>
      </c>
      <c r="J1521" s="33" cm="1">
        <f t="array" aca="1" ref="J1521" ca="1">SUMPRODUCT(IF((NOT(ISERROR(MATCH(ROW(INDIRECT(DATE(YEAR(B1521),MONTH(B1521),1)&amp;":"&amp;DATE(YEAR(B1521),MONTH(B1521)+1,0))),Feriados[Data],0))))=FALSE,
IF(WEEKDAY(ROW(INDIRECT(DATE(YEAR(B1521),MONTH(B1521),1)&amp;":"&amp;DATE(YEAR(B1521),MONTH(B1521)+1,0))),2)&lt;=5,1,IF(WEEKDAY(ROW(INDIRECT(DATE(YEAR(B1521),MONTH(B1521),1)&amp;":"&amp;DATE(YEAR(B1521),MONTH(B1521)+1,0))),2)=6,0.5,0)),0))</f>
        <v>20</v>
      </c>
      <c r="K1521" s="22" cm="1">
        <f t="array" ref="K1521">_xlfn.XLOOKUP(1,((Metas_Diarias[[#This Row],[tipo_equipe_id]]=Metas[equipe])*(Metas_Diarias[[#This Row],[data]]&gt;Metas[data_inicio])*(Metas_Diarias[[#This Row],[data]]&lt;Metas[data_fim])),Metas[meta_mensal],0)</f>
        <v>115500</v>
      </c>
      <c r="L1521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22" spans="2:12" x14ac:dyDescent="0.3">
      <c r="B1522" s="34">
        <v>46078</v>
      </c>
      <c r="C1522" s="34" t="str">
        <f>TEXT(Metas_Diarias[[#This Row],[data]],"dddd")</f>
        <v>quarta-feira</v>
      </c>
      <c r="D1522" s="33">
        <v>2</v>
      </c>
      <c r="E1522" s="33">
        <v>2</v>
      </c>
      <c r="F1522" s="18"/>
      <c r="G1522" s="35">
        <f>WEEKDAY(Metas_Diarias[[#This Row],[data]])</f>
        <v>4</v>
      </c>
      <c r="H1522" s="35">
        <f>IF(Metas_Diarias[[#This Row],[dias_da_demana]]=1,"domingo",IF(Metas_Diarias[[#This Row],[dias_da_demana]]=7,0.5,1))</f>
        <v>1</v>
      </c>
      <c r="I1522" s="35">
        <f>_xlfn.XLOOKUP(Metas_Diarias[[#This Row],[data]],Feriados[Data],Feriados[Feriado],1)</f>
        <v>1</v>
      </c>
      <c r="J1522" s="33" cm="1">
        <f t="array" aca="1" ref="J1522" ca="1">SUMPRODUCT(IF((NOT(ISERROR(MATCH(ROW(INDIRECT(DATE(YEAR(B1522),MONTH(B1522),1)&amp;":"&amp;DATE(YEAR(B1522),MONTH(B1522)+1,0))),Feriados[Data],0))))=FALSE,
IF(WEEKDAY(ROW(INDIRECT(DATE(YEAR(B1522),MONTH(B1522),1)&amp;":"&amp;DATE(YEAR(B1522),MONTH(B1522)+1,0))),2)&lt;=5,1,IF(WEEKDAY(ROW(INDIRECT(DATE(YEAR(B1522),MONTH(B1522),1)&amp;":"&amp;DATE(YEAR(B1522),MONTH(B1522)+1,0))),2)=6,0.5,0)),0))</f>
        <v>20</v>
      </c>
      <c r="K1522" s="22" cm="1">
        <f t="array" ref="K1522">_xlfn.XLOOKUP(1,((Metas_Diarias[[#This Row],[tipo_equipe_id]]=Metas[equipe])*(Metas_Diarias[[#This Row],[data]]&gt;Metas[data_inicio])*(Metas_Diarias[[#This Row],[data]]&lt;Metas[data_fim])),Metas[meta_mensal],0)</f>
        <v>115500</v>
      </c>
      <c r="L1522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23" spans="2:12" x14ac:dyDescent="0.3">
      <c r="B1523" s="34">
        <v>46079</v>
      </c>
      <c r="C1523" s="34" t="str">
        <f>TEXT(Metas_Diarias[[#This Row],[data]],"dddd")</f>
        <v>quinta-feira</v>
      </c>
      <c r="D1523" s="33">
        <v>2</v>
      </c>
      <c r="E1523" s="33">
        <v>2</v>
      </c>
      <c r="F1523" s="18"/>
      <c r="G1523" s="35">
        <f>WEEKDAY(Metas_Diarias[[#This Row],[data]])</f>
        <v>5</v>
      </c>
      <c r="H1523" s="35">
        <f>IF(Metas_Diarias[[#This Row],[dias_da_demana]]=1,"domingo",IF(Metas_Diarias[[#This Row],[dias_da_demana]]=7,0.5,1))</f>
        <v>1</v>
      </c>
      <c r="I1523" s="35">
        <f>_xlfn.XLOOKUP(Metas_Diarias[[#This Row],[data]],Feriados[Data],Feriados[Feriado],1)</f>
        <v>1</v>
      </c>
      <c r="J1523" s="33" cm="1">
        <f t="array" aca="1" ref="J1523" ca="1">SUMPRODUCT(IF((NOT(ISERROR(MATCH(ROW(INDIRECT(DATE(YEAR(B1523),MONTH(B1523),1)&amp;":"&amp;DATE(YEAR(B1523),MONTH(B1523)+1,0))),Feriados[Data],0))))=FALSE,
IF(WEEKDAY(ROW(INDIRECT(DATE(YEAR(B1523),MONTH(B1523),1)&amp;":"&amp;DATE(YEAR(B1523),MONTH(B1523)+1,0))),2)&lt;=5,1,IF(WEEKDAY(ROW(INDIRECT(DATE(YEAR(B1523),MONTH(B1523),1)&amp;":"&amp;DATE(YEAR(B1523),MONTH(B1523)+1,0))),2)=6,0.5,0)),0))</f>
        <v>20</v>
      </c>
      <c r="K1523" s="22" cm="1">
        <f t="array" ref="K1523">_xlfn.XLOOKUP(1,((Metas_Diarias[[#This Row],[tipo_equipe_id]]=Metas[equipe])*(Metas_Diarias[[#This Row],[data]]&gt;Metas[data_inicio])*(Metas_Diarias[[#This Row],[data]]&lt;Metas[data_fim])),Metas[meta_mensal],0)</f>
        <v>115500</v>
      </c>
      <c r="L1523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24" spans="2:12" x14ac:dyDescent="0.3">
      <c r="B1524" s="34">
        <v>46080</v>
      </c>
      <c r="C1524" s="34" t="str">
        <f>TEXT(Metas_Diarias[[#This Row],[data]],"dddd")</f>
        <v>sexta-feira</v>
      </c>
      <c r="D1524" s="33">
        <v>2</v>
      </c>
      <c r="E1524" s="33">
        <v>2</v>
      </c>
      <c r="F1524" s="18"/>
      <c r="G1524" s="35">
        <f>WEEKDAY(Metas_Diarias[[#This Row],[data]])</f>
        <v>6</v>
      </c>
      <c r="H1524" s="35">
        <f>IF(Metas_Diarias[[#This Row],[dias_da_demana]]=1,"domingo",IF(Metas_Diarias[[#This Row],[dias_da_demana]]=7,0.5,1))</f>
        <v>1</v>
      </c>
      <c r="I1524" s="35">
        <f>_xlfn.XLOOKUP(Metas_Diarias[[#This Row],[data]],Feriados[Data],Feriados[Feriado],1)</f>
        <v>1</v>
      </c>
      <c r="J1524" s="33" cm="1">
        <f t="array" aca="1" ref="J1524" ca="1">SUMPRODUCT(IF((NOT(ISERROR(MATCH(ROW(INDIRECT(DATE(YEAR(B1524),MONTH(B1524),1)&amp;":"&amp;DATE(YEAR(B1524),MONTH(B1524)+1,0))),Feriados[Data],0))))=FALSE,
IF(WEEKDAY(ROW(INDIRECT(DATE(YEAR(B1524),MONTH(B1524),1)&amp;":"&amp;DATE(YEAR(B1524),MONTH(B1524)+1,0))),2)&lt;=5,1,IF(WEEKDAY(ROW(INDIRECT(DATE(YEAR(B1524),MONTH(B1524),1)&amp;":"&amp;DATE(YEAR(B1524),MONTH(B1524)+1,0))),2)=6,0.5,0)),0))</f>
        <v>20</v>
      </c>
      <c r="K1524" s="22" cm="1">
        <f t="array" ref="K1524">_xlfn.XLOOKUP(1,((Metas_Diarias[[#This Row],[tipo_equipe_id]]=Metas[equipe])*(Metas_Diarias[[#This Row],[data]]&gt;Metas[data_inicio])*(Metas_Diarias[[#This Row],[data]]&lt;Metas[data_fim])),Metas[meta_mensal],0)</f>
        <v>115500</v>
      </c>
      <c r="L1524" s="24">
        <f ca="1">Metas_Diarias[[#This Row],[meta_mensal]]*IF(Metas_Diarias[[#This Row],[semana]]="domingo",0,Metas_Diarias[[#This Row],[semana]])*IF(Metas_Diarias[[#This Row],[feriado]]&lt;&gt;1,0,1)/Metas_Diarias[[#This Row],[dias_úteis_Mês]]</f>
        <v>5775</v>
      </c>
    </row>
    <row r="1525" spans="2:12" x14ac:dyDescent="0.3">
      <c r="B1525" s="34">
        <v>46081</v>
      </c>
      <c r="C1525" s="34" t="str">
        <f>TEXT(Metas_Diarias[[#This Row],[data]],"dddd")</f>
        <v>sábado</v>
      </c>
      <c r="D1525" s="33">
        <v>2</v>
      </c>
      <c r="E1525" s="33">
        <v>2</v>
      </c>
      <c r="F1525" s="18"/>
      <c r="G1525" s="35">
        <f>WEEKDAY(Metas_Diarias[[#This Row],[data]])</f>
        <v>7</v>
      </c>
      <c r="H1525" s="35">
        <f>IF(Metas_Diarias[[#This Row],[dias_da_demana]]=1,"domingo",IF(Metas_Diarias[[#This Row],[dias_da_demana]]=7,0.5,1))</f>
        <v>0.5</v>
      </c>
      <c r="I1525" s="35">
        <f>_xlfn.XLOOKUP(Metas_Diarias[[#This Row],[data]],Feriados[Data],Feriados[Feriado],1)</f>
        <v>1</v>
      </c>
      <c r="J1525" s="33" cm="1">
        <f t="array" aca="1" ref="J1525" ca="1">SUMPRODUCT(IF((NOT(ISERROR(MATCH(ROW(INDIRECT(DATE(YEAR(B1525),MONTH(B1525),1)&amp;":"&amp;DATE(YEAR(B1525),MONTH(B1525)+1,0))),Feriados[Data],0))))=FALSE,
IF(WEEKDAY(ROW(INDIRECT(DATE(YEAR(B1525),MONTH(B1525),1)&amp;":"&amp;DATE(YEAR(B1525),MONTH(B1525)+1,0))),2)&lt;=5,1,IF(WEEKDAY(ROW(INDIRECT(DATE(YEAR(B1525),MONTH(B1525),1)&amp;":"&amp;DATE(YEAR(B1525),MONTH(B1525)+1,0))),2)=6,0.5,0)),0))</f>
        <v>20</v>
      </c>
      <c r="K1525" s="22" cm="1">
        <f t="array" ref="K1525">_xlfn.XLOOKUP(1,((Metas_Diarias[[#This Row],[tipo_equipe_id]]=Metas[equipe])*(Metas_Diarias[[#This Row],[data]]&gt;Metas[data_inicio])*(Metas_Diarias[[#This Row],[data]]&lt;Metas[data_fim])),Metas[meta_mensal],0)</f>
        <v>115500</v>
      </c>
      <c r="L1525" s="24">
        <f ca="1">Metas_Diarias[[#This Row],[meta_mensal]]*IF(Metas_Diarias[[#This Row],[semana]]="domingo",0,Metas_Diarias[[#This Row],[semana]])*IF(Metas_Diarias[[#This Row],[feriado]]&lt;&gt;1,0,1)/Metas_Diarias[[#This Row],[dias_úteis_Mês]]</f>
        <v>2887.5</v>
      </c>
    </row>
    <row r="1526" spans="2:12" x14ac:dyDescent="0.3">
      <c r="B1526" s="34">
        <v>46082</v>
      </c>
      <c r="C1526" s="34" t="str">
        <f>TEXT(Metas_Diarias[[#This Row],[data]],"dddd")</f>
        <v>domingo</v>
      </c>
      <c r="D1526" s="33">
        <v>2</v>
      </c>
      <c r="E1526" s="33">
        <v>2</v>
      </c>
      <c r="F1526" s="18"/>
      <c r="G1526" s="35">
        <f>WEEKDAY(Metas_Diarias[[#This Row],[data]])</f>
        <v>1</v>
      </c>
      <c r="H1526" s="35" t="str">
        <f>IF(Metas_Diarias[[#This Row],[dias_da_demana]]=1,"domingo",IF(Metas_Diarias[[#This Row],[dias_da_demana]]=7,0.5,1))</f>
        <v>domingo</v>
      </c>
      <c r="I1526" s="35">
        <f>_xlfn.XLOOKUP(Metas_Diarias[[#This Row],[data]],Feriados[Data],Feriados[Feriado],1)</f>
        <v>1</v>
      </c>
      <c r="J1526" s="33" cm="1">
        <f t="array" aca="1" ref="J1526" ca="1">SUMPRODUCT(IF((NOT(ISERROR(MATCH(ROW(INDIRECT(DATE(YEAR(B1526),MONTH(B1526),1)&amp;":"&amp;DATE(YEAR(B1526),MONTH(B1526)+1,0))),Feriados[Data],0))))=FALSE,
IF(WEEKDAY(ROW(INDIRECT(DATE(YEAR(B1526),MONTH(B1526),1)&amp;":"&amp;DATE(YEAR(B1526),MONTH(B1526)+1,0))),2)&lt;=5,1,IF(WEEKDAY(ROW(INDIRECT(DATE(YEAR(B1526),MONTH(B1526),1)&amp;":"&amp;DATE(YEAR(B1526),MONTH(B1526)+1,0))),2)=6,0.5,0)),0))</f>
        <v>24</v>
      </c>
      <c r="K1526" s="22" cm="1">
        <f t="array" ref="K1526">_xlfn.XLOOKUP(1,((Metas_Diarias[[#This Row],[tipo_equipe_id]]=Metas[equipe])*(Metas_Diarias[[#This Row],[data]]&gt;Metas[data_inicio])*(Metas_Diarias[[#This Row],[data]]&lt;Metas[data_fim])),Metas[meta_mensal],0)</f>
        <v>115500</v>
      </c>
      <c r="L15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27" spans="2:12" x14ac:dyDescent="0.3">
      <c r="B1527" s="34">
        <v>46083</v>
      </c>
      <c r="C1527" s="34" t="str">
        <f>TEXT(Metas_Diarias[[#This Row],[data]],"dddd")</f>
        <v>segunda-feira</v>
      </c>
      <c r="D1527" s="33">
        <v>2</v>
      </c>
      <c r="E1527" s="33">
        <v>2</v>
      </c>
      <c r="F1527" s="18"/>
      <c r="G1527" s="35">
        <f>WEEKDAY(Metas_Diarias[[#This Row],[data]])</f>
        <v>2</v>
      </c>
      <c r="H1527" s="35">
        <f>IF(Metas_Diarias[[#This Row],[dias_da_demana]]=1,"domingo",IF(Metas_Diarias[[#This Row],[dias_da_demana]]=7,0.5,1))</f>
        <v>1</v>
      </c>
      <c r="I1527" s="35">
        <f>_xlfn.XLOOKUP(Metas_Diarias[[#This Row],[data]],Feriados[Data],Feriados[Feriado],1)</f>
        <v>1</v>
      </c>
      <c r="J1527" s="33" cm="1">
        <f t="array" aca="1" ref="J1527" ca="1">SUMPRODUCT(IF((NOT(ISERROR(MATCH(ROW(INDIRECT(DATE(YEAR(B1527),MONTH(B1527),1)&amp;":"&amp;DATE(YEAR(B1527),MONTH(B1527)+1,0))),Feriados[Data],0))))=FALSE,
IF(WEEKDAY(ROW(INDIRECT(DATE(YEAR(B1527),MONTH(B1527),1)&amp;":"&amp;DATE(YEAR(B1527),MONTH(B1527)+1,0))),2)&lt;=5,1,IF(WEEKDAY(ROW(INDIRECT(DATE(YEAR(B1527),MONTH(B1527),1)&amp;":"&amp;DATE(YEAR(B1527),MONTH(B1527)+1,0))),2)=6,0.5,0)),0))</f>
        <v>24</v>
      </c>
      <c r="K1527" s="22" cm="1">
        <f t="array" ref="K1527">_xlfn.XLOOKUP(1,((Metas_Diarias[[#This Row],[tipo_equipe_id]]=Metas[equipe])*(Metas_Diarias[[#This Row],[data]]&gt;Metas[data_inicio])*(Metas_Diarias[[#This Row],[data]]&lt;Metas[data_fim])),Metas[meta_mensal],0)</f>
        <v>115500</v>
      </c>
      <c r="L1527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28" spans="2:12" x14ac:dyDescent="0.3">
      <c r="B1528" s="34">
        <v>46084</v>
      </c>
      <c r="C1528" s="34" t="str">
        <f>TEXT(Metas_Diarias[[#This Row],[data]],"dddd")</f>
        <v>terça-feira</v>
      </c>
      <c r="D1528" s="33">
        <v>2</v>
      </c>
      <c r="E1528" s="33">
        <v>2</v>
      </c>
      <c r="F1528" s="18"/>
      <c r="G1528" s="35">
        <f>WEEKDAY(Metas_Diarias[[#This Row],[data]])</f>
        <v>3</v>
      </c>
      <c r="H1528" s="35">
        <f>IF(Metas_Diarias[[#This Row],[dias_da_demana]]=1,"domingo",IF(Metas_Diarias[[#This Row],[dias_da_demana]]=7,0.5,1))</f>
        <v>1</v>
      </c>
      <c r="I1528" s="35">
        <f>_xlfn.XLOOKUP(Metas_Diarias[[#This Row],[data]],Feriados[Data],Feriados[Feriado],1)</f>
        <v>1</v>
      </c>
      <c r="J1528" s="33" cm="1">
        <f t="array" aca="1" ref="J1528" ca="1">SUMPRODUCT(IF((NOT(ISERROR(MATCH(ROW(INDIRECT(DATE(YEAR(B1528),MONTH(B1528),1)&amp;":"&amp;DATE(YEAR(B1528),MONTH(B1528)+1,0))),Feriados[Data],0))))=FALSE,
IF(WEEKDAY(ROW(INDIRECT(DATE(YEAR(B1528),MONTH(B1528),1)&amp;":"&amp;DATE(YEAR(B1528),MONTH(B1528)+1,0))),2)&lt;=5,1,IF(WEEKDAY(ROW(INDIRECT(DATE(YEAR(B1528),MONTH(B1528),1)&amp;":"&amp;DATE(YEAR(B1528),MONTH(B1528)+1,0))),2)=6,0.5,0)),0))</f>
        <v>24</v>
      </c>
      <c r="K1528" s="22" cm="1">
        <f t="array" ref="K1528">_xlfn.XLOOKUP(1,((Metas_Diarias[[#This Row],[tipo_equipe_id]]=Metas[equipe])*(Metas_Diarias[[#This Row],[data]]&gt;Metas[data_inicio])*(Metas_Diarias[[#This Row],[data]]&lt;Metas[data_fim])),Metas[meta_mensal],0)</f>
        <v>115500</v>
      </c>
      <c r="L1528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29" spans="2:12" x14ac:dyDescent="0.3">
      <c r="B1529" s="34">
        <v>46085</v>
      </c>
      <c r="C1529" s="34" t="str">
        <f>TEXT(Metas_Diarias[[#This Row],[data]],"dddd")</f>
        <v>quarta-feira</v>
      </c>
      <c r="D1529" s="33">
        <v>2</v>
      </c>
      <c r="E1529" s="33">
        <v>2</v>
      </c>
      <c r="F1529" s="18"/>
      <c r="G1529" s="35">
        <f>WEEKDAY(Metas_Diarias[[#This Row],[data]])</f>
        <v>4</v>
      </c>
      <c r="H1529" s="35">
        <f>IF(Metas_Diarias[[#This Row],[dias_da_demana]]=1,"domingo",IF(Metas_Diarias[[#This Row],[dias_da_demana]]=7,0.5,1))</f>
        <v>1</v>
      </c>
      <c r="I1529" s="35">
        <f>_xlfn.XLOOKUP(Metas_Diarias[[#This Row],[data]],Feriados[Data],Feriados[Feriado],1)</f>
        <v>1</v>
      </c>
      <c r="J1529" s="33" cm="1">
        <f t="array" aca="1" ref="J1529" ca="1">SUMPRODUCT(IF((NOT(ISERROR(MATCH(ROW(INDIRECT(DATE(YEAR(B1529),MONTH(B1529),1)&amp;":"&amp;DATE(YEAR(B1529),MONTH(B1529)+1,0))),Feriados[Data],0))))=FALSE,
IF(WEEKDAY(ROW(INDIRECT(DATE(YEAR(B1529),MONTH(B1529),1)&amp;":"&amp;DATE(YEAR(B1529),MONTH(B1529)+1,0))),2)&lt;=5,1,IF(WEEKDAY(ROW(INDIRECT(DATE(YEAR(B1529),MONTH(B1529),1)&amp;":"&amp;DATE(YEAR(B1529),MONTH(B1529)+1,0))),2)=6,0.5,0)),0))</f>
        <v>24</v>
      </c>
      <c r="K1529" s="22" cm="1">
        <f t="array" ref="K1529">_xlfn.XLOOKUP(1,((Metas_Diarias[[#This Row],[tipo_equipe_id]]=Metas[equipe])*(Metas_Diarias[[#This Row],[data]]&gt;Metas[data_inicio])*(Metas_Diarias[[#This Row],[data]]&lt;Metas[data_fim])),Metas[meta_mensal],0)</f>
        <v>115500</v>
      </c>
      <c r="L1529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30" spans="2:12" x14ac:dyDescent="0.3">
      <c r="B1530" s="34">
        <v>46086</v>
      </c>
      <c r="C1530" s="34" t="str">
        <f>TEXT(Metas_Diarias[[#This Row],[data]],"dddd")</f>
        <v>quinta-feira</v>
      </c>
      <c r="D1530" s="33">
        <v>2</v>
      </c>
      <c r="E1530" s="33">
        <v>2</v>
      </c>
      <c r="F1530" s="18"/>
      <c r="G1530" s="35">
        <f>WEEKDAY(Metas_Diarias[[#This Row],[data]])</f>
        <v>5</v>
      </c>
      <c r="H1530" s="35">
        <f>IF(Metas_Diarias[[#This Row],[dias_da_demana]]=1,"domingo",IF(Metas_Diarias[[#This Row],[dias_da_demana]]=7,0.5,1))</f>
        <v>1</v>
      </c>
      <c r="I1530" s="35">
        <f>_xlfn.XLOOKUP(Metas_Diarias[[#This Row],[data]],Feriados[Data],Feriados[Feriado],1)</f>
        <v>1</v>
      </c>
      <c r="J1530" s="33" cm="1">
        <f t="array" aca="1" ref="J1530" ca="1">SUMPRODUCT(IF((NOT(ISERROR(MATCH(ROW(INDIRECT(DATE(YEAR(B1530),MONTH(B1530),1)&amp;":"&amp;DATE(YEAR(B1530),MONTH(B1530)+1,0))),Feriados[Data],0))))=FALSE,
IF(WEEKDAY(ROW(INDIRECT(DATE(YEAR(B1530),MONTH(B1530),1)&amp;":"&amp;DATE(YEAR(B1530),MONTH(B1530)+1,0))),2)&lt;=5,1,IF(WEEKDAY(ROW(INDIRECT(DATE(YEAR(B1530),MONTH(B1530),1)&amp;":"&amp;DATE(YEAR(B1530),MONTH(B1530)+1,0))),2)=6,0.5,0)),0))</f>
        <v>24</v>
      </c>
      <c r="K1530" s="22" cm="1">
        <f t="array" ref="K1530">_xlfn.XLOOKUP(1,((Metas_Diarias[[#This Row],[tipo_equipe_id]]=Metas[equipe])*(Metas_Diarias[[#This Row],[data]]&gt;Metas[data_inicio])*(Metas_Diarias[[#This Row],[data]]&lt;Metas[data_fim])),Metas[meta_mensal],0)</f>
        <v>115500</v>
      </c>
      <c r="L1530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31" spans="2:12" x14ac:dyDescent="0.3">
      <c r="B1531" s="34">
        <v>46087</v>
      </c>
      <c r="C1531" s="34" t="str">
        <f>TEXT(Metas_Diarias[[#This Row],[data]],"dddd")</f>
        <v>sexta-feira</v>
      </c>
      <c r="D1531" s="33">
        <v>2</v>
      </c>
      <c r="E1531" s="33">
        <v>2</v>
      </c>
      <c r="F1531" s="18"/>
      <c r="G1531" s="35">
        <f>WEEKDAY(Metas_Diarias[[#This Row],[data]])</f>
        <v>6</v>
      </c>
      <c r="H1531" s="35">
        <f>IF(Metas_Diarias[[#This Row],[dias_da_demana]]=1,"domingo",IF(Metas_Diarias[[#This Row],[dias_da_demana]]=7,0.5,1))</f>
        <v>1</v>
      </c>
      <c r="I1531" s="35">
        <f>_xlfn.XLOOKUP(Metas_Diarias[[#This Row],[data]],Feriados[Data],Feriados[Feriado],1)</f>
        <v>1</v>
      </c>
      <c r="J1531" s="33" cm="1">
        <f t="array" aca="1" ref="J1531" ca="1">SUMPRODUCT(IF((NOT(ISERROR(MATCH(ROW(INDIRECT(DATE(YEAR(B1531),MONTH(B1531),1)&amp;":"&amp;DATE(YEAR(B1531),MONTH(B1531)+1,0))),Feriados[Data],0))))=FALSE,
IF(WEEKDAY(ROW(INDIRECT(DATE(YEAR(B1531),MONTH(B1531),1)&amp;":"&amp;DATE(YEAR(B1531),MONTH(B1531)+1,0))),2)&lt;=5,1,IF(WEEKDAY(ROW(INDIRECT(DATE(YEAR(B1531),MONTH(B1531),1)&amp;":"&amp;DATE(YEAR(B1531),MONTH(B1531)+1,0))),2)=6,0.5,0)),0))</f>
        <v>24</v>
      </c>
      <c r="K1531" s="22" cm="1">
        <f t="array" ref="K1531">_xlfn.XLOOKUP(1,((Metas_Diarias[[#This Row],[tipo_equipe_id]]=Metas[equipe])*(Metas_Diarias[[#This Row],[data]]&gt;Metas[data_inicio])*(Metas_Diarias[[#This Row],[data]]&lt;Metas[data_fim])),Metas[meta_mensal],0)</f>
        <v>115500</v>
      </c>
      <c r="L1531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32" spans="2:12" x14ac:dyDescent="0.3">
      <c r="B1532" s="34">
        <v>46088</v>
      </c>
      <c r="C1532" s="34" t="str">
        <f>TEXT(Metas_Diarias[[#This Row],[data]],"dddd")</f>
        <v>sábado</v>
      </c>
      <c r="D1532" s="33">
        <v>2</v>
      </c>
      <c r="E1532" s="33">
        <v>2</v>
      </c>
      <c r="F1532" s="18"/>
      <c r="G1532" s="35">
        <f>WEEKDAY(Metas_Diarias[[#This Row],[data]])</f>
        <v>7</v>
      </c>
      <c r="H1532" s="35">
        <f>IF(Metas_Diarias[[#This Row],[dias_da_demana]]=1,"domingo",IF(Metas_Diarias[[#This Row],[dias_da_demana]]=7,0.5,1))</f>
        <v>0.5</v>
      </c>
      <c r="I1532" s="35">
        <f>_xlfn.XLOOKUP(Metas_Diarias[[#This Row],[data]],Feriados[Data],Feriados[Feriado],1)</f>
        <v>1</v>
      </c>
      <c r="J1532" s="33" cm="1">
        <f t="array" aca="1" ref="J1532" ca="1">SUMPRODUCT(IF((NOT(ISERROR(MATCH(ROW(INDIRECT(DATE(YEAR(B1532),MONTH(B1532),1)&amp;":"&amp;DATE(YEAR(B1532),MONTH(B1532)+1,0))),Feriados[Data],0))))=FALSE,
IF(WEEKDAY(ROW(INDIRECT(DATE(YEAR(B1532),MONTH(B1532),1)&amp;":"&amp;DATE(YEAR(B1532),MONTH(B1532)+1,0))),2)&lt;=5,1,IF(WEEKDAY(ROW(INDIRECT(DATE(YEAR(B1532),MONTH(B1532),1)&amp;":"&amp;DATE(YEAR(B1532),MONTH(B1532)+1,0))),2)=6,0.5,0)),0))</f>
        <v>24</v>
      </c>
      <c r="K1532" s="22" cm="1">
        <f t="array" ref="K1532">_xlfn.XLOOKUP(1,((Metas_Diarias[[#This Row],[tipo_equipe_id]]=Metas[equipe])*(Metas_Diarias[[#This Row],[data]]&gt;Metas[data_inicio])*(Metas_Diarias[[#This Row],[data]]&lt;Metas[data_fim])),Metas[meta_mensal],0)</f>
        <v>115500</v>
      </c>
      <c r="L1532" s="24">
        <f ca="1">Metas_Diarias[[#This Row],[meta_mensal]]*IF(Metas_Diarias[[#This Row],[semana]]="domingo",0,Metas_Diarias[[#This Row],[semana]])*IF(Metas_Diarias[[#This Row],[feriado]]&lt;&gt;1,0,1)/Metas_Diarias[[#This Row],[dias_úteis_Mês]]</f>
        <v>2406.25</v>
      </c>
    </row>
    <row r="1533" spans="2:12" x14ac:dyDescent="0.3">
      <c r="B1533" s="34">
        <v>46089</v>
      </c>
      <c r="C1533" s="34" t="str">
        <f>TEXT(Metas_Diarias[[#This Row],[data]],"dddd")</f>
        <v>domingo</v>
      </c>
      <c r="D1533" s="33">
        <v>2</v>
      </c>
      <c r="E1533" s="33">
        <v>2</v>
      </c>
      <c r="F1533" s="18"/>
      <c r="G1533" s="35">
        <f>WEEKDAY(Metas_Diarias[[#This Row],[data]])</f>
        <v>1</v>
      </c>
      <c r="H1533" s="35" t="str">
        <f>IF(Metas_Diarias[[#This Row],[dias_da_demana]]=1,"domingo",IF(Metas_Diarias[[#This Row],[dias_da_demana]]=7,0.5,1))</f>
        <v>domingo</v>
      </c>
      <c r="I1533" s="35">
        <f>_xlfn.XLOOKUP(Metas_Diarias[[#This Row],[data]],Feriados[Data],Feriados[Feriado],1)</f>
        <v>1</v>
      </c>
      <c r="J1533" s="33" cm="1">
        <f t="array" aca="1" ref="J1533" ca="1">SUMPRODUCT(IF((NOT(ISERROR(MATCH(ROW(INDIRECT(DATE(YEAR(B1533),MONTH(B1533),1)&amp;":"&amp;DATE(YEAR(B1533),MONTH(B1533)+1,0))),Feriados[Data],0))))=FALSE,
IF(WEEKDAY(ROW(INDIRECT(DATE(YEAR(B1533),MONTH(B1533),1)&amp;":"&amp;DATE(YEAR(B1533),MONTH(B1533)+1,0))),2)&lt;=5,1,IF(WEEKDAY(ROW(INDIRECT(DATE(YEAR(B1533),MONTH(B1533),1)&amp;":"&amp;DATE(YEAR(B1533),MONTH(B1533)+1,0))),2)=6,0.5,0)),0))</f>
        <v>24</v>
      </c>
      <c r="K1533" s="22" cm="1">
        <f t="array" ref="K1533">_xlfn.XLOOKUP(1,((Metas_Diarias[[#This Row],[tipo_equipe_id]]=Metas[equipe])*(Metas_Diarias[[#This Row],[data]]&gt;Metas[data_inicio])*(Metas_Diarias[[#This Row],[data]]&lt;Metas[data_fim])),Metas[meta_mensal],0)</f>
        <v>115500</v>
      </c>
      <c r="L15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34" spans="2:12" x14ac:dyDescent="0.3">
      <c r="B1534" s="34">
        <v>46090</v>
      </c>
      <c r="C1534" s="34" t="str">
        <f>TEXT(Metas_Diarias[[#This Row],[data]],"dddd")</f>
        <v>segunda-feira</v>
      </c>
      <c r="D1534" s="33">
        <v>2</v>
      </c>
      <c r="E1534" s="33">
        <v>2</v>
      </c>
      <c r="F1534" s="18"/>
      <c r="G1534" s="35">
        <f>WEEKDAY(Metas_Diarias[[#This Row],[data]])</f>
        <v>2</v>
      </c>
      <c r="H1534" s="35">
        <f>IF(Metas_Diarias[[#This Row],[dias_da_demana]]=1,"domingo",IF(Metas_Diarias[[#This Row],[dias_da_demana]]=7,0.5,1))</f>
        <v>1</v>
      </c>
      <c r="I1534" s="35">
        <f>_xlfn.XLOOKUP(Metas_Diarias[[#This Row],[data]],Feriados[Data],Feriados[Feriado],1)</f>
        <v>1</v>
      </c>
      <c r="J1534" s="33" cm="1">
        <f t="array" aca="1" ref="J1534" ca="1">SUMPRODUCT(IF((NOT(ISERROR(MATCH(ROW(INDIRECT(DATE(YEAR(B1534),MONTH(B1534),1)&amp;":"&amp;DATE(YEAR(B1534),MONTH(B1534)+1,0))),Feriados[Data],0))))=FALSE,
IF(WEEKDAY(ROW(INDIRECT(DATE(YEAR(B1534),MONTH(B1534),1)&amp;":"&amp;DATE(YEAR(B1534),MONTH(B1534)+1,0))),2)&lt;=5,1,IF(WEEKDAY(ROW(INDIRECT(DATE(YEAR(B1534),MONTH(B1534),1)&amp;":"&amp;DATE(YEAR(B1534),MONTH(B1534)+1,0))),2)=6,0.5,0)),0))</f>
        <v>24</v>
      </c>
      <c r="K1534" s="22" cm="1">
        <f t="array" ref="K1534">_xlfn.XLOOKUP(1,((Metas_Diarias[[#This Row],[tipo_equipe_id]]=Metas[equipe])*(Metas_Diarias[[#This Row],[data]]&gt;Metas[data_inicio])*(Metas_Diarias[[#This Row],[data]]&lt;Metas[data_fim])),Metas[meta_mensal],0)</f>
        <v>115500</v>
      </c>
      <c r="L1534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35" spans="2:12" x14ac:dyDescent="0.3">
      <c r="B1535" s="34">
        <v>46091</v>
      </c>
      <c r="C1535" s="34" t="str">
        <f>TEXT(Metas_Diarias[[#This Row],[data]],"dddd")</f>
        <v>terça-feira</v>
      </c>
      <c r="D1535" s="33">
        <v>2</v>
      </c>
      <c r="E1535" s="33">
        <v>2</v>
      </c>
      <c r="F1535" s="18"/>
      <c r="G1535" s="35">
        <f>WEEKDAY(Metas_Diarias[[#This Row],[data]])</f>
        <v>3</v>
      </c>
      <c r="H1535" s="35">
        <f>IF(Metas_Diarias[[#This Row],[dias_da_demana]]=1,"domingo",IF(Metas_Diarias[[#This Row],[dias_da_demana]]=7,0.5,1))</f>
        <v>1</v>
      </c>
      <c r="I1535" s="35">
        <f>_xlfn.XLOOKUP(Metas_Diarias[[#This Row],[data]],Feriados[Data],Feriados[Feriado],1)</f>
        <v>1</v>
      </c>
      <c r="J1535" s="33" cm="1">
        <f t="array" aca="1" ref="J1535" ca="1">SUMPRODUCT(IF((NOT(ISERROR(MATCH(ROW(INDIRECT(DATE(YEAR(B1535),MONTH(B1535),1)&amp;":"&amp;DATE(YEAR(B1535),MONTH(B1535)+1,0))),Feriados[Data],0))))=FALSE,
IF(WEEKDAY(ROW(INDIRECT(DATE(YEAR(B1535),MONTH(B1535),1)&amp;":"&amp;DATE(YEAR(B1535),MONTH(B1535)+1,0))),2)&lt;=5,1,IF(WEEKDAY(ROW(INDIRECT(DATE(YEAR(B1535),MONTH(B1535),1)&amp;":"&amp;DATE(YEAR(B1535),MONTH(B1535)+1,0))),2)=6,0.5,0)),0))</f>
        <v>24</v>
      </c>
      <c r="K1535" s="22" cm="1">
        <f t="array" ref="K1535">_xlfn.XLOOKUP(1,((Metas_Diarias[[#This Row],[tipo_equipe_id]]=Metas[equipe])*(Metas_Diarias[[#This Row],[data]]&gt;Metas[data_inicio])*(Metas_Diarias[[#This Row],[data]]&lt;Metas[data_fim])),Metas[meta_mensal],0)</f>
        <v>115500</v>
      </c>
      <c r="L1535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36" spans="2:12" x14ac:dyDescent="0.3">
      <c r="B1536" s="34">
        <v>46092</v>
      </c>
      <c r="C1536" s="34" t="str">
        <f>TEXT(Metas_Diarias[[#This Row],[data]],"dddd")</f>
        <v>quarta-feira</v>
      </c>
      <c r="D1536" s="33">
        <v>2</v>
      </c>
      <c r="E1536" s="33">
        <v>2</v>
      </c>
      <c r="F1536" s="18"/>
      <c r="G1536" s="35">
        <f>WEEKDAY(Metas_Diarias[[#This Row],[data]])</f>
        <v>4</v>
      </c>
      <c r="H1536" s="35">
        <f>IF(Metas_Diarias[[#This Row],[dias_da_demana]]=1,"domingo",IF(Metas_Diarias[[#This Row],[dias_da_demana]]=7,0.5,1))</f>
        <v>1</v>
      </c>
      <c r="I1536" s="35">
        <f>_xlfn.XLOOKUP(Metas_Diarias[[#This Row],[data]],Feriados[Data],Feriados[Feriado],1)</f>
        <v>1</v>
      </c>
      <c r="J1536" s="33" cm="1">
        <f t="array" aca="1" ref="J1536" ca="1">SUMPRODUCT(IF((NOT(ISERROR(MATCH(ROW(INDIRECT(DATE(YEAR(B1536),MONTH(B1536),1)&amp;":"&amp;DATE(YEAR(B1536),MONTH(B1536)+1,0))),Feriados[Data],0))))=FALSE,
IF(WEEKDAY(ROW(INDIRECT(DATE(YEAR(B1536),MONTH(B1536),1)&amp;":"&amp;DATE(YEAR(B1536),MONTH(B1536)+1,0))),2)&lt;=5,1,IF(WEEKDAY(ROW(INDIRECT(DATE(YEAR(B1536),MONTH(B1536),1)&amp;":"&amp;DATE(YEAR(B1536),MONTH(B1536)+1,0))),2)=6,0.5,0)),0))</f>
        <v>24</v>
      </c>
      <c r="K1536" s="22" cm="1">
        <f t="array" ref="K1536">_xlfn.XLOOKUP(1,((Metas_Diarias[[#This Row],[tipo_equipe_id]]=Metas[equipe])*(Metas_Diarias[[#This Row],[data]]&gt;Metas[data_inicio])*(Metas_Diarias[[#This Row],[data]]&lt;Metas[data_fim])),Metas[meta_mensal],0)</f>
        <v>115500</v>
      </c>
      <c r="L1536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37" spans="2:12" x14ac:dyDescent="0.3">
      <c r="B1537" s="34">
        <v>46093</v>
      </c>
      <c r="C1537" s="34" t="str">
        <f>TEXT(Metas_Diarias[[#This Row],[data]],"dddd")</f>
        <v>quinta-feira</v>
      </c>
      <c r="D1537" s="33">
        <v>2</v>
      </c>
      <c r="E1537" s="33">
        <v>2</v>
      </c>
      <c r="F1537" s="18"/>
      <c r="G1537" s="35">
        <f>WEEKDAY(Metas_Diarias[[#This Row],[data]])</f>
        <v>5</v>
      </c>
      <c r="H1537" s="35">
        <f>IF(Metas_Diarias[[#This Row],[dias_da_demana]]=1,"domingo",IF(Metas_Diarias[[#This Row],[dias_da_demana]]=7,0.5,1))</f>
        <v>1</v>
      </c>
      <c r="I1537" s="35">
        <f>_xlfn.XLOOKUP(Metas_Diarias[[#This Row],[data]],Feriados[Data],Feriados[Feriado],1)</f>
        <v>1</v>
      </c>
      <c r="J1537" s="33" cm="1">
        <f t="array" aca="1" ref="J1537" ca="1">SUMPRODUCT(IF((NOT(ISERROR(MATCH(ROW(INDIRECT(DATE(YEAR(B1537),MONTH(B1537),1)&amp;":"&amp;DATE(YEAR(B1537),MONTH(B1537)+1,0))),Feriados[Data],0))))=FALSE,
IF(WEEKDAY(ROW(INDIRECT(DATE(YEAR(B1537),MONTH(B1537),1)&amp;":"&amp;DATE(YEAR(B1537),MONTH(B1537)+1,0))),2)&lt;=5,1,IF(WEEKDAY(ROW(INDIRECT(DATE(YEAR(B1537),MONTH(B1537),1)&amp;":"&amp;DATE(YEAR(B1537),MONTH(B1537)+1,0))),2)=6,0.5,0)),0))</f>
        <v>24</v>
      </c>
      <c r="K1537" s="22" cm="1">
        <f t="array" ref="K1537">_xlfn.XLOOKUP(1,((Metas_Diarias[[#This Row],[tipo_equipe_id]]=Metas[equipe])*(Metas_Diarias[[#This Row],[data]]&gt;Metas[data_inicio])*(Metas_Diarias[[#This Row],[data]]&lt;Metas[data_fim])),Metas[meta_mensal],0)</f>
        <v>115500</v>
      </c>
      <c r="L1537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38" spans="2:12" x14ac:dyDescent="0.3">
      <c r="B1538" s="34">
        <v>46094</v>
      </c>
      <c r="C1538" s="34" t="str">
        <f>TEXT(Metas_Diarias[[#This Row],[data]],"dddd")</f>
        <v>sexta-feira</v>
      </c>
      <c r="D1538" s="33">
        <v>2</v>
      </c>
      <c r="E1538" s="33">
        <v>2</v>
      </c>
      <c r="F1538" s="18"/>
      <c r="G1538" s="35">
        <f>WEEKDAY(Metas_Diarias[[#This Row],[data]])</f>
        <v>6</v>
      </c>
      <c r="H1538" s="35">
        <f>IF(Metas_Diarias[[#This Row],[dias_da_demana]]=1,"domingo",IF(Metas_Diarias[[#This Row],[dias_da_demana]]=7,0.5,1))</f>
        <v>1</v>
      </c>
      <c r="I1538" s="35">
        <f>_xlfn.XLOOKUP(Metas_Diarias[[#This Row],[data]],Feriados[Data],Feriados[Feriado],1)</f>
        <v>1</v>
      </c>
      <c r="J1538" s="33" cm="1">
        <f t="array" aca="1" ref="J1538" ca="1">SUMPRODUCT(IF((NOT(ISERROR(MATCH(ROW(INDIRECT(DATE(YEAR(B1538),MONTH(B1538),1)&amp;":"&amp;DATE(YEAR(B1538),MONTH(B1538)+1,0))),Feriados[Data],0))))=FALSE,
IF(WEEKDAY(ROW(INDIRECT(DATE(YEAR(B1538),MONTH(B1538),1)&amp;":"&amp;DATE(YEAR(B1538),MONTH(B1538)+1,0))),2)&lt;=5,1,IF(WEEKDAY(ROW(INDIRECT(DATE(YEAR(B1538),MONTH(B1538),1)&amp;":"&amp;DATE(YEAR(B1538),MONTH(B1538)+1,0))),2)=6,0.5,0)),0))</f>
        <v>24</v>
      </c>
      <c r="K1538" s="22" cm="1">
        <f t="array" ref="K1538">_xlfn.XLOOKUP(1,((Metas_Diarias[[#This Row],[tipo_equipe_id]]=Metas[equipe])*(Metas_Diarias[[#This Row],[data]]&gt;Metas[data_inicio])*(Metas_Diarias[[#This Row],[data]]&lt;Metas[data_fim])),Metas[meta_mensal],0)</f>
        <v>115500</v>
      </c>
      <c r="L1538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39" spans="2:12" x14ac:dyDescent="0.3">
      <c r="B1539" s="34">
        <v>46095</v>
      </c>
      <c r="C1539" s="34" t="str">
        <f>TEXT(Metas_Diarias[[#This Row],[data]],"dddd")</f>
        <v>sábado</v>
      </c>
      <c r="D1539" s="33">
        <v>2</v>
      </c>
      <c r="E1539" s="33">
        <v>2</v>
      </c>
      <c r="F1539" s="18"/>
      <c r="G1539" s="35">
        <f>WEEKDAY(Metas_Diarias[[#This Row],[data]])</f>
        <v>7</v>
      </c>
      <c r="H1539" s="35">
        <f>IF(Metas_Diarias[[#This Row],[dias_da_demana]]=1,"domingo",IF(Metas_Diarias[[#This Row],[dias_da_demana]]=7,0.5,1))</f>
        <v>0.5</v>
      </c>
      <c r="I1539" s="35">
        <f>_xlfn.XLOOKUP(Metas_Diarias[[#This Row],[data]],Feriados[Data],Feriados[Feriado],1)</f>
        <v>1</v>
      </c>
      <c r="J1539" s="33" cm="1">
        <f t="array" aca="1" ref="J1539" ca="1">SUMPRODUCT(IF((NOT(ISERROR(MATCH(ROW(INDIRECT(DATE(YEAR(B1539),MONTH(B1539),1)&amp;":"&amp;DATE(YEAR(B1539),MONTH(B1539)+1,0))),Feriados[Data],0))))=FALSE,
IF(WEEKDAY(ROW(INDIRECT(DATE(YEAR(B1539),MONTH(B1539),1)&amp;":"&amp;DATE(YEAR(B1539),MONTH(B1539)+1,0))),2)&lt;=5,1,IF(WEEKDAY(ROW(INDIRECT(DATE(YEAR(B1539),MONTH(B1539),1)&amp;":"&amp;DATE(YEAR(B1539),MONTH(B1539)+1,0))),2)=6,0.5,0)),0))</f>
        <v>24</v>
      </c>
      <c r="K1539" s="22" cm="1">
        <f t="array" ref="K1539">_xlfn.XLOOKUP(1,((Metas_Diarias[[#This Row],[tipo_equipe_id]]=Metas[equipe])*(Metas_Diarias[[#This Row],[data]]&gt;Metas[data_inicio])*(Metas_Diarias[[#This Row],[data]]&lt;Metas[data_fim])),Metas[meta_mensal],0)</f>
        <v>115500</v>
      </c>
      <c r="L1539" s="24">
        <f ca="1">Metas_Diarias[[#This Row],[meta_mensal]]*IF(Metas_Diarias[[#This Row],[semana]]="domingo",0,Metas_Diarias[[#This Row],[semana]])*IF(Metas_Diarias[[#This Row],[feriado]]&lt;&gt;1,0,1)/Metas_Diarias[[#This Row],[dias_úteis_Mês]]</f>
        <v>2406.25</v>
      </c>
    </row>
    <row r="1540" spans="2:12" x14ac:dyDescent="0.3">
      <c r="B1540" s="34">
        <v>46096</v>
      </c>
      <c r="C1540" s="34" t="str">
        <f>TEXT(Metas_Diarias[[#This Row],[data]],"dddd")</f>
        <v>domingo</v>
      </c>
      <c r="D1540" s="33">
        <v>2</v>
      </c>
      <c r="E1540" s="33">
        <v>2</v>
      </c>
      <c r="F1540" s="18"/>
      <c r="G1540" s="35">
        <f>WEEKDAY(Metas_Diarias[[#This Row],[data]])</f>
        <v>1</v>
      </c>
      <c r="H1540" s="35" t="str">
        <f>IF(Metas_Diarias[[#This Row],[dias_da_demana]]=1,"domingo",IF(Metas_Diarias[[#This Row],[dias_da_demana]]=7,0.5,1))</f>
        <v>domingo</v>
      </c>
      <c r="I1540" s="35">
        <f>_xlfn.XLOOKUP(Metas_Diarias[[#This Row],[data]],Feriados[Data],Feriados[Feriado],1)</f>
        <v>1</v>
      </c>
      <c r="J1540" s="33" cm="1">
        <f t="array" aca="1" ref="J1540" ca="1">SUMPRODUCT(IF((NOT(ISERROR(MATCH(ROW(INDIRECT(DATE(YEAR(B1540),MONTH(B1540),1)&amp;":"&amp;DATE(YEAR(B1540),MONTH(B1540)+1,0))),Feriados[Data],0))))=FALSE,
IF(WEEKDAY(ROW(INDIRECT(DATE(YEAR(B1540),MONTH(B1540),1)&amp;":"&amp;DATE(YEAR(B1540),MONTH(B1540)+1,0))),2)&lt;=5,1,IF(WEEKDAY(ROW(INDIRECT(DATE(YEAR(B1540),MONTH(B1540),1)&amp;":"&amp;DATE(YEAR(B1540),MONTH(B1540)+1,0))),2)=6,0.5,0)),0))</f>
        <v>24</v>
      </c>
      <c r="K1540" s="22" cm="1">
        <f t="array" ref="K1540">_xlfn.XLOOKUP(1,((Metas_Diarias[[#This Row],[tipo_equipe_id]]=Metas[equipe])*(Metas_Diarias[[#This Row],[data]]&gt;Metas[data_inicio])*(Metas_Diarias[[#This Row],[data]]&lt;Metas[data_fim])),Metas[meta_mensal],0)</f>
        <v>115500</v>
      </c>
      <c r="L154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41" spans="2:12" x14ac:dyDescent="0.3">
      <c r="B1541" s="34">
        <v>46097</v>
      </c>
      <c r="C1541" s="34" t="str">
        <f>TEXT(Metas_Diarias[[#This Row],[data]],"dddd")</f>
        <v>segunda-feira</v>
      </c>
      <c r="D1541" s="33">
        <v>2</v>
      </c>
      <c r="E1541" s="33">
        <v>2</v>
      </c>
      <c r="F1541" s="18"/>
      <c r="G1541" s="35">
        <f>WEEKDAY(Metas_Diarias[[#This Row],[data]])</f>
        <v>2</v>
      </c>
      <c r="H1541" s="35">
        <f>IF(Metas_Diarias[[#This Row],[dias_da_demana]]=1,"domingo",IF(Metas_Diarias[[#This Row],[dias_da_demana]]=7,0.5,1))</f>
        <v>1</v>
      </c>
      <c r="I1541" s="35">
        <f>_xlfn.XLOOKUP(Metas_Diarias[[#This Row],[data]],Feriados[Data],Feriados[Feriado],1)</f>
        <v>1</v>
      </c>
      <c r="J1541" s="33" cm="1">
        <f t="array" aca="1" ref="J1541" ca="1">SUMPRODUCT(IF((NOT(ISERROR(MATCH(ROW(INDIRECT(DATE(YEAR(B1541),MONTH(B1541),1)&amp;":"&amp;DATE(YEAR(B1541),MONTH(B1541)+1,0))),Feriados[Data],0))))=FALSE,
IF(WEEKDAY(ROW(INDIRECT(DATE(YEAR(B1541),MONTH(B1541),1)&amp;":"&amp;DATE(YEAR(B1541),MONTH(B1541)+1,0))),2)&lt;=5,1,IF(WEEKDAY(ROW(INDIRECT(DATE(YEAR(B1541),MONTH(B1541),1)&amp;":"&amp;DATE(YEAR(B1541),MONTH(B1541)+1,0))),2)=6,0.5,0)),0))</f>
        <v>24</v>
      </c>
      <c r="K1541" s="22" cm="1">
        <f t="array" ref="K1541">_xlfn.XLOOKUP(1,((Metas_Diarias[[#This Row],[tipo_equipe_id]]=Metas[equipe])*(Metas_Diarias[[#This Row],[data]]&gt;Metas[data_inicio])*(Metas_Diarias[[#This Row],[data]]&lt;Metas[data_fim])),Metas[meta_mensal],0)</f>
        <v>115500</v>
      </c>
      <c r="L1541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42" spans="2:12" x14ac:dyDescent="0.3">
      <c r="B1542" s="34">
        <v>46098</v>
      </c>
      <c r="C1542" s="34" t="str">
        <f>TEXT(Metas_Diarias[[#This Row],[data]],"dddd")</f>
        <v>terça-feira</v>
      </c>
      <c r="D1542" s="33">
        <v>2</v>
      </c>
      <c r="E1542" s="33">
        <v>2</v>
      </c>
      <c r="F1542" s="18"/>
      <c r="G1542" s="35">
        <f>WEEKDAY(Metas_Diarias[[#This Row],[data]])</f>
        <v>3</v>
      </c>
      <c r="H1542" s="35">
        <f>IF(Metas_Diarias[[#This Row],[dias_da_demana]]=1,"domingo",IF(Metas_Diarias[[#This Row],[dias_da_demana]]=7,0.5,1))</f>
        <v>1</v>
      </c>
      <c r="I1542" s="35">
        <f>_xlfn.XLOOKUP(Metas_Diarias[[#This Row],[data]],Feriados[Data],Feriados[Feriado],1)</f>
        <v>1</v>
      </c>
      <c r="J1542" s="33" cm="1">
        <f t="array" aca="1" ref="J1542" ca="1">SUMPRODUCT(IF((NOT(ISERROR(MATCH(ROW(INDIRECT(DATE(YEAR(B1542),MONTH(B1542),1)&amp;":"&amp;DATE(YEAR(B1542),MONTH(B1542)+1,0))),Feriados[Data],0))))=FALSE,
IF(WEEKDAY(ROW(INDIRECT(DATE(YEAR(B1542),MONTH(B1542),1)&amp;":"&amp;DATE(YEAR(B1542),MONTH(B1542)+1,0))),2)&lt;=5,1,IF(WEEKDAY(ROW(INDIRECT(DATE(YEAR(B1542),MONTH(B1542),1)&amp;":"&amp;DATE(YEAR(B1542),MONTH(B1542)+1,0))),2)=6,0.5,0)),0))</f>
        <v>24</v>
      </c>
      <c r="K1542" s="22" cm="1">
        <f t="array" ref="K1542">_xlfn.XLOOKUP(1,((Metas_Diarias[[#This Row],[tipo_equipe_id]]=Metas[equipe])*(Metas_Diarias[[#This Row],[data]]&gt;Metas[data_inicio])*(Metas_Diarias[[#This Row],[data]]&lt;Metas[data_fim])),Metas[meta_mensal],0)</f>
        <v>115500</v>
      </c>
      <c r="L1542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43" spans="2:12" x14ac:dyDescent="0.3">
      <c r="B1543" s="34">
        <v>46099</v>
      </c>
      <c r="C1543" s="34" t="str">
        <f>TEXT(Metas_Diarias[[#This Row],[data]],"dddd")</f>
        <v>quarta-feira</v>
      </c>
      <c r="D1543" s="33">
        <v>2</v>
      </c>
      <c r="E1543" s="33">
        <v>2</v>
      </c>
      <c r="F1543" s="18"/>
      <c r="G1543" s="35">
        <f>WEEKDAY(Metas_Diarias[[#This Row],[data]])</f>
        <v>4</v>
      </c>
      <c r="H1543" s="35">
        <f>IF(Metas_Diarias[[#This Row],[dias_da_demana]]=1,"domingo",IF(Metas_Diarias[[#This Row],[dias_da_demana]]=7,0.5,1))</f>
        <v>1</v>
      </c>
      <c r="I1543" s="35">
        <f>_xlfn.XLOOKUP(Metas_Diarias[[#This Row],[data]],Feriados[Data],Feriados[Feriado],1)</f>
        <v>1</v>
      </c>
      <c r="J1543" s="33" cm="1">
        <f t="array" aca="1" ref="J1543" ca="1">SUMPRODUCT(IF((NOT(ISERROR(MATCH(ROW(INDIRECT(DATE(YEAR(B1543),MONTH(B1543),1)&amp;":"&amp;DATE(YEAR(B1543),MONTH(B1543)+1,0))),Feriados[Data],0))))=FALSE,
IF(WEEKDAY(ROW(INDIRECT(DATE(YEAR(B1543),MONTH(B1543),1)&amp;":"&amp;DATE(YEAR(B1543),MONTH(B1543)+1,0))),2)&lt;=5,1,IF(WEEKDAY(ROW(INDIRECT(DATE(YEAR(B1543),MONTH(B1543),1)&amp;":"&amp;DATE(YEAR(B1543),MONTH(B1543)+1,0))),2)=6,0.5,0)),0))</f>
        <v>24</v>
      </c>
      <c r="K1543" s="22" cm="1">
        <f t="array" ref="K1543">_xlfn.XLOOKUP(1,((Metas_Diarias[[#This Row],[tipo_equipe_id]]=Metas[equipe])*(Metas_Diarias[[#This Row],[data]]&gt;Metas[data_inicio])*(Metas_Diarias[[#This Row],[data]]&lt;Metas[data_fim])),Metas[meta_mensal],0)</f>
        <v>115500</v>
      </c>
      <c r="L1543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44" spans="2:12" x14ac:dyDescent="0.3">
      <c r="B1544" s="34">
        <v>46100</v>
      </c>
      <c r="C1544" s="34" t="str">
        <f>TEXT(Metas_Diarias[[#This Row],[data]],"dddd")</f>
        <v>quinta-feira</v>
      </c>
      <c r="D1544" s="33">
        <v>2</v>
      </c>
      <c r="E1544" s="33">
        <v>2</v>
      </c>
      <c r="F1544" s="18"/>
      <c r="G1544" s="35">
        <f>WEEKDAY(Metas_Diarias[[#This Row],[data]])</f>
        <v>5</v>
      </c>
      <c r="H1544" s="35">
        <f>IF(Metas_Diarias[[#This Row],[dias_da_demana]]=1,"domingo",IF(Metas_Diarias[[#This Row],[dias_da_demana]]=7,0.5,1))</f>
        <v>1</v>
      </c>
      <c r="I1544" s="35">
        <f>_xlfn.XLOOKUP(Metas_Diarias[[#This Row],[data]],Feriados[Data],Feriados[Feriado],1)</f>
        <v>1</v>
      </c>
      <c r="J1544" s="33" cm="1">
        <f t="array" aca="1" ref="J1544" ca="1">SUMPRODUCT(IF((NOT(ISERROR(MATCH(ROW(INDIRECT(DATE(YEAR(B1544),MONTH(B1544),1)&amp;":"&amp;DATE(YEAR(B1544),MONTH(B1544)+1,0))),Feriados[Data],0))))=FALSE,
IF(WEEKDAY(ROW(INDIRECT(DATE(YEAR(B1544),MONTH(B1544),1)&amp;":"&amp;DATE(YEAR(B1544),MONTH(B1544)+1,0))),2)&lt;=5,1,IF(WEEKDAY(ROW(INDIRECT(DATE(YEAR(B1544),MONTH(B1544),1)&amp;":"&amp;DATE(YEAR(B1544),MONTH(B1544)+1,0))),2)=6,0.5,0)),0))</f>
        <v>24</v>
      </c>
      <c r="K1544" s="22" cm="1">
        <f t="array" ref="K1544">_xlfn.XLOOKUP(1,((Metas_Diarias[[#This Row],[tipo_equipe_id]]=Metas[equipe])*(Metas_Diarias[[#This Row],[data]]&gt;Metas[data_inicio])*(Metas_Diarias[[#This Row],[data]]&lt;Metas[data_fim])),Metas[meta_mensal],0)</f>
        <v>115500</v>
      </c>
      <c r="L1544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45" spans="2:12" x14ac:dyDescent="0.3">
      <c r="B1545" s="34">
        <v>46101</v>
      </c>
      <c r="C1545" s="34" t="str">
        <f>TEXT(Metas_Diarias[[#This Row],[data]],"dddd")</f>
        <v>sexta-feira</v>
      </c>
      <c r="D1545" s="33">
        <v>2</v>
      </c>
      <c r="E1545" s="33">
        <v>2</v>
      </c>
      <c r="F1545" s="18"/>
      <c r="G1545" s="35">
        <f>WEEKDAY(Metas_Diarias[[#This Row],[data]])</f>
        <v>6</v>
      </c>
      <c r="H1545" s="35">
        <f>IF(Metas_Diarias[[#This Row],[dias_da_demana]]=1,"domingo",IF(Metas_Diarias[[#This Row],[dias_da_demana]]=7,0.5,1))</f>
        <v>1</v>
      </c>
      <c r="I1545" s="35">
        <f>_xlfn.XLOOKUP(Metas_Diarias[[#This Row],[data]],Feriados[Data],Feriados[Feriado],1)</f>
        <v>1</v>
      </c>
      <c r="J1545" s="33" cm="1">
        <f t="array" aca="1" ref="J1545" ca="1">SUMPRODUCT(IF((NOT(ISERROR(MATCH(ROW(INDIRECT(DATE(YEAR(B1545),MONTH(B1545),1)&amp;":"&amp;DATE(YEAR(B1545),MONTH(B1545)+1,0))),Feriados[Data],0))))=FALSE,
IF(WEEKDAY(ROW(INDIRECT(DATE(YEAR(B1545),MONTH(B1545),1)&amp;":"&amp;DATE(YEAR(B1545),MONTH(B1545)+1,0))),2)&lt;=5,1,IF(WEEKDAY(ROW(INDIRECT(DATE(YEAR(B1545),MONTH(B1545),1)&amp;":"&amp;DATE(YEAR(B1545),MONTH(B1545)+1,0))),2)=6,0.5,0)),0))</f>
        <v>24</v>
      </c>
      <c r="K1545" s="22" cm="1">
        <f t="array" ref="K1545">_xlfn.XLOOKUP(1,((Metas_Diarias[[#This Row],[tipo_equipe_id]]=Metas[equipe])*(Metas_Diarias[[#This Row],[data]]&gt;Metas[data_inicio])*(Metas_Diarias[[#This Row],[data]]&lt;Metas[data_fim])),Metas[meta_mensal],0)</f>
        <v>115500</v>
      </c>
      <c r="L1545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46" spans="2:12" x14ac:dyDescent="0.3">
      <c r="B1546" s="34">
        <v>46102</v>
      </c>
      <c r="C1546" s="34" t="str">
        <f>TEXT(Metas_Diarias[[#This Row],[data]],"dddd")</f>
        <v>sábado</v>
      </c>
      <c r="D1546" s="33">
        <v>2</v>
      </c>
      <c r="E1546" s="33">
        <v>2</v>
      </c>
      <c r="F1546" s="18"/>
      <c r="G1546" s="35">
        <f>WEEKDAY(Metas_Diarias[[#This Row],[data]])</f>
        <v>7</v>
      </c>
      <c r="H1546" s="35">
        <f>IF(Metas_Diarias[[#This Row],[dias_da_demana]]=1,"domingo",IF(Metas_Diarias[[#This Row],[dias_da_demana]]=7,0.5,1))</f>
        <v>0.5</v>
      </c>
      <c r="I1546" s="35">
        <f>_xlfn.XLOOKUP(Metas_Diarias[[#This Row],[data]],Feriados[Data],Feriados[Feriado],1)</f>
        <v>1</v>
      </c>
      <c r="J1546" s="33" cm="1">
        <f t="array" aca="1" ref="J1546" ca="1">SUMPRODUCT(IF((NOT(ISERROR(MATCH(ROW(INDIRECT(DATE(YEAR(B1546),MONTH(B1546),1)&amp;":"&amp;DATE(YEAR(B1546),MONTH(B1546)+1,0))),Feriados[Data],0))))=FALSE,
IF(WEEKDAY(ROW(INDIRECT(DATE(YEAR(B1546),MONTH(B1546),1)&amp;":"&amp;DATE(YEAR(B1546),MONTH(B1546)+1,0))),2)&lt;=5,1,IF(WEEKDAY(ROW(INDIRECT(DATE(YEAR(B1546),MONTH(B1546),1)&amp;":"&amp;DATE(YEAR(B1546),MONTH(B1546)+1,0))),2)=6,0.5,0)),0))</f>
        <v>24</v>
      </c>
      <c r="K1546" s="22" cm="1">
        <f t="array" ref="K1546">_xlfn.XLOOKUP(1,((Metas_Diarias[[#This Row],[tipo_equipe_id]]=Metas[equipe])*(Metas_Diarias[[#This Row],[data]]&gt;Metas[data_inicio])*(Metas_Diarias[[#This Row],[data]]&lt;Metas[data_fim])),Metas[meta_mensal],0)</f>
        <v>115500</v>
      </c>
      <c r="L1546" s="24">
        <f ca="1">Metas_Diarias[[#This Row],[meta_mensal]]*IF(Metas_Diarias[[#This Row],[semana]]="domingo",0,Metas_Diarias[[#This Row],[semana]])*IF(Metas_Diarias[[#This Row],[feriado]]&lt;&gt;1,0,1)/Metas_Diarias[[#This Row],[dias_úteis_Mês]]</f>
        <v>2406.25</v>
      </c>
    </row>
    <row r="1547" spans="2:12" x14ac:dyDescent="0.3">
      <c r="B1547" s="34">
        <v>46103</v>
      </c>
      <c r="C1547" s="34" t="str">
        <f>TEXT(Metas_Diarias[[#This Row],[data]],"dddd")</f>
        <v>domingo</v>
      </c>
      <c r="D1547" s="33">
        <v>2</v>
      </c>
      <c r="E1547" s="33">
        <v>2</v>
      </c>
      <c r="F1547" s="18"/>
      <c r="G1547" s="35">
        <f>WEEKDAY(Metas_Diarias[[#This Row],[data]])</f>
        <v>1</v>
      </c>
      <c r="H1547" s="35" t="str">
        <f>IF(Metas_Diarias[[#This Row],[dias_da_demana]]=1,"domingo",IF(Metas_Diarias[[#This Row],[dias_da_demana]]=7,0.5,1))</f>
        <v>domingo</v>
      </c>
      <c r="I1547" s="35">
        <f>_xlfn.XLOOKUP(Metas_Diarias[[#This Row],[data]],Feriados[Data],Feriados[Feriado],1)</f>
        <v>1</v>
      </c>
      <c r="J1547" s="33" cm="1">
        <f t="array" aca="1" ref="J1547" ca="1">SUMPRODUCT(IF((NOT(ISERROR(MATCH(ROW(INDIRECT(DATE(YEAR(B1547),MONTH(B1547),1)&amp;":"&amp;DATE(YEAR(B1547),MONTH(B1547)+1,0))),Feriados[Data],0))))=FALSE,
IF(WEEKDAY(ROW(INDIRECT(DATE(YEAR(B1547),MONTH(B1547),1)&amp;":"&amp;DATE(YEAR(B1547),MONTH(B1547)+1,0))),2)&lt;=5,1,IF(WEEKDAY(ROW(INDIRECT(DATE(YEAR(B1547),MONTH(B1547),1)&amp;":"&amp;DATE(YEAR(B1547),MONTH(B1547)+1,0))),2)=6,0.5,0)),0))</f>
        <v>24</v>
      </c>
      <c r="K1547" s="22" cm="1">
        <f t="array" ref="K1547">_xlfn.XLOOKUP(1,((Metas_Diarias[[#This Row],[tipo_equipe_id]]=Metas[equipe])*(Metas_Diarias[[#This Row],[data]]&gt;Metas[data_inicio])*(Metas_Diarias[[#This Row],[data]]&lt;Metas[data_fim])),Metas[meta_mensal],0)</f>
        <v>115500</v>
      </c>
      <c r="L154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48" spans="2:12" x14ac:dyDescent="0.3">
      <c r="B1548" s="34">
        <v>46104</v>
      </c>
      <c r="C1548" s="34" t="str">
        <f>TEXT(Metas_Diarias[[#This Row],[data]],"dddd")</f>
        <v>segunda-feira</v>
      </c>
      <c r="D1548" s="33">
        <v>2</v>
      </c>
      <c r="E1548" s="33">
        <v>2</v>
      </c>
      <c r="F1548" s="18"/>
      <c r="G1548" s="35">
        <f>WEEKDAY(Metas_Diarias[[#This Row],[data]])</f>
        <v>2</v>
      </c>
      <c r="H1548" s="35">
        <f>IF(Metas_Diarias[[#This Row],[dias_da_demana]]=1,"domingo",IF(Metas_Diarias[[#This Row],[dias_da_demana]]=7,0.5,1))</f>
        <v>1</v>
      </c>
      <c r="I1548" s="35">
        <f>_xlfn.XLOOKUP(Metas_Diarias[[#This Row],[data]],Feriados[Data],Feriados[Feriado],1)</f>
        <v>1</v>
      </c>
      <c r="J1548" s="33" cm="1">
        <f t="array" aca="1" ref="J1548" ca="1">SUMPRODUCT(IF((NOT(ISERROR(MATCH(ROW(INDIRECT(DATE(YEAR(B1548),MONTH(B1548),1)&amp;":"&amp;DATE(YEAR(B1548),MONTH(B1548)+1,0))),Feriados[Data],0))))=FALSE,
IF(WEEKDAY(ROW(INDIRECT(DATE(YEAR(B1548),MONTH(B1548),1)&amp;":"&amp;DATE(YEAR(B1548),MONTH(B1548)+1,0))),2)&lt;=5,1,IF(WEEKDAY(ROW(INDIRECT(DATE(YEAR(B1548),MONTH(B1548),1)&amp;":"&amp;DATE(YEAR(B1548),MONTH(B1548)+1,0))),2)=6,0.5,0)),0))</f>
        <v>24</v>
      </c>
      <c r="K1548" s="22" cm="1">
        <f t="array" ref="K1548">_xlfn.XLOOKUP(1,((Metas_Diarias[[#This Row],[tipo_equipe_id]]=Metas[equipe])*(Metas_Diarias[[#This Row],[data]]&gt;Metas[data_inicio])*(Metas_Diarias[[#This Row],[data]]&lt;Metas[data_fim])),Metas[meta_mensal],0)</f>
        <v>115500</v>
      </c>
      <c r="L1548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49" spans="2:12" x14ac:dyDescent="0.3">
      <c r="B1549" s="34">
        <v>46105</v>
      </c>
      <c r="C1549" s="34" t="str">
        <f>TEXT(Metas_Diarias[[#This Row],[data]],"dddd")</f>
        <v>terça-feira</v>
      </c>
      <c r="D1549" s="33">
        <v>2</v>
      </c>
      <c r="E1549" s="33">
        <v>2</v>
      </c>
      <c r="F1549" s="18"/>
      <c r="G1549" s="35">
        <f>WEEKDAY(Metas_Diarias[[#This Row],[data]])</f>
        <v>3</v>
      </c>
      <c r="H1549" s="35">
        <f>IF(Metas_Diarias[[#This Row],[dias_da_demana]]=1,"domingo",IF(Metas_Diarias[[#This Row],[dias_da_demana]]=7,0.5,1))</f>
        <v>1</v>
      </c>
      <c r="I1549" s="35">
        <f>_xlfn.XLOOKUP(Metas_Diarias[[#This Row],[data]],Feriados[Data],Feriados[Feriado],1)</f>
        <v>1</v>
      </c>
      <c r="J1549" s="33" cm="1">
        <f t="array" aca="1" ref="J1549" ca="1">SUMPRODUCT(IF((NOT(ISERROR(MATCH(ROW(INDIRECT(DATE(YEAR(B1549),MONTH(B1549),1)&amp;":"&amp;DATE(YEAR(B1549),MONTH(B1549)+1,0))),Feriados[Data],0))))=FALSE,
IF(WEEKDAY(ROW(INDIRECT(DATE(YEAR(B1549),MONTH(B1549),1)&amp;":"&amp;DATE(YEAR(B1549),MONTH(B1549)+1,0))),2)&lt;=5,1,IF(WEEKDAY(ROW(INDIRECT(DATE(YEAR(B1549),MONTH(B1549),1)&amp;":"&amp;DATE(YEAR(B1549),MONTH(B1549)+1,0))),2)=6,0.5,0)),0))</f>
        <v>24</v>
      </c>
      <c r="K1549" s="22" cm="1">
        <f t="array" ref="K1549">_xlfn.XLOOKUP(1,((Metas_Diarias[[#This Row],[tipo_equipe_id]]=Metas[equipe])*(Metas_Diarias[[#This Row],[data]]&gt;Metas[data_inicio])*(Metas_Diarias[[#This Row],[data]]&lt;Metas[data_fim])),Metas[meta_mensal],0)</f>
        <v>115500</v>
      </c>
      <c r="L1549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50" spans="2:12" x14ac:dyDescent="0.3">
      <c r="B1550" s="34">
        <v>46106</v>
      </c>
      <c r="C1550" s="34" t="str">
        <f>TEXT(Metas_Diarias[[#This Row],[data]],"dddd")</f>
        <v>quarta-feira</v>
      </c>
      <c r="D1550" s="33">
        <v>2</v>
      </c>
      <c r="E1550" s="33">
        <v>2</v>
      </c>
      <c r="F1550" s="18"/>
      <c r="G1550" s="35">
        <f>WEEKDAY(Metas_Diarias[[#This Row],[data]])</f>
        <v>4</v>
      </c>
      <c r="H1550" s="35">
        <f>IF(Metas_Diarias[[#This Row],[dias_da_demana]]=1,"domingo",IF(Metas_Diarias[[#This Row],[dias_da_demana]]=7,0.5,1))</f>
        <v>1</v>
      </c>
      <c r="I1550" s="35">
        <f>_xlfn.XLOOKUP(Metas_Diarias[[#This Row],[data]],Feriados[Data],Feriados[Feriado],1)</f>
        <v>1</v>
      </c>
      <c r="J1550" s="33" cm="1">
        <f t="array" aca="1" ref="J1550" ca="1">SUMPRODUCT(IF((NOT(ISERROR(MATCH(ROW(INDIRECT(DATE(YEAR(B1550),MONTH(B1550),1)&amp;":"&amp;DATE(YEAR(B1550),MONTH(B1550)+1,0))),Feriados[Data],0))))=FALSE,
IF(WEEKDAY(ROW(INDIRECT(DATE(YEAR(B1550),MONTH(B1550),1)&amp;":"&amp;DATE(YEAR(B1550),MONTH(B1550)+1,0))),2)&lt;=5,1,IF(WEEKDAY(ROW(INDIRECT(DATE(YEAR(B1550),MONTH(B1550),1)&amp;":"&amp;DATE(YEAR(B1550),MONTH(B1550)+1,0))),2)=6,0.5,0)),0))</f>
        <v>24</v>
      </c>
      <c r="K1550" s="22" cm="1">
        <f t="array" ref="K1550">_xlfn.XLOOKUP(1,((Metas_Diarias[[#This Row],[tipo_equipe_id]]=Metas[equipe])*(Metas_Diarias[[#This Row],[data]]&gt;Metas[data_inicio])*(Metas_Diarias[[#This Row],[data]]&lt;Metas[data_fim])),Metas[meta_mensal],0)</f>
        <v>115500</v>
      </c>
      <c r="L1550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51" spans="2:12" x14ac:dyDescent="0.3">
      <c r="B1551" s="34">
        <v>46107</v>
      </c>
      <c r="C1551" s="34" t="str">
        <f>TEXT(Metas_Diarias[[#This Row],[data]],"dddd")</f>
        <v>quinta-feira</v>
      </c>
      <c r="D1551" s="33">
        <v>2</v>
      </c>
      <c r="E1551" s="33">
        <v>2</v>
      </c>
      <c r="F1551" s="18"/>
      <c r="G1551" s="35">
        <f>WEEKDAY(Metas_Diarias[[#This Row],[data]])</f>
        <v>5</v>
      </c>
      <c r="H1551" s="35">
        <f>IF(Metas_Diarias[[#This Row],[dias_da_demana]]=1,"domingo",IF(Metas_Diarias[[#This Row],[dias_da_demana]]=7,0.5,1))</f>
        <v>1</v>
      </c>
      <c r="I1551" s="35">
        <f>_xlfn.XLOOKUP(Metas_Diarias[[#This Row],[data]],Feriados[Data],Feriados[Feriado],1)</f>
        <v>1</v>
      </c>
      <c r="J1551" s="33" cm="1">
        <f t="array" aca="1" ref="J1551" ca="1">SUMPRODUCT(IF((NOT(ISERROR(MATCH(ROW(INDIRECT(DATE(YEAR(B1551),MONTH(B1551),1)&amp;":"&amp;DATE(YEAR(B1551),MONTH(B1551)+1,0))),Feriados[Data],0))))=FALSE,
IF(WEEKDAY(ROW(INDIRECT(DATE(YEAR(B1551),MONTH(B1551),1)&amp;":"&amp;DATE(YEAR(B1551),MONTH(B1551)+1,0))),2)&lt;=5,1,IF(WEEKDAY(ROW(INDIRECT(DATE(YEAR(B1551),MONTH(B1551),1)&amp;":"&amp;DATE(YEAR(B1551),MONTH(B1551)+1,0))),2)=6,0.5,0)),0))</f>
        <v>24</v>
      </c>
      <c r="K1551" s="22" cm="1">
        <f t="array" ref="K1551">_xlfn.XLOOKUP(1,((Metas_Diarias[[#This Row],[tipo_equipe_id]]=Metas[equipe])*(Metas_Diarias[[#This Row],[data]]&gt;Metas[data_inicio])*(Metas_Diarias[[#This Row],[data]]&lt;Metas[data_fim])),Metas[meta_mensal],0)</f>
        <v>115500</v>
      </c>
      <c r="L1551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52" spans="2:12" x14ac:dyDescent="0.3">
      <c r="B1552" s="34">
        <v>46108</v>
      </c>
      <c r="C1552" s="34" t="str">
        <f>TEXT(Metas_Diarias[[#This Row],[data]],"dddd")</f>
        <v>sexta-feira</v>
      </c>
      <c r="D1552" s="33">
        <v>2</v>
      </c>
      <c r="E1552" s="33">
        <v>2</v>
      </c>
      <c r="F1552" s="18"/>
      <c r="G1552" s="35">
        <f>WEEKDAY(Metas_Diarias[[#This Row],[data]])</f>
        <v>6</v>
      </c>
      <c r="H1552" s="35">
        <f>IF(Metas_Diarias[[#This Row],[dias_da_demana]]=1,"domingo",IF(Metas_Diarias[[#This Row],[dias_da_demana]]=7,0.5,1))</f>
        <v>1</v>
      </c>
      <c r="I1552" s="35">
        <f>_xlfn.XLOOKUP(Metas_Diarias[[#This Row],[data]],Feriados[Data],Feriados[Feriado],1)</f>
        <v>1</v>
      </c>
      <c r="J1552" s="33" cm="1">
        <f t="array" aca="1" ref="J1552" ca="1">SUMPRODUCT(IF((NOT(ISERROR(MATCH(ROW(INDIRECT(DATE(YEAR(B1552),MONTH(B1552),1)&amp;":"&amp;DATE(YEAR(B1552),MONTH(B1552)+1,0))),Feriados[Data],0))))=FALSE,
IF(WEEKDAY(ROW(INDIRECT(DATE(YEAR(B1552),MONTH(B1552),1)&amp;":"&amp;DATE(YEAR(B1552),MONTH(B1552)+1,0))),2)&lt;=5,1,IF(WEEKDAY(ROW(INDIRECT(DATE(YEAR(B1552),MONTH(B1552),1)&amp;":"&amp;DATE(YEAR(B1552),MONTH(B1552)+1,0))),2)=6,0.5,0)),0))</f>
        <v>24</v>
      </c>
      <c r="K1552" s="22" cm="1">
        <f t="array" ref="K1552">_xlfn.XLOOKUP(1,((Metas_Diarias[[#This Row],[tipo_equipe_id]]=Metas[equipe])*(Metas_Diarias[[#This Row],[data]]&gt;Metas[data_inicio])*(Metas_Diarias[[#This Row],[data]]&lt;Metas[data_fim])),Metas[meta_mensal],0)</f>
        <v>115500</v>
      </c>
      <c r="L1552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53" spans="2:12" x14ac:dyDescent="0.3">
      <c r="B1553" s="34">
        <v>46109</v>
      </c>
      <c r="C1553" s="34" t="str">
        <f>TEXT(Metas_Diarias[[#This Row],[data]],"dddd")</f>
        <v>sábado</v>
      </c>
      <c r="D1553" s="33">
        <v>2</v>
      </c>
      <c r="E1553" s="33">
        <v>2</v>
      </c>
      <c r="F1553" s="18"/>
      <c r="G1553" s="35">
        <f>WEEKDAY(Metas_Diarias[[#This Row],[data]])</f>
        <v>7</v>
      </c>
      <c r="H1553" s="35">
        <f>IF(Metas_Diarias[[#This Row],[dias_da_demana]]=1,"domingo",IF(Metas_Diarias[[#This Row],[dias_da_demana]]=7,0.5,1))</f>
        <v>0.5</v>
      </c>
      <c r="I1553" s="35">
        <f>_xlfn.XLOOKUP(Metas_Diarias[[#This Row],[data]],Feriados[Data],Feriados[Feriado],1)</f>
        <v>1</v>
      </c>
      <c r="J1553" s="33" cm="1">
        <f t="array" aca="1" ref="J1553" ca="1">SUMPRODUCT(IF((NOT(ISERROR(MATCH(ROW(INDIRECT(DATE(YEAR(B1553),MONTH(B1553),1)&amp;":"&amp;DATE(YEAR(B1553),MONTH(B1553)+1,0))),Feriados[Data],0))))=FALSE,
IF(WEEKDAY(ROW(INDIRECT(DATE(YEAR(B1553),MONTH(B1553),1)&amp;":"&amp;DATE(YEAR(B1553),MONTH(B1553)+1,0))),2)&lt;=5,1,IF(WEEKDAY(ROW(INDIRECT(DATE(YEAR(B1553),MONTH(B1553),1)&amp;":"&amp;DATE(YEAR(B1553),MONTH(B1553)+1,0))),2)=6,0.5,0)),0))</f>
        <v>24</v>
      </c>
      <c r="K1553" s="22" cm="1">
        <f t="array" ref="K1553">_xlfn.XLOOKUP(1,((Metas_Diarias[[#This Row],[tipo_equipe_id]]=Metas[equipe])*(Metas_Diarias[[#This Row],[data]]&gt;Metas[data_inicio])*(Metas_Diarias[[#This Row],[data]]&lt;Metas[data_fim])),Metas[meta_mensal],0)</f>
        <v>115500</v>
      </c>
      <c r="L1553" s="24">
        <f ca="1">Metas_Diarias[[#This Row],[meta_mensal]]*IF(Metas_Diarias[[#This Row],[semana]]="domingo",0,Metas_Diarias[[#This Row],[semana]])*IF(Metas_Diarias[[#This Row],[feriado]]&lt;&gt;1,0,1)/Metas_Diarias[[#This Row],[dias_úteis_Mês]]</f>
        <v>2406.25</v>
      </c>
    </row>
    <row r="1554" spans="2:12" x14ac:dyDescent="0.3">
      <c r="B1554" s="34">
        <v>46110</v>
      </c>
      <c r="C1554" s="34" t="str">
        <f>TEXT(Metas_Diarias[[#This Row],[data]],"dddd")</f>
        <v>domingo</v>
      </c>
      <c r="D1554" s="33">
        <v>2</v>
      </c>
      <c r="E1554" s="33">
        <v>2</v>
      </c>
      <c r="F1554" s="18"/>
      <c r="G1554" s="35">
        <f>WEEKDAY(Metas_Diarias[[#This Row],[data]])</f>
        <v>1</v>
      </c>
      <c r="H1554" s="35" t="str">
        <f>IF(Metas_Diarias[[#This Row],[dias_da_demana]]=1,"domingo",IF(Metas_Diarias[[#This Row],[dias_da_demana]]=7,0.5,1))</f>
        <v>domingo</v>
      </c>
      <c r="I1554" s="35">
        <f>_xlfn.XLOOKUP(Metas_Diarias[[#This Row],[data]],Feriados[Data],Feriados[Feriado],1)</f>
        <v>1</v>
      </c>
      <c r="J1554" s="33" cm="1">
        <f t="array" aca="1" ref="J1554" ca="1">SUMPRODUCT(IF((NOT(ISERROR(MATCH(ROW(INDIRECT(DATE(YEAR(B1554),MONTH(B1554),1)&amp;":"&amp;DATE(YEAR(B1554),MONTH(B1554)+1,0))),Feriados[Data],0))))=FALSE,
IF(WEEKDAY(ROW(INDIRECT(DATE(YEAR(B1554),MONTH(B1554),1)&amp;":"&amp;DATE(YEAR(B1554),MONTH(B1554)+1,0))),2)&lt;=5,1,IF(WEEKDAY(ROW(INDIRECT(DATE(YEAR(B1554),MONTH(B1554),1)&amp;":"&amp;DATE(YEAR(B1554),MONTH(B1554)+1,0))),2)=6,0.5,0)),0))</f>
        <v>24</v>
      </c>
      <c r="K1554" s="22" cm="1">
        <f t="array" ref="K1554">_xlfn.XLOOKUP(1,((Metas_Diarias[[#This Row],[tipo_equipe_id]]=Metas[equipe])*(Metas_Diarias[[#This Row],[data]]&gt;Metas[data_inicio])*(Metas_Diarias[[#This Row],[data]]&lt;Metas[data_fim])),Metas[meta_mensal],0)</f>
        <v>115500</v>
      </c>
      <c r="L155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55" spans="2:12" x14ac:dyDescent="0.3">
      <c r="B1555" s="34">
        <v>46111</v>
      </c>
      <c r="C1555" s="34" t="str">
        <f>TEXT(Metas_Diarias[[#This Row],[data]],"dddd")</f>
        <v>segunda-feira</v>
      </c>
      <c r="D1555" s="33">
        <v>2</v>
      </c>
      <c r="E1555" s="33">
        <v>2</v>
      </c>
      <c r="F1555" s="18"/>
      <c r="G1555" s="35">
        <f>WEEKDAY(Metas_Diarias[[#This Row],[data]])</f>
        <v>2</v>
      </c>
      <c r="H1555" s="35">
        <f>IF(Metas_Diarias[[#This Row],[dias_da_demana]]=1,"domingo",IF(Metas_Diarias[[#This Row],[dias_da_demana]]=7,0.5,1))</f>
        <v>1</v>
      </c>
      <c r="I1555" s="35">
        <f>_xlfn.XLOOKUP(Metas_Diarias[[#This Row],[data]],Feriados[Data],Feriados[Feriado],1)</f>
        <v>1</v>
      </c>
      <c r="J1555" s="33" cm="1">
        <f t="array" aca="1" ref="J1555" ca="1">SUMPRODUCT(IF((NOT(ISERROR(MATCH(ROW(INDIRECT(DATE(YEAR(B1555),MONTH(B1555),1)&amp;":"&amp;DATE(YEAR(B1555),MONTH(B1555)+1,0))),Feriados[Data],0))))=FALSE,
IF(WEEKDAY(ROW(INDIRECT(DATE(YEAR(B1555),MONTH(B1555),1)&amp;":"&amp;DATE(YEAR(B1555),MONTH(B1555)+1,0))),2)&lt;=5,1,IF(WEEKDAY(ROW(INDIRECT(DATE(YEAR(B1555),MONTH(B1555),1)&amp;":"&amp;DATE(YEAR(B1555),MONTH(B1555)+1,0))),2)=6,0.5,0)),0))</f>
        <v>24</v>
      </c>
      <c r="K1555" s="22" cm="1">
        <f t="array" ref="K1555">_xlfn.XLOOKUP(1,((Metas_Diarias[[#This Row],[tipo_equipe_id]]=Metas[equipe])*(Metas_Diarias[[#This Row],[data]]&gt;Metas[data_inicio])*(Metas_Diarias[[#This Row],[data]]&lt;Metas[data_fim])),Metas[meta_mensal],0)</f>
        <v>115500</v>
      </c>
      <c r="L1555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56" spans="2:12" x14ac:dyDescent="0.3">
      <c r="B1556" s="34">
        <v>46112</v>
      </c>
      <c r="C1556" s="34" t="str">
        <f>TEXT(Metas_Diarias[[#This Row],[data]],"dddd")</f>
        <v>terça-feira</v>
      </c>
      <c r="D1556" s="33">
        <v>2</v>
      </c>
      <c r="E1556" s="33">
        <v>2</v>
      </c>
      <c r="F1556" s="18"/>
      <c r="G1556" s="35">
        <f>WEEKDAY(Metas_Diarias[[#This Row],[data]])</f>
        <v>3</v>
      </c>
      <c r="H1556" s="35">
        <f>IF(Metas_Diarias[[#This Row],[dias_da_demana]]=1,"domingo",IF(Metas_Diarias[[#This Row],[dias_da_demana]]=7,0.5,1))</f>
        <v>1</v>
      </c>
      <c r="I1556" s="35">
        <f>_xlfn.XLOOKUP(Metas_Diarias[[#This Row],[data]],Feriados[Data],Feriados[Feriado],1)</f>
        <v>1</v>
      </c>
      <c r="J1556" s="33" cm="1">
        <f t="array" aca="1" ref="J1556" ca="1">SUMPRODUCT(IF((NOT(ISERROR(MATCH(ROW(INDIRECT(DATE(YEAR(B1556),MONTH(B1556),1)&amp;":"&amp;DATE(YEAR(B1556),MONTH(B1556)+1,0))),Feriados[Data],0))))=FALSE,
IF(WEEKDAY(ROW(INDIRECT(DATE(YEAR(B1556),MONTH(B1556),1)&amp;":"&amp;DATE(YEAR(B1556),MONTH(B1556)+1,0))),2)&lt;=5,1,IF(WEEKDAY(ROW(INDIRECT(DATE(YEAR(B1556),MONTH(B1556),1)&amp;":"&amp;DATE(YEAR(B1556),MONTH(B1556)+1,0))),2)=6,0.5,0)),0))</f>
        <v>24</v>
      </c>
      <c r="K1556" s="22" cm="1">
        <f t="array" ref="K1556">_xlfn.XLOOKUP(1,((Metas_Diarias[[#This Row],[tipo_equipe_id]]=Metas[equipe])*(Metas_Diarias[[#This Row],[data]]&gt;Metas[data_inicio])*(Metas_Diarias[[#This Row],[data]]&lt;Metas[data_fim])),Metas[meta_mensal],0)</f>
        <v>115500</v>
      </c>
      <c r="L1556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557" spans="2:12" x14ac:dyDescent="0.3">
      <c r="B1557" s="34">
        <v>46113</v>
      </c>
      <c r="C1557" s="34" t="str">
        <f>TEXT(Metas_Diarias[[#This Row],[data]],"dddd")</f>
        <v>quarta-feira</v>
      </c>
      <c r="D1557" s="33">
        <v>2</v>
      </c>
      <c r="E1557" s="33">
        <v>2</v>
      </c>
      <c r="F1557" s="18"/>
      <c r="G1557" s="35">
        <f>WEEKDAY(Metas_Diarias[[#This Row],[data]])</f>
        <v>4</v>
      </c>
      <c r="H1557" s="35">
        <f>IF(Metas_Diarias[[#This Row],[dias_da_demana]]=1,"domingo",IF(Metas_Diarias[[#This Row],[dias_da_demana]]=7,0.5,1))</f>
        <v>1</v>
      </c>
      <c r="I1557" s="35">
        <f>_xlfn.XLOOKUP(Metas_Diarias[[#This Row],[data]],Feriados[Data],Feriados[Feriado],1)</f>
        <v>1</v>
      </c>
      <c r="J1557" s="33" cm="1">
        <f t="array" aca="1" ref="J1557" ca="1">SUMPRODUCT(IF((NOT(ISERROR(MATCH(ROW(INDIRECT(DATE(YEAR(B1557),MONTH(B1557),1)&amp;":"&amp;DATE(YEAR(B1557),MONTH(B1557)+1,0))),Feriados[Data],0))))=FALSE,
IF(WEEKDAY(ROW(INDIRECT(DATE(YEAR(B1557),MONTH(B1557),1)&amp;":"&amp;DATE(YEAR(B1557),MONTH(B1557)+1,0))),2)&lt;=5,1,IF(WEEKDAY(ROW(INDIRECT(DATE(YEAR(B1557),MONTH(B1557),1)&amp;":"&amp;DATE(YEAR(B1557),MONTH(B1557)+1,0))),2)=6,0.5,0)),0))</f>
        <v>22</v>
      </c>
      <c r="K1557" s="22" cm="1">
        <f t="array" ref="K1557">_xlfn.XLOOKUP(1,((Metas_Diarias[[#This Row],[tipo_equipe_id]]=Metas[equipe])*(Metas_Diarias[[#This Row],[data]]&gt;Metas[data_inicio])*(Metas_Diarias[[#This Row],[data]]&lt;Metas[data_fim])),Metas[meta_mensal],0)</f>
        <v>115500</v>
      </c>
      <c r="L1557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58" spans="2:12" x14ac:dyDescent="0.3">
      <c r="B1558" s="34">
        <v>46114</v>
      </c>
      <c r="C1558" s="34" t="str">
        <f>TEXT(Metas_Diarias[[#This Row],[data]],"dddd")</f>
        <v>quinta-feira</v>
      </c>
      <c r="D1558" s="33">
        <v>2</v>
      </c>
      <c r="E1558" s="33">
        <v>2</v>
      </c>
      <c r="F1558" s="18"/>
      <c r="G1558" s="35">
        <f>WEEKDAY(Metas_Diarias[[#This Row],[data]])</f>
        <v>5</v>
      </c>
      <c r="H1558" s="35">
        <f>IF(Metas_Diarias[[#This Row],[dias_da_demana]]=1,"domingo",IF(Metas_Diarias[[#This Row],[dias_da_demana]]=7,0.5,1))</f>
        <v>1</v>
      </c>
      <c r="I1558" s="35">
        <f>_xlfn.XLOOKUP(Metas_Diarias[[#This Row],[data]],Feriados[Data],Feriados[Feriado],1)</f>
        <v>1</v>
      </c>
      <c r="J1558" s="33" cm="1">
        <f t="array" aca="1" ref="J1558" ca="1">SUMPRODUCT(IF((NOT(ISERROR(MATCH(ROW(INDIRECT(DATE(YEAR(B1558),MONTH(B1558),1)&amp;":"&amp;DATE(YEAR(B1558),MONTH(B1558)+1,0))),Feriados[Data],0))))=FALSE,
IF(WEEKDAY(ROW(INDIRECT(DATE(YEAR(B1558),MONTH(B1558),1)&amp;":"&amp;DATE(YEAR(B1558),MONTH(B1558)+1,0))),2)&lt;=5,1,IF(WEEKDAY(ROW(INDIRECT(DATE(YEAR(B1558),MONTH(B1558),1)&amp;":"&amp;DATE(YEAR(B1558),MONTH(B1558)+1,0))),2)=6,0.5,0)),0))</f>
        <v>22</v>
      </c>
      <c r="K1558" s="22" cm="1">
        <f t="array" ref="K1558">_xlfn.XLOOKUP(1,((Metas_Diarias[[#This Row],[tipo_equipe_id]]=Metas[equipe])*(Metas_Diarias[[#This Row],[data]]&gt;Metas[data_inicio])*(Metas_Diarias[[#This Row],[data]]&lt;Metas[data_fim])),Metas[meta_mensal],0)</f>
        <v>115500</v>
      </c>
      <c r="L1558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59" spans="2:12" x14ac:dyDescent="0.3">
      <c r="B1559" s="34">
        <v>46115</v>
      </c>
      <c r="C1559" s="34" t="str">
        <f>TEXT(Metas_Diarias[[#This Row],[data]],"dddd")</f>
        <v>sexta-feira</v>
      </c>
      <c r="D1559" s="33">
        <v>2</v>
      </c>
      <c r="E1559" s="33">
        <v>2</v>
      </c>
      <c r="F1559" s="18"/>
      <c r="G1559" s="35">
        <f>WEEKDAY(Metas_Diarias[[#This Row],[data]])</f>
        <v>6</v>
      </c>
      <c r="H1559" s="35">
        <f>IF(Metas_Diarias[[#This Row],[dias_da_demana]]=1,"domingo",IF(Metas_Diarias[[#This Row],[dias_da_demana]]=7,0.5,1))</f>
        <v>1</v>
      </c>
      <c r="I1559" s="35" t="str">
        <f>_xlfn.XLOOKUP(Metas_Diarias[[#This Row],[data]],Feriados[Data],Feriados[Feriado],1)</f>
        <v>Paixão de Cristo</v>
      </c>
      <c r="J1559" s="33" cm="1">
        <f t="array" aca="1" ref="J1559" ca="1">SUMPRODUCT(IF((NOT(ISERROR(MATCH(ROW(INDIRECT(DATE(YEAR(B1559),MONTH(B1559),1)&amp;":"&amp;DATE(YEAR(B1559),MONTH(B1559)+1,0))),Feriados[Data],0))))=FALSE,
IF(WEEKDAY(ROW(INDIRECT(DATE(YEAR(B1559),MONTH(B1559),1)&amp;":"&amp;DATE(YEAR(B1559),MONTH(B1559)+1,0))),2)&lt;=5,1,IF(WEEKDAY(ROW(INDIRECT(DATE(YEAR(B1559),MONTH(B1559),1)&amp;":"&amp;DATE(YEAR(B1559),MONTH(B1559)+1,0))),2)=6,0.5,0)),0))</f>
        <v>22</v>
      </c>
      <c r="K1559" s="22" cm="1">
        <f t="array" ref="K1559">_xlfn.XLOOKUP(1,((Metas_Diarias[[#This Row],[tipo_equipe_id]]=Metas[equipe])*(Metas_Diarias[[#This Row],[data]]&gt;Metas[data_inicio])*(Metas_Diarias[[#This Row],[data]]&lt;Metas[data_fim])),Metas[meta_mensal],0)</f>
        <v>115500</v>
      </c>
      <c r="L15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60" spans="2:12" x14ac:dyDescent="0.3">
      <c r="B1560" s="34">
        <v>46116</v>
      </c>
      <c r="C1560" s="34" t="str">
        <f>TEXT(Metas_Diarias[[#This Row],[data]],"dddd")</f>
        <v>sábado</v>
      </c>
      <c r="D1560" s="33">
        <v>2</v>
      </c>
      <c r="E1560" s="33">
        <v>2</v>
      </c>
      <c r="F1560" s="18"/>
      <c r="G1560" s="35">
        <f>WEEKDAY(Metas_Diarias[[#This Row],[data]])</f>
        <v>7</v>
      </c>
      <c r="H1560" s="35">
        <f>IF(Metas_Diarias[[#This Row],[dias_da_demana]]=1,"domingo",IF(Metas_Diarias[[#This Row],[dias_da_demana]]=7,0.5,1))</f>
        <v>0.5</v>
      </c>
      <c r="I1560" s="35">
        <f>_xlfn.XLOOKUP(Metas_Diarias[[#This Row],[data]],Feriados[Data],Feriados[Feriado],1)</f>
        <v>1</v>
      </c>
      <c r="J1560" s="33" cm="1">
        <f t="array" aca="1" ref="J1560" ca="1">SUMPRODUCT(IF((NOT(ISERROR(MATCH(ROW(INDIRECT(DATE(YEAR(B1560),MONTH(B1560),1)&amp;":"&amp;DATE(YEAR(B1560),MONTH(B1560)+1,0))),Feriados[Data],0))))=FALSE,
IF(WEEKDAY(ROW(INDIRECT(DATE(YEAR(B1560),MONTH(B1560),1)&amp;":"&amp;DATE(YEAR(B1560),MONTH(B1560)+1,0))),2)&lt;=5,1,IF(WEEKDAY(ROW(INDIRECT(DATE(YEAR(B1560),MONTH(B1560),1)&amp;":"&amp;DATE(YEAR(B1560),MONTH(B1560)+1,0))),2)=6,0.5,0)),0))</f>
        <v>22</v>
      </c>
      <c r="K1560" s="22" cm="1">
        <f t="array" ref="K1560">_xlfn.XLOOKUP(1,((Metas_Diarias[[#This Row],[tipo_equipe_id]]=Metas[equipe])*(Metas_Diarias[[#This Row],[data]]&gt;Metas[data_inicio])*(Metas_Diarias[[#This Row],[data]]&lt;Metas[data_fim])),Metas[meta_mensal],0)</f>
        <v>115500</v>
      </c>
      <c r="L1560" s="24">
        <f ca="1">Metas_Diarias[[#This Row],[meta_mensal]]*IF(Metas_Diarias[[#This Row],[semana]]="domingo",0,Metas_Diarias[[#This Row],[semana]])*IF(Metas_Diarias[[#This Row],[feriado]]&lt;&gt;1,0,1)/Metas_Diarias[[#This Row],[dias_úteis_Mês]]</f>
        <v>2625</v>
      </c>
    </row>
    <row r="1561" spans="2:12" x14ac:dyDescent="0.3">
      <c r="B1561" s="34">
        <v>46117</v>
      </c>
      <c r="C1561" s="34" t="str">
        <f>TEXT(Metas_Diarias[[#This Row],[data]],"dddd")</f>
        <v>domingo</v>
      </c>
      <c r="D1561" s="33">
        <v>2</v>
      </c>
      <c r="E1561" s="33">
        <v>2</v>
      </c>
      <c r="F1561" s="18"/>
      <c r="G1561" s="35">
        <f>WEEKDAY(Metas_Diarias[[#This Row],[data]])</f>
        <v>1</v>
      </c>
      <c r="H1561" s="35" t="str">
        <f>IF(Metas_Diarias[[#This Row],[dias_da_demana]]=1,"domingo",IF(Metas_Diarias[[#This Row],[dias_da_demana]]=7,0.5,1))</f>
        <v>domingo</v>
      </c>
      <c r="I1561" s="35">
        <f>_xlfn.XLOOKUP(Metas_Diarias[[#This Row],[data]],Feriados[Data],Feriados[Feriado],1)</f>
        <v>1</v>
      </c>
      <c r="J1561" s="33" cm="1">
        <f t="array" aca="1" ref="J1561" ca="1">SUMPRODUCT(IF((NOT(ISERROR(MATCH(ROW(INDIRECT(DATE(YEAR(B1561),MONTH(B1561),1)&amp;":"&amp;DATE(YEAR(B1561),MONTH(B1561)+1,0))),Feriados[Data],0))))=FALSE,
IF(WEEKDAY(ROW(INDIRECT(DATE(YEAR(B1561),MONTH(B1561),1)&amp;":"&amp;DATE(YEAR(B1561),MONTH(B1561)+1,0))),2)&lt;=5,1,IF(WEEKDAY(ROW(INDIRECT(DATE(YEAR(B1561),MONTH(B1561),1)&amp;":"&amp;DATE(YEAR(B1561),MONTH(B1561)+1,0))),2)=6,0.5,0)),0))</f>
        <v>22</v>
      </c>
      <c r="K1561" s="22" cm="1">
        <f t="array" ref="K1561">_xlfn.XLOOKUP(1,((Metas_Diarias[[#This Row],[tipo_equipe_id]]=Metas[equipe])*(Metas_Diarias[[#This Row],[data]]&gt;Metas[data_inicio])*(Metas_Diarias[[#This Row],[data]]&lt;Metas[data_fim])),Metas[meta_mensal],0)</f>
        <v>115500</v>
      </c>
      <c r="L15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62" spans="2:12" x14ac:dyDescent="0.3">
      <c r="B1562" s="34">
        <v>46118</v>
      </c>
      <c r="C1562" s="34" t="str">
        <f>TEXT(Metas_Diarias[[#This Row],[data]],"dddd")</f>
        <v>segunda-feira</v>
      </c>
      <c r="D1562" s="33">
        <v>2</v>
      </c>
      <c r="E1562" s="33">
        <v>2</v>
      </c>
      <c r="F1562" s="18"/>
      <c r="G1562" s="35">
        <f>WEEKDAY(Metas_Diarias[[#This Row],[data]])</f>
        <v>2</v>
      </c>
      <c r="H1562" s="35">
        <f>IF(Metas_Diarias[[#This Row],[dias_da_demana]]=1,"domingo",IF(Metas_Diarias[[#This Row],[dias_da_demana]]=7,0.5,1))</f>
        <v>1</v>
      </c>
      <c r="I1562" s="35">
        <f>_xlfn.XLOOKUP(Metas_Diarias[[#This Row],[data]],Feriados[Data],Feriados[Feriado],1)</f>
        <v>1</v>
      </c>
      <c r="J1562" s="33" cm="1">
        <f t="array" aca="1" ref="J1562" ca="1">SUMPRODUCT(IF((NOT(ISERROR(MATCH(ROW(INDIRECT(DATE(YEAR(B1562),MONTH(B1562),1)&amp;":"&amp;DATE(YEAR(B1562),MONTH(B1562)+1,0))),Feriados[Data],0))))=FALSE,
IF(WEEKDAY(ROW(INDIRECT(DATE(YEAR(B1562),MONTH(B1562),1)&amp;":"&amp;DATE(YEAR(B1562),MONTH(B1562)+1,0))),2)&lt;=5,1,IF(WEEKDAY(ROW(INDIRECT(DATE(YEAR(B1562),MONTH(B1562),1)&amp;":"&amp;DATE(YEAR(B1562),MONTH(B1562)+1,0))),2)=6,0.5,0)),0))</f>
        <v>22</v>
      </c>
      <c r="K1562" s="22" cm="1">
        <f t="array" ref="K1562">_xlfn.XLOOKUP(1,((Metas_Diarias[[#This Row],[tipo_equipe_id]]=Metas[equipe])*(Metas_Diarias[[#This Row],[data]]&gt;Metas[data_inicio])*(Metas_Diarias[[#This Row],[data]]&lt;Metas[data_fim])),Metas[meta_mensal],0)</f>
        <v>115500</v>
      </c>
      <c r="L1562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63" spans="2:12" x14ac:dyDescent="0.3">
      <c r="B1563" s="34">
        <v>46119</v>
      </c>
      <c r="C1563" s="34" t="str">
        <f>TEXT(Metas_Diarias[[#This Row],[data]],"dddd")</f>
        <v>terça-feira</v>
      </c>
      <c r="D1563" s="33">
        <v>2</v>
      </c>
      <c r="E1563" s="33">
        <v>2</v>
      </c>
      <c r="F1563" s="18"/>
      <c r="G1563" s="35">
        <f>WEEKDAY(Metas_Diarias[[#This Row],[data]])</f>
        <v>3</v>
      </c>
      <c r="H1563" s="35">
        <f>IF(Metas_Diarias[[#This Row],[dias_da_demana]]=1,"domingo",IF(Metas_Diarias[[#This Row],[dias_da_demana]]=7,0.5,1))</f>
        <v>1</v>
      </c>
      <c r="I1563" s="35">
        <f>_xlfn.XLOOKUP(Metas_Diarias[[#This Row],[data]],Feriados[Data],Feriados[Feriado],1)</f>
        <v>1</v>
      </c>
      <c r="J1563" s="33" cm="1">
        <f t="array" aca="1" ref="J1563" ca="1">SUMPRODUCT(IF((NOT(ISERROR(MATCH(ROW(INDIRECT(DATE(YEAR(B1563),MONTH(B1563),1)&amp;":"&amp;DATE(YEAR(B1563),MONTH(B1563)+1,0))),Feriados[Data],0))))=FALSE,
IF(WEEKDAY(ROW(INDIRECT(DATE(YEAR(B1563),MONTH(B1563),1)&amp;":"&amp;DATE(YEAR(B1563),MONTH(B1563)+1,0))),2)&lt;=5,1,IF(WEEKDAY(ROW(INDIRECT(DATE(YEAR(B1563),MONTH(B1563),1)&amp;":"&amp;DATE(YEAR(B1563),MONTH(B1563)+1,0))),2)=6,0.5,0)),0))</f>
        <v>22</v>
      </c>
      <c r="K1563" s="22" cm="1">
        <f t="array" ref="K1563">_xlfn.XLOOKUP(1,((Metas_Diarias[[#This Row],[tipo_equipe_id]]=Metas[equipe])*(Metas_Diarias[[#This Row],[data]]&gt;Metas[data_inicio])*(Metas_Diarias[[#This Row],[data]]&lt;Metas[data_fim])),Metas[meta_mensal],0)</f>
        <v>115500</v>
      </c>
      <c r="L1563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64" spans="2:12" x14ac:dyDescent="0.3">
      <c r="B1564" s="34">
        <v>46120</v>
      </c>
      <c r="C1564" s="34" t="str">
        <f>TEXT(Metas_Diarias[[#This Row],[data]],"dddd")</f>
        <v>quarta-feira</v>
      </c>
      <c r="D1564" s="33">
        <v>2</v>
      </c>
      <c r="E1564" s="33">
        <v>2</v>
      </c>
      <c r="F1564" s="18"/>
      <c r="G1564" s="35">
        <f>WEEKDAY(Metas_Diarias[[#This Row],[data]])</f>
        <v>4</v>
      </c>
      <c r="H1564" s="35">
        <f>IF(Metas_Diarias[[#This Row],[dias_da_demana]]=1,"domingo",IF(Metas_Diarias[[#This Row],[dias_da_demana]]=7,0.5,1))</f>
        <v>1</v>
      </c>
      <c r="I1564" s="35">
        <f>_xlfn.XLOOKUP(Metas_Diarias[[#This Row],[data]],Feriados[Data],Feriados[Feriado],1)</f>
        <v>1</v>
      </c>
      <c r="J1564" s="33" cm="1">
        <f t="array" aca="1" ref="J1564" ca="1">SUMPRODUCT(IF((NOT(ISERROR(MATCH(ROW(INDIRECT(DATE(YEAR(B1564),MONTH(B1564),1)&amp;":"&amp;DATE(YEAR(B1564),MONTH(B1564)+1,0))),Feriados[Data],0))))=FALSE,
IF(WEEKDAY(ROW(INDIRECT(DATE(YEAR(B1564),MONTH(B1564),1)&amp;":"&amp;DATE(YEAR(B1564),MONTH(B1564)+1,0))),2)&lt;=5,1,IF(WEEKDAY(ROW(INDIRECT(DATE(YEAR(B1564),MONTH(B1564),1)&amp;":"&amp;DATE(YEAR(B1564),MONTH(B1564)+1,0))),2)=6,0.5,0)),0))</f>
        <v>22</v>
      </c>
      <c r="K1564" s="22" cm="1">
        <f t="array" ref="K1564">_xlfn.XLOOKUP(1,((Metas_Diarias[[#This Row],[tipo_equipe_id]]=Metas[equipe])*(Metas_Diarias[[#This Row],[data]]&gt;Metas[data_inicio])*(Metas_Diarias[[#This Row],[data]]&lt;Metas[data_fim])),Metas[meta_mensal],0)</f>
        <v>115500</v>
      </c>
      <c r="L1564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65" spans="2:12" x14ac:dyDescent="0.3">
      <c r="B1565" s="34">
        <v>46121</v>
      </c>
      <c r="C1565" s="34" t="str">
        <f>TEXT(Metas_Diarias[[#This Row],[data]],"dddd")</f>
        <v>quinta-feira</v>
      </c>
      <c r="D1565" s="33">
        <v>2</v>
      </c>
      <c r="E1565" s="33">
        <v>2</v>
      </c>
      <c r="F1565" s="18"/>
      <c r="G1565" s="35">
        <f>WEEKDAY(Metas_Diarias[[#This Row],[data]])</f>
        <v>5</v>
      </c>
      <c r="H1565" s="35">
        <f>IF(Metas_Diarias[[#This Row],[dias_da_demana]]=1,"domingo",IF(Metas_Diarias[[#This Row],[dias_da_demana]]=7,0.5,1))</f>
        <v>1</v>
      </c>
      <c r="I1565" s="35">
        <f>_xlfn.XLOOKUP(Metas_Diarias[[#This Row],[data]],Feriados[Data],Feriados[Feriado],1)</f>
        <v>1</v>
      </c>
      <c r="J1565" s="33" cm="1">
        <f t="array" aca="1" ref="J1565" ca="1">SUMPRODUCT(IF((NOT(ISERROR(MATCH(ROW(INDIRECT(DATE(YEAR(B1565),MONTH(B1565),1)&amp;":"&amp;DATE(YEAR(B1565),MONTH(B1565)+1,0))),Feriados[Data],0))))=FALSE,
IF(WEEKDAY(ROW(INDIRECT(DATE(YEAR(B1565),MONTH(B1565),1)&amp;":"&amp;DATE(YEAR(B1565),MONTH(B1565)+1,0))),2)&lt;=5,1,IF(WEEKDAY(ROW(INDIRECT(DATE(YEAR(B1565),MONTH(B1565),1)&amp;":"&amp;DATE(YEAR(B1565),MONTH(B1565)+1,0))),2)=6,0.5,0)),0))</f>
        <v>22</v>
      </c>
      <c r="K1565" s="22" cm="1">
        <f t="array" ref="K1565">_xlfn.XLOOKUP(1,((Metas_Diarias[[#This Row],[tipo_equipe_id]]=Metas[equipe])*(Metas_Diarias[[#This Row],[data]]&gt;Metas[data_inicio])*(Metas_Diarias[[#This Row],[data]]&lt;Metas[data_fim])),Metas[meta_mensal],0)</f>
        <v>115500</v>
      </c>
      <c r="L1565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66" spans="2:12" x14ac:dyDescent="0.3">
      <c r="B1566" s="34">
        <v>46122</v>
      </c>
      <c r="C1566" s="34" t="str">
        <f>TEXT(Metas_Diarias[[#This Row],[data]],"dddd")</f>
        <v>sexta-feira</v>
      </c>
      <c r="D1566" s="33">
        <v>2</v>
      </c>
      <c r="E1566" s="33">
        <v>2</v>
      </c>
      <c r="F1566" s="18"/>
      <c r="G1566" s="35">
        <f>WEEKDAY(Metas_Diarias[[#This Row],[data]])</f>
        <v>6</v>
      </c>
      <c r="H1566" s="35">
        <f>IF(Metas_Diarias[[#This Row],[dias_da_demana]]=1,"domingo",IF(Metas_Diarias[[#This Row],[dias_da_demana]]=7,0.5,1))</f>
        <v>1</v>
      </c>
      <c r="I1566" s="35">
        <f>_xlfn.XLOOKUP(Metas_Diarias[[#This Row],[data]],Feriados[Data],Feriados[Feriado],1)</f>
        <v>1</v>
      </c>
      <c r="J1566" s="33" cm="1">
        <f t="array" aca="1" ref="J1566" ca="1">SUMPRODUCT(IF((NOT(ISERROR(MATCH(ROW(INDIRECT(DATE(YEAR(B1566),MONTH(B1566),1)&amp;":"&amp;DATE(YEAR(B1566),MONTH(B1566)+1,0))),Feriados[Data],0))))=FALSE,
IF(WEEKDAY(ROW(INDIRECT(DATE(YEAR(B1566),MONTH(B1566),1)&amp;":"&amp;DATE(YEAR(B1566),MONTH(B1566)+1,0))),2)&lt;=5,1,IF(WEEKDAY(ROW(INDIRECT(DATE(YEAR(B1566),MONTH(B1566),1)&amp;":"&amp;DATE(YEAR(B1566),MONTH(B1566)+1,0))),2)=6,0.5,0)),0))</f>
        <v>22</v>
      </c>
      <c r="K1566" s="22" cm="1">
        <f t="array" ref="K1566">_xlfn.XLOOKUP(1,((Metas_Diarias[[#This Row],[tipo_equipe_id]]=Metas[equipe])*(Metas_Diarias[[#This Row],[data]]&gt;Metas[data_inicio])*(Metas_Diarias[[#This Row],[data]]&lt;Metas[data_fim])),Metas[meta_mensal],0)</f>
        <v>115500</v>
      </c>
      <c r="L1566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67" spans="2:12" x14ac:dyDescent="0.3">
      <c r="B1567" s="34">
        <v>46123</v>
      </c>
      <c r="C1567" s="34" t="str">
        <f>TEXT(Metas_Diarias[[#This Row],[data]],"dddd")</f>
        <v>sábado</v>
      </c>
      <c r="D1567" s="33">
        <v>2</v>
      </c>
      <c r="E1567" s="33">
        <v>2</v>
      </c>
      <c r="F1567" s="18"/>
      <c r="G1567" s="35">
        <f>WEEKDAY(Metas_Diarias[[#This Row],[data]])</f>
        <v>7</v>
      </c>
      <c r="H1567" s="35">
        <f>IF(Metas_Diarias[[#This Row],[dias_da_demana]]=1,"domingo",IF(Metas_Diarias[[#This Row],[dias_da_demana]]=7,0.5,1))</f>
        <v>0.5</v>
      </c>
      <c r="I1567" s="35">
        <f>_xlfn.XLOOKUP(Metas_Diarias[[#This Row],[data]],Feriados[Data],Feriados[Feriado],1)</f>
        <v>1</v>
      </c>
      <c r="J1567" s="33" cm="1">
        <f t="array" aca="1" ref="J1567" ca="1">SUMPRODUCT(IF((NOT(ISERROR(MATCH(ROW(INDIRECT(DATE(YEAR(B1567),MONTH(B1567),1)&amp;":"&amp;DATE(YEAR(B1567),MONTH(B1567)+1,0))),Feriados[Data],0))))=FALSE,
IF(WEEKDAY(ROW(INDIRECT(DATE(YEAR(B1567),MONTH(B1567),1)&amp;":"&amp;DATE(YEAR(B1567),MONTH(B1567)+1,0))),2)&lt;=5,1,IF(WEEKDAY(ROW(INDIRECT(DATE(YEAR(B1567),MONTH(B1567),1)&amp;":"&amp;DATE(YEAR(B1567),MONTH(B1567)+1,0))),2)=6,0.5,0)),0))</f>
        <v>22</v>
      </c>
      <c r="K1567" s="22" cm="1">
        <f t="array" ref="K1567">_xlfn.XLOOKUP(1,((Metas_Diarias[[#This Row],[tipo_equipe_id]]=Metas[equipe])*(Metas_Diarias[[#This Row],[data]]&gt;Metas[data_inicio])*(Metas_Diarias[[#This Row],[data]]&lt;Metas[data_fim])),Metas[meta_mensal],0)</f>
        <v>115500</v>
      </c>
      <c r="L1567" s="24">
        <f ca="1">Metas_Diarias[[#This Row],[meta_mensal]]*IF(Metas_Diarias[[#This Row],[semana]]="domingo",0,Metas_Diarias[[#This Row],[semana]])*IF(Metas_Diarias[[#This Row],[feriado]]&lt;&gt;1,0,1)/Metas_Diarias[[#This Row],[dias_úteis_Mês]]</f>
        <v>2625</v>
      </c>
    </row>
    <row r="1568" spans="2:12" x14ac:dyDescent="0.3">
      <c r="B1568" s="34">
        <v>46124</v>
      </c>
      <c r="C1568" s="34" t="str">
        <f>TEXT(Metas_Diarias[[#This Row],[data]],"dddd")</f>
        <v>domingo</v>
      </c>
      <c r="D1568" s="33">
        <v>2</v>
      </c>
      <c r="E1568" s="33">
        <v>2</v>
      </c>
      <c r="F1568" s="18"/>
      <c r="G1568" s="35">
        <f>WEEKDAY(Metas_Diarias[[#This Row],[data]])</f>
        <v>1</v>
      </c>
      <c r="H1568" s="35" t="str">
        <f>IF(Metas_Diarias[[#This Row],[dias_da_demana]]=1,"domingo",IF(Metas_Diarias[[#This Row],[dias_da_demana]]=7,0.5,1))</f>
        <v>domingo</v>
      </c>
      <c r="I1568" s="35">
        <f>_xlfn.XLOOKUP(Metas_Diarias[[#This Row],[data]],Feriados[Data],Feriados[Feriado],1)</f>
        <v>1</v>
      </c>
      <c r="J1568" s="33" cm="1">
        <f t="array" aca="1" ref="J1568" ca="1">SUMPRODUCT(IF((NOT(ISERROR(MATCH(ROW(INDIRECT(DATE(YEAR(B1568),MONTH(B1568),1)&amp;":"&amp;DATE(YEAR(B1568),MONTH(B1568)+1,0))),Feriados[Data],0))))=FALSE,
IF(WEEKDAY(ROW(INDIRECT(DATE(YEAR(B1568),MONTH(B1568),1)&amp;":"&amp;DATE(YEAR(B1568),MONTH(B1568)+1,0))),2)&lt;=5,1,IF(WEEKDAY(ROW(INDIRECT(DATE(YEAR(B1568),MONTH(B1568),1)&amp;":"&amp;DATE(YEAR(B1568),MONTH(B1568)+1,0))),2)=6,0.5,0)),0))</f>
        <v>22</v>
      </c>
      <c r="K1568" s="22" cm="1">
        <f t="array" ref="K1568">_xlfn.XLOOKUP(1,((Metas_Diarias[[#This Row],[tipo_equipe_id]]=Metas[equipe])*(Metas_Diarias[[#This Row],[data]]&gt;Metas[data_inicio])*(Metas_Diarias[[#This Row],[data]]&lt;Metas[data_fim])),Metas[meta_mensal],0)</f>
        <v>115500</v>
      </c>
      <c r="L15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69" spans="2:12" x14ac:dyDescent="0.3">
      <c r="B1569" s="34">
        <v>46125</v>
      </c>
      <c r="C1569" s="34" t="str">
        <f>TEXT(Metas_Diarias[[#This Row],[data]],"dddd")</f>
        <v>segunda-feira</v>
      </c>
      <c r="D1569" s="33">
        <v>2</v>
      </c>
      <c r="E1569" s="33">
        <v>2</v>
      </c>
      <c r="F1569" s="18"/>
      <c r="G1569" s="35">
        <f>WEEKDAY(Metas_Diarias[[#This Row],[data]])</f>
        <v>2</v>
      </c>
      <c r="H1569" s="35">
        <f>IF(Metas_Diarias[[#This Row],[dias_da_demana]]=1,"domingo",IF(Metas_Diarias[[#This Row],[dias_da_demana]]=7,0.5,1))</f>
        <v>1</v>
      </c>
      <c r="I1569" s="35">
        <f>_xlfn.XLOOKUP(Metas_Diarias[[#This Row],[data]],Feriados[Data],Feriados[Feriado],1)</f>
        <v>1</v>
      </c>
      <c r="J1569" s="33" cm="1">
        <f t="array" aca="1" ref="J1569" ca="1">SUMPRODUCT(IF((NOT(ISERROR(MATCH(ROW(INDIRECT(DATE(YEAR(B1569),MONTH(B1569),1)&amp;":"&amp;DATE(YEAR(B1569),MONTH(B1569)+1,0))),Feriados[Data],0))))=FALSE,
IF(WEEKDAY(ROW(INDIRECT(DATE(YEAR(B1569),MONTH(B1569),1)&amp;":"&amp;DATE(YEAR(B1569),MONTH(B1569)+1,0))),2)&lt;=5,1,IF(WEEKDAY(ROW(INDIRECT(DATE(YEAR(B1569),MONTH(B1569),1)&amp;":"&amp;DATE(YEAR(B1569),MONTH(B1569)+1,0))),2)=6,0.5,0)),0))</f>
        <v>22</v>
      </c>
      <c r="K1569" s="22" cm="1">
        <f t="array" ref="K1569">_xlfn.XLOOKUP(1,((Metas_Diarias[[#This Row],[tipo_equipe_id]]=Metas[equipe])*(Metas_Diarias[[#This Row],[data]]&gt;Metas[data_inicio])*(Metas_Diarias[[#This Row],[data]]&lt;Metas[data_fim])),Metas[meta_mensal],0)</f>
        <v>115500</v>
      </c>
      <c r="L1569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70" spans="2:12" x14ac:dyDescent="0.3">
      <c r="B1570" s="34">
        <v>46126</v>
      </c>
      <c r="C1570" s="34" t="str">
        <f>TEXT(Metas_Diarias[[#This Row],[data]],"dddd")</f>
        <v>terça-feira</v>
      </c>
      <c r="D1570" s="33">
        <v>2</v>
      </c>
      <c r="E1570" s="33">
        <v>2</v>
      </c>
      <c r="F1570" s="18"/>
      <c r="G1570" s="35">
        <f>WEEKDAY(Metas_Diarias[[#This Row],[data]])</f>
        <v>3</v>
      </c>
      <c r="H1570" s="35">
        <f>IF(Metas_Diarias[[#This Row],[dias_da_demana]]=1,"domingo",IF(Metas_Diarias[[#This Row],[dias_da_demana]]=7,0.5,1))</f>
        <v>1</v>
      </c>
      <c r="I1570" s="35">
        <f>_xlfn.XLOOKUP(Metas_Diarias[[#This Row],[data]],Feriados[Data],Feriados[Feriado],1)</f>
        <v>1</v>
      </c>
      <c r="J1570" s="33" cm="1">
        <f t="array" aca="1" ref="J1570" ca="1">SUMPRODUCT(IF((NOT(ISERROR(MATCH(ROW(INDIRECT(DATE(YEAR(B1570),MONTH(B1570),1)&amp;":"&amp;DATE(YEAR(B1570),MONTH(B1570)+1,0))),Feriados[Data],0))))=FALSE,
IF(WEEKDAY(ROW(INDIRECT(DATE(YEAR(B1570),MONTH(B1570),1)&amp;":"&amp;DATE(YEAR(B1570),MONTH(B1570)+1,0))),2)&lt;=5,1,IF(WEEKDAY(ROW(INDIRECT(DATE(YEAR(B1570),MONTH(B1570),1)&amp;":"&amp;DATE(YEAR(B1570),MONTH(B1570)+1,0))),2)=6,0.5,0)),0))</f>
        <v>22</v>
      </c>
      <c r="K1570" s="22" cm="1">
        <f t="array" ref="K1570">_xlfn.XLOOKUP(1,((Metas_Diarias[[#This Row],[tipo_equipe_id]]=Metas[equipe])*(Metas_Diarias[[#This Row],[data]]&gt;Metas[data_inicio])*(Metas_Diarias[[#This Row],[data]]&lt;Metas[data_fim])),Metas[meta_mensal],0)</f>
        <v>115500</v>
      </c>
      <c r="L1570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71" spans="2:12" x14ac:dyDescent="0.3">
      <c r="B1571" s="34">
        <v>46127</v>
      </c>
      <c r="C1571" s="34" t="str">
        <f>TEXT(Metas_Diarias[[#This Row],[data]],"dddd")</f>
        <v>quarta-feira</v>
      </c>
      <c r="D1571" s="33">
        <v>2</v>
      </c>
      <c r="E1571" s="33">
        <v>2</v>
      </c>
      <c r="F1571" s="18"/>
      <c r="G1571" s="35">
        <f>WEEKDAY(Metas_Diarias[[#This Row],[data]])</f>
        <v>4</v>
      </c>
      <c r="H1571" s="35">
        <f>IF(Metas_Diarias[[#This Row],[dias_da_demana]]=1,"domingo",IF(Metas_Diarias[[#This Row],[dias_da_demana]]=7,0.5,1))</f>
        <v>1</v>
      </c>
      <c r="I1571" s="35">
        <f>_xlfn.XLOOKUP(Metas_Diarias[[#This Row],[data]],Feriados[Data],Feriados[Feriado],1)</f>
        <v>1</v>
      </c>
      <c r="J1571" s="33" cm="1">
        <f t="array" aca="1" ref="J1571" ca="1">SUMPRODUCT(IF((NOT(ISERROR(MATCH(ROW(INDIRECT(DATE(YEAR(B1571),MONTH(B1571),1)&amp;":"&amp;DATE(YEAR(B1571),MONTH(B1571)+1,0))),Feriados[Data],0))))=FALSE,
IF(WEEKDAY(ROW(INDIRECT(DATE(YEAR(B1571),MONTH(B1571),1)&amp;":"&amp;DATE(YEAR(B1571),MONTH(B1571)+1,0))),2)&lt;=5,1,IF(WEEKDAY(ROW(INDIRECT(DATE(YEAR(B1571),MONTH(B1571),1)&amp;":"&amp;DATE(YEAR(B1571),MONTH(B1571)+1,0))),2)=6,0.5,0)),0))</f>
        <v>22</v>
      </c>
      <c r="K1571" s="22" cm="1">
        <f t="array" ref="K1571">_xlfn.XLOOKUP(1,((Metas_Diarias[[#This Row],[tipo_equipe_id]]=Metas[equipe])*(Metas_Diarias[[#This Row],[data]]&gt;Metas[data_inicio])*(Metas_Diarias[[#This Row],[data]]&lt;Metas[data_fim])),Metas[meta_mensal],0)</f>
        <v>115500</v>
      </c>
      <c r="L1571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72" spans="2:12" x14ac:dyDescent="0.3">
      <c r="B1572" s="34">
        <v>46128</v>
      </c>
      <c r="C1572" s="34" t="str">
        <f>TEXT(Metas_Diarias[[#This Row],[data]],"dddd")</f>
        <v>quinta-feira</v>
      </c>
      <c r="D1572" s="33">
        <v>2</v>
      </c>
      <c r="E1572" s="33">
        <v>2</v>
      </c>
      <c r="F1572" s="18"/>
      <c r="G1572" s="35">
        <f>WEEKDAY(Metas_Diarias[[#This Row],[data]])</f>
        <v>5</v>
      </c>
      <c r="H1572" s="35">
        <f>IF(Metas_Diarias[[#This Row],[dias_da_demana]]=1,"domingo",IF(Metas_Diarias[[#This Row],[dias_da_demana]]=7,0.5,1))</f>
        <v>1</v>
      </c>
      <c r="I1572" s="35">
        <f>_xlfn.XLOOKUP(Metas_Diarias[[#This Row],[data]],Feriados[Data],Feriados[Feriado],1)</f>
        <v>1</v>
      </c>
      <c r="J1572" s="33" cm="1">
        <f t="array" aca="1" ref="J1572" ca="1">SUMPRODUCT(IF((NOT(ISERROR(MATCH(ROW(INDIRECT(DATE(YEAR(B1572),MONTH(B1572),1)&amp;":"&amp;DATE(YEAR(B1572),MONTH(B1572)+1,0))),Feriados[Data],0))))=FALSE,
IF(WEEKDAY(ROW(INDIRECT(DATE(YEAR(B1572),MONTH(B1572),1)&amp;":"&amp;DATE(YEAR(B1572),MONTH(B1572)+1,0))),2)&lt;=5,1,IF(WEEKDAY(ROW(INDIRECT(DATE(YEAR(B1572),MONTH(B1572),1)&amp;":"&amp;DATE(YEAR(B1572),MONTH(B1572)+1,0))),2)=6,0.5,0)),0))</f>
        <v>22</v>
      </c>
      <c r="K1572" s="22" cm="1">
        <f t="array" ref="K1572">_xlfn.XLOOKUP(1,((Metas_Diarias[[#This Row],[tipo_equipe_id]]=Metas[equipe])*(Metas_Diarias[[#This Row],[data]]&gt;Metas[data_inicio])*(Metas_Diarias[[#This Row],[data]]&lt;Metas[data_fim])),Metas[meta_mensal],0)</f>
        <v>115500</v>
      </c>
      <c r="L1572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73" spans="2:12" x14ac:dyDescent="0.3">
      <c r="B1573" s="34">
        <v>46129</v>
      </c>
      <c r="C1573" s="34" t="str">
        <f>TEXT(Metas_Diarias[[#This Row],[data]],"dddd")</f>
        <v>sexta-feira</v>
      </c>
      <c r="D1573" s="33">
        <v>2</v>
      </c>
      <c r="E1573" s="33">
        <v>2</v>
      </c>
      <c r="F1573" s="18"/>
      <c r="G1573" s="35">
        <f>WEEKDAY(Metas_Diarias[[#This Row],[data]])</f>
        <v>6</v>
      </c>
      <c r="H1573" s="35">
        <f>IF(Metas_Diarias[[#This Row],[dias_da_demana]]=1,"domingo",IF(Metas_Diarias[[#This Row],[dias_da_demana]]=7,0.5,1))</f>
        <v>1</v>
      </c>
      <c r="I1573" s="35">
        <f>_xlfn.XLOOKUP(Metas_Diarias[[#This Row],[data]],Feriados[Data],Feriados[Feriado],1)</f>
        <v>1</v>
      </c>
      <c r="J1573" s="33" cm="1">
        <f t="array" aca="1" ref="J1573" ca="1">SUMPRODUCT(IF((NOT(ISERROR(MATCH(ROW(INDIRECT(DATE(YEAR(B1573),MONTH(B1573),1)&amp;":"&amp;DATE(YEAR(B1573),MONTH(B1573)+1,0))),Feriados[Data],0))))=FALSE,
IF(WEEKDAY(ROW(INDIRECT(DATE(YEAR(B1573),MONTH(B1573),1)&amp;":"&amp;DATE(YEAR(B1573),MONTH(B1573)+1,0))),2)&lt;=5,1,IF(WEEKDAY(ROW(INDIRECT(DATE(YEAR(B1573),MONTH(B1573),1)&amp;":"&amp;DATE(YEAR(B1573),MONTH(B1573)+1,0))),2)=6,0.5,0)),0))</f>
        <v>22</v>
      </c>
      <c r="K1573" s="22" cm="1">
        <f t="array" ref="K1573">_xlfn.XLOOKUP(1,((Metas_Diarias[[#This Row],[tipo_equipe_id]]=Metas[equipe])*(Metas_Diarias[[#This Row],[data]]&gt;Metas[data_inicio])*(Metas_Diarias[[#This Row],[data]]&lt;Metas[data_fim])),Metas[meta_mensal],0)</f>
        <v>115500</v>
      </c>
      <c r="L1573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74" spans="2:12" x14ac:dyDescent="0.3">
      <c r="B1574" s="34">
        <v>46130</v>
      </c>
      <c r="C1574" s="34" t="str">
        <f>TEXT(Metas_Diarias[[#This Row],[data]],"dddd")</f>
        <v>sábado</v>
      </c>
      <c r="D1574" s="33">
        <v>2</v>
      </c>
      <c r="E1574" s="33">
        <v>2</v>
      </c>
      <c r="F1574" s="18"/>
      <c r="G1574" s="35">
        <f>WEEKDAY(Metas_Diarias[[#This Row],[data]])</f>
        <v>7</v>
      </c>
      <c r="H1574" s="35">
        <f>IF(Metas_Diarias[[#This Row],[dias_da_demana]]=1,"domingo",IF(Metas_Diarias[[#This Row],[dias_da_demana]]=7,0.5,1))</f>
        <v>0.5</v>
      </c>
      <c r="I1574" s="35">
        <f>_xlfn.XLOOKUP(Metas_Diarias[[#This Row],[data]],Feriados[Data],Feriados[Feriado],1)</f>
        <v>1</v>
      </c>
      <c r="J1574" s="33" cm="1">
        <f t="array" aca="1" ref="J1574" ca="1">SUMPRODUCT(IF((NOT(ISERROR(MATCH(ROW(INDIRECT(DATE(YEAR(B1574),MONTH(B1574),1)&amp;":"&amp;DATE(YEAR(B1574),MONTH(B1574)+1,0))),Feriados[Data],0))))=FALSE,
IF(WEEKDAY(ROW(INDIRECT(DATE(YEAR(B1574),MONTH(B1574),1)&amp;":"&amp;DATE(YEAR(B1574),MONTH(B1574)+1,0))),2)&lt;=5,1,IF(WEEKDAY(ROW(INDIRECT(DATE(YEAR(B1574),MONTH(B1574),1)&amp;":"&amp;DATE(YEAR(B1574),MONTH(B1574)+1,0))),2)=6,0.5,0)),0))</f>
        <v>22</v>
      </c>
      <c r="K1574" s="22" cm="1">
        <f t="array" ref="K1574">_xlfn.XLOOKUP(1,((Metas_Diarias[[#This Row],[tipo_equipe_id]]=Metas[equipe])*(Metas_Diarias[[#This Row],[data]]&gt;Metas[data_inicio])*(Metas_Diarias[[#This Row],[data]]&lt;Metas[data_fim])),Metas[meta_mensal],0)</f>
        <v>115500</v>
      </c>
      <c r="L1574" s="24">
        <f ca="1">Metas_Diarias[[#This Row],[meta_mensal]]*IF(Metas_Diarias[[#This Row],[semana]]="domingo",0,Metas_Diarias[[#This Row],[semana]])*IF(Metas_Diarias[[#This Row],[feriado]]&lt;&gt;1,0,1)/Metas_Diarias[[#This Row],[dias_úteis_Mês]]</f>
        <v>2625</v>
      </c>
    </row>
    <row r="1575" spans="2:12" x14ac:dyDescent="0.3">
      <c r="B1575" s="34">
        <v>46131</v>
      </c>
      <c r="C1575" s="34" t="str">
        <f>TEXT(Metas_Diarias[[#This Row],[data]],"dddd")</f>
        <v>domingo</v>
      </c>
      <c r="D1575" s="33">
        <v>2</v>
      </c>
      <c r="E1575" s="33">
        <v>2</v>
      </c>
      <c r="F1575" s="18"/>
      <c r="G1575" s="35">
        <f>WEEKDAY(Metas_Diarias[[#This Row],[data]])</f>
        <v>1</v>
      </c>
      <c r="H1575" s="35" t="str">
        <f>IF(Metas_Diarias[[#This Row],[dias_da_demana]]=1,"domingo",IF(Metas_Diarias[[#This Row],[dias_da_demana]]=7,0.5,1))</f>
        <v>domingo</v>
      </c>
      <c r="I1575" s="35">
        <f>_xlfn.XLOOKUP(Metas_Diarias[[#This Row],[data]],Feriados[Data],Feriados[Feriado],1)</f>
        <v>1</v>
      </c>
      <c r="J1575" s="33" cm="1">
        <f t="array" aca="1" ref="J1575" ca="1">SUMPRODUCT(IF((NOT(ISERROR(MATCH(ROW(INDIRECT(DATE(YEAR(B1575),MONTH(B1575),1)&amp;":"&amp;DATE(YEAR(B1575),MONTH(B1575)+1,0))),Feriados[Data],0))))=FALSE,
IF(WEEKDAY(ROW(INDIRECT(DATE(YEAR(B1575),MONTH(B1575),1)&amp;":"&amp;DATE(YEAR(B1575),MONTH(B1575)+1,0))),2)&lt;=5,1,IF(WEEKDAY(ROW(INDIRECT(DATE(YEAR(B1575),MONTH(B1575),1)&amp;":"&amp;DATE(YEAR(B1575),MONTH(B1575)+1,0))),2)=6,0.5,0)),0))</f>
        <v>22</v>
      </c>
      <c r="K1575" s="22" cm="1">
        <f t="array" ref="K1575">_xlfn.XLOOKUP(1,((Metas_Diarias[[#This Row],[tipo_equipe_id]]=Metas[equipe])*(Metas_Diarias[[#This Row],[data]]&gt;Metas[data_inicio])*(Metas_Diarias[[#This Row],[data]]&lt;Metas[data_fim])),Metas[meta_mensal],0)</f>
        <v>115500</v>
      </c>
      <c r="L15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76" spans="2:12" x14ac:dyDescent="0.3">
      <c r="B1576" s="34">
        <v>46132</v>
      </c>
      <c r="C1576" s="34" t="str">
        <f>TEXT(Metas_Diarias[[#This Row],[data]],"dddd")</f>
        <v>segunda-feira</v>
      </c>
      <c r="D1576" s="33">
        <v>2</v>
      </c>
      <c r="E1576" s="33">
        <v>2</v>
      </c>
      <c r="F1576" s="18"/>
      <c r="G1576" s="35">
        <f>WEEKDAY(Metas_Diarias[[#This Row],[data]])</f>
        <v>2</v>
      </c>
      <c r="H1576" s="35">
        <f>IF(Metas_Diarias[[#This Row],[dias_da_demana]]=1,"domingo",IF(Metas_Diarias[[#This Row],[dias_da_demana]]=7,0.5,1))</f>
        <v>1</v>
      </c>
      <c r="I1576" s="35">
        <f>_xlfn.XLOOKUP(Metas_Diarias[[#This Row],[data]],Feriados[Data],Feriados[Feriado],1)</f>
        <v>1</v>
      </c>
      <c r="J1576" s="33" cm="1">
        <f t="array" aca="1" ref="J1576" ca="1">SUMPRODUCT(IF((NOT(ISERROR(MATCH(ROW(INDIRECT(DATE(YEAR(B1576),MONTH(B1576),1)&amp;":"&amp;DATE(YEAR(B1576),MONTH(B1576)+1,0))),Feriados[Data],0))))=FALSE,
IF(WEEKDAY(ROW(INDIRECT(DATE(YEAR(B1576),MONTH(B1576),1)&amp;":"&amp;DATE(YEAR(B1576),MONTH(B1576)+1,0))),2)&lt;=5,1,IF(WEEKDAY(ROW(INDIRECT(DATE(YEAR(B1576),MONTH(B1576),1)&amp;":"&amp;DATE(YEAR(B1576),MONTH(B1576)+1,0))),2)=6,0.5,0)),0))</f>
        <v>22</v>
      </c>
      <c r="K1576" s="22" cm="1">
        <f t="array" ref="K1576">_xlfn.XLOOKUP(1,((Metas_Diarias[[#This Row],[tipo_equipe_id]]=Metas[equipe])*(Metas_Diarias[[#This Row],[data]]&gt;Metas[data_inicio])*(Metas_Diarias[[#This Row],[data]]&lt;Metas[data_fim])),Metas[meta_mensal],0)</f>
        <v>115500</v>
      </c>
      <c r="L1576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77" spans="2:12" x14ac:dyDescent="0.3">
      <c r="B1577" s="34">
        <v>46133</v>
      </c>
      <c r="C1577" s="34" t="str">
        <f>TEXT(Metas_Diarias[[#This Row],[data]],"dddd")</f>
        <v>terça-feira</v>
      </c>
      <c r="D1577" s="33">
        <v>2</v>
      </c>
      <c r="E1577" s="33">
        <v>2</v>
      </c>
      <c r="F1577" s="18"/>
      <c r="G1577" s="35">
        <f>WEEKDAY(Metas_Diarias[[#This Row],[data]])</f>
        <v>3</v>
      </c>
      <c r="H1577" s="35">
        <f>IF(Metas_Diarias[[#This Row],[dias_da_demana]]=1,"domingo",IF(Metas_Diarias[[#This Row],[dias_da_demana]]=7,0.5,1))</f>
        <v>1</v>
      </c>
      <c r="I1577" s="35" t="str">
        <f>_xlfn.XLOOKUP(Metas_Diarias[[#This Row],[data]],Feriados[Data],Feriados[Feriado],1)</f>
        <v>Tiradentes</v>
      </c>
      <c r="J1577" s="33" cm="1">
        <f t="array" aca="1" ref="J1577" ca="1">SUMPRODUCT(IF((NOT(ISERROR(MATCH(ROW(INDIRECT(DATE(YEAR(B1577),MONTH(B1577),1)&amp;":"&amp;DATE(YEAR(B1577),MONTH(B1577)+1,0))),Feriados[Data],0))))=FALSE,
IF(WEEKDAY(ROW(INDIRECT(DATE(YEAR(B1577),MONTH(B1577),1)&amp;":"&amp;DATE(YEAR(B1577),MONTH(B1577)+1,0))),2)&lt;=5,1,IF(WEEKDAY(ROW(INDIRECT(DATE(YEAR(B1577),MONTH(B1577),1)&amp;":"&amp;DATE(YEAR(B1577),MONTH(B1577)+1,0))),2)=6,0.5,0)),0))</f>
        <v>22</v>
      </c>
      <c r="K1577" s="22" cm="1">
        <f t="array" ref="K1577">_xlfn.XLOOKUP(1,((Metas_Diarias[[#This Row],[tipo_equipe_id]]=Metas[equipe])*(Metas_Diarias[[#This Row],[data]]&gt;Metas[data_inicio])*(Metas_Diarias[[#This Row],[data]]&lt;Metas[data_fim])),Metas[meta_mensal],0)</f>
        <v>115500</v>
      </c>
      <c r="L15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78" spans="2:12" x14ac:dyDescent="0.3">
      <c r="B1578" s="34">
        <v>46134</v>
      </c>
      <c r="C1578" s="34" t="str">
        <f>TEXT(Metas_Diarias[[#This Row],[data]],"dddd")</f>
        <v>quarta-feira</v>
      </c>
      <c r="D1578" s="33">
        <v>2</v>
      </c>
      <c r="E1578" s="33">
        <v>2</v>
      </c>
      <c r="F1578" s="18"/>
      <c r="G1578" s="35">
        <f>WEEKDAY(Metas_Diarias[[#This Row],[data]])</f>
        <v>4</v>
      </c>
      <c r="H1578" s="35">
        <f>IF(Metas_Diarias[[#This Row],[dias_da_demana]]=1,"domingo",IF(Metas_Diarias[[#This Row],[dias_da_demana]]=7,0.5,1))</f>
        <v>1</v>
      </c>
      <c r="I1578" s="35">
        <f>_xlfn.XLOOKUP(Metas_Diarias[[#This Row],[data]],Feriados[Data],Feriados[Feriado],1)</f>
        <v>1</v>
      </c>
      <c r="J1578" s="33" cm="1">
        <f t="array" aca="1" ref="J1578" ca="1">SUMPRODUCT(IF((NOT(ISERROR(MATCH(ROW(INDIRECT(DATE(YEAR(B1578),MONTH(B1578),1)&amp;":"&amp;DATE(YEAR(B1578),MONTH(B1578)+1,0))),Feriados[Data],0))))=FALSE,
IF(WEEKDAY(ROW(INDIRECT(DATE(YEAR(B1578),MONTH(B1578),1)&amp;":"&amp;DATE(YEAR(B1578),MONTH(B1578)+1,0))),2)&lt;=5,1,IF(WEEKDAY(ROW(INDIRECT(DATE(YEAR(B1578),MONTH(B1578),1)&amp;":"&amp;DATE(YEAR(B1578),MONTH(B1578)+1,0))),2)=6,0.5,0)),0))</f>
        <v>22</v>
      </c>
      <c r="K1578" s="22" cm="1">
        <f t="array" ref="K1578">_xlfn.XLOOKUP(1,((Metas_Diarias[[#This Row],[tipo_equipe_id]]=Metas[equipe])*(Metas_Diarias[[#This Row],[data]]&gt;Metas[data_inicio])*(Metas_Diarias[[#This Row],[data]]&lt;Metas[data_fim])),Metas[meta_mensal],0)</f>
        <v>115500</v>
      </c>
      <c r="L1578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79" spans="2:12" x14ac:dyDescent="0.3">
      <c r="B1579" s="34">
        <v>46135</v>
      </c>
      <c r="C1579" s="34" t="str">
        <f>TEXT(Metas_Diarias[[#This Row],[data]],"dddd")</f>
        <v>quinta-feira</v>
      </c>
      <c r="D1579" s="33">
        <v>2</v>
      </c>
      <c r="E1579" s="33">
        <v>2</v>
      </c>
      <c r="F1579" s="18"/>
      <c r="G1579" s="35">
        <f>WEEKDAY(Metas_Diarias[[#This Row],[data]])</f>
        <v>5</v>
      </c>
      <c r="H1579" s="35">
        <f>IF(Metas_Diarias[[#This Row],[dias_da_demana]]=1,"domingo",IF(Metas_Diarias[[#This Row],[dias_da_demana]]=7,0.5,1))</f>
        <v>1</v>
      </c>
      <c r="I1579" s="35">
        <f>_xlfn.XLOOKUP(Metas_Diarias[[#This Row],[data]],Feriados[Data],Feriados[Feriado],1)</f>
        <v>1</v>
      </c>
      <c r="J1579" s="33" cm="1">
        <f t="array" aca="1" ref="J1579" ca="1">SUMPRODUCT(IF((NOT(ISERROR(MATCH(ROW(INDIRECT(DATE(YEAR(B1579),MONTH(B1579),1)&amp;":"&amp;DATE(YEAR(B1579),MONTH(B1579)+1,0))),Feriados[Data],0))))=FALSE,
IF(WEEKDAY(ROW(INDIRECT(DATE(YEAR(B1579),MONTH(B1579),1)&amp;":"&amp;DATE(YEAR(B1579),MONTH(B1579)+1,0))),2)&lt;=5,1,IF(WEEKDAY(ROW(INDIRECT(DATE(YEAR(B1579),MONTH(B1579),1)&amp;":"&amp;DATE(YEAR(B1579),MONTH(B1579)+1,0))),2)=6,0.5,0)),0))</f>
        <v>22</v>
      </c>
      <c r="K1579" s="22" cm="1">
        <f t="array" ref="K1579">_xlfn.XLOOKUP(1,((Metas_Diarias[[#This Row],[tipo_equipe_id]]=Metas[equipe])*(Metas_Diarias[[#This Row],[data]]&gt;Metas[data_inicio])*(Metas_Diarias[[#This Row],[data]]&lt;Metas[data_fim])),Metas[meta_mensal],0)</f>
        <v>115500</v>
      </c>
      <c r="L1579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80" spans="2:12" x14ac:dyDescent="0.3">
      <c r="B1580" s="34">
        <v>46136</v>
      </c>
      <c r="C1580" s="34" t="str">
        <f>TEXT(Metas_Diarias[[#This Row],[data]],"dddd")</f>
        <v>sexta-feira</v>
      </c>
      <c r="D1580" s="33">
        <v>2</v>
      </c>
      <c r="E1580" s="33">
        <v>2</v>
      </c>
      <c r="F1580" s="18"/>
      <c r="G1580" s="35">
        <f>WEEKDAY(Metas_Diarias[[#This Row],[data]])</f>
        <v>6</v>
      </c>
      <c r="H1580" s="35">
        <f>IF(Metas_Diarias[[#This Row],[dias_da_demana]]=1,"domingo",IF(Metas_Diarias[[#This Row],[dias_da_demana]]=7,0.5,1))</f>
        <v>1</v>
      </c>
      <c r="I1580" s="35">
        <f>_xlfn.XLOOKUP(Metas_Diarias[[#This Row],[data]],Feriados[Data],Feriados[Feriado],1)</f>
        <v>1</v>
      </c>
      <c r="J1580" s="33" cm="1">
        <f t="array" aca="1" ref="J1580" ca="1">SUMPRODUCT(IF((NOT(ISERROR(MATCH(ROW(INDIRECT(DATE(YEAR(B1580),MONTH(B1580),1)&amp;":"&amp;DATE(YEAR(B1580),MONTH(B1580)+1,0))),Feriados[Data],0))))=FALSE,
IF(WEEKDAY(ROW(INDIRECT(DATE(YEAR(B1580),MONTH(B1580),1)&amp;":"&amp;DATE(YEAR(B1580),MONTH(B1580)+1,0))),2)&lt;=5,1,IF(WEEKDAY(ROW(INDIRECT(DATE(YEAR(B1580),MONTH(B1580),1)&amp;":"&amp;DATE(YEAR(B1580),MONTH(B1580)+1,0))),2)=6,0.5,0)),0))</f>
        <v>22</v>
      </c>
      <c r="K1580" s="22" cm="1">
        <f t="array" ref="K1580">_xlfn.XLOOKUP(1,((Metas_Diarias[[#This Row],[tipo_equipe_id]]=Metas[equipe])*(Metas_Diarias[[#This Row],[data]]&gt;Metas[data_inicio])*(Metas_Diarias[[#This Row],[data]]&lt;Metas[data_fim])),Metas[meta_mensal],0)</f>
        <v>115500</v>
      </c>
      <c r="L1580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81" spans="2:12" x14ac:dyDescent="0.3">
      <c r="B1581" s="34">
        <v>46137</v>
      </c>
      <c r="C1581" s="34" t="str">
        <f>TEXT(Metas_Diarias[[#This Row],[data]],"dddd")</f>
        <v>sábado</v>
      </c>
      <c r="D1581" s="33">
        <v>2</v>
      </c>
      <c r="E1581" s="33">
        <v>2</v>
      </c>
      <c r="F1581" s="18"/>
      <c r="G1581" s="35">
        <f>WEEKDAY(Metas_Diarias[[#This Row],[data]])</f>
        <v>7</v>
      </c>
      <c r="H1581" s="35">
        <f>IF(Metas_Diarias[[#This Row],[dias_da_demana]]=1,"domingo",IF(Metas_Diarias[[#This Row],[dias_da_demana]]=7,0.5,1))</f>
        <v>0.5</v>
      </c>
      <c r="I1581" s="35">
        <f>_xlfn.XLOOKUP(Metas_Diarias[[#This Row],[data]],Feriados[Data],Feriados[Feriado],1)</f>
        <v>1</v>
      </c>
      <c r="J1581" s="33" cm="1">
        <f t="array" aca="1" ref="J1581" ca="1">SUMPRODUCT(IF((NOT(ISERROR(MATCH(ROW(INDIRECT(DATE(YEAR(B1581),MONTH(B1581),1)&amp;":"&amp;DATE(YEAR(B1581),MONTH(B1581)+1,0))),Feriados[Data],0))))=FALSE,
IF(WEEKDAY(ROW(INDIRECT(DATE(YEAR(B1581),MONTH(B1581),1)&amp;":"&amp;DATE(YEAR(B1581),MONTH(B1581)+1,0))),2)&lt;=5,1,IF(WEEKDAY(ROW(INDIRECT(DATE(YEAR(B1581),MONTH(B1581),1)&amp;":"&amp;DATE(YEAR(B1581),MONTH(B1581)+1,0))),2)=6,0.5,0)),0))</f>
        <v>22</v>
      </c>
      <c r="K1581" s="22" cm="1">
        <f t="array" ref="K1581">_xlfn.XLOOKUP(1,((Metas_Diarias[[#This Row],[tipo_equipe_id]]=Metas[equipe])*(Metas_Diarias[[#This Row],[data]]&gt;Metas[data_inicio])*(Metas_Diarias[[#This Row],[data]]&lt;Metas[data_fim])),Metas[meta_mensal],0)</f>
        <v>115500</v>
      </c>
      <c r="L1581" s="24">
        <f ca="1">Metas_Diarias[[#This Row],[meta_mensal]]*IF(Metas_Diarias[[#This Row],[semana]]="domingo",0,Metas_Diarias[[#This Row],[semana]])*IF(Metas_Diarias[[#This Row],[feriado]]&lt;&gt;1,0,1)/Metas_Diarias[[#This Row],[dias_úteis_Mês]]</f>
        <v>2625</v>
      </c>
    </row>
    <row r="1582" spans="2:12" x14ac:dyDescent="0.3">
      <c r="B1582" s="34">
        <v>46138</v>
      </c>
      <c r="C1582" s="34" t="str">
        <f>TEXT(Metas_Diarias[[#This Row],[data]],"dddd")</f>
        <v>domingo</v>
      </c>
      <c r="D1582" s="33">
        <v>2</v>
      </c>
      <c r="E1582" s="33">
        <v>2</v>
      </c>
      <c r="F1582" s="18"/>
      <c r="G1582" s="35">
        <f>WEEKDAY(Metas_Diarias[[#This Row],[data]])</f>
        <v>1</v>
      </c>
      <c r="H1582" s="35" t="str">
        <f>IF(Metas_Diarias[[#This Row],[dias_da_demana]]=1,"domingo",IF(Metas_Diarias[[#This Row],[dias_da_demana]]=7,0.5,1))</f>
        <v>domingo</v>
      </c>
      <c r="I1582" s="35">
        <f>_xlfn.XLOOKUP(Metas_Diarias[[#This Row],[data]],Feriados[Data],Feriados[Feriado],1)</f>
        <v>1</v>
      </c>
      <c r="J1582" s="33" cm="1">
        <f t="array" aca="1" ref="J1582" ca="1">SUMPRODUCT(IF((NOT(ISERROR(MATCH(ROW(INDIRECT(DATE(YEAR(B1582),MONTH(B1582),1)&amp;":"&amp;DATE(YEAR(B1582),MONTH(B1582)+1,0))),Feriados[Data],0))))=FALSE,
IF(WEEKDAY(ROW(INDIRECT(DATE(YEAR(B1582),MONTH(B1582),1)&amp;":"&amp;DATE(YEAR(B1582),MONTH(B1582)+1,0))),2)&lt;=5,1,IF(WEEKDAY(ROW(INDIRECT(DATE(YEAR(B1582),MONTH(B1582),1)&amp;":"&amp;DATE(YEAR(B1582),MONTH(B1582)+1,0))),2)=6,0.5,0)),0))</f>
        <v>22</v>
      </c>
      <c r="K1582" s="22" cm="1">
        <f t="array" ref="K1582">_xlfn.XLOOKUP(1,((Metas_Diarias[[#This Row],[tipo_equipe_id]]=Metas[equipe])*(Metas_Diarias[[#This Row],[data]]&gt;Metas[data_inicio])*(Metas_Diarias[[#This Row],[data]]&lt;Metas[data_fim])),Metas[meta_mensal],0)</f>
        <v>115500</v>
      </c>
      <c r="L15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83" spans="2:12" x14ac:dyDescent="0.3">
      <c r="B1583" s="34">
        <v>46139</v>
      </c>
      <c r="C1583" s="34" t="str">
        <f>TEXT(Metas_Diarias[[#This Row],[data]],"dddd")</f>
        <v>segunda-feira</v>
      </c>
      <c r="D1583" s="33">
        <v>2</v>
      </c>
      <c r="E1583" s="33">
        <v>2</v>
      </c>
      <c r="F1583" s="18"/>
      <c r="G1583" s="35">
        <f>WEEKDAY(Metas_Diarias[[#This Row],[data]])</f>
        <v>2</v>
      </c>
      <c r="H1583" s="35">
        <f>IF(Metas_Diarias[[#This Row],[dias_da_demana]]=1,"domingo",IF(Metas_Diarias[[#This Row],[dias_da_demana]]=7,0.5,1))</f>
        <v>1</v>
      </c>
      <c r="I1583" s="35">
        <f>_xlfn.XLOOKUP(Metas_Diarias[[#This Row],[data]],Feriados[Data],Feriados[Feriado],1)</f>
        <v>1</v>
      </c>
      <c r="J1583" s="33" cm="1">
        <f t="array" aca="1" ref="J1583" ca="1">SUMPRODUCT(IF((NOT(ISERROR(MATCH(ROW(INDIRECT(DATE(YEAR(B1583),MONTH(B1583),1)&amp;":"&amp;DATE(YEAR(B1583),MONTH(B1583)+1,0))),Feriados[Data],0))))=FALSE,
IF(WEEKDAY(ROW(INDIRECT(DATE(YEAR(B1583),MONTH(B1583),1)&amp;":"&amp;DATE(YEAR(B1583),MONTH(B1583)+1,0))),2)&lt;=5,1,IF(WEEKDAY(ROW(INDIRECT(DATE(YEAR(B1583),MONTH(B1583),1)&amp;":"&amp;DATE(YEAR(B1583),MONTH(B1583)+1,0))),2)=6,0.5,0)),0))</f>
        <v>22</v>
      </c>
      <c r="K1583" s="22" cm="1">
        <f t="array" ref="K1583">_xlfn.XLOOKUP(1,((Metas_Diarias[[#This Row],[tipo_equipe_id]]=Metas[equipe])*(Metas_Diarias[[#This Row],[data]]&gt;Metas[data_inicio])*(Metas_Diarias[[#This Row],[data]]&lt;Metas[data_fim])),Metas[meta_mensal],0)</f>
        <v>115500</v>
      </c>
      <c r="L1583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84" spans="2:12" x14ac:dyDescent="0.3">
      <c r="B1584" s="34">
        <v>46140</v>
      </c>
      <c r="C1584" s="34" t="str">
        <f>TEXT(Metas_Diarias[[#This Row],[data]],"dddd")</f>
        <v>terça-feira</v>
      </c>
      <c r="D1584" s="33">
        <v>2</v>
      </c>
      <c r="E1584" s="33">
        <v>2</v>
      </c>
      <c r="F1584" s="18"/>
      <c r="G1584" s="35">
        <f>WEEKDAY(Metas_Diarias[[#This Row],[data]])</f>
        <v>3</v>
      </c>
      <c r="H1584" s="35">
        <f>IF(Metas_Diarias[[#This Row],[dias_da_demana]]=1,"domingo",IF(Metas_Diarias[[#This Row],[dias_da_demana]]=7,0.5,1))</f>
        <v>1</v>
      </c>
      <c r="I1584" s="35">
        <f>_xlfn.XLOOKUP(Metas_Diarias[[#This Row],[data]],Feriados[Data],Feriados[Feriado],1)</f>
        <v>1</v>
      </c>
      <c r="J1584" s="33" cm="1">
        <f t="array" aca="1" ref="J1584" ca="1">SUMPRODUCT(IF((NOT(ISERROR(MATCH(ROW(INDIRECT(DATE(YEAR(B1584),MONTH(B1584),1)&amp;":"&amp;DATE(YEAR(B1584),MONTH(B1584)+1,0))),Feriados[Data],0))))=FALSE,
IF(WEEKDAY(ROW(INDIRECT(DATE(YEAR(B1584),MONTH(B1584),1)&amp;":"&amp;DATE(YEAR(B1584),MONTH(B1584)+1,0))),2)&lt;=5,1,IF(WEEKDAY(ROW(INDIRECT(DATE(YEAR(B1584),MONTH(B1584),1)&amp;":"&amp;DATE(YEAR(B1584),MONTH(B1584)+1,0))),2)=6,0.5,0)),0))</f>
        <v>22</v>
      </c>
      <c r="K1584" s="22" cm="1">
        <f t="array" ref="K1584">_xlfn.XLOOKUP(1,((Metas_Diarias[[#This Row],[tipo_equipe_id]]=Metas[equipe])*(Metas_Diarias[[#This Row],[data]]&gt;Metas[data_inicio])*(Metas_Diarias[[#This Row],[data]]&lt;Metas[data_fim])),Metas[meta_mensal],0)</f>
        <v>115500</v>
      </c>
      <c r="L1584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85" spans="2:12" x14ac:dyDescent="0.3">
      <c r="B1585" s="34">
        <v>46141</v>
      </c>
      <c r="C1585" s="34" t="str">
        <f>TEXT(Metas_Diarias[[#This Row],[data]],"dddd")</f>
        <v>quarta-feira</v>
      </c>
      <c r="D1585" s="33">
        <v>2</v>
      </c>
      <c r="E1585" s="33">
        <v>2</v>
      </c>
      <c r="F1585" s="18"/>
      <c r="G1585" s="35">
        <f>WEEKDAY(Metas_Diarias[[#This Row],[data]])</f>
        <v>4</v>
      </c>
      <c r="H1585" s="35">
        <f>IF(Metas_Diarias[[#This Row],[dias_da_demana]]=1,"domingo",IF(Metas_Diarias[[#This Row],[dias_da_demana]]=7,0.5,1))</f>
        <v>1</v>
      </c>
      <c r="I1585" s="35">
        <f>_xlfn.XLOOKUP(Metas_Diarias[[#This Row],[data]],Feriados[Data],Feriados[Feriado],1)</f>
        <v>1</v>
      </c>
      <c r="J1585" s="33" cm="1">
        <f t="array" aca="1" ref="J1585" ca="1">SUMPRODUCT(IF((NOT(ISERROR(MATCH(ROW(INDIRECT(DATE(YEAR(B1585),MONTH(B1585),1)&amp;":"&amp;DATE(YEAR(B1585),MONTH(B1585)+1,0))),Feriados[Data],0))))=FALSE,
IF(WEEKDAY(ROW(INDIRECT(DATE(YEAR(B1585),MONTH(B1585),1)&amp;":"&amp;DATE(YEAR(B1585),MONTH(B1585)+1,0))),2)&lt;=5,1,IF(WEEKDAY(ROW(INDIRECT(DATE(YEAR(B1585),MONTH(B1585),1)&amp;":"&amp;DATE(YEAR(B1585),MONTH(B1585)+1,0))),2)=6,0.5,0)),0))</f>
        <v>22</v>
      </c>
      <c r="K1585" s="22" cm="1">
        <f t="array" ref="K1585">_xlfn.XLOOKUP(1,((Metas_Diarias[[#This Row],[tipo_equipe_id]]=Metas[equipe])*(Metas_Diarias[[#This Row],[data]]&gt;Metas[data_inicio])*(Metas_Diarias[[#This Row],[data]]&lt;Metas[data_fim])),Metas[meta_mensal],0)</f>
        <v>115500</v>
      </c>
      <c r="L1585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86" spans="2:12" x14ac:dyDescent="0.3">
      <c r="B1586" s="34">
        <v>46142</v>
      </c>
      <c r="C1586" s="34" t="str">
        <f>TEXT(Metas_Diarias[[#This Row],[data]],"dddd")</f>
        <v>quinta-feira</v>
      </c>
      <c r="D1586" s="33">
        <v>2</v>
      </c>
      <c r="E1586" s="33">
        <v>2</v>
      </c>
      <c r="F1586" s="18"/>
      <c r="G1586" s="35">
        <f>WEEKDAY(Metas_Diarias[[#This Row],[data]])</f>
        <v>5</v>
      </c>
      <c r="H1586" s="35">
        <f>IF(Metas_Diarias[[#This Row],[dias_da_demana]]=1,"domingo",IF(Metas_Diarias[[#This Row],[dias_da_demana]]=7,0.5,1))</f>
        <v>1</v>
      </c>
      <c r="I1586" s="35">
        <f>_xlfn.XLOOKUP(Metas_Diarias[[#This Row],[data]],Feriados[Data],Feriados[Feriado],1)</f>
        <v>1</v>
      </c>
      <c r="J1586" s="33" cm="1">
        <f t="array" aca="1" ref="J1586" ca="1">SUMPRODUCT(IF((NOT(ISERROR(MATCH(ROW(INDIRECT(DATE(YEAR(B1586),MONTH(B1586),1)&amp;":"&amp;DATE(YEAR(B1586),MONTH(B1586)+1,0))),Feriados[Data],0))))=FALSE,
IF(WEEKDAY(ROW(INDIRECT(DATE(YEAR(B1586),MONTH(B1586),1)&amp;":"&amp;DATE(YEAR(B1586),MONTH(B1586)+1,0))),2)&lt;=5,1,IF(WEEKDAY(ROW(INDIRECT(DATE(YEAR(B1586),MONTH(B1586),1)&amp;":"&amp;DATE(YEAR(B1586),MONTH(B1586)+1,0))),2)=6,0.5,0)),0))</f>
        <v>22</v>
      </c>
      <c r="K1586" s="22" cm="1">
        <f t="array" ref="K1586">_xlfn.XLOOKUP(1,((Metas_Diarias[[#This Row],[tipo_equipe_id]]=Metas[equipe])*(Metas_Diarias[[#This Row],[data]]&gt;Metas[data_inicio])*(Metas_Diarias[[#This Row],[data]]&lt;Metas[data_fim])),Metas[meta_mensal],0)</f>
        <v>115500</v>
      </c>
      <c r="L1586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587" spans="2:12" x14ac:dyDescent="0.3">
      <c r="B1587" s="34">
        <v>46143</v>
      </c>
      <c r="C1587" s="34" t="str">
        <f>TEXT(Metas_Diarias[[#This Row],[data]],"dddd")</f>
        <v>sexta-feira</v>
      </c>
      <c r="D1587" s="33">
        <v>2</v>
      </c>
      <c r="E1587" s="33">
        <v>2</v>
      </c>
      <c r="F1587" s="18"/>
      <c r="G1587" s="35">
        <f>WEEKDAY(Metas_Diarias[[#This Row],[data]])</f>
        <v>6</v>
      </c>
      <c r="H1587" s="35">
        <f>IF(Metas_Diarias[[#This Row],[dias_da_demana]]=1,"domingo",IF(Metas_Diarias[[#This Row],[dias_da_demana]]=7,0.5,1))</f>
        <v>1</v>
      </c>
      <c r="I1587" s="35" t="str">
        <f>_xlfn.XLOOKUP(Metas_Diarias[[#This Row],[data]],Feriados[Data],Feriados[Feriado],1)</f>
        <v>Dia do Trabalho</v>
      </c>
      <c r="J1587" s="33" cm="1">
        <f t="array" aca="1" ref="J1587" ca="1">SUMPRODUCT(IF((NOT(ISERROR(MATCH(ROW(INDIRECT(DATE(YEAR(B1587),MONTH(B1587),1)&amp;":"&amp;DATE(YEAR(B1587),MONTH(B1587)+1,0))),Feriados[Data],0))))=FALSE,
IF(WEEKDAY(ROW(INDIRECT(DATE(YEAR(B1587),MONTH(B1587),1)&amp;":"&amp;DATE(YEAR(B1587),MONTH(B1587)+1,0))),2)&lt;=5,1,IF(WEEKDAY(ROW(INDIRECT(DATE(YEAR(B1587),MONTH(B1587),1)&amp;":"&amp;DATE(YEAR(B1587),MONTH(B1587)+1,0))),2)=6,0.5,0)),0))</f>
        <v>22.5</v>
      </c>
      <c r="K1587" s="22" cm="1">
        <f t="array" ref="K1587">_xlfn.XLOOKUP(1,((Metas_Diarias[[#This Row],[tipo_equipe_id]]=Metas[equipe])*(Metas_Diarias[[#This Row],[data]]&gt;Metas[data_inicio])*(Metas_Diarias[[#This Row],[data]]&lt;Metas[data_fim])),Metas[meta_mensal],0)</f>
        <v>115500</v>
      </c>
      <c r="L15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88" spans="2:12" x14ac:dyDescent="0.3">
      <c r="B1588" s="34">
        <v>46144</v>
      </c>
      <c r="C1588" s="34" t="str">
        <f>TEXT(Metas_Diarias[[#This Row],[data]],"dddd")</f>
        <v>sábado</v>
      </c>
      <c r="D1588" s="33">
        <v>2</v>
      </c>
      <c r="E1588" s="33">
        <v>2</v>
      </c>
      <c r="F1588" s="18"/>
      <c r="G1588" s="35">
        <f>WEEKDAY(Metas_Diarias[[#This Row],[data]])</f>
        <v>7</v>
      </c>
      <c r="H1588" s="35">
        <f>IF(Metas_Diarias[[#This Row],[dias_da_demana]]=1,"domingo",IF(Metas_Diarias[[#This Row],[dias_da_demana]]=7,0.5,1))</f>
        <v>0.5</v>
      </c>
      <c r="I1588" s="35">
        <f>_xlfn.XLOOKUP(Metas_Diarias[[#This Row],[data]],Feriados[Data],Feriados[Feriado],1)</f>
        <v>1</v>
      </c>
      <c r="J1588" s="33" cm="1">
        <f t="array" aca="1" ref="J1588" ca="1">SUMPRODUCT(IF((NOT(ISERROR(MATCH(ROW(INDIRECT(DATE(YEAR(B1588),MONTH(B1588),1)&amp;":"&amp;DATE(YEAR(B1588),MONTH(B1588)+1,0))),Feriados[Data],0))))=FALSE,
IF(WEEKDAY(ROW(INDIRECT(DATE(YEAR(B1588),MONTH(B1588),1)&amp;":"&amp;DATE(YEAR(B1588),MONTH(B1588)+1,0))),2)&lt;=5,1,IF(WEEKDAY(ROW(INDIRECT(DATE(YEAR(B1588),MONTH(B1588),1)&amp;":"&amp;DATE(YEAR(B1588),MONTH(B1588)+1,0))),2)=6,0.5,0)),0))</f>
        <v>22.5</v>
      </c>
      <c r="K1588" s="22" cm="1">
        <f t="array" ref="K1588">_xlfn.XLOOKUP(1,((Metas_Diarias[[#This Row],[tipo_equipe_id]]=Metas[equipe])*(Metas_Diarias[[#This Row],[data]]&gt;Metas[data_inicio])*(Metas_Diarias[[#This Row],[data]]&lt;Metas[data_fim])),Metas[meta_mensal],0)</f>
        <v>115500</v>
      </c>
      <c r="L1588" s="24">
        <f ca="1">Metas_Diarias[[#This Row],[meta_mensal]]*IF(Metas_Diarias[[#This Row],[semana]]="domingo",0,Metas_Diarias[[#This Row],[semana]])*IF(Metas_Diarias[[#This Row],[feriado]]&lt;&gt;1,0,1)/Metas_Diarias[[#This Row],[dias_úteis_Mês]]</f>
        <v>2566.6666666666665</v>
      </c>
    </row>
    <row r="1589" spans="2:12" x14ac:dyDescent="0.3">
      <c r="B1589" s="34">
        <v>46145</v>
      </c>
      <c r="C1589" s="34" t="str">
        <f>TEXT(Metas_Diarias[[#This Row],[data]],"dddd")</f>
        <v>domingo</v>
      </c>
      <c r="D1589" s="33">
        <v>2</v>
      </c>
      <c r="E1589" s="33">
        <v>2</v>
      </c>
      <c r="F1589" s="18"/>
      <c r="G1589" s="35">
        <f>WEEKDAY(Metas_Diarias[[#This Row],[data]])</f>
        <v>1</v>
      </c>
      <c r="H1589" s="35" t="str">
        <f>IF(Metas_Diarias[[#This Row],[dias_da_demana]]=1,"domingo",IF(Metas_Diarias[[#This Row],[dias_da_demana]]=7,0.5,1))</f>
        <v>domingo</v>
      </c>
      <c r="I1589" s="35">
        <f>_xlfn.XLOOKUP(Metas_Diarias[[#This Row],[data]],Feriados[Data],Feriados[Feriado],1)</f>
        <v>1</v>
      </c>
      <c r="J1589" s="33" cm="1">
        <f t="array" aca="1" ref="J1589" ca="1">SUMPRODUCT(IF((NOT(ISERROR(MATCH(ROW(INDIRECT(DATE(YEAR(B1589),MONTH(B1589),1)&amp;":"&amp;DATE(YEAR(B1589),MONTH(B1589)+1,0))),Feriados[Data],0))))=FALSE,
IF(WEEKDAY(ROW(INDIRECT(DATE(YEAR(B1589),MONTH(B1589),1)&amp;":"&amp;DATE(YEAR(B1589),MONTH(B1589)+1,0))),2)&lt;=5,1,IF(WEEKDAY(ROW(INDIRECT(DATE(YEAR(B1589),MONTH(B1589),1)&amp;":"&amp;DATE(YEAR(B1589),MONTH(B1589)+1,0))),2)=6,0.5,0)),0))</f>
        <v>22.5</v>
      </c>
      <c r="K1589" s="22" cm="1">
        <f t="array" ref="K1589">_xlfn.XLOOKUP(1,((Metas_Diarias[[#This Row],[tipo_equipe_id]]=Metas[equipe])*(Metas_Diarias[[#This Row],[data]]&gt;Metas[data_inicio])*(Metas_Diarias[[#This Row],[data]]&lt;Metas[data_fim])),Metas[meta_mensal],0)</f>
        <v>115500</v>
      </c>
      <c r="L15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90" spans="2:12" x14ac:dyDescent="0.3">
      <c r="B1590" s="34">
        <v>46146</v>
      </c>
      <c r="C1590" s="34" t="str">
        <f>TEXT(Metas_Diarias[[#This Row],[data]],"dddd")</f>
        <v>segunda-feira</v>
      </c>
      <c r="D1590" s="33">
        <v>2</v>
      </c>
      <c r="E1590" s="33">
        <v>2</v>
      </c>
      <c r="F1590" s="18"/>
      <c r="G1590" s="35">
        <f>WEEKDAY(Metas_Diarias[[#This Row],[data]])</f>
        <v>2</v>
      </c>
      <c r="H1590" s="35">
        <f>IF(Metas_Diarias[[#This Row],[dias_da_demana]]=1,"domingo",IF(Metas_Diarias[[#This Row],[dias_da_demana]]=7,0.5,1))</f>
        <v>1</v>
      </c>
      <c r="I1590" s="35">
        <f>_xlfn.XLOOKUP(Metas_Diarias[[#This Row],[data]],Feriados[Data],Feriados[Feriado],1)</f>
        <v>1</v>
      </c>
      <c r="J1590" s="33" cm="1">
        <f t="array" aca="1" ref="J1590" ca="1">SUMPRODUCT(IF((NOT(ISERROR(MATCH(ROW(INDIRECT(DATE(YEAR(B1590),MONTH(B1590),1)&amp;":"&amp;DATE(YEAR(B1590),MONTH(B1590)+1,0))),Feriados[Data],0))))=FALSE,
IF(WEEKDAY(ROW(INDIRECT(DATE(YEAR(B1590),MONTH(B1590),1)&amp;":"&amp;DATE(YEAR(B1590),MONTH(B1590)+1,0))),2)&lt;=5,1,IF(WEEKDAY(ROW(INDIRECT(DATE(YEAR(B1590),MONTH(B1590),1)&amp;":"&amp;DATE(YEAR(B1590),MONTH(B1590)+1,0))),2)=6,0.5,0)),0))</f>
        <v>22.5</v>
      </c>
      <c r="K1590" s="22" cm="1">
        <f t="array" ref="K1590">_xlfn.XLOOKUP(1,((Metas_Diarias[[#This Row],[tipo_equipe_id]]=Metas[equipe])*(Metas_Diarias[[#This Row],[data]]&gt;Metas[data_inicio])*(Metas_Diarias[[#This Row],[data]]&lt;Metas[data_fim])),Metas[meta_mensal],0)</f>
        <v>115500</v>
      </c>
      <c r="L1590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591" spans="2:12" x14ac:dyDescent="0.3">
      <c r="B1591" s="34">
        <v>46147</v>
      </c>
      <c r="C1591" s="34" t="str">
        <f>TEXT(Metas_Diarias[[#This Row],[data]],"dddd")</f>
        <v>terça-feira</v>
      </c>
      <c r="D1591" s="33">
        <v>2</v>
      </c>
      <c r="E1591" s="33">
        <v>2</v>
      </c>
      <c r="F1591" s="18"/>
      <c r="G1591" s="35">
        <f>WEEKDAY(Metas_Diarias[[#This Row],[data]])</f>
        <v>3</v>
      </c>
      <c r="H1591" s="35">
        <f>IF(Metas_Diarias[[#This Row],[dias_da_demana]]=1,"domingo",IF(Metas_Diarias[[#This Row],[dias_da_demana]]=7,0.5,1))</f>
        <v>1</v>
      </c>
      <c r="I1591" s="35">
        <f>_xlfn.XLOOKUP(Metas_Diarias[[#This Row],[data]],Feriados[Data],Feriados[Feriado],1)</f>
        <v>1</v>
      </c>
      <c r="J1591" s="33" cm="1">
        <f t="array" aca="1" ref="J1591" ca="1">SUMPRODUCT(IF((NOT(ISERROR(MATCH(ROW(INDIRECT(DATE(YEAR(B1591),MONTH(B1591),1)&amp;":"&amp;DATE(YEAR(B1591),MONTH(B1591)+1,0))),Feriados[Data],0))))=FALSE,
IF(WEEKDAY(ROW(INDIRECT(DATE(YEAR(B1591),MONTH(B1591),1)&amp;":"&amp;DATE(YEAR(B1591),MONTH(B1591)+1,0))),2)&lt;=5,1,IF(WEEKDAY(ROW(INDIRECT(DATE(YEAR(B1591),MONTH(B1591),1)&amp;":"&amp;DATE(YEAR(B1591),MONTH(B1591)+1,0))),2)=6,0.5,0)),0))</f>
        <v>22.5</v>
      </c>
      <c r="K1591" s="22" cm="1">
        <f t="array" ref="K1591">_xlfn.XLOOKUP(1,((Metas_Diarias[[#This Row],[tipo_equipe_id]]=Metas[equipe])*(Metas_Diarias[[#This Row],[data]]&gt;Metas[data_inicio])*(Metas_Diarias[[#This Row],[data]]&lt;Metas[data_fim])),Metas[meta_mensal],0)</f>
        <v>115500</v>
      </c>
      <c r="L1591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592" spans="2:12" x14ac:dyDescent="0.3">
      <c r="B1592" s="34">
        <v>46148</v>
      </c>
      <c r="C1592" s="34" t="str">
        <f>TEXT(Metas_Diarias[[#This Row],[data]],"dddd")</f>
        <v>quarta-feira</v>
      </c>
      <c r="D1592" s="33">
        <v>2</v>
      </c>
      <c r="E1592" s="33">
        <v>2</v>
      </c>
      <c r="F1592" s="18"/>
      <c r="G1592" s="35">
        <f>WEEKDAY(Metas_Diarias[[#This Row],[data]])</f>
        <v>4</v>
      </c>
      <c r="H1592" s="35">
        <f>IF(Metas_Diarias[[#This Row],[dias_da_demana]]=1,"domingo",IF(Metas_Diarias[[#This Row],[dias_da_demana]]=7,0.5,1))</f>
        <v>1</v>
      </c>
      <c r="I1592" s="35">
        <f>_xlfn.XLOOKUP(Metas_Diarias[[#This Row],[data]],Feriados[Data],Feriados[Feriado],1)</f>
        <v>1</v>
      </c>
      <c r="J1592" s="33" cm="1">
        <f t="array" aca="1" ref="J1592" ca="1">SUMPRODUCT(IF((NOT(ISERROR(MATCH(ROW(INDIRECT(DATE(YEAR(B1592),MONTH(B1592),1)&amp;":"&amp;DATE(YEAR(B1592),MONTH(B1592)+1,0))),Feriados[Data],0))))=FALSE,
IF(WEEKDAY(ROW(INDIRECT(DATE(YEAR(B1592),MONTH(B1592),1)&amp;":"&amp;DATE(YEAR(B1592),MONTH(B1592)+1,0))),2)&lt;=5,1,IF(WEEKDAY(ROW(INDIRECT(DATE(YEAR(B1592),MONTH(B1592),1)&amp;":"&amp;DATE(YEAR(B1592),MONTH(B1592)+1,0))),2)=6,0.5,0)),0))</f>
        <v>22.5</v>
      </c>
      <c r="K1592" s="22" cm="1">
        <f t="array" ref="K1592">_xlfn.XLOOKUP(1,((Metas_Diarias[[#This Row],[tipo_equipe_id]]=Metas[equipe])*(Metas_Diarias[[#This Row],[data]]&gt;Metas[data_inicio])*(Metas_Diarias[[#This Row],[data]]&lt;Metas[data_fim])),Metas[meta_mensal],0)</f>
        <v>115500</v>
      </c>
      <c r="L1592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593" spans="2:12" x14ac:dyDescent="0.3">
      <c r="B1593" s="34">
        <v>46149</v>
      </c>
      <c r="C1593" s="34" t="str">
        <f>TEXT(Metas_Diarias[[#This Row],[data]],"dddd")</f>
        <v>quinta-feira</v>
      </c>
      <c r="D1593" s="33">
        <v>2</v>
      </c>
      <c r="E1593" s="33">
        <v>2</v>
      </c>
      <c r="F1593" s="18"/>
      <c r="G1593" s="35">
        <f>WEEKDAY(Metas_Diarias[[#This Row],[data]])</f>
        <v>5</v>
      </c>
      <c r="H1593" s="35">
        <f>IF(Metas_Diarias[[#This Row],[dias_da_demana]]=1,"domingo",IF(Metas_Diarias[[#This Row],[dias_da_demana]]=7,0.5,1))</f>
        <v>1</v>
      </c>
      <c r="I1593" s="35">
        <f>_xlfn.XLOOKUP(Metas_Diarias[[#This Row],[data]],Feriados[Data],Feriados[Feriado],1)</f>
        <v>1</v>
      </c>
      <c r="J1593" s="33" cm="1">
        <f t="array" aca="1" ref="J1593" ca="1">SUMPRODUCT(IF((NOT(ISERROR(MATCH(ROW(INDIRECT(DATE(YEAR(B1593),MONTH(B1593),1)&amp;":"&amp;DATE(YEAR(B1593),MONTH(B1593)+1,0))),Feriados[Data],0))))=FALSE,
IF(WEEKDAY(ROW(INDIRECT(DATE(YEAR(B1593),MONTH(B1593),1)&amp;":"&amp;DATE(YEAR(B1593),MONTH(B1593)+1,0))),2)&lt;=5,1,IF(WEEKDAY(ROW(INDIRECT(DATE(YEAR(B1593),MONTH(B1593),1)&amp;":"&amp;DATE(YEAR(B1593),MONTH(B1593)+1,0))),2)=6,0.5,0)),0))</f>
        <v>22.5</v>
      </c>
      <c r="K1593" s="22" cm="1">
        <f t="array" ref="K1593">_xlfn.XLOOKUP(1,((Metas_Diarias[[#This Row],[tipo_equipe_id]]=Metas[equipe])*(Metas_Diarias[[#This Row],[data]]&gt;Metas[data_inicio])*(Metas_Diarias[[#This Row],[data]]&lt;Metas[data_fim])),Metas[meta_mensal],0)</f>
        <v>115500</v>
      </c>
      <c r="L1593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594" spans="2:12" x14ac:dyDescent="0.3">
      <c r="B1594" s="34">
        <v>46150</v>
      </c>
      <c r="C1594" s="34" t="str">
        <f>TEXT(Metas_Diarias[[#This Row],[data]],"dddd")</f>
        <v>sexta-feira</v>
      </c>
      <c r="D1594" s="33">
        <v>2</v>
      </c>
      <c r="E1594" s="33">
        <v>2</v>
      </c>
      <c r="F1594" s="18"/>
      <c r="G1594" s="35">
        <f>WEEKDAY(Metas_Diarias[[#This Row],[data]])</f>
        <v>6</v>
      </c>
      <c r="H1594" s="35">
        <f>IF(Metas_Diarias[[#This Row],[dias_da_demana]]=1,"domingo",IF(Metas_Diarias[[#This Row],[dias_da_demana]]=7,0.5,1))</f>
        <v>1</v>
      </c>
      <c r="I1594" s="35">
        <f>_xlfn.XLOOKUP(Metas_Diarias[[#This Row],[data]],Feriados[Data],Feriados[Feriado],1)</f>
        <v>1</v>
      </c>
      <c r="J1594" s="33" cm="1">
        <f t="array" aca="1" ref="J1594" ca="1">SUMPRODUCT(IF((NOT(ISERROR(MATCH(ROW(INDIRECT(DATE(YEAR(B1594),MONTH(B1594),1)&amp;":"&amp;DATE(YEAR(B1594),MONTH(B1594)+1,0))),Feriados[Data],0))))=FALSE,
IF(WEEKDAY(ROW(INDIRECT(DATE(YEAR(B1594),MONTH(B1594),1)&amp;":"&amp;DATE(YEAR(B1594),MONTH(B1594)+1,0))),2)&lt;=5,1,IF(WEEKDAY(ROW(INDIRECT(DATE(YEAR(B1594),MONTH(B1594),1)&amp;":"&amp;DATE(YEAR(B1594),MONTH(B1594)+1,0))),2)=6,0.5,0)),0))</f>
        <v>22.5</v>
      </c>
      <c r="K1594" s="22" cm="1">
        <f t="array" ref="K1594">_xlfn.XLOOKUP(1,((Metas_Diarias[[#This Row],[tipo_equipe_id]]=Metas[equipe])*(Metas_Diarias[[#This Row],[data]]&gt;Metas[data_inicio])*(Metas_Diarias[[#This Row],[data]]&lt;Metas[data_fim])),Metas[meta_mensal],0)</f>
        <v>115500</v>
      </c>
      <c r="L1594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595" spans="2:12" x14ac:dyDescent="0.3">
      <c r="B1595" s="34">
        <v>46151</v>
      </c>
      <c r="C1595" s="34" t="str">
        <f>TEXT(Metas_Diarias[[#This Row],[data]],"dddd")</f>
        <v>sábado</v>
      </c>
      <c r="D1595" s="33">
        <v>2</v>
      </c>
      <c r="E1595" s="33">
        <v>2</v>
      </c>
      <c r="F1595" s="18"/>
      <c r="G1595" s="35">
        <f>WEEKDAY(Metas_Diarias[[#This Row],[data]])</f>
        <v>7</v>
      </c>
      <c r="H1595" s="35">
        <f>IF(Metas_Diarias[[#This Row],[dias_da_demana]]=1,"domingo",IF(Metas_Diarias[[#This Row],[dias_da_demana]]=7,0.5,1))</f>
        <v>0.5</v>
      </c>
      <c r="I1595" s="35">
        <f>_xlfn.XLOOKUP(Metas_Diarias[[#This Row],[data]],Feriados[Data],Feriados[Feriado],1)</f>
        <v>1</v>
      </c>
      <c r="J1595" s="33" cm="1">
        <f t="array" aca="1" ref="J1595" ca="1">SUMPRODUCT(IF((NOT(ISERROR(MATCH(ROW(INDIRECT(DATE(YEAR(B1595),MONTH(B1595),1)&amp;":"&amp;DATE(YEAR(B1595),MONTH(B1595)+1,0))),Feriados[Data],0))))=FALSE,
IF(WEEKDAY(ROW(INDIRECT(DATE(YEAR(B1595),MONTH(B1595),1)&amp;":"&amp;DATE(YEAR(B1595),MONTH(B1595)+1,0))),2)&lt;=5,1,IF(WEEKDAY(ROW(INDIRECT(DATE(YEAR(B1595),MONTH(B1595),1)&amp;":"&amp;DATE(YEAR(B1595),MONTH(B1595)+1,0))),2)=6,0.5,0)),0))</f>
        <v>22.5</v>
      </c>
      <c r="K1595" s="22" cm="1">
        <f t="array" ref="K1595">_xlfn.XLOOKUP(1,((Metas_Diarias[[#This Row],[tipo_equipe_id]]=Metas[equipe])*(Metas_Diarias[[#This Row],[data]]&gt;Metas[data_inicio])*(Metas_Diarias[[#This Row],[data]]&lt;Metas[data_fim])),Metas[meta_mensal],0)</f>
        <v>115500</v>
      </c>
      <c r="L1595" s="24">
        <f ca="1">Metas_Diarias[[#This Row],[meta_mensal]]*IF(Metas_Diarias[[#This Row],[semana]]="domingo",0,Metas_Diarias[[#This Row],[semana]])*IF(Metas_Diarias[[#This Row],[feriado]]&lt;&gt;1,0,1)/Metas_Diarias[[#This Row],[dias_úteis_Mês]]</f>
        <v>2566.6666666666665</v>
      </c>
    </row>
    <row r="1596" spans="2:12" x14ac:dyDescent="0.3">
      <c r="B1596" s="34">
        <v>46152</v>
      </c>
      <c r="C1596" s="34" t="str">
        <f>TEXT(Metas_Diarias[[#This Row],[data]],"dddd")</f>
        <v>domingo</v>
      </c>
      <c r="D1596" s="33">
        <v>2</v>
      </c>
      <c r="E1596" s="33">
        <v>2</v>
      </c>
      <c r="F1596" s="18"/>
      <c r="G1596" s="35">
        <f>WEEKDAY(Metas_Diarias[[#This Row],[data]])</f>
        <v>1</v>
      </c>
      <c r="H1596" s="35" t="str">
        <f>IF(Metas_Diarias[[#This Row],[dias_da_demana]]=1,"domingo",IF(Metas_Diarias[[#This Row],[dias_da_demana]]=7,0.5,1))</f>
        <v>domingo</v>
      </c>
      <c r="I1596" s="35">
        <f>_xlfn.XLOOKUP(Metas_Diarias[[#This Row],[data]],Feriados[Data],Feriados[Feriado],1)</f>
        <v>1</v>
      </c>
      <c r="J1596" s="33" cm="1">
        <f t="array" aca="1" ref="J1596" ca="1">SUMPRODUCT(IF((NOT(ISERROR(MATCH(ROW(INDIRECT(DATE(YEAR(B1596),MONTH(B1596),1)&amp;":"&amp;DATE(YEAR(B1596),MONTH(B1596)+1,0))),Feriados[Data],0))))=FALSE,
IF(WEEKDAY(ROW(INDIRECT(DATE(YEAR(B1596),MONTH(B1596),1)&amp;":"&amp;DATE(YEAR(B1596),MONTH(B1596)+1,0))),2)&lt;=5,1,IF(WEEKDAY(ROW(INDIRECT(DATE(YEAR(B1596),MONTH(B1596),1)&amp;":"&amp;DATE(YEAR(B1596),MONTH(B1596)+1,0))),2)=6,0.5,0)),0))</f>
        <v>22.5</v>
      </c>
      <c r="K1596" s="22" cm="1">
        <f t="array" ref="K1596">_xlfn.XLOOKUP(1,((Metas_Diarias[[#This Row],[tipo_equipe_id]]=Metas[equipe])*(Metas_Diarias[[#This Row],[data]]&gt;Metas[data_inicio])*(Metas_Diarias[[#This Row],[data]]&lt;Metas[data_fim])),Metas[meta_mensal],0)</f>
        <v>115500</v>
      </c>
      <c r="L15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597" spans="2:12" x14ac:dyDescent="0.3">
      <c r="B1597" s="34">
        <v>46153</v>
      </c>
      <c r="C1597" s="34" t="str">
        <f>TEXT(Metas_Diarias[[#This Row],[data]],"dddd")</f>
        <v>segunda-feira</v>
      </c>
      <c r="D1597" s="33">
        <v>2</v>
      </c>
      <c r="E1597" s="33">
        <v>2</v>
      </c>
      <c r="F1597" s="18"/>
      <c r="G1597" s="35">
        <f>WEEKDAY(Metas_Diarias[[#This Row],[data]])</f>
        <v>2</v>
      </c>
      <c r="H1597" s="35">
        <f>IF(Metas_Diarias[[#This Row],[dias_da_demana]]=1,"domingo",IF(Metas_Diarias[[#This Row],[dias_da_demana]]=7,0.5,1))</f>
        <v>1</v>
      </c>
      <c r="I1597" s="35">
        <f>_xlfn.XLOOKUP(Metas_Diarias[[#This Row],[data]],Feriados[Data],Feriados[Feriado],1)</f>
        <v>1</v>
      </c>
      <c r="J1597" s="33" cm="1">
        <f t="array" aca="1" ref="J1597" ca="1">SUMPRODUCT(IF((NOT(ISERROR(MATCH(ROW(INDIRECT(DATE(YEAR(B1597),MONTH(B1597),1)&amp;":"&amp;DATE(YEAR(B1597),MONTH(B1597)+1,0))),Feriados[Data],0))))=FALSE,
IF(WEEKDAY(ROW(INDIRECT(DATE(YEAR(B1597),MONTH(B1597),1)&amp;":"&amp;DATE(YEAR(B1597),MONTH(B1597)+1,0))),2)&lt;=5,1,IF(WEEKDAY(ROW(INDIRECT(DATE(YEAR(B1597),MONTH(B1597),1)&amp;":"&amp;DATE(YEAR(B1597),MONTH(B1597)+1,0))),2)=6,0.5,0)),0))</f>
        <v>22.5</v>
      </c>
      <c r="K1597" s="22" cm="1">
        <f t="array" ref="K1597">_xlfn.XLOOKUP(1,((Metas_Diarias[[#This Row],[tipo_equipe_id]]=Metas[equipe])*(Metas_Diarias[[#This Row],[data]]&gt;Metas[data_inicio])*(Metas_Diarias[[#This Row],[data]]&lt;Metas[data_fim])),Metas[meta_mensal],0)</f>
        <v>115500</v>
      </c>
      <c r="L1597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598" spans="2:12" x14ac:dyDescent="0.3">
      <c r="B1598" s="34">
        <v>46154</v>
      </c>
      <c r="C1598" s="34" t="str">
        <f>TEXT(Metas_Diarias[[#This Row],[data]],"dddd")</f>
        <v>terça-feira</v>
      </c>
      <c r="D1598" s="33">
        <v>2</v>
      </c>
      <c r="E1598" s="33">
        <v>2</v>
      </c>
      <c r="F1598" s="18"/>
      <c r="G1598" s="35">
        <f>WEEKDAY(Metas_Diarias[[#This Row],[data]])</f>
        <v>3</v>
      </c>
      <c r="H1598" s="35">
        <f>IF(Metas_Diarias[[#This Row],[dias_da_demana]]=1,"domingo",IF(Metas_Diarias[[#This Row],[dias_da_demana]]=7,0.5,1))</f>
        <v>1</v>
      </c>
      <c r="I1598" s="35">
        <f>_xlfn.XLOOKUP(Metas_Diarias[[#This Row],[data]],Feriados[Data],Feriados[Feriado],1)</f>
        <v>1</v>
      </c>
      <c r="J1598" s="33" cm="1">
        <f t="array" aca="1" ref="J1598" ca="1">SUMPRODUCT(IF((NOT(ISERROR(MATCH(ROW(INDIRECT(DATE(YEAR(B1598),MONTH(B1598),1)&amp;":"&amp;DATE(YEAR(B1598),MONTH(B1598)+1,0))),Feriados[Data],0))))=FALSE,
IF(WEEKDAY(ROW(INDIRECT(DATE(YEAR(B1598),MONTH(B1598),1)&amp;":"&amp;DATE(YEAR(B1598),MONTH(B1598)+1,0))),2)&lt;=5,1,IF(WEEKDAY(ROW(INDIRECT(DATE(YEAR(B1598),MONTH(B1598),1)&amp;":"&amp;DATE(YEAR(B1598),MONTH(B1598)+1,0))),2)=6,0.5,0)),0))</f>
        <v>22.5</v>
      </c>
      <c r="K1598" s="22" cm="1">
        <f t="array" ref="K1598">_xlfn.XLOOKUP(1,((Metas_Diarias[[#This Row],[tipo_equipe_id]]=Metas[equipe])*(Metas_Diarias[[#This Row],[data]]&gt;Metas[data_inicio])*(Metas_Diarias[[#This Row],[data]]&lt;Metas[data_fim])),Metas[meta_mensal],0)</f>
        <v>115500</v>
      </c>
      <c r="L1598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599" spans="2:12" x14ac:dyDescent="0.3">
      <c r="B1599" s="34">
        <v>46155</v>
      </c>
      <c r="C1599" s="34" t="str">
        <f>TEXT(Metas_Diarias[[#This Row],[data]],"dddd")</f>
        <v>quarta-feira</v>
      </c>
      <c r="D1599" s="33">
        <v>2</v>
      </c>
      <c r="E1599" s="33">
        <v>2</v>
      </c>
      <c r="F1599" s="18"/>
      <c r="G1599" s="35">
        <f>WEEKDAY(Metas_Diarias[[#This Row],[data]])</f>
        <v>4</v>
      </c>
      <c r="H1599" s="35">
        <f>IF(Metas_Diarias[[#This Row],[dias_da_demana]]=1,"domingo",IF(Metas_Diarias[[#This Row],[dias_da_demana]]=7,0.5,1))</f>
        <v>1</v>
      </c>
      <c r="I1599" s="35">
        <f>_xlfn.XLOOKUP(Metas_Diarias[[#This Row],[data]],Feriados[Data],Feriados[Feriado],1)</f>
        <v>1</v>
      </c>
      <c r="J1599" s="33" cm="1">
        <f t="array" aca="1" ref="J1599" ca="1">SUMPRODUCT(IF((NOT(ISERROR(MATCH(ROW(INDIRECT(DATE(YEAR(B1599),MONTH(B1599),1)&amp;":"&amp;DATE(YEAR(B1599),MONTH(B1599)+1,0))),Feriados[Data],0))))=FALSE,
IF(WEEKDAY(ROW(INDIRECT(DATE(YEAR(B1599),MONTH(B1599),1)&amp;":"&amp;DATE(YEAR(B1599),MONTH(B1599)+1,0))),2)&lt;=5,1,IF(WEEKDAY(ROW(INDIRECT(DATE(YEAR(B1599),MONTH(B1599),1)&amp;":"&amp;DATE(YEAR(B1599),MONTH(B1599)+1,0))),2)=6,0.5,0)),0))</f>
        <v>22.5</v>
      </c>
      <c r="K1599" s="22" cm="1">
        <f t="array" ref="K1599">_xlfn.XLOOKUP(1,((Metas_Diarias[[#This Row],[tipo_equipe_id]]=Metas[equipe])*(Metas_Diarias[[#This Row],[data]]&gt;Metas[data_inicio])*(Metas_Diarias[[#This Row],[data]]&lt;Metas[data_fim])),Metas[meta_mensal],0)</f>
        <v>115500</v>
      </c>
      <c r="L1599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00" spans="2:12" x14ac:dyDescent="0.3">
      <c r="B1600" s="34">
        <v>46156</v>
      </c>
      <c r="C1600" s="34" t="str">
        <f>TEXT(Metas_Diarias[[#This Row],[data]],"dddd")</f>
        <v>quinta-feira</v>
      </c>
      <c r="D1600" s="33">
        <v>2</v>
      </c>
      <c r="E1600" s="33">
        <v>2</v>
      </c>
      <c r="F1600" s="18"/>
      <c r="G1600" s="35">
        <f>WEEKDAY(Metas_Diarias[[#This Row],[data]])</f>
        <v>5</v>
      </c>
      <c r="H1600" s="35">
        <f>IF(Metas_Diarias[[#This Row],[dias_da_demana]]=1,"domingo",IF(Metas_Diarias[[#This Row],[dias_da_demana]]=7,0.5,1))</f>
        <v>1</v>
      </c>
      <c r="I1600" s="35">
        <f>_xlfn.XLOOKUP(Metas_Diarias[[#This Row],[data]],Feriados[Data],Feriados[Feriado],1)</f>
        <v>1</v>
      </c>
      <c r="J1600" s="33" cm="1">
        <f t="array" aca="1" ref="J1600" ca="1">SUMPRODUCT(IF((NOT(ISERROR(MATCH(ROW(INDIRECT(DATE(YEAR(B1600),MONTH(B1600),1)&amp;":"&amp;DATE(YEAR(B1600),MONTH(B1600)+1,0))),Feriados[Data],0))))=FALSE,
IF(WEEKDAY(ROW(INDIRECT(DATE(YEAR(B1600),MONTH(B1600),1)&amp;":"&amp;DATE(YEAR(B1600),MONTH(B1600)+1,0))),2)&lt;=5,1,IF(WEEKDAY(ROW(INDIRECT(DATE(YEAR(B1600),MONTH(B1600),1)&amp;":"&amp;DATE(YEAR(B1600),MONTH(B1600)+1,0))),2)=6,0.5,0)),0))</f>
        <v>22.5</v>
      </c>
      <c r="K1600" s="22" cm="1">
        <f t="array" ref="K1600">_xlfn.XLOOKUP(1,((Metas_Diarias[[#This Row],[tipo_equipe_id]]=Metas[equipe])*(Metas_Diarias[[#This Row],[data]]&gt;Metas[data_inicio])*(Metas_Diarias[[#This Row],[data]]&lt;Metas[data_fim])),Metas[meta_mensal],0)</f>
        <v>115500</v>
      </c>
      <c r="L1600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01" spans="2:12" x14ac:dyDescent="0.3">
      <c r="B1601" s="34">
        <v>46157</v>
      </c>
      <c r="C1601" s="34" t="str">
        <f>TEXT(Metas_Diarias[[#This Row],[data]],"dddd")</f>
        <v>sexta-feira</v>
      </c>
      <c r="D1601" s="33">
        <v>2</v>
      </c>
      <c r="E1601" s="33">
        <v>2</v>
      </c>
      <c r="F1601" s="18"/>
      <c r="G1601" s="35">
        <f>WEEKDAY(Metas_Diarias[[#This Row],[data]])</f>
        <v>6</v>
      </c>
      <c r="H1601" s="35">
        <f>IF(Metas_Diarias[[#This Row],[dias_da_demana]]=1,"domingo",IF(Metas_Diarias[[#This Row],[dias_da_demana]]=7,0.5,1))</f>
        <v>1</v>
      </c>
      <c r="I1601" s="35">
        <f>_xlfn.XLOOKUP(Metas_Diarias[[#This Row],[data]],Feriados[Data],Feriados[Feriado],1)</f>
        <v>1</v>
      </c>
      <c r="J1601" s="33" cm="1">
        <f t="array" aca="1" ref="J1601" ca="1">SUMPRODUCT(IF((NOT(ISERROR(MATCH(ROW(INDIRECT(DATE(YEAR(B1601),MONTH(B1601),1)&amp;":"&amp;DATE(YEAR(B1601),MONTH(B1601)+1,0))),Feriados[Data],0))))=FALSE,
IF(WEEKDAY(ROW(INDIRECT(DATE(YEAR(B1601),MONTH(B1601),1)&amp;":"&amp;DATE(YEAR(B1601),MONTH(B1601)+1,0))),2)&lt;=5,1,IF(WEEKDAY(ROW(INDIRECT(DATE(YEAR(B1601),MONTH(B1601),1)&amp;":"&amp;DATE(YEAR(B1601),MONTH(B1601)+1,0))),2)=6,0.5,0)),0))</f>
        <v>22.5</v>
      </c>
      <c r="K1601" s="22" cm="1">
        <f t="array" ref="K1601">_xlfn.XLOOKUP(1,((Metas_Diarias[[#This Row],[tipo_equipe_id]]=Metas[equipe])*(Metas_Diarias[[#This Row],[data]]&gt;Metas[data_inicio])*(Metas_Diarias[[#This Row],[data]]&lt;Metas[data_fim])),Metas[meta_mensal],0)</f>
        <v>115500</v>
      </c>
      <c r="L1601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02" spans="2:12" x14ac:dyDescent="0.3">
      <c r="B1602" s="34">
        <v>46158</v>
      </c>
      <c r="C1602" s="34" t="str">
        <f>TEXT(Metas_Diarias[[#This Row],[data]],"dddd")</f>
        <v>sábado</v>
      </c>
      <c r="D1602" s="33">
        <v>2</v>
      </c>
      <c r="E1602" s="33">
        <v>2</v>
      </c>
      <c r="F1602" s="18"/>
      <c r="G1602" s="35">
        <f>WEEKDAY(Metas_Diarias[[#This Row],[data]])</f>
        <v>7</v>
      </c>
      <c r="H1602" s="35">
        <f>IF(Metas_Diarias[[#This Row],[dias_da_demana]]=1,"domingo",IF(Metas_Diarias[[#This Row],[dias_da_demana]]=7,0.5,1))</f>
        <v>0.5</v>
      </c>
      <c r="I1602" s="35">
        <f>_xlfn.XLOOKUP(Metas_Diarias[[#This Row],[data]],Feriados[Data],Feriados[Feriado],1)</f>
        <v>1</v>
      </c>
      <c r="J1602" s="33" cm="1">
        <f t="array" aca="1" ref="J1602" ca="1">SUMPRODUCT(IF((NOT(ISERROR(MATCH(ROW(INDIRECT(DATE(YEAR(B1602),MONTH(B1602),1)&amp;":"&amp;DATE(YEAR(B1602),MONTH(B1602)+1,0))),Feriados[Data],0))))=FALSE,
IF(WEEKDAY(ROW(INDIRECT(DATE(YEAR(B1602),MONTH(B1602),1)&amp;":"&amp;DATE(YEAR(B1602),MONTH(B1602)+1,0))),2)&lt;=5,1,IF(WEEKDAY(ROW(INDIRECT(DATE(YEAR(B1602),MONTH(B1602),1)&amp;":"&amp;DATE(YEAR(B1602),MONTH(B1602)+1,0))),2)=6,0.5,0)),0))</f>
        <v>22.5</v>
      </c>
      <c r="K1602" s="22" cm="1">
        <f t="array" ref="K1602">_xlfn.XLOOKUP(1,((Metas_Diarias[[#This Row],[tipo_equipe_id]]=Metas[equipe])*(Metas_Diarias[[#This Row],[data]]&gt;Metas[data_inicio])*(Metas_Diarias[[#This Row],[data]]&lt;Metas[data_fim])),Metas[meta_mensal],0)</f>
        <v>115500</v>
      </c>
      <c r="L1602" s="24">
        <f ca="1">Metas_Diarias[[#This Row],[meta_mensal]]*IF(Metas_Diarias[[#This Row],[semana]]="domingo",0,Metas_Diarias[[#This Row],[semana]])*IF(Metas_Diarias[[#This Row],[feriado]]&lt;&gt;1,0,1)/Metas_Diarias[[#This Row],[dias_úteis_Mês]]</f>
        <v>2566.6666666666665</v>
      </c>
    </row>
    <row r="1603" spans="2:12" x14ac:dyDescent="0.3">
      <c r="B1603" s="34">
        <v>46159</v>
      </c>
      <c r="C1603" s="34" t="str">
        <f>TEXT(Metas_Diarias[[#This Row],[data]],"dddd")</f>
        <v>domingo</v>
      </c>
      <c r="D1603" s="33">
        <v>2</v>
      </c>
      <c r="E1603" s="33">
        <v>2</v>
      </c>
      <c r="F1603" s="18"/>
      <c r="G1603" s="35">
        <f>WEEKDAY(Metas_Diarias[[#This Row],[data]])</f>
        <v>1</v>
      </c>
      <c r="H1603" s="35" t="str">
        <f>IF(Metas_Diarias[[#This Row],[dias_da_demana]]=1,"domingo",IF(Metas_Diarias[[#This Row],[dias_da_demana]]=7,0.5,1))</f>
        <v>domingo</v>
      </c>
      <c r="I1603" s="35">
        <f>_xlfn.XLOOKUP(Metas_Diarias[[#This Row],[data]],Feriados[Data],Feriados[Feriado],1)</f>
        <v>1</v>
      </c>
      <c r="J1603" s="33" cm="1">
        <f t="array" aca="1" ref="J1603" ca="1">SUMPRODUCT(IF((NOT(ISERROR(MATCH(ROW(INDIRECT(DATE(YEAR(B1603),MONTH(B1603),1)&amp;":"&amp;DATE(YEAR(B1603),MONTH(B1603)+1,0))),Feriados[Data],0))))=FALSE,
IF(WEEKDAY(ROW(INDIRECT(DATE(YEAR(B1603),MONTH(B1603),1)&amp;":"&amp;DATE(YEAR(B1603),MONTH(B1603)+1,0))),2)&lt;=5,1,IF(WEEKDAY(ROW(INDIRECT(DATE(YEAR(B1603),MONTH(B1603),1)&amp;":"&amp;DATE(YEAR(B1603),MONTH(B1603)+1,0))),2)=6,0.5,0)),0))</f>
        <v>22.5</v>
      </c>
      <c r="K1603" s="22" cm="1">
        <f t="array" ref="K1603">_xlfn.XLOOKUP(1,((Metas_Diarias[[#This Row],[tipo_equipe_id]]=Metas[equipe])*(Metas_Diarias[[#This Row],[data]]&gt;Metas[data_inicio])*(Metas_Diarias[[#This Row],[data]]&lt;Metas[data_fim])),Metas[meta_mensal],0)</f>
        <v>115500</v>
      </c>
      <c r="L16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04" spans="2:12" x14ac:dyDescent="0.3">
      <c r="B1604" s="34">
        <v>46160</v>
      </c>
      <c r="C1604" s="34" t="str">
        <f>TEXT(Metas_Diarias[[#This Row],[data]],"dddd")</f>
        <v>segunda-feira</v>
      </c>
      <c r="D1604" s="33">
        <v>2</v>
      </c>
      <c r="E1604" s="33">
        <v>2</v>
      </c>
      <c r="F1604" s="18"/>
      <c r="G1604" s="35">
        <f>WEEKDAY(Metas_Diarias[[#This Row],[data]])</f>
        <v>2</v>
      </c>
      <c r="H1604" s="35">
        <f>IF(Metas_Diarias[[#This Row],[dias_da_demana]]=1,"domingo",IF(Metas_Diarias[[#This Row],[dias_da_demana]]=7,0.5,1))</f>
        <v>1</v>
      </c>
      <c r="I1604" s="35">
        <f>_xlfn.XLOOKUP(Metas_Diarias[[#This Row],[data]],Feriados[Data],Feriados[Feriado],1)</f>
        <v>1</v>
      </c>
      <c r="J1604" s="33" cm="1">
        <f t="array" aca="1" ref="J1604" ca="1">SUMPRODUCT(IF((NOT(ISERROR(MATCH(ROW(INDIRECT(DATE(YEAR(B1604),MONTH(B1604),1)&amp;":"&amp;DATE(YEAR(B1604),MONTH(B1604)+1,0))),Feriados[Data],0))))=FALSE,
IF(WEEKDAY(ROW(INDIRECT(DATE(YEAR(B1604),MONTH(B1604),1)&amp;":"&amp;DATE(YEAR(B1604),MONTH(B1604)+1,0))),2)&lt;=5,1,IF(WEEKDAY(ROW(INDIRECT(DATE(YEAR(B1604),MONTH(B1604),1)&amp;":"&amp;DATE(YEAR(B1604),MONTH(B1604)+1,0))),2)=6,0.5,0)),0))</f>
        <v>22.5</v>
      </c>
      <c r="K1604" s="22" cm="1">
        <f t="array" ref="K1604">_xlfn.XLOOKUP(1,((Metas_Diarias[[#This Row],[tipo_equipe_id]]=Metas[equipe])*(Metas_Diarias[[#This Row],[data]]&gt;Metas[data_inicio])*(Metas_Diarias[[#This Row],[data]]&lt;Metas[data_fim])),Metas[meta_mensal],0)</f>
        <v>115500</v>
      </c>
      <c r="L1604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05" spans="2:12" x14ac:dyDescent="0.3">
      <c r="B1605" s="34">
        <v>46161</v>
      </c>
      <c r="C1605" s="34" t="str">
        <f>TEXT(Metas_Diarias[[#This Row],[data]],"dddd")</f>
        <v>terça-feira</v>
      </c>
      <c r="D1605" s="33">
        <v>2</v>
      </c>
      <c r="E1605" s="33">
        <v>2</v>
      </c>
      <c r="F1605" s="18"/>
      <c r="G1605" s="35">
        <f>WEEKDAY(Metas_Diarias[[#This Row],[data]])</f>
        <v>3</v>
      </c>
      <c r="H1605" s="35">
        <f>IF(Metas_Diarias[[#This Row],[dias_da_demana]]=1,"domingo",IF(Metas_Diarias[[#This Row],[dias_da_demana]]=7,0.5,1))</f>
        <v>1</v>
      </c>
      <c r="I1605" s="35">
        <f>_xlfn.XLOOKUP(Metas_Diarias[[#This Row],[data]],Feriados[Data],Feriados[Feriado],1)</f>
        <v>1</v>
      </c>
      <c r="J1605" s="33" cm="1">
        <f t="array" aca="1" ref="J1605" ca="1">SUMPRODUCT(IF((NOT(ISERROR(MATCH(ROW(INDIRECT(DATE(YEAR(B1605),MONTH(B1605),1)&amp;":"&amp;DATE(YEAR(B1605),MONTH(B1605)+1,0))),Feriados[Data],0))))=FALSE,
IF(WEEKDAY(ROW(INDIRECT(DATE(YEAR(B1605),MONTH(B1605),1)&amp;":"&amp;DATE(YEAR(B1605),MONTH(B1605)+1,0))),2)&lt;=5,1,IF(WEEKDAY(ROW(INDIRECT(DATE(YEAR(B1605),MONTH(B1605),1)&amp;":"&amp;DATE(YEAR(B1605),MONTH(B1605)+1,0))),2)=6,0.5,0)),0))</f>
        <v>22.5</v>
      </c>
      <c r="K1605" s="22" cm="1">
        <f t="array" ref="K1605">_xlfn.XLOOKUP(1,((Metas_Diarias[[#This Row],[tipo_equipe_id]]=Metas[equipe])*(Metas_Diarias[[#This Row],[data]]&gt;Metas[data_inicio])*(Metas_Diarias[[#This Row],[data]]&lt;Metas[data_fim])),Metas[meta_mensal],0)</f>
        <v>115500</v>
      </c>
      <c r="L1605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06" spans="2:12" x14ac:dyDescent="0.3">
      <c r="B1606" s="34">
        <v>46162</v>
      </c>
      <c r="C1606" s="34" t="str">
        <f>TEXT(Metas_Diarias[[#This Row],[data]],"dddd")</f>
        <v>quarta-feira</v>
      </c>
      <c r="D1606" s="33">
        <v>2</v>
      </c>
      <c r="E1606" s="33">
        <v>2</v>
      </c>
      <c r="F1606" s="18"/>
      <c r="G1606" s="35">
        <f>WEEKDAY(Metas_Diarias[[#This Row],[data]])</f>
        <v>4</v>
      </c>
      <c r="H1606" s="35">
        <f>IF(Metas_Diarias[[#This Row],[dias_da_demana]]=1,"domingo",IF(Metas_Diarias[[#This Row],[dias_da_demana]]=7,0.5,1))</f>
        <v>1</v>
      </c>
      <c r="I1606" s="35">
        <f>_xlfn.XLOOKUP(Metas_Diarias[[#This Row],[data]],Feriados[Data],Feriados[Feriado],1)</f>
        <v>1</v>
      </c>
      <c r="J1606" s="33" cm="1">
        <f t="array" aca="1" ref="J1606" ca="1">SUMPRODUCT(IF((NOT(ISERROR(MATCH(ROW(INDIRECT(DATE(YEAR(B1606),MONTH(B1606),1)&amp;":"&amp;DATE(YEAR(B1606),MONTH(B1606)+1,0))),Feriados[Data],0))))=FALSE,
IF(WEEKDAY(ROW(INDIRECT(DATE(YEAR(B1606),MONTH(B1606),1)&amp;":"&amp;DATE(YEAR(B1606),MONTH(B1606)+1,0))),2)&lt;=5,1,IF(WEEKDAY(ROW(INDIRECT(DATE(YEAR(B1606),MONTH(B1606),1)&amp;":"&amp;DATE(YEAR(B1606),MONTH(B1606)+1,0))),2)=6,0.5,0)),0))</f>
        <v>22.5</v>
      </c>
      <c r="K1606" s="22" cm="1">
        <f t="array" ref="K1606">_xlfn.XLOOKUP(1,((Metas_Diarias[[#This Row],[tipo_equipe_id]]=Metas[equipe])*(Metas_Diarias[[#This Row],[data]]&gt;Metas[data_inicio])*(Metas_Diarias[[#This Row],[data]]&lt;Metas[data_fim])),Metas[meta_mensal],0)</f>
        <v>115500</v>
      </c>
      <c r="L1606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07" spans="2:12" x14ac:dyDescent="0.3">
      <c r="B1607" s="34">
        <v>46163</v>
      </c>
      <c r="C1607" s="34" t="str">
        <f>TEXT(Metas_Diarias[[#This Row],[data]],"dddd")</f>
        <v>quinta-feira</v>
      </c>
      <c r="D1607" s="33">
        <v>2</v>
      </c>
      <c r="E1607" s="33">
        <v>2</v>
      </c>
      <c r="F1607" s="18"/>
      <c r="G1607" s="35">
        <f>WEEKDAY(Metas_Diarias[[#This Row],[data]])</f>
        <v>5</v>
      </c>
      <c r="H1607" s="35">
        <f>IF(Metas_Diarias[[#This Row],[dias_da_demana]]=1,"domingo",IF(Metas_Diarias[[#This Row],[dias_da_demana]]=7,0.5,1))</f>
        <v>1</v>
      </c>
      <c r="I1607" s="35">
        <f>_xlfn.XLOOKUP(Metas_Diarias[[#This Row],[data]],Feriados[Data],Feriados[Feriado],1)</f>
        <v>1</v>
      </c>
      <c r="J1607" s="33" cm="1">
        <f t="array" aca="1" ref="J1607" ca="1">SUMPRODUCT(IF((NOT(ISERROR(MATCH(ROW(INDIRECT(DATE(YEAR(B1607),MONTH(B1607),1)&amp;":"&amp;DATE(YEAR(B1607),MONTH(B1607)+1,0))),Feriados[Data],0))))=FALSE,
IF(WEEKDAY(ROW(INDIRECT(DATE(YEAR(B1607),MONTH(B1607),1)&amp;":"&amp;DATE(YEAR(B1607),MONTH(B1607)+1,0))),2)&lt;=5,1,IF(WEEKDAY(ROW(INDIRECT(DATE(YEAR(B1607),MONTH(B1607),1)&amp;":"&amp;DATE(YEAR(B1607),MONTH(B1607)+1,0))),2)=6,0.5,0)),0))</f>
        <v>22.5</v>
      </c>
      <c r="K1607" s="22" cm="1">
        <f t="array" ref="K1607">_xlfn.XLOOKUP(1,((Metas_Diarias[[#This Row],[tipo_equipe_id]]=Metas[equipe])*(Metas_Diarias[[#This Row],[data]]&gt;Metas[data_inicio])*(Metas_Diarias[[#This Row],[data]]&lt;Metas[data_fim])),Metas[meta_mensal],0)</f>
        <v>115500</v>
      </c>
      <c r="L1607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08" spans="2:12" x14ac:dyDescent="0.3">
      <c r="B1608" s="34">
        <v>46164</v>
      </c>
      <c r="C1608" s="34" t="str">
        <f>TEXT(Metas_Diarias[[#This Row],[data]],"dddd")</f>
        <v>sexta-feira</v>
      </c>
      <c r="D1608" s="33">
        <v>2</v>
      </c>
      <c r="E1608" s="33">
        <v>2</v>
      </c>
      <c r="F1608" s="18"/>
      <c r="G1608" s="35">
        <f>WEEKDAY(Metas_Diarias[[#This Row],[data]])</f>
        <v>6</v>
      </c>
      <c r="H1608" s="35">
        <f>IF(Metas_Diarias[[#This Row],[dias_da_demana]]=1,"domingo",IF(Metas_Diarias[[#This Row],[dias_da_demana]]=7,0.5,1))</f>
        <v>1</v>
      </c>
      <c r="I1608" s="35">
        <f>_xlfn.XLOOKUP(Metas_Diarias[[#This Row],[data]],Feriados[Data],Feriados[Feriado],1)</f>
        <v>1</v>
      </c>
      <c r="J1608" s="33" cm="1">
        <f t="array" aca="1" ref="J1608" ca="1">SUMPRODUCT(IF((NOT(ISERROR(MATCH(ROW(INDIRECT(DATE(YEAR(B1608),MONTH(B1608),1)&amp;":"&amp;DATE(YEAR(B1608),MONTH(B1608)+1,0))),Feriados[Data],0))))=FALSE,
IF(WEEKDAY(ROW(INDIRECT(DATE(YEAR(B1608),MONTH(B1608),1)&amp;":"&amp;DATE(YEAR(B1608),MONTH(B1608)+1,0))),2)&lt;=5,1,IF(WEEKDAY(ROW(INDIRECT(DATE(YEAR(B1608),MONTH(B1608),1)&amp;":"&amp;DATE(YEAR(B1608),MONTH(B1608)+1,0))),2)=6,0.5,0)),0))</f>
        <v>22.5</v>
      </c>
      <c r="K1608" s="22" cm="1">
        <f t="array" ref="K1608">_xlfn.XLOOKUP(1,((Metas_Diarias[[#This Row],[tipo_equipe_id]]=Metas[equipe])*(Metas_Diarias[[#This Row],[data]]&gt;Metas[data_inicio])*(Metas_Diarias[[#This Row],[data]]&lt;Metas[data_fim])),Metas[meta_mensal],0)</f>
        <v>115500</v>
      </c>
      <c r="L1608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09" spans="2:12" x14ac:dyDescent="0.3">
      <c r="B1609" s="34">
        <v>46165</v>
      </c>
      <c r="C1609" s="34" t="str">
        <f>TEXT(Metas_Diarias[[#This Row],[data]],"dddd")</f>
        <v>sábado</v>
      </c>
      <c r="D1609" s="33">
        <v>2</v>
      </c>
      <c r="E1609" s="33">
        <v>2</v>
      </c>
      <c r="F1609" s="18"/>
      <c r="G1609" s="35">
        <f>WEEKDAY(Metas_Diarias[[#This Row],[data]])</f>
        <v>7</v>
      </c>
      <c r="H1609" s="35">
        <f>IF(Metas_Diarias[[#This Row],[dias_da_demana]]=1,"domingo",IF(Metas_Diarias[[#This Row],[dias_da_demana]]=7,0.5,1))</f>
        <v>0.5</v>
      </c>
      <c r="I1609" s="35">
        <f>_xlfn.XLOOKUP(Metas_Diarias[[#This Row],[data]],Feriados[Data],Feriados[Feriado],1)</f>
        <v>1</v>
      </c>
      <c r="J1609" s="33" cm="1">
        <f t="array" aca="1" ref="J1609" ca="1">SUMPRODUCT(IF((NOT(ISERROR(MATCH(ROW(INDIRECT(DATE(YEAR(B1609),MONTH(B1609),1)&amp;":"&amp;DATE(YEAR(B1609),MONTH(B1609)+1,0))),Feriados[Data],0))))=FALSE,
IF(WEEKDAY(ROW(INDIRECT(DATE(YEAR(B1609),MONTH(B1609),1)&amp;":"&amp;DATE(YEAR(B1609),MONTH(B1609)+1,0))),2)&lt;=5,1,IF(WEEKDAY(ROW(INDIRECT(DATE(YEAR(B1609),MONTH(B1609),1)&amp;":"&amp;DATE(YEAR(B1609),MONTH(B1609)+1,0))),2)=6,0.5,0)),0))</f>
        <v>22.5</v>
      </c>
      <c r="K1609" s="22" cm="1">
        <f t="array" ref="K1609">_xlfn.XLOOKUP(1,((Metas_Diarias[[#This Row],[tipo_equipe_id]]=Metas[equipe])*(Metas_Diarias[[#This Row],[data]]&gt;Metas[data_inicio])*(Metas_Diarias[[#This Row],[data]]&lt;Metas[data_fim])),Metas[meta_mensal],0)</f>
        <v>115500</v>
      </c>
      <c r="L1609" s="24">
        <f ca="1">Metas_Diarias[[#This Row],[meta_mensal]]*IF(Metas_Diarias[[#This Row],[semana]]="domingo",0,Metas_Diarias[[#This Row],[semana]])*IF(Metas_Diarias[[#This Row],[feriado]]&lt;&gt;1,0,1)/Metas_Diarias[[#This Row],[dias_úteis_Mês]]</f>
        <v>2566.6666666666665</v>
      </c>
    </row>
    <row r="1610" spans="2:12" x14ac:dyDescent="0.3">
      <c r="B1610" s="34">
        <v>46166</v>
      </c>
      <c r="C1610" s="34" t="str">
        <f>TEXT(Metas_Diarias[[#This Row],[data]],"dddd")</f>
        <v>domingo</v>
      </c>
      <c r="D1610" s="33">
        <v>2</v>
      </c>
      <c r="E1610" s="33">
        <v>2</v>
      </c>
      <c r="F1610" s="18"/>
      <c r="G1610" s="35">
        <f>WEEKDAY(Metas_Diarias[[#This Row],[data]])</f>
        <v>1</v>
      </c>
      <c r="H1610" s="35" t="str">
        <f>IF(Metas_Diarias[[#This Row],[dias_da_demana]]=1,"domingo",IF(Metas_Diarias[[#This Row],[dias_da_demana]]=7,0.5,1))</f>
        <v>domingo</v>
      </c>
      <c r="I1610" s="35">
        <f>_xlfn.XLOOKUP(Metas_Diarias[[#This Row],[data]],Feriados[Data],Feriados[Feriado],1)</f>
        <v>1</v>
      </c>
      <c r="J1610" s="33" cm="1">
        <f t="array" aca="1" ref="J1610" ca="1">SUMPRODUCT(IF((NOT(ISERROR(MATCH(ROW(INDIRECT(DATE(YEAR(B1610),MONTH(B1610),1)&amp;":"&amp;DATE(YEAR(B1610),MONTH(B1610)+1,0))),Feriados[Data],0))))=FALSE,
IF(WEEKDAY(ROW(INDIRECT(DATE(YEAR(B1610),MONTH(B1610),1)&amp;":"&amp;DATE(YEAR(B1610),MONTH(B1610)+1,0))),2)&lt;=5,1,IF(WEEKDAY(ROW(INDIRECT(DATE(YEAR(B1610),MONTH(B1610),1)&amp;":"&amp;DATE(YEAR(B1610),MONTH(B1610)+1,0))),2)=6,0.5,0)),0))</f>
        <v>22.5</v>
      </c>
      <c r="K1610" s="22" cm="1">
        <f t="array" ref="K1610">_xlfn.XLOOKUP(1,((Metas_Diarias[[#This Row],[tipo_equipe_id]]=Metas[equipe])*(Metas_Diarias[[#This Row],[data]]&gt;Metas[data_inicio])*(Metas_Diarias[[#This Row],[data]]&lt;Metas[data_fim])),Metas[meta_mensal],0)</f>
        <v>115500</v>
      </c>
      <c r="L16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11" spans="2:12" x14ac:dyDescent="0.3">
      <c r="B1611" s="34">
        <v>46167</v>
      </c>
      <c r="C1611" s="34" t="str">
        <f>TEXT(Metas_Diarias[[#This Row],[data]],"dddd")</f>
        <v>segunda-feira</v>
      </c>
      <c r="D1611" s="33">
        <v>2</v>
      </c>
      <c r="E1611" s="33">
        <v>2</v>
      </c>
      <c r="F1611" s="18"/>
      <c r="G1611" s="35">
        <f>WEEKDAY(Metas_Diarias[[#This Row],[data]])</f>
        <v>2</v>
      </c>
      <c r="H1611" s="35">
        <f>IF(Metas_Diarias[[#This Row],[dias_da_demana]]=1,"domingo",IF(Metas_Diarias[[#This Row],[dias_da_demana]]=7,0.5,1))</f>
        <v>1</v>
      </c>
      <c r="I1611" s="35">
        <f>_xlfn.XLOOKUP(Metas_Diarias[[#This Row],[data]],Feriados[Data],Feriados[Feriado],1)</f>
        <v>1</v>
      </c>
      <c r="J1611" s="33" cm="1">
        <f t="array" aca="1" ref="J1611" ca="1">SUMPRODUCT(IF((NOT(ISERROR(MATCH(ROW(INDIRECT(DATE(YEAR(B1611),MONTH(B1611),1)&amp;":"&amp;DATE(YEAR(B1611),MONTH(B1611)+1,0))),Feriados[Data],0))))=FALSE,
IF(WEEKDAY(ROW(INDIRECT(DATE(YEAR(B1611),MONTH(B1611),1)&amp;":"&amp;DATE(YEAR(B1611),MONTH(B1611)+1,0))),2)&lt;=5,1,IF(WEEKDAY(ROW(INDIRECT(DATE(YEAR(B1611),MONTH(B1611),1)&amp;":"&amp;DATE(YEAR(B1611),MONTH(B1611)+1,0))),2)=6,0.5,0)),0))</f>
        <v>22.5</v>
      </c>
      <c r="K1611" s="22" cm="1">
        <f t="array" ref="K1611">_xlfn.XLOOKUP(1,((Metas_Diarias[[#This Row],[tipo_equipe_id]]=Metas[equipe])*(Metas_Diarias[[#This Row],[data]]&gt;Metas[data_inicio])*(Metas_Diarias[[#This Row],[data]]&lt;Metas[data_fim])),Metas[meta_mensal],0)</f>
        <v>115500</v>
      </c>
      <c r="L1611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12" spans="2:12" x14ac:dyDescent="0.3">
      <c r="B1612" s="34">
        <v>46168</v>
      </c>
      <c r="C1612" s="34" t="str">
        <f>TEXT(Metas_Diarias[[#This Row],[data]],"dddd")</f>
        <v>terça-feira</v>
      </c>
      <c r="D1612" s="33">
        <v>2</v>
      </c>
      <c r="E1612" s="33">
        <v>2</v>
      </c>
      <c r="F1612" s="18"/>
      <c r="G1612" s="35">
        <f>WEEKDAY(Metas_Diarias[[#This Row],[data]])</f>
        <v>3</v>
      </c>
      <c r="H1612" s="35">
        <f>IF(Metas_Diarias[[#This Row],[dias_da_demana]]=1,"domingo",IF(Metas_Diarias[[#This Row],[dias_da_demana]]=7,0.5,1))</f>
        <v>1</v>
      </c>
      <c r="I1612" s="35">
        <f>_xlfn.XLOOKUP(Metas_Diarias[[#This Row],[data]],Feriados[Data],Feriados[Feriado],1)</f>
        <v>1</v>
      </c>
      <c r="J1612" s="33" cm="1">
        <f t="array" aca="1" ref="J1612" ca="1">SUMPRODUCT(IF((NOT(ISERROR(MATCH(ROW(INDIRECT(DATE(YEAR(B1612),MONTH(B1612),1)&amp;":"&amp;DATE(YEAR(B1612),MONTH(B1612)+1,0))),Feriados[Data],0))))=FALSE,
IF(WEEKDAY(ROW(INDIRECT(DATE(YEAR(B1612),MONTH(B1612),1)&amp;":"&amp;DATE(YEAR(B1612),MONTH(B1612)+1,0))),2)&lt;=5,1,IF(WEEKDAY(ROW(INDIRECT(DATE(YEAR(B1612),MONTH(B1612),1)&amp;":"&amp;DATE(YEAR(B1612),MONTH(B1612)+1,0))),2)=6,0.5,0)),0))</f>
        <v>22.5</v>
      </c>
      <c r="K1612" s="22" cm="1">
        <f t="array" ref="K1612">_xlfn.XLOOKUP(1,((Metas_Diarias[[#This Row],[tipo_equipe_id]]=Metas[equipe])*(Metas_Diarias[[#This Row],[data]]&gt;Metas[data_inicio])*(Metas_Diarias[[#This Row],[data]]&lt;Metas[data_fim])),Metas[meta_mensal],0)</f>
        <v>115500</v>
      </c>
      <c r="L1612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13" spans="2:12" x14ac:dyDescent="0.3">
      <c r="B1613" s="34">
        <v>46169</v>
      </c>
      <c r="C1613" s="34" t="str">
        <f>TEXT(Metas_Diarias[[#This Row],[data]],"dddd")</f>
        <v>quarta-feira</v>
      </c>
      <c r="D1613" s="33">
        <v>2</v>
      </c>
      <c r="E1613" s="33">
        <v>2</v>
      </c>
      <c r="F1613" s="18"/>
      <c r="G1613" s="35">
        <f>WEEKDAY(Metas_Diarias[[#This Row],[data]])</f>
        <v>4</v>
      </c>
      <c r="H1613" s="35">
        <f>IF(Metas_Diarias[[#This Row],[dias_da_demana]]=1,"domingo",IF(Metas_Diarias[[#This Row],[dias_da_demana]]=7,0.5,1))</f>
        <v>1</v>
      </c>
      <c r="I1613" s="35">
        <f>_xlfn.XLOOKUP(Metas_Diarias[[#This Row],[data]],Feriados[Data],Feriados[Feriado],1)</f>
        <v>1</v>
      </c>
      <c r="J1613" s="33" cm="1">
        <f t="array" aca="1" ref="J1613" ca="1">SUMPRODUCT(IF((NOT(ISERROR(MATCH(ROW(INDIRECT(DATE(YEAR(B1613),MONTH(B1613),1)&amp;":"&amp;DATE(YEAR(B1613),MONTH(B1613)+1,0))),Feriados[Data],0))))=FALSE,
IF(WEEKDAY(ROW(INDIRECT(DATE(YEAR(B1613),MONTH(B1613),1)&amp;":"&amp;DATE(YEAR(B1613),MONTH(B1613)+1,0))),2)&lt;=5,1,IF(WEEKDAY(ROW(INDIRECT(DATE(YEAR(B1613),MONTH(B1613),1)&amp;":"&amp;DATE(YEAR(B1613),MONTH(B1613)+1,0))),2)=6,0.5,0)),0))</f>
        <v>22.5</v>
      </c>
      <c r="K1613" s="22" cm="1">
        <f t="array" ref="K1613">_xlfn.XLOOKUP(1,((Metas_Diarias[[#This Row],[tipo_equipe_id]]=Metas[equipe])*(Metas_Diarias[[#This Row],[data]]&gt;Metas[data_inicio])*(Metas_Diarias[[#This Row],[data]]&lt;Metas[data_fim])),Metas[meta_mensal],0)</f>
        <v>115500</v>
      </c>
      <c r="L1613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14" spans="2:12" x14ac:dyDescent="0.3">
      <c r="B1614" s="34">
        <v>46170</v>
      </c>
      <c r="C1614" s="34" t="str">
        <f>TEXT(Metas_Diarias[[#This Row],[data]],"dddd")</f>
        <v>quinta-feira</v>
      </c>
      <c r="D1614" s="33">
        <v>2</v>
      </c>
      <c r="E1614" s="33">
        <v>2</v>
      </c>
      <c r="F1614" s="18"/>
      <c r="G1614" s="35">
        <f>WEEKDAY(Metas_Diarias[[#This Row],[data]])</f>
        <v>5</v>
      </c>
      <c r="H1614" s="35">
        <f>IF(Metas_Diarias[[#This Row],[dias_da_demana]]=1,"domingo",IF(Metas_Diarias[[#This Row],[dias_da_demana]]=7,0.5,1))</f>
        <v>1</v>
      </c>
      <c r="I1614" s="35">
        <f>_xlfn.XLOOKUP(Metas_Diarias[[#This Row],[data]],Feriados[Data],Feriados[Feriado],1)</f>
        <v>1</v>
      </c>
      <c r="J1614" s="33" cm="1">
        <f t="array" aca="1" ref="J1614" ca="1">SUMPRODUCT(IF((NOT(ISERROR(MATCH(ROW(INDIRECT(DATE(YEAR(B1614),MONTH(B1614),1)&amp;":"&amp;DATE(YEAR(B1614),MONTH(B1614)+1,0))),Feriados[Data],0))))=FALSE,
IF(WEEKDAY(ROW(INDIRECT(DATE(YEAR(B1614),MONTH(B1614),1)&amp;":"&amp;DATE(YEAR(B1614),MONTH(B1614)+1,0))),2)&lt;=5,1,IF(WEEKDAY(ROW(INDIRECT(DATE(YEAR(B1614),MONTH(B1614),1)&amp;":"&amp;DATE(YEAR(B1614),MONTH(B1614)+1,0))),2)=6,0.5,0)),0))</f>
        <v>22.5</v>
      </c>
      <c r="K1614" s="22" cm="1">
        <f t="array" ref="K1614">_xlfn.XLOOKUP(1,((Metas_Diarias[[#This Row],[tipo_equipe_id]]=Metas[equipe])*(Metas_Diarias[[#This Row],[data]]&gt;Metas[data_inicio])*(Metas_Diarias[[#This Row],[data]]&lt;Metas[data_fim])),Metas[meta_mensal],0)</f>
        <v>115500</v>
      </c>
      <c r="L1614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15" spans="2:12" x14ac:dyDescent="0.3">
      <c r="B1615" s="34">
        <v>46171</v>
      </c>
      <c r="C1615" s="34" t="str">
        <f>TEXT(Metas_Diarias[[#This Row],[data]],"dddd")</f>
        <v>sexta-feira</v>
      </c>
      <c r="D1615" s="33">
        <v>2</v>
      </c>
      <c r="E1615" s="33">
        <v>2</v>
      </c>
      <c r="F1615" s="18"/>
      <c r="G1615" s="35">
        <f>WEEKDAY(Metas_Diarias[[#This Row],[data]])</f>
        <v>6</v>
      </c>
      <c r="H1615" s="35">
        <f>IF(Metas_Diarias[[#This Row],[dias_da_demana]]=1,"domingo",IF(Metas_Diarias[[#This Row],[dias_da_demana]]=7,0.5,1))</f>
        <v>1</v>
      </c>
      <c r="I1615" s="35">
        <f>_xlfn.XLOOKUP(Metas_Diarias[[#This Row],[data]],Feriados[Data],Feriados[Feriado],1)</f>
        <v>1</v>
      </c>
      <c r="J1615" s="33" cm="1">
        <f t="array" aca="1" ref="J1615" ca="1">SUMPRODUCT(IF((NOT(ISERROR(MATCH(ROW(INDIRECT(DATE(YEAR(B1615),MONTH(B1615),1)&amp;":"&amp;DATE(YEAR(B1615),MONTH(B1615)+1,0))),Feriados[Data],0))))=FALSE,
IF(WEEKDAY(ROW(INDIRECT(DATE(YEAR(B1615),MONTH(B1615),1)&amp;":"&amp;DATE(YEAR(B1615),MONTH(B1615)+1,0))),2)&lt;=5,1,IF(WEEKDAY(ROW(INDIRECT(DATE(YEAR(B1615),MONTH(B1615),1)&amp;":"&amp;DATE(YEAR(B1615),MONTH(B1615)+1,0))),2)=6,0.5,0)),0))</f>
        <v>22.5</v>
      </c>
      <c r="K1615" s="22" cm="1">
        <f t="array" ref="K1615">_xlfn.XLOOKUP(1,((Metas_Diarias[[#This Row],[tipo_equipe_id]]=Metas[equipe])*(Metas_Diarias[[#This Row],[data]]&gt;Metas[data_inicio])*(Metas_Diarias[[#This Row],[data]]&lt;Metas[data_fim])),Metas[meta_mensal],0)</f>
        <v>115500</v>
      </c>
      <c r="L1615" s="24">
        <f ca="1">Metas_Diarias[[#This Row],[meta_mensal]]*IF(Metas_Diarias[[#This Row],[semana]]="domingo",0,Metas_Diarias[[#This Row],[semana]])*IF(Metas_Diarias[[#This Row],[feriado]]&lt;&gt;1,0,1)/Metas_Diarias[[#This Row],[dias_úteis_Mês]]</f>
        <v>5133.333333333333</v>
      </c>
    </row>
    <row r="1616" spans="2:12" x14ac:dyDescent="0.3">
      <c r="B1616" s="34">
        <v>46172</v>
      </c>
      <c r="C1616" s="34" t="str">
        <f>TEXT(Metas_Diarias[[#This Row],[data]],"dddd")</f>
        <v>sábado</v>
      </c>
      <c r="D1616" s="33">
        <v>2</v>
      </c>
      <c r="E1616" s="33">
        <v>2</v>
      </c>
      <c r="F1616" s="18"/>
      <c r="G1616" s="35">
        <f>WEEKDAY(Metas_Diarias[[#This Row],[data]])</f>
        <v>7</v>
      </c>
      <c r="H1616" s="35">
        <f>IF(Metas_Diarias[[#This Row],[dias_da_demana]]=1,"domingo",IF(Metas_Diarias[[#This Row],[dias_da_demana]]=7,0.5,1))</f>
        <v>0.5</v>
      </c>
      <c r="I1616" s="35">
        <f>_xlfn.XLOOKUP(Metas_Diarias[[#This Row],[data]],Feriados[Data],Feriados[Feriado],1)</f>
        <v>1</v>
      </c>
      <c r="J1616" s="33" cm="1">
        <f t="array" aca="1" ref="J1616" ca="1">SUMPRODUCT(IF((NOT(ISERROR(MATCH(ROW(INDIRECT(DATE(YEAR(B1616),MONTH(B1616),1)&amp;":"&amp;DATE(YEAR(B1616),MONTH(B1616)+1,0))),Feriados[Data],0))))=FALSE,
IF(WEEKDAY(ROW(INDIRECT(DATE(YEAR(B1616),MONTH(B1616),1)&amp;":"&amp;DATE(YEAR(B1616),MONTH(B1616)+1,0))),2)&lt;=5,1,IF(WEEKDAY(ROW(INDIRECT(DATE(YEAR(B1616),MONTH(B1616),1)&amp;":"&amp;DATE(YEAR(B1616),MONTH(B1616)+1,0))),2)=6,0.5,0)),0))</f>
        <v>22.5</v>
      </c>
      <c r="K1616" s="22" cm="1">
        <f t="array" ref="K1616">_xlfn.XLOOKUP(1,((Metas_Diarias[[#This Row],[tipo_equipe_id]]=Metas[equipe])*(Metas_Diarias[[#This Row],[data]]&gt;Metas[data_inicio])*(Metas_Diarias[[#This Row],[data]]&lt;Metas[data_fim])),Metas[meta_mensal],0)</f>
        <v>115500</v>
      </c>
      <c r="L1616" s="24">
        <f ca="1">Metas_Diarias[[#This Row],[meta_mensal]]*IF(Metas_Diarias[[#This Row],[semana]]="domingo",0,Metas_Diarias[[#This Row],[semana]])*IF(Metas_Diarias[[#This Row],[feriado]]&lt;&gt;1,0,1)/Metas_Diarias[[#This Row],[dias_úteis_Mês]]</f>
        <v>2566.6666666666665</v>
      </c>
    </row>
    <row r="1617" spans="2:12" x14ac:dyDescent="0.3">
      <c r="B1617" s="34">
        <v>46173</v>
      </c>
      <c r="C1617" s="34" t="str">
        <f>TEXT(Metas_Diarias[[#This Row],[data]],"dddd")</f>
        <v>domingo</v>
      </c>
      <c r="D1617" s="33">
        <v>2</v>
      </c>
      <c r="E1617" s="33">
        <v>2</v>
      </c>
      <c r="F1617" s="18"/>
      <c r="G1617" s="35">
        <f>WEEKDAY(Metas_Diarias[[#This Row],[data]])</f>
        <v>1</v>
      </c>
      <c r="H1617" s="35" t="str">
        <f>IF(Metas_Diarias[[#This Row],[dias_da_demana]]=1,"domingo",IF(Metas_Diarias[[#This Row],[dias_da_demana]]=7,0.5,1))</f>
        <v>domingo</v>
      </c>
      <c r="I1617" s="35">
        <f>_xlfn.XLOOKUP(Metas_Diarias[[#This Row],[data]],Feriados[Data],Feriados[Feriado],1)</f>
        <v>1</v>
      </c>
      <c r="J1617" s="33" cm="1">
        <f t="array" aca="1" ref="J1617" ca="1">SUMPRODUCT(IF((NOT(ISERROR(MATCH(ROW(INDIRECT(DATE(YEAR(B1617),MONTH(B1617),1)&amp;":"&amp;DATE(YEAR(B1617),MONTH(B1617)+1,0))),Feriados[Data],0))))=FALSE,
IF(WEEKDAY(ROW(INDIRECT(DATE(YEAR(B1617),MONTH(B1617),1)&amp;":"&amp;DATE(YEAR(B1617),MONTH(B1617)+1,0))),2)&lt;=5,1,IF(WEEKDAY(ROW(INDIRECT(DATE(YEAR(B1617),MONTH(B1617),1)&amp;":"&amp;DATE(YEAR(B1617),MONTH(B1617)+1,0))),2)=6,0.5,0)),0))</f>
        <v>22.5</v>
      </c>
      <c r="K1617" s="22" cm="1">
        <f t="array" ref="K1617">_xlfn.XLOOKUP(1,((Metas_Diarias[[#This Row],[tipo_equipe_id]]=Metas[equipe])*(Metas_Diarias[[#This Row],[data]]&gt;Metas[data_inicio])*(Metas_Diarias[[#This Row],[data]]&lt;Metas[data_fim])),Metas[meta_mensal],0)</f>
        <v>115500</v>
      </c>
      <c r="L16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18" spans="2:12" x14ac:dyDescent="0.3">
      <c r="B1618" s="34">
        <v>46174</v>
      </c>
      <c r="C1618" s="34" t="str">
        <f>TEXT(Metas_Diarias[[#This Row],[data]],"dddd")</f>
        <v>segunda-feira</v>
      </c>
      <c r="D1618" s="33">
        <v>2</v>
      </c>
      <c r="E1618" s="33">
        <v>2</v>
      </c>
      <c r="F1618" s="18"/>
      <c r="G1618" s="35">
        <f>WEEKDAY(Metas_Diarias[[#This Row],[data]])</f>
        <v>2</v>
      </c>
      <c r="H1618" s="35">
        <f>IF(Metas_Diarias[[#This Row],[dias_da_demana]]=1,"domingo",IF(Metas_Diarias[[#This Row],[dias_da_demana]]=7,0.5,1))</f>
        <v>1</v>
      </c>
      <c r="I1618" s="35">
        <f>_xlfn.XLOOKUP(Metas_Diarias[[#This Row],[data]],Feriados[Data],Feriados[Feriado],1)</f>
        <v>1</v>
      </c>
      <c r="J1618" s="33" cm="1">
        <f t="array" aca="1" ref="J1618" ca="1">SUMPRODUCT(IF((NOT(ISERROR(MATCH(ROW(INDIRECT(DATE(YEAR(B1618),MONTH(B1618),1)&amp;":"&amp;DATE(YEAR(B1618),MONTH(B1618)+1,0))),Feriados[Data],0))))=FALSE,
IF(WEEKDAY(ROW(INDIRECT(DATE(YEAR(B1618),MONTH(B1618),1)&amp;":"&amp;DATE(YEAR(B1618),MONTH(B1618)+1,0))),2)&lt;=5,1,IF(WEEKDAY(ROW(INDIRECT(DATE(YEAR(B1618),MONTH(B1618),1)&amp;":"&amp;DATE(YEAR(B1618),MONTH(B1618)+1,0))),2)=6,0.5,0)),0))</f>
        <v>23</v>
      </c>
      <c r="K1618" s="22" cm="1">
        <f t="array" ref="K1618">_xlfn.XLOOKUP(1,((Metas_Diarias[[#This Row],[tipo_equipe_id]]=Metas[equipe])*(Metas_Diarias[[#This Row],[data]]&gt;Metas[data_inicio])*(Metas_Diarias[[#This Row],[data]]&lt;Metas[data_fim])),Metas[meta_mensal],0)</f>
        <v>115500</v>
      </c>
      <c r="L1618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19" spans="2:12" x14ac:dyDescent="0.3">
      <c r="B1619" s="34">
        <v>46175</v>
      </c>
      <c r="C1619" s="34" t="str">
        <f>TEXT(Metas_Diarias[[#This Row],[data]],"dddd")</f>
        <v>terça-feira</v>
      </c>
      <c r="D1619" s="33">
        <v>2</v>
      </c>
      <c r="E1619" s="33">
        <v>2</v>
      </c>
      <c r="F1619" s="18"/>
      <c r="G1619" s="35">
        <f>WEEKDAY(Metas_Diarias[[#This Row],[data]])</f>
        <v>3</v>
      </c>
      <c r="H1619" s="35">
        <f>IF(Metas_Diarias[[#This Row],[dias_da_demana]]=1,"domingo",IF(Metas_Diarias[[#This Row],[dias_da_demana]]=7,0.5,1))</f>
        <v>1</v>
      </c>
      <c r="I1619" s="35">
        <f>_xlfn.XLOOKUP(Metas_Diarias[[#This Row],[data]],Feriados[Data],Feriados[Feriado],1)</f>
        <v>1</v>
      </c>
      <c r="J1619" s="33" cm="1">
        <f t="array" aca="1" ref="J1619" ca="1">SUMPRODUCT(IF((NOT(ISERROR(MATCH(ROW(INDIRECT(DATE(YEAR(B1619),MONTH(B1619),1)&amp;":"&amp;DATE(YEAR(B1619),MONTH(B1619)+1,0))),Feriados[Data],0))))=FALSE,
IF(WEEKDAY(ROW(INDIRECT(DATE(YEAR(B1619),MONTH(B1619),1)&amp;":"&amp;DATE(YEAR(B1619),MONTH(B1619)+1,0))),2)&lt;=5,1,IF(WEEKDAY(ROW(INDIRECT(DATE(YEAR(B1619),MONTH(B1619),1)&amp;":"&amp;DATE(YEAR(B1619),MONTH(B1619)+1,0))),2)=6,0.5,0)),0))</f>
        <v>23</v>
      </c>
      <c r="K1619" s="22" cm="1">
        <f t="array" ref="K1619">_xlfn.XLOOKUP(1,((Metas_Diarias[[#This Row],[tipo_equipe_id]]=Metas[equipe])*(Metas_Diarias[[#This Row],[data]]&gt;Metas[data_inicio])*(Metas_Diarias[[#This Row],[data]]&lt;Metas[data_fim])),Metas[meta_mensal],0)</f>
        <v>115500</v>
      </c>
      <c r="L1619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20" spans="2:12" x14ac:dyDescent="0.3">
      <c r="B1620" s="34">
        <v>46176</v>
      </c>
      <c r="C1620" s="34" t="str">
        <f>TEXT(Metas_Diarias[[#This Row],[data]],"dddd")</f>
        <v>quarta-feira</v>
      </c>
      <c r="D1620" s="33">
        <v>2</v>
      </c>
      <c r="E1620" s="33">
        <v>2</v>
      </c>
      <c r="F1620" s="18"/>
      <c r="G1620" s="35">
        <f>WEEKDAY(Metas_Diarias[[#This Row],[data]])</f>
        <v>4</v>
      </c>
      <c r="H1620" s="35">
        <f>IF(Metas_Diarias[[#This Row],[dias_da_demana]]=1,"domingo",IF(Metas_Diarias[[#This Row],[dias_da_demana]]=7,0.5,1))</f>
        <v>1</v>
      </c>
      <c r="I1620" s="35">
        <f>_xlfn.XLOOKUP(Metas_Diarias[[#This Row],[data]],Feriados[Data],Feriados[Feriado],1)</f>
        <v>1</v>
      </c>
      <c r="J1620" s="33" cm="1">
        <f t="array" aca="1" ref="J1620" ca="1">SUMPRODUCT(IF((NOT(ISERROR(MATCH(ROW(INDIRECT(DATE(YEAR(B1620),MONTH(B1620),1)&amp;":"&amp;DATE(YEAR(B1620),MONTH(B1620)+1,0))),Feriados[Data],0))))=FALSE,
IF(WEEKDAY(ROW(INDIRECT(DATE(YEAR(B1620),MONTH(B1620),1)&amp;":"&amp;DATE(YEAR(B1620),MONTH(B1620)+1,0))),2)&lt;=5,1,IF(WEEKDAY(ROW(INDIRECT(DATE(YEAR(B1620),MONTH(B1620),1)&amp;":"&amp;DATE(YEAR(B1620),MONTH(B1620)+1,0))),2)=6,0.5,0)),0))</f>
        <v>23</v>
      </c>
      <c r="K1620" s="22" cm="1">
        <f t="array" ref="K1620">_xlfn.XLOOKUP(1,((Metas_Diarias[[#This Row],[tipo_equipe_id]]=Metas[equipe])*(Metas_Diarias[[#This Row],[data]]&gt;Metas[data_inicio])*(Metas_Diarias[[#This Row],[data]]&lt;Metas[data_fim])),Metas[meta_mensal],0)</f>
        <v>115500</v>
      </c>
      <c r="L1620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21" spans="2:12" x14ac:dyDescent="0.3">
      <c r="B1621" s="34">
        <v>46177</v>
      </c>
      <c r="C1621" s="34" t="str">
        <f>TEXT(Metas_Diarias[[#This Row],[data]],"dddd")</f>
        <v>quinta-feira</v>
      </c>
      <c r="D1621" s="33">
        <v>2</v>
      </c>
      <c r="E1621" s="33">
        <v>2</v>
      </c>
      <c r="F1621" s="18"/>
      <c r="G1621" s="35">
        <f>WEEKDAY(Metas_Diarias[[#This Row],[data]])</f>
        <v>5</v>
      </c>
      <c r="H1621" s="35">
        <f>IF(Metas_Diarias[[#This Row],[dias_da_demana]]=1,"domingo",IF(Metas_Diarias[[#This Row],[dias_da_demana]]=7,0.5,1))</f>
        <v>1</v>
      </c>
      <c r="I1621" s="35" t="str">
        <f>_xlfn.XLOOKUP(Metas_Diarias[[#This Row],[data]],Feriados[Data],Feriados[Feriado],1)</f>
        <v>Corpus Christi</v>
      </c>
      <c r="J1621" s="33" cm="1">
        <f t="array" aca="1" ref="J1621" ca="1">SUMPRODUCT(IF((NOT(ISERROR(MATCH(ROW(INDIRECT(DATE(YEAR(B1621),MONTH(B1621),1)&amp;":"&amp;DATE(YEAR(B1621),MONTH(B1621)+1,0))),Feriados[Data],0))))=FALSE,
IF(WEEKDAY(ROW(INDIRECT(DATE(YEAR(B1621),MONTH(B1621),1)&amp;":"&amp;DATE(YEAR(B1621),MONTH(B1621)+1,0))),2)&lt;=5,1,IF(WEEKDAY(ROW(INDIRECT(DATE(YEAR(B1621),MONTH(B1621),1)&amp;":"&amp;DATE(YEAR(B1621),MONTH(B1621)+1,0))),2)=6,0.5,0)),0))</f>
        <v>23</v>
      </c>
      <c r="K1621" s="22" cm="1">
        <f t="array" ref="K1621">_xlfn.XLOOKUP(1,((Metas_Diarias[[#This Row],[tipo_equipe_id]]=Metas[equipe])*(Metas_Diarias[[#This Row],[data]]&gt;Metas[data_inicio])*(Metas_Diarias[[#This Row],[data]]&lt;Metas[data_fim])),Metas[meta_mensal],0)</f>
        <v>115500</v>
      </c>
      <c r="L162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22" spans="2:12" x14ac:dyDescent="0.3">
      <c r="B1622" s="34">
        <v>46178</v>
      </c>
      <c r="C1622" s="34" t="str">
        <f>TEXT(Metas_Diarias[[#This Row],[data]],"dddd")</f>
        <v>sexta-feira</v>
      </c>
      <c r="D1622" s="33">
        <v>2</v>
      </c>
      <c r="E1622" s="33">
        <v>2</v>
      </c>
      <c r="F1622" s="18"/>
      <c r="G1622" s="35">
        <f>WEEKDAY(Metas_Diarias[[#This Row],[data]])</f>
        <v>6</v>
      </c>
      <c r="H1622" s="35">
        <f>IF(Metas_Diarias[[#This Row],[dias_da_demana]]=1,"domingo",IF(Metas_Diarias[[#This Row],[dias_da_demana]]=7,0.5,1))</f>
        <v>1</v>
      </c>
      <c r="I1622" s="35">
        <f>_xlfn.XLOOKUP(Metas_Diarias[[#This Row],[data]],Feriados[Data],Feriados[Feriado],1)</f>
        <v>1</v>
      </c>
      <c r="J1622" s="33" cm="1">
        <f t="array" aca="1" ref="J1622" ca="1">SUMPRODUCT(IF((NOT(ISERROR(MATCH(ROW(INDIRECT(DATE(YEAR(B1622),MONTH(B1622),1)&amp;":"&amp;DATE(YEAR(B1622),MONTH(B1622)+1,0))),Feriados[Data],0))))=FALSE,
IF(WEEKDAY(ROW(INDIRECT(DATE(YEAR(B1622),MONTH(B1622),1)&amp;":"&amp;DATE(YEAR(B1622),MONTH(B1622)+1,0))),2)&lt;=5,1,IF(WEEKDAY(ROW(INDIRECT(DATE(YEAR(B1622),MONTH(B1622),1)&amp;":"&amp;DATE(YEAR(B1622),MONTH(B1622)+1,0))),2)=6,0.5,0)),0))</f>
        <v>23</v>
      </c>
      <c r="K1622" s="22" cm="1">
        <f t="array" ref="K1622">_xlfn.XLOOKUP(1,((Metas_Diarias[[#This Row],[tipo_equipe_id]]=Metas[equipe])*(Metas_Diarias[[#This Row],[data]]&gt;Metas[data_inicio])*(Metas_Diarias[[#This Row],[data]]&lt;Metas[data_fim])),Metas[meta_mensal],0)</f>
        <v>115500</v>
      </c>
      <c r="L1622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23" spans="2:12" x14ac:dyDescent="0.3">
      <c r="B1623" s="34">
        <v>46179</v>
      </c>
      <c r="C1623" s="34" t="str">
        <f>TEXT(Metas_Diarias[[#This Row],[data]],"dddd")</f>
        <v>sábado</v>
      </c>
      <c r="D1623" s="33">
        <v>2</v>
      </c>
      <c r="E1623" s="33">
        <v>2</v>
      </c>
      <c r="F1623" s="18"/>
      <c r="G1623" s="35">
        <f>WEEKDAY(Metas_Diarias[[#This Row],[data]])</f>
        <v>7</v>
      </c>
      <c r="H1623" s="35">
        <f>IF(Metas_Diarias[[#This Row],[dias_da_demana]]=1,"domingo",IF(Metas_Diarias[[#This Row],[dias_da_demana]]=7,0.5,1))</f>
        <v>0.5</v>
      </c>
      <c r="I1623" s="35">
        <f>_xlfn.XLOOKUP(Metas_Diarias[[#This Row],[data]],Feriados[Data],Feriados[Feriado],1)</f>
        <v>1</v>
      </c>
      <c r="J1623" s="33" cm="1">
        <f t="array" aca="1" ref="J1623" ca="1">SUMPRODUCT(IF((NOT(ISERROR(MATCH(ROW(INDIRECT(DATE(YEAR(B1623),MONTH(B1623),1)&amp;":"&amp;DATE(YEAR(B1623),MONTH(B1623)+1,0))),Feriados[Data],0))))=FALSE,
IF(WEEKDAY(ROW(INDIRECT(DATE(YEAR(B1623),MONTH(B1623),1)&amp;":"&amp;DATE(YEAR(B1623),MONTH(B1623)+1,0))),2)&lt;=5,1,IF(WEEKDAY(ROW(INDIRECT(DATE(YEAR(B1623),MONTH(B1623),1)&amp;":"&amp;DATE(YEAR(B1623),MONTH(B1623)+1,0))),2)=6,0.5,0)),0))</f>
        <v>23</v>
      </c>
      <c r="K1623" s="22" cm="1">
        <f t="array" ref="K1623">_xlfn.XLOOKUP(1,((Metas_Diarias[[#This Row],[tipo_equipe_id]]=Metas[equipe])*(Metas_Diarias[[#This Row],[data]]&gt;Metas[data_inicio])*(Metas_Diarias[[#This Row],[data]]&lt;Metas[data_fim])),Metas[meta_mensal],0)</f>
        <v>115500</v>
      </c>
      <c r="L1623" s="24">
        <f ca="1">Metas_Diarias[[#This Row],[meta_mensal]]*IF(Metas_Diarias[[#This Row],[semana]]="domingo",0,Metas_Diarias[[#This Row],[semana]])*IF(Metas_Diarias[[#This Row],[feriado]]&lt;&gt;1,0,1)/Metas_Diarias[[#This Row],[dias_úteis_Mês]]</f>
        <v>2510.8695652173915</v>
      </c>
    </row>
    <row r="1624" spans="2:12" x14ac:dyDescent="0.3">
      <c r="B1624" s="34">
        <v>46180</v>
      </c>
      <c r="C1624" s="34" t="str">
        <f>TEXT(Metas_Diarias[[#This Row],[data]],"dddd")</f>
        <v>domingo</v>
      </c>
      <c r="D1624" s="33">
        <v>2</v>
      </c>
      <c r="E1624" s="33">
        <v>2</v>
      </c>
      <c r="F1624" s="18"/>
      <c r="G1624" s="35">
        <f>WEEKDAY(Metas_Diarias[[#This Row],[data]])</f>
        <v>1</v>
      </c>
      <c r="H1624" s="35" t="str">
        <f>IF(Metas_Diarias[[#This Row],[dias_da_demana]]=1,"domingo",IF(Metas_Diarias[[#This Row],[dias_da_demana]]=7,0.5,1))</f>
        <v>domingo</v>
      </c>
      <c r="I1624" s="35">
        <f>_xlfn.XLOOKUP(Metas_Diarias[[#This Row],[data]],Feriados[Data],Feriados[Feriado],1)</f>
        <v>1</v>
      </c>
      <c r="J1624" s="33" cm="1">
        <f t="array" aca="1" ref="J1624" ca="1">SUMPRODUCT(IF((NOT(ISERROR(MATCH(ROW(INDIRECT(DATE(YEAR(B1624),MONTH(B1624),1)&amp;":"&amp;DATE(YEAR(B1624),MONTH(B1624)+1,0))),Feriados[Data],0))))=FALSE,
IF(WEEKDAY(ROW(INDIRECT(DATE(YEAR(B1624),MONTH(B1624),1)&amp;":"&amp;DATE(YEAR(B1624),MONTH(B1624)+1,0))),2)&lt;=5,1,IF(WEEKDAY(ROW(INDIRECT(DATE(YEAR(B1624),MONTH(B1624),1)&amp;":"&amp;DATE(YEAR(B1624),MONTH(B1624)+1,0))),2)=6,0.5,0)),0))</f>
        <v>23</v>
      </c>
      <c r="K1624" s="22" cm="1">
        <f t="array" ref="K1624">_xlfn.XLOOKUP(1,((Metas_Diarias[[#This Row],[tipo_equipe_id]]=Metas[equipe])*(Metas_Diarias[[#This Row],[data]]&gt;Metas[data_inicio])*(Metas_Diarias[[#This Row],[data]]&lt;Metas[data_fim])),Metas[meta_mensal],0)</f>
        <v>115500</v>
      </c>
      <c r="L16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25" spans="2:12" x14ac:dyDescent="0.3">
      <c r="B1625" s="34">
        <v>46181</v>
      </c>
      <c r="C1625" s="34" t="str">
        <f>TEXT(Metas_Diarias[[#This Row],[data]],"dddd")</f>
        <v>segunda-feira</v>
      </c>
      <c r="D1625" s="33">
        <v>2</v>
      </c>
      <c r="E1625" s="33">
        <v>2</v>
      </c>
      <c r="F1625" s="18"/>
      <c r="G1625" s="35">
        <f>WEEKDAY(Metas_Diarias[[#This Row],[data]])</f>
        <v>2</v>
      </c>
      <c r="H1625" s="35">
        <f>IF(Metas_Diarias[[#This Row],[dias_da_demana]]=1,"domingo",IF(Metas_Diarias[[#This Row],[dias_da_demana]]=7,0.5,1))</f>
        <v>1</v>
      </c>
      <c r="I1625" s="35">
        <f>_xlfn.XLOOKUP(Metas_Diarias[[#This Row],[data]],Feriados[Data],Feriados[Feriado],1)</f>
        <v>1</v>
      </c>
      <c r="J1625" s="33" cm="1">
        <f t="array" aca="1" ref="J1625" ca="1">SUMPRODUCT(IF((NOT(ISERROR(MATCH(ROW(INDIRECT(DATE(YEAR(B1625),MONTH(B1625),1)&amp;":"&amp;DATE(YEAR(B1625),MONTH(B1625)+1,0))),Feriados[Data],0))))=FALSE,
IF(WEEKDAY(ROW(INDIRECT(DATE(YEAR(B1625),MONTH(B1625),1)&amp;":"&amp;DATE(YEAR(B1625),MONTH(B1625)+1,0))),2)&lt;=5,1,IF(WEEKDAY(ROW(INDIRECT(DATE(YEAR(B1625),MONTH(B1625),1)&amp;":"&amp;DATE(YEAR(B1625),MONTH(B1625)+1,0))),2)=6,0.5,0)),0))</f>
        <v>23</v>
      </c>
      <c r="K1625" s="22" cm="1">
        <f t="array" ref="K1625">_xlfn.XLOOKUP(1,((Metas_Diarias[[#This Row],[tipo_equipe_id]]=Metas[equipe])*(Metas_Diarias[[#This Row],[data]]&gt;Metas[data_inicio])*(Metas_Diarias[[#This Row],[data]]&lt;Metas[data_fim])),Metas[meta_mensal],0)</f>
        <v>115500</v>
      </c>
      <c r="L1625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26" spans="2:12" x14ac:dyDescent="0.3">
      <c r="B1626" s="34">
        <v>46182</v>
      </c>
      <c r="C1626" s="34" t="str">
        <f>TEXT(Metas_Diarias[[#This Row],[data]],"dddd")</f>
        <v>terça-feira</v>
      </c>
      <c r="D1626" s="33">
        <v>2</v>
      </c>
      <c r="E1626" s="33">
        <v>2</v>
      </c>
      <c r="F1626" s="18"/>
      <c r="G1626" s="35">
        <f>WEEKDAY(Metas_Diarias[[#This Row],[data]])</f>
        <v>3</v>
      </c>
      <c r="H1626" s="35">
        <f>IF(Metas_Diarias[[#This Row],[dias_da_demana]]=1,"domingo",IF(Metas_Diarias[[#This Row],[dias_da_demana]]=7,0.5,1))</f>
        <v>1</v>
      </c>
      <c r="I1626" s="35">
        <f>_xlfn.XLOOKUP(Metas_Diarias[[#This Row],[data]],Feriados[Data],Feriados[Feriado],1)</f>
        <v>1</v>
      </c>
      <c r="J1626" s="33" cm="1">
        <f t="array" aca="1" ref="J1626" ca="1">SUMPRODUCT(IF((NOT(ISERROR(MATCH(ROW(INDIRECT(DATE(YEAR(B1626),MONTH(B1626),1)&amp;":"&amp;DATE(YEAR(B1626),MONTH(B1626)+1,0))),Feriados[Data],0))))=FALSE,
IF(WEEKDAY(ROW(INDIRECT(DATE(YEAR(B1626),MONTH(B1626),1)&amp;":"&amp;DATE(YEAR(B1626),MONTH(B1626)+1,0))),2)&lt;=5,1,IF(WEEKDAY(ROW(INDIRECT(DATE(YEAR(B1626),MONTH(B1626),1)&amp;":"&amp;DATE(YEAR(B1626),MONTH(B1626)+1,0))),2)=6,0.5,0)),0))</f>
        <v>23</v>
      </c>
      <c r="K1626" s="22" cm="1">
        <f t="array" ref="K1626">_xlfn.XLOOKUP(1,((Metas_Diarias[[#This Row],[tipo_equipe_id]]=Metas[equipe])*(Metas_Diarias[[#This Row],[data]]&gt;Metas[data_inicio])*(Metas_Diarias[[#This Row],[data]]&lt;Metas[data_fim])),Metas[meta_mensal],0)</f>
        <v>115500</v>
      </c>
      <c r="L1626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27" spans="2:12" x14ac:dyDescent="0.3">
      <c r="B1627" s="34">
        <v>46183</v>
      </c>
      <c r="C1627" s="34" t="str">
        <f>TEXT(Metas_Diarias[[#This Row],[data]],"dddd")</f>
        <v>quarta-feira</v>
      </c>
      <c r="D1627" s="33">
        <v>2</v>
      </c>
      <c r="E1627" s="33">
        <v>2</v>
      </c>
      <c r="F1627" s="18"/>
      <c r="G1627" s="35">
        <f>WEEKDAY(Metas_Diarias[[#This Row],[data]])</f>
        <v>4</v>
      </c>
      <c r="H1627" s="35">
        <f>IF(Metas_Diarias[[#This Row],[dias_da_demana]]=1,"domingo",IF(Metas_Diarias[[#This Row],[dias_da_demana]]=7,0.5,1))</f>
        <v>1</v>
      </c>
      <c r="I1627" s="35">
        <f>_xlfn.XLOOKUP(Metas_Diarias[[#This Row],[data]],Feriados[Data],Feriados[Feriado],1)</f>
        <v>1</v>
      </c>
      <c r="J1627" s="33" cm="1">
        <f t="array" aca="1" ref="J1627" ca="1">SUMPRODUCT(IF((NOT(ISERROR(MATCH(ROW(INDIRECT(DATE(YEAR(B1627),MONTH(B1627),1)&amp;":"&amp;DATE(YEAR(B1627),MONTH(B1627)+1,0))),Feriados[Data],0))))=FALSE,
IF(WEEKDAY(ROW(INDIRECT(DATE(YEAR(B1627),MONTH(B1627),1)&amp;":"&amp;DATE(YEAR(B1627),MONTH(B1627)+1,0))),2)&lt;=5,1,IF(WEEKDAY(ROW(INDIRECT(DATE(YEAR(B1627),MONTH(B1627),1)&amp;":"&amp;DATE(YEAR(B1627),MONTH(B1627)+1,0))),2)=6,0.5,0)),0))</f>
        <v>23</v>
      </c>
      <c r="K1627" s="22" cm="1">
        <f t="array" ref="K1627">_xlfn.XLOOKUP(1,((Metas_Diarias[[#This Row],[tipo_equipe_id]]=Metas[equipe])*(Metas_Diarias[[#This Row],[data]]&gt;Metas[data_inicio])*(Metas_Diarias[[#This Row],[data]]&lt;Metas[data_fim])),Metas[meta_mensal],0)</f>
        <v>115500</v>
      </c>
      <c r="L1627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28" spans="2:12" x14ac:dyDescent="0.3">
      <c r="B1628" s="34">
        <v>46184</v>
      </c>
      <c r="C1628" s="34" t="str">
        <f>TEXT(Metas_Diarias[[#This Row],[data]],"dddd")</f>
        <v>quinta-feira</v>
      </c>
      <c r="D1628" s="33">
        <v>2</v>
      </c>
      <c r="E1628" s="33">
        <v>2</v>
      </c>
      <c r="F1628" s="18"/>
      <c r="G1628" s="35">
        <f>WEEKDAY(Metas_Diarias[[#This Row],[data]])</f>
        <v>5</v>
      </c>
      <c r="H1628" s="35">
        <f>IF(Metas_Diarias[[#This Row],[dias_da_demana]]=1,"domingo",IF(Metas_Diarias[[#This Row],[dias_da_demana]]=7,0.5,1))</f>
        <v>1</v>
      </c>
      <c r="I1628" s="35">
        <f>_xlfn.XLOOKUP(Metas_Diarias[[#This Row],[data]],Feriados[Data],Feriados[Feriado],1)</f>
        <v>1</v>
      </c>
      <c r="J1628" s="33" cm="1">
        <f t="array" aca="1" ref="J1628" ca="1">SUMPRODUCT(IF((NOT(ISERROR(MATCH(ROW(INDIRECT(DATE(YEAR(B1628),MONTH(B1628),1)&amp;":"&amp;DATE(YEAR(B1628),MONTH(B1628)+1,0))),Feriados[Data],0))))=FALSE,
IF(WEEKDAY(ROW(INDIRECT(DATE(YEAR(B1628),MONTH(B1628),1)&amp;":"&amp;DATE(YEAR(B1628),MONTH(B1628)+1,0))),2)&lt;=5,1,IF(WEEKDAY(ROW(INDIRECT(DATE(YEAR(B1628),MONTH(B1628),1)&amp;":"&amp;DATE(YEAR(B1628),MONTH(B1628)+1,0))),2)=6,0.5,0)),0))</f>
        <v>23</v>
      </c>
      <c r="K1628" s="22" cm="1">
        <f t="array" ref="K1628">_xlfn.XLOOKUP(1,((Metas_Diarias[[#This Row],[tipo_equipe_id]]=Metas[equipe])*(Metas_Diarias[[#This Row],[data]]&gt;Metas[data_inicio])*(Metas_Diarias[[#This Row],[data]]&lt;Metas[data_fim])),Metas[meta_mensal],0)</f>
        <v>115500</v>
      </c>
      <c r="L1628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29" spans="2:12" x14ac:dyDescent="0.3">
      <c r="B1629" s="34">
        <v>46185</v>
      </c>
      <c r="C1629" s="34" t="str">
        <f>TEXT(Metas_Diarias[[#This Row],[data]],"dddd")</f>
        <v>sexta-feira</v>
      </c>
      <c r="D1629" s="33">
        <v>2</v>
      </c>
      <c r="E1629" s="33">
        <v>2</v>
      </c>
      <c r="F1629" s="18"/>
      <c r="G1629" s="35">
        <f>WEEKDAY(Metas_Diarias[[#This Row],[data]])</f>
        <v>6</v>
      </c>
      <c r="H1629" s="35">
        <f>IF(Metas_Diarias[[#This Row],[dias_da_demana]]=1,"domingo",IF(Metas_Diarias[[#This Row],[dias_da_demana]]=7,0.5,1))</f>
        <v>1</v>
      </c>
      <c r="I1629" s="35">
        <f>_xlfn.XLOOKUP(Metas_Diarias[[#This Row],[data]],Feriados[Data],Feriados[Feriado],1)</f>
        <v>1</v>
      </c>
      <c r="J1629" s="33" cm="1">
        <f t="array" aca="1" ref="J1629" ca="1">SUMPRODUCT(IF((NOT(ISERROR(MATCH(ROW(INDIRECT(DATE(YEAR(B1629),MONTH(B1629),1)&amp;":"&amp;DATE(YEAR(B1629),MONTH(B1629)+1,0))),Feriados[Data],0))))=FALSE,
IF(WEEKDAY(ROW(INDIRECT(DATE(YEAR(B1629),MONTH(B1629),1)&amp;":"&amp;DATE(YEAR(B1629),MONTH(B1629)+1,0))),2)&lt;=5,1,IF(WEEKDAY(ROW(INDIRECT(DATE(YEAR(B1629),MONTH(B1629),1)&amp;":"&amp;DATE(YEAR(B1629),MONTH(B1629)+1,0))),2)=6,0.5,0)),0))</f>
        <v>23</v>
      </c>
      <c r="K1629" s="22" cm="1">
        <f t="array" ref="K1629">_xlfn.XLOOKUP(1,((Metas_Diarias[[#This Row],[tipo_equipe_id]]=Metas[equipe])*(Metas_Diarias[[#This Row],[data]]&gt;Metas[data_inicio])*(Metas_Diarias[[#This Row],[data]]&lt;Metas[data_fim])),Metas[meta_mensal],0)</f>
        <v>115500</v>
      </c>
      <c r="L1629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30" spans="2:12" x14ac:dyDescent="0.3">
      <c r="B1630" s="34">
        <v>46186</v>
      </c>
      <c r="C1630" s="34" t="str">
        <f>TEXT(Metas_Diarias[[#This Row],[data]],"dddd")</f>
        <v>sábado</v>
      </c>
      <c r="D1630" s="33">
        <v>2</v>
      </c>
      <c r="E1630" s="33">
        <v>2</v>
      </c>
      <c r="F1630" s="18"/>
      <c r="G1630" s="35">
        <f>WEEKDAY(Metas_Diarias[[#This Row],[data]])</f>
        <v>7</v>
      </c>
      <c r="H1630" s="35">
        <f>IF(Metas_Diarias[[#This Row],[dias_da_demana]]=1,"domingo",IF(Metas_Diarias[[#This Row],[dias_da_demana]]=7,0.5,1))</f>
        <v>0.5</v>
      </c>
      <c r="I1630" s="35">
        <f>_xlfn.XLOOKUP(Metas_Diarias[[#This Row],[data]],Feriados[Data],Feriados[Feriado],1)</f>
        <v>1</v>
      </c>
      <c r="J1630" s="33" cm="1">
        <f t="array" aca="1" ref="J1630" ca="1">SUMPRODUCT(IF((NOT(ISERROR(MATCH(ROW(INDIRECT(DATE(YEAR(B1630),MONTH(B1630),1)&amp;":"&amp;DATE(YEAR(B1630),MONTH(B1630)+1,0))),Feriados[Data],0))))=FALSE,
IF(WEEKDAY(ROW(INDIRECT(DATE(YEAR(B1630),MONTH(B1630),1)&amp;":"&amp;DATE(YEAR(B1630),MONTH(B1630)+1,0))),2)&lt;=5,1,IF(WEEKDAY(ROW(INDIRECT(DATE(YEAR(B1630),MONTH(B1630),1)&amp;":"&amp;DATE(YEAR(B1630),MONTH(B1630)+1,0))),2)=6,0.5,0)),0))</f>
        <v>23</v>
      </c>
      <c r="K1630" s="22" cm="1">
        <f t="array" ref="K1630">_xlfn.XLOOKUP(1,((Metas_Diarias[[#This Row],[tipo_equipe_id]]=Metas[equipe])*(Metas_Diarias[[#This Row],[data]]&gt;Metas[data_inicio])*(Metas_Diarias[[#This Row],[data]]&lt;Metas[data_fim])),Metas[meta_mensal],0)</f>
        <v>115500</v>
      </c>
      <c r="L1630" s="24">
        <f ca="1">Metas_Diarias[[#This Row],[meta_mensal]]*IF(Metas_Diarias[[#This Row],[semana]]="domingo",0,Metas_Diarias[[#This Row],[semana]])*IF(Metas_Diarias[[#This Row],[feriado]]&lt;&gt;1,0,1)/Metas_Diarias[[#This Row],[dias_úteis_Mês]]</f>
        <v>2510.8695652173915</v>
      </c>
    </row>
    <row r="1631" spans="2:12" x14ac:dyDescent="0.3">
      <c r="B1631" s="34">
        <v>46187</v>
      </c>
      <c r="C1631" s="34" t="str">
        <f>TEXT(Metas_Diarias[[#This Row],[data]],"dddd")</f>
        <v>domingo</v>
      </c>
      <c r="D1631" s="33">
        <v>2</v>
      </c>
      <c r="E1631" s="33">
        <v>2</v>
      </c>
      <c r="F1631" s="18"/>
      <c r="G1631" s="35">
        <f>WEEKDAY(Metas_Diarias[[#This Row],[data]])</f>
        <v>1</v>
      </c>
      <c r="H1631" s="35" t="str">
        <f>IF(Metas_Diarias[[#This Row],[dias_da_demana]]=1,"domingo",IF(Metas_Diarias[[#This Row],[dias_da_demana]]=7,0.5,1))</f>
        <v>domingo</v>
      </c>
      <c r="I1631" s="35">
        <f>_xlfn.XLOOKUP(Metas_Diarias[[#This Row],[data]],Feriados[Data],Feriados[Feriado],1)</f>
        <v>1</v>
      </c>
      <c r="J1631" s="33" cm="1">
        <f t="array" aca="1" ref="J1631" ca="1">SUMPRODUCT(IF((NOT(ISERROR(MATCH(ROW(INDIRECT(DATE(YEAR(B1631),MONTH(B1631),1)&amp;":"&amp;DATE(YEAR(B1631),MONTH(B1631)+1,0))),Feriados[Data],0))))=FALSE,
IF(WEEKDAY(ROW(INDIRECT(DATE(YEAR(B1631),MONTH(B1631),1)&amp;":"&amp;DATE(YEAR(B1631),MONTH(B1631)+1,0))),2)&lt;=5,1,IF(WEEKDAY(ROW(INDIRECT(DATE(YEAR(B1631),MONTH(B1631),1)&amp;":"&amp;DATE(YEAR(B1631),MONTH(B1631)+1,0))),2)=6,0.5,0)),0))</f>
        <v>23</v>
      </c>
      <c r="K1631" s="22" cm="1">
        <f t="array" ref="K1631">_xlfn.XLOOKUP(1,((Metas_Diarias[[#This Row],[tipo_equipe_id]]=Metas[equipe])*(Metas_Diarias[[#This Row],[data]]&gt;Metas[data_inicio])*(Metas_Diarias[[#This Row],[data]]&lt;Metas[data_fim])),Metas[meta_mensal],0)</f>
        <v>115500</v>
      </c>
      <c r="L16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32" spans="2:12" x14ac:dyDescent="0.3">
      <c r="B1632" s="34">
        <v>46188</v>
      </c>
      <c r="C1632" s="34" t="str">
        <f>TEXT(Metas_Diarias[[#This Row],[data]],"dddd")</f>
        <v>segunda-feira</v>
      </c>
      <c r="D1632" s="33">
        <v>2</v>
      </c>
      <c r="E1632" s="33">
        <v>2</v>
      </c>
      <c r="F1632" s="18"/>
      <c r="G1632" s="35">
        <f>WEEKDAY(Metas_Diarias[[#This Row],[data]])</f>
        <v>2</v>
      </c>
      <c r="H1632" s="35">
        <f>IF(Metas_Diarias[[#This Row],[dias_da_demana]]=1,"domingo",IF(Metas_Diarias[[#This Row],[dias_da_demana]]=7,0.5,1))</f>
        <v>1</v>
      </c>
      <c r="I1632" s="35">
        <f>_xlfn.XLOOKUP(Metas_Diarias[[#This Row],[data]],Feriados[Data],Feriados[Feriado],1)</f>
        <v>1</v>
      </c>
      <c r="J1632" s="33" cm="1">
        <f t="array" aca="1" ref="J1632" ca="1">SUMPRODUCT(IF((NOT(ISERROR(MATCH(ROW(INDIRECT(DATE(YEAR(B1632),MONTH(B1632),1)&amp;":"&amp;DATE(YEAR(B1632),MONTH(B1632)+1,0))),Feriados[Data],0))))=FALSE,
IF(WEEKDAY(ROW(INDIRECT(DATE(YEAR(B1632),MONTH(B1632),1)&amp;":"&amp;DATE(YEAR(B1632),MONTH(B1632)+1,0))),2)&lt;=5,1,IF(WEEKDAY(ROW(INDIRECT(DATE(YEAR(B1632),MONTH(B1632),1)&amp;":"&amp;DATE(YEAR(B1632),MONTH(B1632)+1,0))),2)=6,0.5,0)),0))</f>
        <v>23</v>
      </c>
      <c r="K1632" s="22" cm="1">
        <f t="array" ref="K1632">_xlfn.XLOOKUP(1,((Metas_Diarias[[#This Row],[tipo_equipe_id]]=Metas[equipe])*(Metas_Diarias[[#This Row],[data]]&gt;Metas[data_inicio])*(Metas_Diarias[[#This Row],[data]]&lt;Metas[data_fim])),Metas[meta_mensal],0)</f>
        <v>115500</v>
      </c>
      <c r="L1632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33" spans="2:12" x14ac:dyDescent="0.3">
      <c r="B1633" s="34">
        <v>46189</v>
      </c>
      <c r="C1633" s="34" t="str">
        <f>TEXT(Metas_Diarias[[#This Row],[data]],"dddd")</f>
        <v>terça-feira</v>
      </c>
      <c r="D1633" s="33">
        <v>2</v>
      </c>
      <c r="E1633" s="33">
        <v>2</v>
      </c>
      <c r="F1633" s="18"/>
      <c r="G1633" s="35">
        <f>WEEKDAY(Metas_Diarias[[#This Row],[data]])</f>
        <v>3</v>
      </c>
      <c r="H1633" s="35">
        <f>IF(Metas_Diarias[[#This Row],[dias_da_demana]]=1,"domingo",IF(Metas_Diarias[[#This Row],[dias_da_demana]]=7,0.5,1))</f>
        <v>1</v>
      </c>
      <c r="I1633" s="35">
        <f>_xlfn.XLOOKUP(Metas_Diarias[[#This Row],[data]],Feriados[Data],Feriados[Feriado],1)</f>
        <v>1</v>
      </c>
      <c r="J1633" s="33" cm="1">
        <f t="array" aca="1" ref="J1633" ca="1">SUMPRODUCT(IF((NOT(ISERROR(MATCH(ROW(INDIRECT(DATE(YEAR(B1633),MONTH(B1633),1)&amp;":"&amp;DATE(YEAR(B1633),MONTH(B1633)+1,0))),Feriados[Data],0))))=FALSE,
IF(WEEKDAY(ROW(INDIRECT(DATE(YEAR(B1633),MONTH(B1633),1)&amp;":"&amp;DATE(YEAR(B1633),MONTH(B1633)+1,0))),2)&lt;=5,1,IF(WEEKDAY(ROW(INDIRECT(DATE(YEAR(B1633),MONTH(B1633),1)&amp;":"&amp;DATE(YEAR(B1633),MONTH(B1633)+1,0))),2)=6,0.5,0)),0))</f>
        <v>23</v>
      </c>
      <c r="K1633" s="22" cm="1">
        <f t="array" ref="K1633">_xlfn.XLOOKUP(1,((Metas_Diarias[[#This Row],[tipo_equipe_id]]=Metas[equipe])*(Metas_Diarias[[#This Row],[data]]&gt;Metas[data_inicio])*(Metas_Diarias[[#This Row],[data]]&lt;Metas[data_fim])),Metas[meta_mensal],0)</f>
        <v>115500</v>
      </c>
      <c r="L1633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34" spans="2:12" x14ac:dyDescent="0.3">
      <c r="B1634" s="34">
        <v>46190</v>
      </c>
      <c r="C1634" s="34" t="str">
        <f>TEXT(Metas_Diarias[[#This Row],[data]],"dddd")</f>
        <v>quarta-feira</v>
      </c>
      <c r="D1634" s="33">
        <v>2</v>
      </c>
      <c r="E1634" s="33">
        <v>2</v>
      </c>
      <c r="F1634" s="18"/>
      <c r="G1634" s="35">
        <f>WEEKDAY(Metas_Diarias[[#This Row],[data]])</f>
        <v>4</v>
      </c>
      <c r="H1634" s="35">
        <f>IF(Metas_Diarias[[#This Row],[dias_da_demana]]=1,"domingo",IF(Metas_Diarias[[#This Row],[dias_da_demana]]=7,0.5,1))</f>
        <v>1</v>
      </c>
      <c r="I1634" s="35">
        <f>_xlfn.XLOOKUP(Metas_Diarias[[#This Row],[data]],Feriados[Data],Feriados[Feriado],1)</f>
        <v>1</v>
      </c>
      <c r="J1634" s="33" cm="1">
        <f t="array" aca="1" ref="J1634" ca="1">SUMPRODUCT(IF((NOT(ISERROR(MATCH(ROW(INDIRECT(DATE(YEAR(B1634),MONTH(B1634),1)&amp;":"&amp;DATE(YEAR(B1634),MONTH(B1634)+1,0))),Feriados[Data],0))))=FALSE,
IF(WEEKDAY(ROW(INDIRECT(DATE(YEAR(B1634),MONTH(B1634),1)&amp;":"&amp;DATE(YEAR(B1634),MONTH(B1634)+1,0))),2)&lt;=5,1,IF(WEEKDAY(ROW(INDIRECT(DATE(YEAR(B1634),MONTH(B1634),1)&amp;":"&amp;DATE(YEAR(B1634),MONTH(B1634)+1,0))),2)=6,0.5,0)),0))</f>
        <v>23</v>
      </c>
      <c r="K1634" s="22" cm="1">
        <f t="array" ref="K1634">_xlfn.XLOOKUP(1,((Metas_Diarias[[#This Row],[tipo_equipe_id]]=Metas[equipe])*(Metas_Diarias[[#This Row],[data]]&gt;Metas[data_inicio])*(Metas_Diarias[[#This Row],[data]]&lt;Metas[data_fim])),Metas[meta_mensal],0)</f>
        <v>115500</v>
      </c>
      <c r="L1634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35" spans="2:12" x14ac:dyDescent="0.3">
      <c r="B1635" s="34">
        <v>46191</v>
      </c>
      <c r="C1635" s="34" t="str">
        <f>TEXT(Metas_Diarias[[#This Row],[data]],"dddd")</f>
        <v>quinta-feira</v>
      </c>
      <c r="D1635" s="33">
        <v>2</v>
      </c>
      <c r="E1635" s="33">
        <v>2</v>
      </c>
      <c r="F1635" s="18"/>
      <c r="G1635" s="35">
        <f>WEEKDAY(Metas_Diarias[[#This Row],[data]])</f>
        <v>5</v>
      </c>
      <c r="H1635" s="35">
        <f>IF(Metas_Diarias[[#This Row],[dias_da_demana]]=1,"domingo",IF(Metas_Diarias[[#This Row],[dias_da_demana]]=7,0.5,1))</f>
        <v>1</v>
      </c>
      <c r="I1635" s="35">
        <f>_xlfn.XLOOKUP(Metas_Diarias[[#This Row],[data]],Feriados[Data],Feriados[Feriado],1)</f>
        <v>1</v>
      </c>
      <c r="J1635" s="33" cm="1">
        <f t="array" aca="1" ref="J1635" ca="1">SUMPRODUCT(IF((NOT(ISERROR(MATCH(ROW(INDIRECT(DATE(YEAR(B1635),MONTH(B1635),1)&amp;":"&amp;DATE(YEAR(B1635),MONTH(B1635)+1,0))),Feriados[Data],0))))=FALSE,
IF(WEEKDAY(ROW(INDIRECT(DATE(YEAR(B1635),MONTH(B1635),1)&amp;":"&amp;DATE(YEAR(B1635),MONTH(B1635)+1,0))),2)&lt;=5,1,IF(WEEKDAY(ROW(INDIRECT(DATE(YEAR(B1635),MONTH(B1635),1)&amp;":"&amp;DATE(YEAR(B1635),MONTH(B1635)+1,0))),2)=6,0.5,0)),0))</f>
        <v>23</v>
      </c>
      <c r="K1635" s="22" cm="1">
        <f t="array" ref="K1635">_xlfn.XLOOKUP(1,((Metas_Diarias[[#This Row],[tipo_equipe_id]]=Metas[equipe])*(Metas_Diarias[[#This Row],[data]]&gt;Metas[data_inicio])*(Metas_Diarias[[#This Row],[data]]&lt;Metas[data_fim])),Metas[meta_mensal],0)</f>
        <v>115500</v>
      </c>
      <c r="L1635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36" spans="2:12" x14ac:dyDescent="0.3">
      <c r="B1636" s="34">
        <v>46192</v>
      </c>
      <c r="C1636" s="34" t="str">
        <f>TEXT(Metas_Diarias[[#This Row],[data]],"dddd")</f>
        <v>sexta-feira</v>
      </c>
      <c r="D1636" s="33">
        <v>2</v>
      </c>
      <c r="E1636" s="33">
        <v>2</v>
      </c>
      <c r="F1636" s="18"/>
      <c r="G1636" s="35">
        <f>WEEKDAY(Metas_Diarias[[#This Row],[data]])</f>
        <v>6</v>
      </c>
      <c r="H1636" s="35">
        <f>IF(Metas_Diarias[[#This Row],[dias_da_demana]]=1,"domingo",IF(Metas_Diarias[[#This Row],[dias_da_demana]]=7,0.5,1))</f>
        <v>1</v>
      </c>
      <c r="I1636" s="35">
        <f>_xlfn.XLOOKUP(Metas_Diarias[[#This Row],[data]],Feriados[Data],Feriados[Feriado],1)</f>
        <v>1</v>
      </c>
      <c r="J1636" s="33" cm="1">
        <f t="array" aca="1" ref="J1636" ca="1">SUMPRODUCT(IF((NOT(ISERROR(MATCH(ROW(INDIRECT(DATE(YEAR(B1636),MONTH(B1636),1)&amp;":"&amp;DATE(YEAR(B1636),MONTH(B1636)+1,0))),Feriados[Data],0))))=FALSE,
IF(WEEKDAY(ROW(INDIRECT(DATE(YEAR(B1636),MONTH(B1636),1)&amp;":"&amp;DATE(YEAR(B1636),MONTH(B1636)+1,0))),2)&lt;=5,1,IF(WEEKDAY(ROW(INDIRECT(DATE(YEAR(B1636),MONTH(B1636),1)&amp;":"&amp;DATE(YEAR(B1636),MONTH(B1636)+1,0))),2)=6,0.5,0)),0))</f>
        <v>23</v>
      </c>
      <c r="K1636" s="22" cm="1">
        <f t="array" ref="K1636">_xlfn.XLOOKUP(1,((Metas_Diarias[[#This Row],[tipo_equipe_id]]=Metas[equipe])*(Metas_Diarias[[#This Row],[data]]&gt;Metas[data_inicio])*(Metas_Diarias[[#This Row],[data]]&lt;Metas[data_fim])),Metas[meta_mensal],0)</f>
        <v>115500</v>
      </c>
      <c r="L1636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37" spans="2:12" x14ac:dyDescent="0.3">
      <c r="B1637" s="34">
        <v>46193</v>
      </c>
      <c r="C1637" s="34" t="str">
        <f>TEXT(Metas_Diarias[[#This Row],[data]],"dddd")</f>
        <v>sábado</v>
      </c>
      <c r="D1637" s="33">
        <v>2</v>
      </c>
      <c r="E1637" s="33">
        <v>2</v>
      </c>
      <c r="F1637" s="18"/>
      <c r="G1637" s="35">
        <f>WEEKDAY(Metas_Diarias[[#This Row],[data]])</f>
        <v>7</v>
      </c>
      <c r="H1637" s="35">
        <f>IF(Metas_Diarias[[#This Row],[dias_da_demana]]=1,"domingo",IF(Metas_Diarias[[#This Row],[dias_da_demana]]=7,0.5,1))</f>
        <v>0.5</v>
      </c>
      <c r="I1637" s="35">
        <f>_xlfn.XLOOKUP(Metas_Diarias[[#This Row],[data]],Feriados[Data],Feriados[Feriado],1)</f>
        <v>1</v>
      </c>
      <c r="J1637" s="33" cm="1">
        <f t="array" aca="1" ref="J1637" ca="1">SUMPRODUCT(IF((NOT(ISERROR(MATCH(ROW(INDIRECT(DATE(YEAR(B1637),MONTH(B1637),1)&amp;":"&amp;DATE(YEAR(B1637),MONTH(B1637)+1,0))),Feriados[Data],0))))=FALSE,
IF(WEEKDAY(ROW(INDIRECT(DATE(YEAR(B1637),MONTH(B1637),1)&amp;":"&amp;DATE(YEAR(B1637),MONTH(B1637)+1,0))),2)&lt;=5,1,IF(WEEKDAY(ROW(INDIRECT(DATE(YEAR(B1637),MONTH(B1637),1)&amp;":"&amp;DATE(YEAR(B1637),MONTH(B1637)+1,0))),2)=6,0.5,0)),0))</f>
        <v>23</v>
      </c>
      <c r="K1637" s="22" cm="1">
        <f t="array" ref="K1637">_xlfn.XLOOKUP(1,((Metas_Diarias[[#This Row],[tipo_equipe_id]]=Metas[equipe])*(Metas_Diarias[[#This Row],[data]]&gt;Metas[data_inicio])*(Metas_Diarias[[#This Row],[data]]&lt;Metas[data_fim])),Metas[meta_mensal],0)</f>
        <v>115500</v>
      </c>
      <c r="L1637" s="24">
        <f ca="1">Metas_Diarias[[#This Row],[meta_mensal]]*IF(Metas_Diarias[[#This Row],[semana]]="domingo",0,Metas_Diarias[[#This Row],[semana]])*IF(Metas_Diarias[[#This Row],[feriado]]&lt;&gt;1,0,1)/Metas_Diarias[[#This Row],[dias_úteis_Mês]]</f>
        <v>2510.8695652173915</v>
      </c>
    </row>
    <row r="1638" spans="2:12" x14ac:dyDescent="0.3">
      <c r="B1638" s="34">
        <v>46194</v>
      </c>
      <c r="C1638" s="34" t="str">
        <f>TEXT(Metas_Diarias[[#This Row],[data]],"dddd")</f>
        <v>domingo</v>
      </c>
      <c r="D1638" s="33">
        <v>2</v>
      </c>
      <c r="E1638" s="33">
        <v>2</v>
      </c>
      <c r="F1638" s="18"/>
      <c r="G1638" s="35">
        <f>WEEKDAY(Metas_Diarias[[#This Row],[data]])</f>
        <v>1</v>
      </c>
      <c r="H1638" s="35" t="str">
        <f>IF(Metas_Diarias[[#This Row],[dias_da_demana]]=1,"domingo",IF(Metas_Diarias[[#This Row],[dias_da_demana]]=7,0.5,1))</f>
        <v>domingo</v>
      </c>
      <c r="I1638" s="35">
        <f>_xlfn.XLOOKUP(Metas_Diarias[[#This Row],[data]],Feriados[Data],Feriados[Feriado],1)</f>
        <v>1</v>
      </c>
      <c r="J1638" s="33" cm="1">
        <f t="array" aca="1" ref="J1638" ca="1">SUMPRODUCT(IF((NOT(ISERROR(MATCH(ROW(INDIRECT(DATE(YEAR(B1638),MONTH(B1638),1)&amp;":"&amp;DATE(YEAR(B1638),MONTH(B1638)+1,0))),Feriados[Data],0))))=FALSE,
IF(WEEKDAY(ROW(INDIRECT(DATE(YEAR(B1638),MONTH(B1638),1)&amp;":"&amp;DATE(YEAR(B1638),MONTH(B1638)+1,0))),2)&lt;=5,1,IF(WEEKDAY(ROW(INDIRECT(DATE(YEAR(B1638),MONTH(B1638),1)&amp;":"&amp;DATE(YEAR(B1638),MONTH(B1638)+1,0))),2)=6,0.5,0)),0))</f>
        <v>23</v>
      </c>
      <c r="K1638" s="22" cm="1">
        <f t="array" ref="K1638">_xlfn.XLOOKUP(1,((Metas_Diarias[[#This Row],[tipo_equipe_id]]=Metas[equipe])*(Metas_Diarias[[#This Row],[data]]&gt;Metas[data_inicio])*(Metas_Diarias[[#This Row],[data]]&lt;Metas[data_fim])),Metas[meta_mensal],0)</f>
        <v>115500</v>
      </c>
      <c r="L16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39" spans="2:12" x14ac:dyDescent="0.3">
      <c r="B1639" s="34">
        <v>46195</v>
      </c>
      <c r="C1639" s="34" t="str">
        <f>TEXT(Metas_Diarias[[#This Row],[data]],"dddd")</f>
        <v>segunda-feira</v>
      </c>
      <c r="D1639" s="33">
        <v>2</v>
      </c>
      <c r="E1639" s="33">
        <v>2</v>
      </c>
      <c r="F1639" s="18"/>
      <c r="G1639" s="35">
        <f>WEEKDAY(Metas_Diarias[[#This Row],[data]])</f>
        <v>2</v>
      </c>
      <c r="H1639" s="35">
        <f>IF(Metas_Diarias[[#This Row],[dias_da_demana]]=1,"domingo",IF(Metas_Diarias[[#This Row],[dias_da_demana]]=7,0.5,1))</f>
        <v>1</v>
      </c>
      <c r="I1639" s="35">
        <f>_xlfn.XLOOKUP(Metas_Diarias[[#This Row],[data]],Feriados[Data],Feriados[Feriado],1)</f>
        <v>1</v>
      </c>
      <c r="J1639" s="33" cm="1">
        <f t="array" aca="1" ref="J1639" ca="1">SUMPRODUCT(IF((NOT(ISERROR(MATCH(ROW(INDIRECT(DATE(YEAR(B1639),MONTH(B1639),1)&amp;":"&amp;DATE(YEAR(B1639),MONTH(B1639)+1,0))),Feriados[Data],0))))=FALSE,
IF(WEEKDAY(ROW(INDIRECT(DATE(YEAR(B1639),MONTH(B1639),1)&amp;":"&amp;DATE(YEAR(B1639),MONTH(B1639)+1,0))),2)&lt;=5,1,IF(WEEKDAY(ROW(INDIRECT(DATE(YEAR(B1639),MONTH(B1639),1)&amp;":"&amp;DATE(YEAR(B1639),MONTH(B1639)+1,0))),2)=6,0.5,0)),0))</f>
        <v>23</v>
      </c>
      <c r="K1639" s="22" cm="1">
        <f t="array" ref="K1639">_xlfn.XLOOKUP(1,((Metas_Diarias[[#This Row],[tipo_equipe_id]]=Metas[equipe])*(Metas_Diarias[[#This Row],[data]]&gt;Metas[data_inicio])*(Metas_Diarias[[#This Row],[data]]&lt;Metas[data_fim])),Metas[meta_mensal],0)</f>
        <v>115500</v>
      </c>
      <c r="L1639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40" spans="2:12" x14ac:dyDescent="0.3">
      <c r="B1640" s="34">
        <v>46196</v>
      </c>
      <c r="C1640" s="34" t="str">
        <f>TEXT(Metas_Diarias[[#This Row],[data]],"dddd")</f>
        <v>terça-feira</v>
      </c>
      <c r="D1640" s="33">
        <v>2</v>
      </c>
      <c r="E1640" s="33">
        <v>2</v>
      </c>
      <c r="F1640" s="18"/>
      <c r="G1640" s="35">
        <f>WEEKDAY(Metas_Diarias[[#This Row],[data]])</f>
        <v>3</v>
      </c>
      <c r="H1640" s="35">
        <f>IF(Metas_Diarias[[#This Row],[dias_da_demana]]=1,"domingo",IF(Metas_Diarias[[#This Row],[dias_da_demana]]=7,0.5,1))</f>
        <v>1</v>
      </c>
      <c r="I1640" s="35">
        <f>_xlfn.XLOOKUP(Metas_Diarias[[#This Row],[data]],Feriados[Data],Feriados[Feriado],1)</f>
        <v>1</v>
      </c>
      <c r="J1640" s="33" cm="1">
        <f t="array" aca="1" ref="J1640" ca="1">SUMPRODUCT(IF((NOT(ISERROR(MATCH(ROW(INDIRECT(DATE(YEAR(B1640),MONTH(B1640),1)&amp;":"&amp;DATE(YEAR(B1640),MONTH(B1640)+1,0))),Feriados[Data],0))))=FALSE,
IF(WEEKDAY(ROW(INDIRECT(DATE(YEAR(B1640),MONTH(B1640),1)&amp;":"&amp;DATE(YEAR(B1640),MONTH(B1640)+1,0))),2)&lt;=5,1,IF(WEEKDAY(ROW(INDIRECT(DATE(YEAR(B1640),MONTH(B1640),1)&amp;":"&amp;DATE(YEAR(B1640),MONTH(B1640)+1,0))),2)=6,0.5,0)),0))</f>
        <v>23</v>
      </c>
      <c r="K1640" s="22" cm="1">
        <f t="array" ref="K1640">_xlfn.XLOOKUP(1,((Metas_Diarias[[#This Row],[tipo_equipe_id]]=Metas[equipe])*(Metas_Diarias[[#This Row],[data]]&gt;Metas[data_inicio])*(Metas_Diarias[[#This Row],[data]]&lt;Metas[data_fim])),Metas[meta_mensal],0)</f>
        <v>115500</v>
      </c>
      <c r="L1640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41" spans="2:12" x14ac:dyDescent="0.3">
      <c r="B1641" s="34">
        <v>46197</v>
      </c>
      <c r="C1641" s="34" t="str">
        <f>TEXT(Metas_Diarias[[#This Row],[data]],"dddd")</f>
        <v>quarta-feira</v>
      </c>
      <c r="D1641" s="33">
        <v>2</v>
      </c>
      <c r="E1641" s="33">
        <v>2</v>
      </c>
      <c r="F1641" s="18"/>
      <c r="G1641" s="35">
        <f>WEEKDAY(Metas_Diarias[[#This Row],[data]])</f>
        <v>4</v>
      </c>
      <c r="H1641" s="35">
        <f>IF(Metas_Diarias[[#This Row],[dias_da_demana]]=1,"domingo",IF(Metas_Diarias[[#This Row],[dias_da_demana]]=7,0.5,1))</f>
        <v>1</v>
      </c>
      <c r="I1641" s="35">
        <f>_xlfn.XLOOKUP(Metas_Diarias[[#This Row],[data]],Feriados[Data],Feriados[Feriado],1)</f>
        <v>1</v>
      </c>
      <c r="J1641" s="33" cm="1">
        <f t="array" aca="1" ref="J1641" ca="1">SUMPRODUCT(IF((NOT(ISERROR(MATCH(ROW(INDIRECT(DATE(YEAR(B1641),MONTH(B1641),1)&amp;":"&amp;DATE(YEAR(B1641),MONTH(B1641)+1,0))),Feriados[Data],0))))=FALSE,
IF(WEEKDAY(ROW(INDIRECT(DATE(YEAR(B1641),MONTH(B1641),1)&amp;":"&amp;DATE(YEAR(B1641),MONTH(B1641)+1,0))),2)&lt;=5,1,IF(WEEKDAY(ROW(INDIRECT(DATE(YEAR(B1641),MONTH(B1641),1)&amp;":"&amp;DATE(YEAR(B1641),MONTH(B1641)+1,0))),2)=6,0.5,0)),0))</f>
        <v>23</v>
      </c>
      <c r="K1641" s="22" cm="1">
        <f t="array" ref="K1641">_xlfn.XLOOKUP(1,((Metas_Diarias[[#This Row],[tipo_equipe_id]]=Metas[equipe])*(Metas_Diarias[[#This Row],[data]]&gt;Metas[data_inicio])*(Metas_Diarias[[#This Row],[data]]&lt;Metas[data_fim])),Metas[meta_mensal],0)</f>
        <v>115500</v>
      </c>
      <c r="L1641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42" spans="2:12" x14ac:dyDescent="0.3">
      <c r="B1642" s="34">
        <v>46198</v>
      </c>
      <c r="C1642" s="34" t="str">
        <f>TEXT(Metas_Diarias[[#This Row],[data]],"dddd")</f>
        <v>quinta-feira</v>
      </c>
      <c r="D1642" s="33">
        <v>2</v>
      </c>
      <c r="E1642" s="33">
        <v>2</v>
      </c>
      <c r="F1642" s="18"/>
      <c r="G1642" s="35">
        <f>WEEKDAY(Metas_Diarias[[#This Row],[data]])</f>
        <v>5</v>
      </c>
      <c r="H1642" s="35">
        <f>IF(Metas_Diarias[[#This Row],[dias_da_demana]]=1,"domingo",IF(Metas_Diarias[[#This Row],[dias_da_demana]]=7,0.5,1))</f>
        <v>1</v>
      </c>
      <c r="I1642" s="35">
        <f>_xlfn.XLOOKUP(Metas_Diarias[[#This Row],[data]],Feriados[Data],Feriados[Feriado],1)</f>
        <v>1</v>
      </c>
      <c r="J1642" s="33" cm="1">
        <f t="array" aca="1" ref="J1642" ca="1">SUMPRODUCT(IF((NOT(ISERROR(MATCH(ROW(INDIRECT(DATE(YEAR(B1642),MONTH(B1642),1)&amp;":"&amp;DATE(YEAR(B1642),MONTH(B1642)+1,0))),Feriados[Data],0))))=FALSE,
IF(WEEKDAY(ROW(INDIRECT(DATE(YEAR(B1642),MONTH(B1642),1)&amp;":"&amp;DATE(YEAR(B1642),MONTH(B1642)+1,0))),2)&lt;=5,1,IF(WEEKDAY(ROW(INDIRECT(DATE(YEAR(B1642),MONTH(B1642),1)&amp;":"&amp;DATE(YEAR(B1642),MONTH(B1642)+1,0))),2)=6,0.5,0)),0))</f>
        <v>23</v>
      </c>
      <c r="K1642" s="22" cm="1">
        <f t="array" ref="K1642">_xlfn.XLOOKUP(1,((Metas_Diarias[[#This Row],[tipo_equipe_id]]=Metas[equipe])*(Metas_Diarias[[#This Row],[data]]&gt;Metas[data_inicio])*(Metas_Diarias[[#This Row],[data]]&lt;Metas[data_fim])),Metas[meta_mensal],0)</f>
        <v>115500</v>
      </c>
      <c r="L1642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43" spans="2:12" x14ac:dyDescent="0.3">
      <c r="B1643" s="34">
        <v>46199</v>
      </c>
      <c r="C1643" s="34" t="str">
        <f>TEXT(Metas_Diarias[[#This Row],[data]],"dddd")</f>
        <v>sexta-feira</v>
      </c>
      <c r="D1643" s="33">
        <v>2</v>
      </c>
      <c r="E1643" s="33">
        <v>2</v>
      </c>
      <c r="F1643" s="18"/>
      <c r="G1643" s="35">
        <f>WEEKDAY(Metas_Diarias[[#This Row],[data]])</f>
        <v>6</v>
      </c>
      <c r="H1643" s="35">
        <f>IF(Metas_Diarias[[#This Row],[dias_da_demana]]=1,"domingo",IF(Metas_Diarias[[#This Row],[dias_da_demana]]=7,0.5,1))</f>
        <v>1</v>
      </c>
      <c r="I1643" s="35">
        <f>_xlfn.XLOOKUP(Metas_Diarias[[#This Row],[data]],Feriados[Data],Feriados[Feriado],1)</f>
        <v>1</v>
      </c>
      <c r="J1643" s="33" cm="1">
        <f t="array" aca="1" ref="J1643" ca="1">SUMPRODUCT(IF((NOT(ISERROR(MATCH(ROW(INDIRECT(DATE(YEAR(B1643),MONTH(B1643),1)&amp;":"&amp;DATE(YEAR(B1643),MONTH(B1643)+1,0))),Feriados[Data],0))))=FALSE,
IF(WEEKDAY(ROW(INDIRECT(DATE(YEAR(B1643),MONTH(B1643),1)&amp;":"&amp;DATE(YEAR(B1643),MONTH(B1643)+1,0))),2)&lt;=5,1,IF(WEEKDAY(ROW(INDIRECT(DATE(YEAR(B1643),MONTH(B1643),1)&amp;":"&amp;DATE(YEAR(B1643),MONTH(B1643)+1,0))),2)=6,0.5,0)),0))</f>
        <v>23</v>
      </c>
      <c r="K1643" s="22" cm="1">
        <f t="array" ref="K1643">_xlfn.XLOOKUP(1,((Metas_Diarias[[#This Row],[tipo_equipe_id]]=Metas[equipe])*(Metas_Diarias[[#This Row],[data]]&gt;Metas[data_inicio])*(Metas_Diarias[[#This Row],[data]]&lt;Metas[data_fim])),Metas[meta_mensal],0)</f>
        <v>115500</v>
      </c>
      <c r="L1643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44" spans="2:12" x14ac:dyDescent="0.3">
      <c r="B1644" s="34">
        <v>46200</v>
      </c>
      <c r="C1644" s="34" t="str">
        <f>TEXT(Metas_Diarias[[#This Row],[data]],"dddd")</f>
        <v>sábado</v>
      </c>
      <c r="D1644" s="33">
        <v>2</v>
      </c>
      <c r="E1644" s="33">
        <v>2</v>
      </c>
      <c r="F1644" s="18"/>
      <c r="G1644" s="35">
        <f>WEEKDAY(Metas_Diarias[[#This Row],[data]])</f>
        <v>7</v>
      </c>
      <c r="H1644" s="35">
        <f>IF(Metas_Diarias[[#This Row],[dias_da_demana]]=1,"domingo",IF(Metas_Diarias[[#This Row],[dias_da_demana]]=7,0.5,1))</f>
        <v>0.5</v>
      </c>
      <c r="I1644" s="35">
        <f>_xlfn.XLOOKUP(Metas_Diarias[[#This Row],[data]],Feriados[Data],Feriados[Feriado],1)</f>
        <v>1</v>
      </c>
      <c r="J1644" s="33" cm="1">
        <f t="array" aca="1" ref="J1644" ca="1">SUMPRODUCT(IF((NOT(ISERROR(MATCH(ROW(INDIRECT(DATE(YEAR(B1644),MONTH(B1644),1)&amp;":"&amp;DATE(YEAR(B1644),MONTH(B1644)+1,0))),Feriados[Data],0))))=FALSE,
IF(WEEKDAY(ROW(INDIRECT(DATE(YEAR(B1644),MONTH(B1644),1)&amp;":"&amp;DATE(YEAR(B1644),MONTH(B1644)+1,0))),2)&lt;=5,1,IF(WEEKDAY(ROW(INDIRECT(DATE(YEAR(B1644),MONTH(B1644),1)&amp;":"&amp;DATE(YEAR(B1644),MONTH(B1644)+1,0))),2)=6,0.5,0)),0))</f>
        <v>23</v>
      </c>
      <c r="K1644" s="22" cm="1">
        <f t="array" ref="K1644">_xlfn.XLOOKUP(1,((Metas_Diarias[[#This Row],[tipo_equipe_id]]=Metas[equipe])*(Metas_Diarias[[#This Row],[data]]&gt;Metas[data_inicio])*(Metas_Diarias[[#This Row],[data]]&lt;Metas[data_fim])),Metas[meta_mensal],0)</f>
        <v>115500</v>
      </c>
      <c r="L1644" s="24">
        <f ca="1">Metas_Diarias[[#This Row],[meta_mensal]]*IF(Metas_Diarias[[#This Row],[semana]]="domingo",0,Metas_Diarias[[#This Row],[semana]])*IF(Metas_Diarias[[#This Row],[feriado]]&lt;&gt;1,0,1)/Metas_Diarias[[#This Row],[dias_úteis_Mês]]</f>
        <v>2510.8695652173915</v>
      </c>
    </row>
    <row r="1645" spans="2:12" x14ac:dyDescent="0.3">
      <c r="B1645" s="34">
        <v>46201</v>
      </c>
      <c r="C1645" s="34" t="str">
        <f>TEXT(Metas_Diarias[[#This Row],[data]],"dddd")</f>
        <v>domingo</v>
      </c>
      <c r="D1645" s="33">
        <v>2</v>
      </c>
      <c r="E1645" s="33">
        <v>2</v>
      </c>
      <c r="F1645" s="18"/>
      <c r="G1645" s="35">
        <f>WEEKDAY(Metas_Diarias[[#This Row],[data]])</f>
        <v>1</v>
      </c>
      <c r="H1645" s="35" t="str">
        <f>IF(Metas_Diarias[[#This Row],[dias_da_demana]]=1,"domingo",IF(Metas_Diarias[[#This Row],[dias_da_demana]]=7,0.5,1))</f>
        <v>domingo</v>
      </c>
      <c r="I1645" s="35">
        <f>_xlfn.XLOOKUP(Metas_Diarias[[#This Row],[data]],Feriados[Data],Feriados[Feriado],1)</f>
        <v>1</v>
      </c>
      <c r="J1645" s="33" cm="1">
        <f t="array" aca="1" ref="J1645" ca="1">SUMPRODUCT(IF((NOT(ISERROR(MATCH(ROW(INDIRECT(DATE(YEAR(B1645),MONTH(B1645),1)&amp;":"&amp;DATE(YEAR(B1645),MONTH(B1645)+1,0))),Feriados[Data],0))))=FALSE,
IF(WEEKDAY(ROW(INDIRECT(DATE(YEAR(B1645),MONTH(B1645),1)&amp;":"&amp;DATE(YEAR(B1645),MONTH(B1645)+1,0))),2)&lt;=5,1,IF(WEEKDAY(ROW(INDIRECT(DATE(YEAR(B1645),MONTH(B1645),1)&amp;":"&amp;DATE(YEAR(B1645),MONTH(B1645)+1,0))),2)=6,0.5,0)),0))</f>
        <v>23</v>
      </c>
      <c r="K1645" s="22" cm="1">
        <f t="array" ref="K1645">_xlfn.XLOOKUP(1,((Metas_Diarias[[#This Row],[tipo_equipe_id]]=Metas[equipe])*(Metas_Diarias[[#This Row],[data]]&gt;Metas[data_inicio])*(Metas_Diarias[[#This Row],[data]]&lt;Metas[data_fim])),Metas[meta_mensal],0)</f>
        <v>115500</v>
      </c>
      <c r="L16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46" spans="2:12" x14ac:dyDescent="0.3">
      <c r="B1646" s="34">
        <v>46202</v>
      </c>
      <c r="C1646" s="34" t="str">
        <f>TEXT(Metas_Diarias[[#This Row],[data]],"dddd")</f>
        <v>segunda-feira</v>
      </c>
      <c r="D1646" s="33">
        <v>2</v>
      </c>
      <c r="E1646" s="33">
        <v>2</v>
      </c>
      <c r="F1646" s="18"/>
      <c r="G1646" s="35">
        <f>WEEKDAY(Metas_Diarias[[#This Row],[data]])</f>
        <v>2</v>
      </c>
      <c r="H1646" s="35">
        <f>IF(Metas_Diarias[[#This Row],[dias_da_demana]]=1,"domingo",IF(Metas_Diarias[[#This Row],[dias_da_demana]]=7,0.5,1))</f>
        <v>1</v>
      </c>
      <c r="I1646" s="35">
        <f>_xlfn.XLOOKUP(Metas_Diarias[[#This Row],[data]],Feriados[Data],Feriados[Feriado],1)</f>
        <v>1</v>
      </c>
      <c r="J1646" s="33" cm="1">
        <f t="array" aca="1" ref="J1646" ca="1">SUMPRODUCT(IF((NOT(ISERROR(MATCH(ROW(INDIRECT(DATE(YEAR(B1646),MONTH(B1646),1)&amp;":"&amp;DATE(YEAR(B1646),MONTH(B1646)+1,0))),Feriados[Data],0))))=FALSE,
IF(WEEKDAY(ROW(INDIRECT(DATE(YEAR(B1646),MONTH(B1646),1)&amp;":"&amp;DATE(YEAR(B1646),MONTH(B1646)+1,0))),2)&lt;=5,1,IF(WEEKDAY(ROW(INDIRECT(DATE(YEAR(B1646),MONTH(B1646),1)&amp;":"&amp;DATE(YEAR(B1646),MONTH(B1646)+1,0))),2)=6,0.5,0)),0))</f>
        <v>23</v>
      </c>
      <c r="K1646" s="22" cm="1">
        <f t="array" ref="K1646">_xlfn.XLOOKUP(1,((Metas_Diarias[[#This Row],[tipo_equipe_id]]=Metas[equipe])*(Metas_Diarias[[#This Row],[data]]&gt;Metas[data_inicio])*(Metas_Diarias[[#This Row],[data]]&lt;Metas[data_fim])),Metas[meta_mensal],0)</f>
        <v>115500</v>
      </c>
      <c r="L1646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47" spans="2:12" x14ac:dyDescent="0.3">
      <c r="B1647" s="34">
        <v>46203</v>
      </c>
      <c r="C1647" s="34" t="str">
        <f>TEXT(Metas_Diarias[[#This Row],[data]],"dddd")</f>
        <v>terça-feira</v>
      </c>
      <c r="D1647" s="33">
        <v>2</v>
      </c>
      <c r="E1647" s="33">
        <v>2</v>
      </c>
      <c r="F1647" s="18"/>
      <c r="G1647" s="35">
        <f>WEEKDAY(Metas_Diarias[[#This Row],[data]])</f>
        <v>3</v>
      </c>
      <c r="H1647" s="35">
        <f>IF(Metas_Diarias[[#This Row],[dias_da_demana]]=1,"domingo",IF(Metas_Diarias[[#This Row],[dias_da_demana]]=7,0.5,1))</f>
        <v>1</v>
      </c>
      <c r="I1647" s="35">
        <f>_xlfn.XLOOKUP(Metas_Diarias[[#This Row],[data]],Feriados[Data],Feriados[Feriado],1)</f>
        <v>1</v>
      </c>
      <c r="J1647" s="33" cm="1">
        <f t="array" aca="1" ref="J1647" ca="1">SUMPRODUCT(IF((NOT(ISERROR(MATCH(ROW(INDIRECT(DATE(YEAR(B1647),MONTH(B1647),1)&amp;":"&amp;DATE(YEAR(B1647),MONTH(B1647)+1,0))),Feriados[Data],0))))=FALSE,
IF(WEEKDAY(ROW(INDIRECT(DATE(YEAR(B1647),MONTH(B1647),1)&amp;":"&amp;DATE(YEAR(B1647),MONTH(B1647)+1,0))),2)&lt;=5,1,IF(WEEKDAY(ROW(INDIRECT(DATE(YEAR(B1647),MONTH(B1647),1)&amp;":"&amp;DATE(YEAR(B1647),MONTH(B1647)+1,0))),2)=6,0.5,0)),0))</f>
        <v>23</v>
      </c>
      <c r="K1647" s="22" cm="1">
        <f t="array" ref="K1647">_xlfn.XLOOKUP(1,((Metas_Diarias[[#This Row],[tipo_equipe_id]]=Metas[equipe])*(Metas_Diarias[[#This Row],[data]]&gt;Metas[data_inicio])*(Metas_Diarias[[#This Row],[data]]&lt;Metas[data_fim])),Metas[meta_mensal],0)</f>
        <v>115500</v>
      </c>
      <c r="L1647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648" spans="2:12" x14ac:dyDescent="0.3">
      <c r="B1648" s="34">
        <v>46204</v>
      </c>
      <c r="C1648" s="34" t="str">
        <f>TEXT(Metas_Diarias[[#This Row],[data]],"dddd")</f>
        <v>quarta-feira</v>
      </c>
      <c r="D1648" s="33">
        <v>2</v>
      </c>
      <c r="E1648" s="33">
        <v>2</v>
      </c>
      <c r="F1648" s="18"/>
      <c r="G1648" s="35">
        <f>WEEKDAY(Metas_Diarias[[#This Row],[data]])</f>
        <v>4</v>
      </c>
      <c r="H1648" s="35">
        <f>IF(Metas_Diarias[[#This Row],[dias_da_demana]]=1,"domingo",IF(Metas_Diarias[[#This Row],[dias_da_demana]]=7,0.5,1))</f>
        <v>1</v>
      </c>
      <c r="I1648" s="35">
        <f>_xlfn.XLOOKUP(Metas_Diarias[[#This Row],[data]],Feriados[Data],Feriados[Feriado],1)</f>
        <v>1</v>
      </c>
      <c r="J1648" s="33" cm="1">
        <f t="array" aca="1" ref="J1648" ca="1">SUMPRODUCT(IF((NOT(ISERROR(MATCH(ROW(INDIRECT(DATE(YEAR(B1648),MONTH(B1648),1)&amp;":"&amp;DATE(YEAR(B1648),MONTH(B1648)+1,0))),Feriados[Data],0))))=FALSE,
IF(WEEKDAY(ROW(INDIRECT(DATE(YEAR(B1648),MONTH(B1648),1)&amp;":"&amp;DATE(YEAR(B1648),MONTH(B1648)+1,0))),2)&lt;=5,1,IF(WEEKDAY(ROW(INDIRECT(DATE(YEAR(B1648),MONTH(B1648),1)&amp;":"&amp;DATE(YEAR(B1648),MONTH(B1648)+1,0))),2)=6,0.5,0)),0))</f>
        <v>25</v>
      </c>
      <c r="K1648" s="22" cm="1">
        <f t="array" ref="K1648">_xlfn.XLOOKUP(1,((Metas_Diarias[[#This Row],[tipo_equipe_id]]=Metas[equipe])*(Metas_Diarias[[#This Row],[data]]&gt;Metas[data_inicio])*(Metas_Diarias[[#This Row],[data]]&lt;Metas[data_fim])),Metas[meta_mensal],0)</f>
        <v>115500</v>
      </c>
      <c r="L1648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49" spans="2:12" x14ac:dyDescent="0.3">
      <c r="B1649" s="34">
        <v>46205</v>
      </c>
      <c r="C1649" s="34" t="str">
        <f>TEXT(Metas_Diarias[[#This Row],[data]],"dddd")</f>
        <v>quinta-feira</v>
      </c>
      <c r="D1649" s="33">
        <v>2</v>
      </c>
      <c r="E1649" s="33">
        <v>2</v>
      </c>
      <c r="F1649" s="18"/>
      <c r="G1649" s="35">
        <f>WEEKDAY(Metas_Diarias[[#This Row],[data]])</f>
        <v>5</v>
      </c>
      <c r="H1649" s="35">
        <f>IF(Metas_Diarias[[#This Row],[dias_da_demana]]=1,"domingo",IF(Metas_Diarias[[#This Row],[dias_da_demana]]=7,0.5,1))</f>
        <v>1</v>
      </c>
      <c r="I1649" s="35">
        <f>_xlfn.XLOOKUP(Metas_Diarias[[#This Row],[data]],Feriados[Data],Feriados[Feriado],1)</f>
        <v>1</v>
      </c>
      <c r="J1649" s="33" cm="1">
        <f t="array" aca="1" ref="J1649" ca="1">SUMPRODUCT(IF((NOT(ISERROR(MATCH(ROW(INDIRECT(DATE(YEAR(B1649),MONTH(B1649),1)&amp;":"&amp;DATE(YEAR(B1649),MONTH(B1649)+1,0))),Feriados[Data],0))))=FALSE,
IF(WEEKDAY(ROW(INDIRECT(DATE(YEAR(B1649),MONTH(B1649),1)&amp;":"&amp;DATE(YEAR(B1649),MONTH(B1649)+1,0))),2)&lt;=5,1,IF(WEEKDAY(ROW(INDIRECT(DATE(YEAR(B1649),MONTH(B1649),1)&amp;":"&amp;DATE(YEAR(B1649),MONTH(B1649)+1,0))),2)=6,0.5,0)),0))</f>
        <v>25</v>
      </c>
      <c r="K1649" s="22" cm="1">
        <f t="array" ref="K1649">_xlfn.XLOOKUP(1,((Metas_Diarias[[#This Row],[tipo_equipe_id]]=Metas[equipe])*(Metas_Diarias[[#This Row],[data]]&gt;Metas[data_inicio])*(Metas_Diarias[[#This Row],[data]]&lt;Metas[data_fim])),Metas[meta_mensal],0)</f>
        <v>115500</v>
      </c>
      <c r="L1649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50" spans="2:12" x14ac:dyDescent="0.3">
      <c r="B1650" s="34">
        <v>46206</v>
      </c>
      <c r="C1650" s="34" t="str">
        <f>TEXT(Metas_Diarias[[#This Row],[data]],"dddd")</f>
        <v>sexta-feira</v>
      </c>
      <c r="D1650" s="33">
        <v>2</v>
      </c>
      <c r="E1650" s="33">
        <v>2</v>
      </c>
      <c r="F1650" s="18"/>
      <c r="G1650" s="35">
        <f>WEEKDAY(Metas_Diarias[[#This Row],[data]])</f>
        <v>6</v>
      </c>
      <c r="H1650" s="35">
        <f>IF(Metas_Diarias[[#This Row],[dias_da_demana]]=1,"domingo",IF(Metas_Diarias[[#This Row],[dias_da_demana]]=7,0.5,1))</f>
        <v>1</v>
      </c>
      <c r="I1650" s="35">
        <f>_xlfn.XLOOKUP(Metas_Diarias[[#This Row],[data]],Feriados[Data],Feriados[Feriado],1)</f>
        <v>1</v>
      </c>
      <c r="J1650" s="33" cm="1">
        <f t="array" aca="1" ref="J1650" ca="1">SUMPRODUCT(IF((NOT(ISERROR(MATCH(ROW(INDIRECT(DATE(YEAR(B1650),MONTH(B1650),1)&amp;":"&amp;DATE(YEAR(B1650),MONTH(B1650)+1,0))),Feriados[Data],0))))=FALSE,
IF(WEEKDAY(ROW(INDIRECT(DATE(YEAR(B1650),MONTH(B1650),1)&amp;":"&amp;DATE(YEAR(B1650),MONTH(B1650)+1,0))),2)&lt;=5,1,IF(WEEKDAY(ROW(INDIRECT(DATE(YEAR(B1650),MONTH(B1650),1)&amp;":"&amp;DATE(YEAR(B1650),MONTH(B1650)+1,0))),2)=6,0.5,0)),0))</f>
        <v>25</v>
      </c>
      <c r="K1650" s="22" cm="1">
        <f t="array" ref="K1650">_xlfn.XLOOKUP(1,((Metas_Diarias[[#This Row],[tipo_equipe_id]]=Metas[equipe])*(Metas_Diarias[[#This Row],[data]]&gt;Metas[data_inicio])*(Metas_Diarias[[#This Row],[data]]&lt;Metas[data_fim])),Metas[meta_mensal],0)</f>
        <v>115500</v>
      </c>
      <c r="L1650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51" spans="2:12" x14ac:dyDescent="0.3">
      <c r="B1651" s="34">
        <v>46207</v>
      </c>
      <c r="C1651" s="34" t="str">
        <f>TEXT(Metas_Diarias[[#This Row],[data]],"dddd")</f>
        <v>sábado</v>
      </c>
      <c r="D1651" s="33">
        <v>2</v>
      </c>
      <c r="E1651" s="33">
        <v>2</v>
      </c>
      <c r="F1651" s="18"/>
      <c r="G1651" s="35">
        <f>WEEKDAY(Metas_Diarias[[#This Row],[data]])</f>
        <v>7</v>
      </c>
      <c r="H1651" s="35">
        <f>IF(Metas_Diarias[[#This Row],[dias_da_demana]]=1,"domingo",IF(Metas_Diarias[[#This Row],[dias_da_demana]]=7,0.5,1))</f>
        <v>0.5</v>
      </c>
      <c r="I1651" s="35">
        <f>_xlfn.XLOOKUP(Metas_Diarias[[#This Row],[data]],Feriados[Data],Feriados[Feriado],1)</f>
        <v>1</v>
      </c>
      <c r="J1651" s="33" cm="1">
        <f t="array" aca="1" ref="J1651" ca="1">SUMPRODUCT(IF((NOT(ISERROR(MATCH(ROW(INDIRECT(DATE(YEAR(B1651),MONTH(B1651),1)&amp;":"&amp;DATE(YEAR(B1651),MONTH(B1651)+1,0))),Feriados[Data],0))))=FALSE,
IF(WEEKDAY(ROW(INDIRECT(DATE(YEAR(B1651),MONTH(B1651),1)&amp;":"&amp;DATE(YEAR(B1651),MONTH(B1651)+1,0))),2)&lt;=5,1,IF(WEEKDAY(ROW(INDIRECT(DATE(YEAR(B1651),MONTH(B1651),1)&amp;":"&amp;DATE(YEAR(B1651),MONTH(B1651)+1,0))),2)=6,0.5,0)),0))</f>
        <v>25</v>
      </c>
      <c r="K1651" s="22" cm="1">
        <f t="array" ref="K1651">_xlfn.XLOOKUP(1,((Metas_Diarias[[#This Row],[tipo_equipe_id]]=Metas[equipe])*(Metas_Diarias[[#This Row],[data]]&gt;Metas[data_inicio])*(Metas_Diarias[[#This Row],[data]]&lt;Metas[data_fim])),Metas[meta_mensal],0)</f>
        <v>115500</v>
      </c>
      <c r="L1651" s="24">
        <f ca="1">Metas_Diarias[[#This Row],[meta_mensal]]*IF(Metas_Diarias[[#This Row],[semana]]="domingo",0,Metas_Diarias[[#This Row],[semana]])*IF(Metas_Diarias[[#This Row],[feriado]]&lt;&gt;1,0,1)/Metas_Diarias[[#This Row],[dias_úteis_Mês]]</f>
        <v>2310</v>
      </c>
    </row>
    <row r="1652" spans="2:12" x14ac:dyDescent="0.3">
      <c r="B1652" s="34">
        <v>46208</v>
      </c>
      <c r="C1652" s="34" t="str">
        <f>TEXT(Metas_Diarias[[#This Row],[data]],"dddd")</f>
        <v>domingo</v>
      </c>
      <c r="D1652" s="33">
        <v>2</v>
      </c>
      <c r="E1652" s="33">
        <v>2</v>
      </c>
      <c r="F1652" s="18"/>
      <c r="G1652" s="35">
        <f>WEEKDAY(Metas_Diarias[[#This Row],[data]])</f>
        <v>1</v>
      </c>
      <c r="H1652" s="35" t="str">
        <f>IF(Metas_Diarias[[#This Row],[dias_da_demana]]=1,"domingo",IF(Metas_Diarias[[#This Row],[dias_da_demana]]=7,0.5,1))</f>
        <v>domingo</v>
      </c>
      <c r="I1652" s="35">
        <f>_xlfn.XLOOKUP(Metas_Diarias[[#This Row],[data]],Feriados[Data],Feriados[Feriado],1)</f>
        <v>1</v>
      </c>
      <c r="J1652" s="33" cm="1">
        <f t="array" aca="1" ref="J1652" ca="1">SUMPRODUCT(IF((NOT(ISERROR(MATCH(ROW(INDIRECT(DATE(YEAR(B1652),MONTH(B1652),1)&amp;":"&amp;DATE(YEAR(B1652),MONTH(B1652)+1,0))),Feriados[Data],0))))=FALSE,
IF(WEEKDAY(ROW(INDIRECT(DATE(YEAR(B1652),MONTH(B1652),1)&amp;":"&amp;DATE(YEAR(B1652),MONTH(B1652)+1,0))),2)&lt;=5,1,IF(WEEKDAY(ROW(INDIRECT(DATE(YEAR(B1652),MONTH(B1652),1)&amp;":"&amp;DATE(YEAR(B1652),MONTH(B1652)+1,0))),2)=6,0.5,0)),0))</f>
        <v>25</v>
      </c>
      <c r="K1652" s="22" cm="1">
        <f t="array" ref="K1652">_xlfn.XLOOKUP(1,((Metas_Diarias[[#This Row],[tipo_equipe_id]]=Metas[equipe])*(Metas_Diarias[[#This Row],[data]]&gt;Metas[data_inicio])*(Metas_Diarias[[#This Row],[data]]&lt;Metas[data_fim])),Metas[meta_mensal],0)</f>
        <v>115500</v>
      </c>
      <c r="L16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53" spans="2:12" x14ac:dyDescent="0.3">
      <c r="B1653" s="34">
        <v>46209</v>
      </c>
      <c r="C1653" s="34" t="str">
        <f>TEXT(Metas_Diarias[[#This Row],[data]],"dddd")</f>
        <v>segunda-feira</v>
      </c>
      <c r="D1653" s="33">
        <v>2</v>
      </c>
      <c r="E1653" s="33">
        <v>2</v>
      </c>
      <c r="F1653" s="18"/>
      <c r="G1653" s="35">
        <f>WEEKDAY(Metas_Diarias[[#This Row],[data]])</f>
        <v>2</v>
      </c>
      <c r="H1653" s="35">
        <f>IF(Metas_Diarias[[#This Row],[dias_da_demana]]=1,"domingo",IF(Metas_Diarias[[#This Row],[dias_da_demana]]=7,0.5,1))</f>
        <v>1</v>
      </c>
      <c r="I1653" s="35">
        <f>_xlfn.XLOOKUP(Metas_Diarias[[#This Row],[data]],Feriados[Data],Feriados[Feriado],1)</f>
        <v>1</v>
      </c>
      <c r="J1653" s="33" cm="1">
        <f t="array" aca="1" ref="J1653" ca="1">SUMPRODUCT(IF((NOT(ISERROR(MATCH(ROW(INDIRECT(DATE(YEAR(B1653),MONTH(B1653),1)&amp;":"&amp;DATE(YEAR(B1653),MONTH(B1653)+1,0))),Feriados[Data],0))))=FALSE,
IF(WEEKDAY(ROW(INDIRECT(DATE(YEAR(B1653),MONTH(B1653),1)&amp;":"&amp;DATE(YEAR(B1653),MONTH(B1653)+1,0))),2)&lt;=5,1,IF(WEEKDAY(ROW(INDIRECT(DATE(YEAR(B1653),MONTH(B1653),1)&amp;":"&amp;DATE(YEAR(B1653),MONTH(B1653)+1,0))),2)=6,0.5,0)),0))</f>
        <v>25</v>
      </c>
      <c r="K1653" s="22" cm="1">
        <f t="array" ref="K1653">_xlfn.XLOOKUP(1,((Metas_Diarias[[#This Row],[tipo_equipe_id]]=Metas[equipe])*(Metas_Diarias[[#This Row],[data]]&gt;Metas[data_inicio])*(Metas_Diarias[[#This Row],[data]]&lt;Metas[data_fim])),Metas[meta_mensal],0)</f>
        <v>115500</v>
      </c>
      <c r="L1653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54" spans="2:12" x14ac:dyDescent="0.3">
      <c r="B1654" s="34">
        <v>46210</v>
      </c>
      <c r="C1654" s="34" t="str">
        <f>TEXT(Metas_Diarias[[#This Row],[data]],"dddd")</f>
        <v>terça-feira</v>
      </c>
      <c r="D1654" s="33">
        <v>2</v>
      </c>
      <c r="E1654" s="33">
        <v>2</v>
      </c>
      <c r="F1654" s="18"/>
      <c r="G1654" s="35">
        <f>WEEKDAY(Metas_Diarias[[#This Row],[data]])</f>
        <v>3</v>
      </c>
      <c r="H1654" s="35">
        <f>IF(Metas_Diarias[[#This Row],[dias_da_demana]]=1,"domingo",IF(Metas_Diarias[[#This Row],[dias_da_demana]]=7,0.5,1))</f>
        <v>1</v>
      </c>
      <c r="I1654" s="35">
        <f>_xlfn.XLOOKUP(Metas_Diarias[[#This Row],[data]],Feriados[Data],Feriados[Feriado],1)</f>
        <v>1</v>
      </c>
      <c r="J1654" s="33" cm="1">
        <f t="array" aca="1" ref="J1654" ca="1">SUMPRODUCT(IF((NOT(ISERROR(MATCH(ROW(INDIRECT(DATE(YEAR(B1654),MONTH(B1654),1)&amp;":"&amp;DATE(YEAR(B1654),MONTH(B1654)+1,0))),Feriados[Data],0))))=FALSE,
IF(WEEKDAY(ROW(INDIRECT(DATE(YEAR(B1654),MONTH(B1654),1)&amp;":"&amp;DATE(YEAR(B1654),MONTH(B1654)+1,0))),2)&lt;=5,1,IF(WEEKDAY(ROW(INDIRECT(DATE(YEAR(B1654),MONTH(B1654),1)&amp;":"&amp;DATE(YEAR(B1654),MONTH(B1654)+1,0))),2)=6,0.5,0)),0))</f>
        <v>25</v>
      </c>
      <c r="K1654" s="22" cm="1">
        <f t="array" ref="K1654">_xlfn.XLOOKUP(1,((Metas_Diarias[[#This Row],[tipo_equipe_id]]=Metas[equipe])*(Metas_Diarias[[#This Row],[data]]&gt;Metas[data_inicio])*(Metas_Diarias[[#This Row],[data]]&lt;Metas[data_fim])),Metas[meta_mensal],0)</f>
        <v>115500</v>
      </c>
      <c r="L1654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55" spans="2:12" x14ac:dyDescent="0.3">
      <c r="B1655" s="34">
        <v>46211</v>
      </c>
      <c r="C1655" s="34" t="str">
        <f>TEXT(Metas_Diarias[[#This Row],[data]],"dddd")</f>
        <v>quarta-feira</v>
      </c>
      <c r="D1655" s="33">
        <v>2</v>
      </c>
      <c r="E1655" s="33">
        <v>2</v>
      </c>
      <c r="F1655" s="18"/>
      <c r="G1655" s="35">
        <f>WEEKDAY(Metas_Diarias[[#This Row],[data]])</f>
        <v>4</v>
      </c>
      <c r="H1655" s="35">
        <f>IF(Metas_Diarias[[#This Row],[dias_da_demana]]=1,"domingo",IF(Metas_Diarias[[#This Row],[dias_da_demana]]=7,0.5,1))</f>
        <v>1</v>
      </c>
      <c r="I1655" s="35">
        <f>_xlfn.XLOOKUP(Metas_Diarias[[#This Row],[data]],Feriados[Data],Feriados[Feriado],1)</f>
        <v>1</v>
      </c>
      <c r="J1655" s="33" cm="1">
        <f t="array" aca="1" ref="J1655" ca="1">SUMPRODUCT(IF((NOT(ISERROR(MATCH(ROW(INDIRECT(DATE(YEAR(B1655),MONTH(B1655),1)&amp;":"&amp;DATE(YEAR(B1655),MONTH(B1655)+1,0))),Feriados[Data],0))))=FALSE,
IF(WEEKDAY(ROW(INDIRECT(DATE(YEAR(B1655),MONTH(B1655),1)&amp;":"&amp;DATE(YEAR(B1655),MONTH(B1655)+1,0))),2)&lt;=5,1,IF(WEEKDAY(ROW(INDIRECT(DATE(YEAR(B1655),MONTH(B1655),1)&amp;":"&amp;DATE(YEAR(B1655),MONTH(B1655)+1,0))),2)=6,0.5,0)),0))</f>
        <v>25</v>
      </c>
      <c r="K1655" s="22" cm="1">
        <f t="array" ref="K1655">_xlfn.XLOOKUP(1,((Metas_Diarias[[#This Row],[tipo_equipe_id]]=Metas[equipe])*(Metas_Diarias[[#This Row],[data]]&gt;Metas[data_inicio])*(Metas_Diarias[[#This Row],[data]]&lt;Metas[data_fim])),Metas[meta_mensal],0)</f>
        <v>115500</v>
      </c>
      <c r="L1655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56" spans="2:12" x14ac:dyDescent="0.3">
      <c r="B1656" s="34">
        <v>46212</v>
      </c>
      <c r="C1656" s="34" t="str">
        <f>TEXT(Metas_Diarias[[#This Row],[data]],"dddd")</f>
        <v>quinta-feira</v>
      </c>
      <c r="D1656" s="33">
        <v>2</v>
      </c>
      <c r="E1656" s="33">
        <v>2</v>
      </c>
      <c r="F1656" s="18"/>
      <c r="G1656" s="35">
        <f>WEEKDAY(Metas_Diarias[[#This Row],[data]])</f>
        <v>5</v>
      </c>
      <c r="H1656" s="35">
        <f>IF(Metas_Diarias[[#This Row],[dias_da_demana]]=1,"domingo",IF(Metas_Diarias[[#This Row],[dias_da_demana]]=7,0.5,1))</f>
        <v>1</v>
      </c>
      <c r="I1656" s="35">
        <f>_xlfn.XLOOKUP(Metas_Diarias[[#This Row],[data]],Feriados[Data],Feriados[Feriado],1)</f>
        <v>1</v>
      </c>
      <c r="J1656" s="33" cm="1">
        <f t="array" aca="1" ref="J1656" ca="1">SUMPRODUCT(IF((NOT(ISERROR(MATCH(ROW(INDIRECT(DATE(YEAR(B1656),MONTH(B1656),1)&amp;":"&amp;DATE(YEAR(B1656),MONTH(B1656)+1,0))),Feriados[Data],0))))=FALSE,
IF(WEEKDAY(ROW(INDIRECT(DATE(YEAR(B1656),MONTH(B1656),1)&amp;":"&amp;DATE(YEAR(B1656),MONTH(B1656)+1,0))),2)&lt;=5,1,IF(WEEKDAY(ROW(INDIRECT(DATE(YEAR(B1656),MONTH(B1656),1)&amp;":"&amp;DATE(YEAR(B1656),MONTH(B1656)+1,0))),2)=6,0.5,0)),0))</f>
        <v>25</v>
      </c>
      <c r="K1656" s="22" cm="1">
        <f t="array" ref="K1656">_xlfn.XLOOKUP(1,((Metas_Diarias[[#This Row],[tipo_equipe_id]]=Metas[equipe])*(Metas_Diarias[[#This Row],[data]]&gt;Metas[data_inicio])*(Metas_Diarias[[#This Row],[data]]&lt;Metas[data_fim])),Metas[meta_mensal],0)</f>
        <v>115500</v>
      </c>
      <c r="L1656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57" spans="2:12" x14ac:dyDescent="0.3">
      <c r="B1657" s="34">
        <v>46213</v>
      </c>
      <c r="C1657" s="34" t="str">
        <f>TEXT(Metas_Diarias[[#This Row],[data]],"dddd")</f>
        <v>sexta-feira</v>
      </c>
      <c r="D1657" s="33">
        <v>2</v>
      </c>
      <c r="E1657" s="33">
        <v>2</v>
      </c>
      <c r="F1657" s="18"/>
      <c r="G1657" s="35">
        <f>WEEKDAY(Metas_Diarias[[#This Row],[data]])</f>
        <v>6</v>
      </c>
      <c r="H1657" s="35">
        <f>IF(Metas_Diarias[[#This Row],[dias_da_demana]]=1,"domingo",IF(Metas_Diarias[[#This Row],[dias_da_demana]]=7,0.5,1))</f>
        <v>1</v>
      </c>
      <c r="I1657" s="35">
        <f>_xlfn.XLOOKUP(Metas_Diarias[[#This Row],[data]],Feriados[Data],Feriados[Feriado],1)</f>
        <v>1</v>
      </c>
      <c r="J1657" s="33" cm="1">
        <f t="array" aca="1" ref="J1657" ca="1">SUMPRODUCT(IF((NOT(ISERROR(MATCH(ROW(INDIRECT(DATE(YEAR(B1657),MONTH(B1657),1)&amp;":"&amp;DATE(YEAR(B1657),MONTH(B1657)+1,0))),Feriados[Data],0))))=FALSE,
IF(WEEKDAY(ROW(INDIRECT(DATE(YEAR(B1657),MONTH(B1657),1)&amp;":"&amp;DATE(YEAR(B1657),MONTH(B1657)+1,0))),2)&lt;=5,1,IF(WEEKDAY(ROW(INDIRECT(DATE(YEAR(B1657),MONTH(B1657),1)&amp;":"&amp;DATE(YEAR(B1657),MONTH(B1657)+1,0))),2)=6,0.5,0)),0))</f>
        <v>25</v>
      </c>
      <c r="K1657" s="22" cm="1">
        <f t="array" ref="K1657">_xlfn.XLOOKUP(1,((Metas_Diarias[[#This Row],[tipo_equipe_id]]=Metas[equipe])*(Metas_Diarias[[#This Row],[data]]&gt;Metas[data_inicio])*(Metas_Diarias[[#This Row],[data]]&lt;Metas[data_fim])),Metas[meta_mensal],0)</f>
        <v>115500</v>
      </c>
      <c r="L1657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58" spans="2:12" x14ac:dyDescent="0.3">
      <c r="B1658" s="34">
        <v>46214</v>
      </c>
      <c r="C1658" s="34" t="str">
        <f>TEXT(Metas_Diarias[[#This Row],[data]],"dddd")</f>
        <v>sábado</v>
      </c>
      <c r="D1658" s="33">
        <v>2</v>
      </c>
      <c r="E1658" s="33">
        <v>2</v>
      </c>
      <c r="F1658" s="18"/>
      <c r="G1658" s="35">
        <f>WEEKDAY(Metas_Diarias[[#This Row],[data]])</f>
        <v>7</v>
      </c>
      <c r="H1658" s="35">
        <f>IF(Metas_Diarias[[#This Row],[dias_da_demana]]=1,"domingo",IF(Metas_Diarias[[#This Row],[dias_da_demana]]=7,0.5,1))</f>
        <v>0.5</v>
      </c>
      <c r="I1658" s="35">
        <f>_xlfn.XLOOKUP(Metas_Diarias[[#This Row],[data]],Feriados[Data],Feriados[Feriado],1)</f>
        <v>1</v>
      </c>
      <c r="J1658" s="33" cm="1">
        <f t="array" aca="1" ref="J1658" ca="1">SUMPRODUCT(IF((NOT(ISERROR(MATCH(ROW(INDIRECT(DATE(YEAR(B1658),MONTH(B1658),1)&amp;":"&amp;DATE(YEAR(B1658),MONTH(B1658)+1,0))),Feriados[Data],0))))=FALSE,
IF(WEEKDAY(ROW(INDIRECT(DATE(YEAR(B1658),MONTH(B1658),1)&amp;":"&amp;DATE(YEAR(B1658),MONTH(B1658)+1,0))),2)&lt;=5,1,IF(WEEKDAY(ROW(INDIRECT(DATE(YEAR(B1658),MONTH(B1658),1)&amp;":"&amp;DATE(YEAR(B1658),MONTH(B1658)+1,0))),2)=6,0.5,0)),0))</f>
        <v>25</v>
      </c>
      <c r="K1658" s="22" cm="1">
        <f t="array" ref="K1658">_xlfn.XLOOKUP(1,((Metas_Diarias[[#This Row],[tipo_equipe_id]]=Metas[equipe])*(Metas_Diarias[[#This Row],[data]]&gt;Metas[data_inicio])*(Metas_Diarias[[#This Row],[data]]&lt;Metas[data_fim])),Metas[meta_mensal],0)</f>
        <v>115500</v>
      </c>
      <c r="L1658" s="24">
        <f ca="1">Metas_Diarias[[#This Row],[meta_mensal]]*IF(Metas_Diarias[[#This Row],[semana]]="domingo",0,Metas_Diarias[[#This Row],[semana]])*IF(Metas_Diarias[[#This Row],[feriado]]&lt;&gt;1,0,1)/Metas_Diarias[[#This Row],[dias_úteis_Mês]]</f>
        <v>2310</v>
      </c>
    </row>
    <row r="1659" spans="2:12" x14ac:dyDescent="0.3">
      <c r="B1659" s="34">
        <v>46215</v>
      </c>
      <c r="C1659" s="34" t="str">
        <f>TEXT(Metas_Diarias[[#This Row],[data]],"dddd")</f>
        <v>domingo</v>
      </c>
      <c r="D1659" s="33">
        <v>2</v>
      </c>
      <c r="E1659" s="33">
        <v>2</v>
      </c>
      <c r="F1659" s="18"/>
      <c r="G1659" s="35">
        <f>WEEKDAY(Metas_Diarias[[#This Row],[data]])</f>
        <v>1</v>
      </c>
      <c r="H1659" s="35" t="str">
        <f>IF(Metas_Diarias[[#This Row],[dias_da_demana]]=1,"domingo",IF(Metas_Diarias[[#This Row],[dias_da_demana]]=7,0.5,1))</f>
        <v>domingo</v>
      </c>
      <c r="I1659" s="35">
        <f>_xlfn.XLOOKUP(Metas_Diarias[[#This Row],[data]],Feriados[Data],Feriados[Feriado],1)</f>
        <v>1</v>
      </c>
      <c r="J1659" s="33" cm="1">
        <f t="array" aca="1" ref="J1659" ca="1">SUMPRODUCT(IF((NOT(ISERROR(MATCH(ROW(INDIRECT(DATE(YEAR(B1659),MONTH(B1659),1)&amp;":"&amp;DATE(YEAR(B1659),MONTH(B1659)+1,0))),Feriados[Data],0))))=FALSE,
IF(WEEKDAY(ROW(INDIRECT(DATE(YEAR(B1659),MONTH(B1659),1)&amp;":"&amp;DATE(YEAR(B1659),MONTH(B1659)+1,0))),2)&lt;=5,1,IF(WEEKDAY(ROW(INDIRECT(DATE(YEAR(B1659),MONTH(B1659),1)&amp;":"&amp;DATE(YEAR(B1659),MONTH(B1659)+1,0))),2)=6,0.5,0)),0))</f>
        <v>25</v>
      </c>
      <c r="K1659" s="22" cm="1">
        <f t="array" ref="K1659">_xlfn.XLOOKUP(1,((Metas_Diarias[[#This Row],[tipo_equipe_id]]=Metas[equipe])*(Metas_Diarias[[#This Row],[data]]&gt;Metas[data_inicio])*(Metas_Diarias[[#This Row],[data]]&lt;Metas[data_fim])),Metas[meta_mensal],0)</f>
        <v>115500</v>
      </c>
      <c r="L16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60" spans="2:12" x14ac:dyDescent="0.3">
      <c r="B1660" s="34">
        <v>46216</v>
      </c>
      <c r="C1660" s="34" t="str">
        <f>TEXT(Metas_Diarias[[#This Row],[data]],"dddd")</f>
        <v>segunda-feira</v>
      </c>
      <c r="D1660" s="33">
        <v>2</v>
      </c>
      <c r="E1660" s="33">
        <v>2</v>
      </c>
      <c r="F1660" s="18"/>
      <c r="G1660" s="35">
        <f>WEEKDAY(Metas_Diarias[[#This Row],[data]])</f>
        <v>2</v>
      </c>
      <c r="H1660" s="35">
        <f>IF(Metas_Diarias[[#This Row],[dias_da_demana]]=1,"domingo",IF(Metas_Diarias[[#This Row],[dias_da_demana]]=7,0.5,1))</f>
        <v>1</v>
      </c>
      <c r="I1660" s="35">
        <f>_xlfn.XLOOKUP(Metas_Diarias[[#This Row],[data]],Feriados[Data],Feriados[Feriado],1)</f>
        <v>1</v>
      </c>
      <c r="J1660" s="33" cm="1">
        <f t="array" aca="1" ref="J1660" ca="1">SUMPRODUCT(IF((NOT(ISERROR(MATCH(ROW(INDIRECT(DATE(YEAR(B1660),MONTH(B1660),1)&amp;":"&amp;DATE(YEAR(B1660),MONTH(B1660)+1,0))),Feriados[Data],0))))=FALSE,
IF(WEEKDAY(ROW(INDIRECT(DATE(YEAR(B1660),MONTH(B1660),1)&amp;":"&amp;DATE(YEAR(B1660),MONTH(B1660)+1,0))),2)&lt;=5,1,IF(WEEKDAY(ROW(INDIRECT(DATE(YEAR(B1660),MONTH(B1660),1)&amp;":"&amp;DATE(YEAR(B1660),MONTH(B1660)+1,0))),2)=6,0.5,0)),0))</f>
        <v>25</v>
      </c>
      <c r="K1660" s="22" cm="1">
        <f t="array" ref="K1660">_xlfn.XLOOKUP(1,((Metas_Diarias[[#This Row],[tipo_equipe_id]]=Metas[equipe])*(Metas_Diarias[[#This Row],[data]]&gt;Metas[data_inicio])*(Metas_Diarias[[#This Row],[data]]&lt;Metas[data_fim])),Metas[meta_mensal],0)</f>
        <v>115500</v>
      </c>
      <c r="L1660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61" spans="2:12" x14ac:dyDescent="0.3">
      <c r="B1661" s="34">
        <v>46217</v>
      </c>
      <c r="C1661" s="34" t="str">
        <f>TEXT(Metas_Diarias[[#This Row],[data]],"dddd")</f>
        <v>terça-feira</v>
      </c>
      <c r="D1661" s="33">
        <v>2</v>
      </c>
      <c r="E1661" s="33">
        <v>2</v>
      </c>
      <c r="F1661" s="18"/>
      <c r="G1661" s="35">
        <f>WEEKDAY(Metas_Diarias[[#This Row],[data]])</f>
        <v>3</v>
      </c>
      <c r="H1661" s="35">
        <f>IF(Metas_Diarias[[#This Row],[dias_da_demana]]=1,"domingo",IF(Metas_Diarias[[#This Row],[dias_da_demana]]=7,0.5,1))</f>
        <v>1</v>
      </c>
      <c r="I1661" s="35">
        <f>_xlfn.XLOOKUP(Metas_Diarias[[#This Row],[data]],Feriados[Data],Feriados[Feriado],1)</f>
        <v>1</v>
      </c>
      <c r="J1661" s="33" cm="1">
        <f t="array" aca="1" ref="J1661" ca="1">SUMPRODUCT(IF((NOT(ISERROR(MATCH(ROW(INDIRECT(DATE(YEAR(B1661),MONTH(B1661),1)&amp;":"&amp;DATE(YEAR(B1661),MONTH(B1661)+1,0))),Feriados[Data],0))))=FALSE,
IF(WEEKDAY(ROW(INDIRECT(DATE(YEAR(B1661),MONTH(B1661),1)&amp;":"&amp;DATE(YEAR(B1661),MONTH(B1661)+1,0))),2)&lt;=5,1,IF(WEEKDAY(ROW(INDIRECT(DATE(YEAR(B1661),MONTH(B1661),1)&amp;":"&amp;DATE(YEAR(B1661),MONTH(B1661)+1,0))),2)=6,0.5,0)),0))</f>
        <v>25</v>
      </c>
      <c r="K1661" s="22" cm="1">
        <f t="array" ref="K1661">_xlfn.XLOOKUP(1,((Metas_Diarias[[#This Row],[tipo_equipe_id]]=Metas[equipe])*(Metas_Diarias[[#This Row],[data]]&gt;Metas[data_inicio])*(Metas_Diarias[[#This Row],[data]]&lt;Metas[data_fim])),Metas[meta_mensal],0)</f>
        <v>115500</v>
      </c>
      <c r="L1661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62" spans="2:12" x14ac:dyDescent="0.3">
      <c r="B1662" s="34">
        <v>46218</v>
      </c>
      <c r="C1662" s="34" t="str">
        <f>TEXT(Metas_Diarias[[#This Row],[data]],"dddd")</f>
        <v>quarta-feira</v>
      </c>
      <c r="D1662" s="33">
        <v>2</v>
      </c>
      <c r="E1662" s="33">
        <v>2</v>
      </c>
      <c r="F1662" s="18"/>
      <c r="G1662" s="35">
        <f>WEEKDAY(Metas_Diarias[[#This Row],[data]])</f>
        <v>4</v>
      </c>
      <c r="H1662" s="35">
        <f>IF(Metas_Diarias[[#This Row],[dias_da_demana]]=1,"domingo",IF(Metas_Diarias[[#This Row],[dias_da_demana]]=7,0.5,1))</f>
        <v>1</v>
      </c>
      <c r="I1662" s="35">
        <f>_xlfn.XLOOKUP(Metas_Diarias[[#This Row],[data]],Feriados[Data],Feriados[Feriado],1)</f>
        <v>1</v>
      </c>
      <c r="J1662" s="33" cm="1">
        <f t="array" aca="1" ref="J1662" ca="1">SUMPRODUCT(IF((NOT(ISERROR(MATCH(ROW(INDIRECT(DATE(YEAR(B1662),MONTH(B1662),1)&amp;":"&amp;DATE(YEAR(B1662),MONTH(B1662)+1,0))),Feriados[Data],0))))=FALSE,
IF(WEEKDAY(ROW(INDIRECT(DATE(YEAR(B1662),MONTH(B1662),1)&amp;":"&amp;DATE(YEAR(B1662),MONTH(B1662)+1,0))),2)&lt;=5,1,IF(WEEKDAY(ROW(INDIRECT(DATE(YEAR(B1662),MONTH(B1662),1)&amp;":"&amp;DATE(YEAR(B1662),MONTH(B1662)+1,0))),2)=6,0.5,0)),0))</f>
        <v>25</v>
      </c>
      <c r="K1662" s="22" cm="1">
        <f t="array" ref="K1662">_xlfn.XLOOKUP(1,((Metas_Diarias[[#This Row],[tipo_equipe_id]]=Metas[equipe])*(Metas_Diarias[[#This Row],[data]]&gt;Metas[data_inicio])*(Metas_Diarias[[#This Row],[data]]&lt;Metas[data_fim])),Metas[meta_mensal],0)</f>
        <v>115500</v>
      </c>
      <c r="L1662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63" spans="2:12" x14ac:dyDescent="0.3">
      <c r="B1663" s="34">
        <v>46219</v>
      </c>
      <c r="C1663" s="34" t="str">
        <f>TEXT(Metas_Diarias[[#This Row],[data]],"dddd")</f>
        <v>quinta-feira</v>
      </c>
      <c r="D1663" s="33">
        <v>2</v>
      </c>
      <c r="E1663" s="33">
        <v>2</v>
      </c>
      <c r="F1663" s="18"/>
      <c r="G1663" s="35">
        <f>WEEKDAY(Metas_Diarias[[#This Row],[data]])</f>
        <v>5</v>
      </c>
      <c r="H1663" s="35">
        <f>IF(Metas_Diarias[[#This Row],[dias_da_demana]]=1,"domingo",IF(Metas_Diarias[[#This Row],[dias_da_demana]]=7,0.5,1))</f>
        <v>1</v>
      </c>
      <c r="I1663" s="35">
        <f>_xlfn.XLOOKUP(Metas_Diarias[[#This Row],[data]],Feriados[Data],Feriados[Feriado],1)</f>
        <v>1</v>
      </c>
      <c r="J1663" s="33" cm="1">
        <f t="array" aca="1" ref="J1663" ca="1">SUMPRODUCT(IF((NOT(ISERROR(MATCH(ROW(INDIRECT(DATE(YEAR(B1663),MONTH(B1663),1)&amp;":"&amp;DATE(YEAR(B1663),MONTH(B1663)+1,0))),Feriados[Data],0))))=FALSE,
IF(WEEKDAY(ROW(INDIRECT(DATE(YEAR(B1663),MONTH(B1663),1)&amp;":"&amp;DATE(YEAR(B1663),MONTH(B1663)+1,0))),2)&lt;=5,1,IF(WEEKDAY(ROW(INDIRECT(DATE(YEAR(B1663),MONTH(B1663),1)&amp;":"&amp;DATE(YEAR(B1663),MONTH(B1663)+1,0))),2)=6,0.5,0)),0))</f>
        <v>25</v>
      </c>
      <c r="K1663" s="22" cm="1">
        <f t="array" ref="K1663">_xlfn.XLOOKUP(1,((Metas_Diarias[[#This Row],[tipo_equipe_id]]=Metas[equipe])*(Metas_Diarias[[#This Row],[data]]&gt;Metas[data_inicio])*(Metas_Diarias[[#This Row],[data]]&lt;Metas[data_fim])),Metas[meta_mensal],0)</f>
        <v>115500</v>
      </c>
      <c r="L1663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64" spans="2:12" x14ac:dyDescent="0.3">
      <c r="B1664" s="34">
        <v>46220</v>
      </c>
      <c r="C1664" s="34" t="str">
        <f>TEXT(Metas_Diarias[[#This Row],[data]],"dddd")</f>
        <v>sexta-feira</v>
      </c>
      <c r="D1664" s="33">
        <v>2</v>
      </c>
      <c r="E1664" s="33">
        <v>2</v>
      </c>
      <c r="F1664" s="18"/>
      <c r="G1664" s="35">
        <f>WEEKDAY(Metas_Diarias[[#This Row],[data]])</f>
        <v>6</v>
      </c>
      <c r="H1664" s="35">
        <f>IF(Metas_Diarias[[#This Row],[dias_da_demana]]=1,"domingo",IF(Metas_Diarias[[#This Row],[dias_da_demana]]=7,0.5,1))</f>
        <v>1</v>
      </c>
      <c r="I1664" s="35">
        <f>_xlfn.XLOOKUP(Metas_Diarias[[#This Row],[data]],Feriados[Data],Feriados[Feriado],1)</f>
        <v>1</v>
      </c>
      <c r="J1664" s="33" cm="1">
        <f t="array" aca="1" ref="J1664" ca="1">SUMPRODUCT(IF((NOT(ISERROR(MATCH(ROW(INDIRECT(DATE(YEAR(B1664),MONTH(B1664),1)&amp;":"&amp;DATE(YEAR(B1664),MONTH(B1664)+1,0))),Feriados[Data],0))))=FALSE,
IF(WEEKDAY(ROW(INDIRECT(DATE(YEAR(B1664),MONTH(B1664),1)&amp;":"&amp;DATE(YEAR(B1664),MONTH(B1664)+1,0))),2)&lt;=5,1,IF(WEEKDAY(ROW(INDIRECT(DATE(YEAR(B1664),MONTH(B1664),1)&amp;":"&amp;DATE(YEAR(B1664),MONTH(B1664)+1,0))),2)=6,0.5,0)),0))</f>
        <v>25</v>
      </c>
      <c r="K1664" s="22" cm="1">
        <f t="array" ref="K1664">_xlfn.XLOOKUP(1,((Metas_Diarias[[#This Row],[tipo_equipe_id]]=Metas[equipe])*(Metas_Diarias[[#This Row],[data]]&gt;Metas[data_inicio])*(Metas_Diarias[[#This Row],[data]]&lt;Metas[data_fim])),Metas[meta_mensal],0)</f>
        <v>115500</v>
      </c>
      <c r="L1664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65" spans="2:12" x14ac:dyDescent="0.3">
      <c r="B1665" s="34">
        <v>46221</v>
      </c>
      <c r="C1665" s="34" t="str">
        <f>TEXT(Metas_Diarias[[#This Row],[data]],"dddd")</f>
        <v>sábado</v>
      </c>
      <c r="D1665" s="33">
        <v>2</v>
      </c>
      <c r="E1665" s="33">
        <v>2</v>
      </c>
      <c r="F1665" s="18"/>
      <c r="G1665" s="35">
        <f>WEEKDAY(Metas_Diarias[[#This Row],[data]])</f>
        <v>7</v>
      </c>
      <c r="H1665" s="35">
        <f>IF(Metas_Diarias[[#This Row],[dias_da_demana]]=1,"domingo",IF(Metas_Diarias[[#This Row],[dias_da_demana]]=7,0.5,1))</f>
        <v>0.5</v>
      </c>
      <c r="I1665" s="35">
        <f>_xlfn.XLOOKUP(Metas_Diarias[[#This Row],[data]],Feriados[Data],Feriados[Feriado],1)</f>
        <v>1</v>
      </c>
      <c r="J1665" s="33" cm="1">
        <f t="array" aca="1" ref="J1665" ca="1">SUMPRODUCT(IF((NOT(ISERROR(MATCH(ROW(INDIRECT(DATE(YEAR(B1665),MONTH(B1665),1)&amp;":"&amp;DATE(YEAR(B1665),MONTH(B1665)+1,0))),Feriados[Data],0))))=FALSE,
IF(WEEKDAY(ROW(INDIRECT(DATE(YEAR(B1665),MONTH(B1665),1)&amp;":"&amp;DATE(YEAR(B1665),MONTH(B1665)+1,0))),2)&lt;=5,1,IF(WEEKDAY(ROW(INDIRECT(DATE(YEAR(B1665),MONTH(B1665),1)&amp;":"&amp;DATE(YEAR(B1665),MONTH(B1665)+1,0))),2)=6,0.5,0)),0))</f>
        <v>25</v>
      </c>
      <c r="K1665" s="22" cm="1">
        <f t="array" ref="K1665">_xlfn.XLOOKUP(1,((Metas_Diarias[[#This Row],[tipo_equipe_id]]=Metas[equipe])*(Metas_Diarias[[#This Row],[data]]&gt;Metas[data_inicio])*(Metas_Diarias[[#This Row],[data]]&lt;Metas[data_fim])),Metas[meta_mensal],0)</f>
        <v>115500</v>
      </c>
      <c r="L1665" s="24">
        <f ca="1">Metas_Diarias[[#This Row],[meta_mensal]]*IF(Metas_Diarias[[#This Row],[semana]]="domingo",0,Metas_Diarias[[#This Row],[semana]])*IF(Metas_Diarias[[#This Row],[feriado]]&lt;&gt;1,0,1)/Metas_Diarias[[#This Row],[dias_úteis_Mês]]</f>
        <v>2310</v>
      </c>
    </row>
    <row r="1666" spans="2:12" x14ac:dyDescent="0.3">
      <c r="B1666" s="34">
        <v>46222</v>
      </c>
      <c r="C1666" s="34" t="str">
        <f>TEXT(Metas_Diarias[[#This Row],[data]],"dddd")</f>
        <v>domingo</v>
      </c>
      <c r="D1666" s="33">
        <v>2</v>
      </c>
      <c r="E1666" s="33">
        <v>2</v>
      </c>
      <c r="F1666" s="18"/>
      <c r="G1666" s="35">
        <f>WEEKDAY(Metas_Diarias[[#This Row],[data]])</f>
        <v>1</v>
      </c>
      <c r="H1666" s="35" t="str">
        <f>IF(Metas_Diarias[[#This Row],[dias_da_demana]]=1,"domingo",IF(Metas_Diarias[[#This Row],[dias_da_demana]]=7,0.5,1))</f>
        <v>domingo</v>
      </c>
      <c r="I1666" s="35">
        <f>_xlfn.XLOOKUP(Metas_Diarias[[#This Row],[data]],Feriados[Data],Feriados[Feriado],1)</f>
        <v>1</v>
      </c>
      <c r="J1666" s="33" cm="1">
        <f t="array" aca="1" ref="J1666" ca="1">SUMPRODUCT(IF((NOT(ISERROR(MATCH(ROW(INDIRECT(DATE(YEAR(B1666),MONTH(B1666),1)&amp;":"&amp;DATE(YEAR(B1666),MONTH(B1666)+1,0))),Feriados[Data],0))))=FALSE,
IF(WEEKDAY(ROW(INDIRECT(DATE(YEAR(B1666),MONTH(B1666),1)&amp;":"&amp;DATE(YEAR(B1666),MONTH(B1666)+1,0))),2)&lt;=5,1,IF(WEEKDAY(ROW(INDIRECT(DATE(YEAR(B1666),MONTH(B1666),1)&amp;":"&amp;DATE(YEAR(B1666),MONTH(B1666)+1,0))),2)=6,0.5,0)),0))</f>
        <v>25</v>
      </c>
      <c r="K1666" s="22" cm="1">
        <f t="array" ref="K1666">_xlfn.XLOOKUP(1,((Metas_Diarias[[#This Row],[tipo_equipe_id]]=Metas[equipe])*(Metas_Diarias[[#This Row],[data]]&gt;Metas[data_inicio])*(Metas_Diarias[[#This Row],[data]]&lt;Metas[data_fim])),Metas[meta_mensal],0)</f>
        <v>115500</v>
      </c>
      <c r="L16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67" spans="2:12" x14ac:dyDescent="0.3">
      <c r="B1667" s="34">
        <v>46223</v>
      </c>
      <c r="C1667" s="34" t="str">
        <f>TEXT(Metas_Diarias[[#This Row],[data]],"dddd")</f>
        <v>segunda-feira</v>
      </c>
      <c r="D1667" s="33">
        <v>2</v>
      </c>
      <c r="E1667" s="33">
        <v>2</v>
      </c>
      <c r="F1667" s="18"/>
      <c r="G1667" s="35">
        <f>WEEKDAY(Metas_Diarias[[#This Row],[data]])</f>
        <v>2</v>
      </c>
      <c r="H1667" s="35">
        <f>IF(Metas_Diarias[[#This Row],[dias_da_demana]]=1,"domingo",IF(Metas_Diarias[[#This Row],[dias_da_demana]]=7,0.5,1))</f>
        <v>1</v>
      </c>
      <c r="I1667" s="35">
        <f>_xlfn.XLOOKUP(Metas_Diarias[[#This Row],[data]],Feriados[Data],Feriados[Feriado],1)</f>
        <v>1</v>
      </c>
      <c r="J1667" s="33" cm="1">
        <f t="array" aca="1" ref="J1667" ca="1">SUMPRODUCT(IF((NOT(ISERROR(MATCH(ROW(INDIRECT(DATE(YEAR(B1667),MONTH(B1667),1)&amp;":"&amp;DATE(YEAR(B1667),MONTH(B1667)+1,0))),Feriados[Data],0))))=FALSE,
IF(WEEKDAY(ROW(INDIRECT(DATE(YEAR(B1667),MONTH(B1667),1)&amp;":"&amp;DATE(YEAR(B1667),MONTH(B1667)+1,0))),2)&lt;=5,1,IF(WEEKDAY(ROW(INDIRECT(DATE(YEAR(B1667),MONTH(B1667),1)&amp;":"&amp;DATE(YEAR(B1667),MONTH(B1667)+1,0))),2)=6,0.5,0)),0))</f>
        <v>25</v>
      </c>
      <c r="K1667" s="22" cm="1">
        <f t="array" ref="K1667">_xlfn.XLOOKUP(1,((Metas_Diarias[[#This Row],[tipo_equipe_id]]=Metas[equipe])*(Metas_Diarias[[#This Row],[data]]&gt;Metas[data_inicio])*(Metas_Diarias[[#This Row],[data]]&lt;Metas[data_fim])),Metas[meta_mensal],0)</f>
        <v>115500</v>
      </c>
      <c r="L1667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68" spans="2:12" x14ac:dyDescent="0.3">
      <c r="B1668" s="34">
        <v>46224</v>
      </c>
      <c r="C1668" s="34" t="str">
        <f>TEXT(Metas_Diarias[[#This Row],[data]],"dddd")</f>
        <v>terça-feira</v>
      </c>
      <c r="D1668" s="33">
        <v>2</v>
      </c>
      <c r="E1668" s="33">
        <v>2</v>
      </c>
      <c r="F1668" s="18"/>
      <c r="G1668" s="35">
        <f>WEEKDAY(Metas_Diarias[[#This Row],[data]])</f>
        <v>3</v>
      </c>
      <c r="H1668" s="35">
        <f>IF(Metas_Diarias[[#This Row],[dias_da_demana]]=1,"domingo",IF(Metas_Diarias[[#This Row],[dias_da_demana]]=7,0.5,1))</f>
        <v>1</v>
      </c>
      <c r="I1668" s="35">
        <f>_xlfn.XLOOKUP(Metas_Diarias[[#This Row],[data]],Feriados[Data],Feriados[Feriado],1)</f>
        <v>1</v>
      </c>
      <c r="J1668" s="33" cm="1">
        <f t="array" aca="1" ref="J1668" ca="1">SUMPRODUCT(IF((NOT(ISERROR(MATCH(ROW(INDIRECT(DATE(YEAR(B1668),MONTH(B1668),1)&amp;":"&amp;DATE(YEAR(B1668),MONTH(B1668)+1,0))),Feriados[Data],0))))=FALSE,
IF(WEEKDAY(ROW(INDIRECT(DATE(YEAR(B1668),MONTH(B1668),1)&amp;":"&amp;DATE(YEAR(B1668),MONTH(B1668)+1,0))),2)&lt;=5,1,IF(WEEKDAY(ROW(INDIRECT(DATE(YEAR(B1668),MONTH(B1668),1)&amp;":"&amp;DATE(YEAR(B1668),MONTH(B1668)+1,0))),2)=6,0.5,0)),0))</f>
        <v>25</v>
      </c>
      <c r="K1668" s="22" cm="1">
        <f t="array" ref="K1668">_xlfn.XLOOKUP(1,((Metas_Diarias[[#This Row],[tipo_equipe_id]]=Metas[equipe])*(Metas_Diarias[[#This Row],[data]]&gt;Metas[data_inicio])*(Metas_Diarias[[#This Row],[data]]&lt;Metas[data_fim])),Metas[meta_mensal],0)</f>
        <v>115500</v>
      </c>
      <c r="L1668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69" spans="2:12" x14ac:dyDescent="0.3">
      <c r="B1669" s="34">
        <v>46225</v>
      </c>
      <c r="C1669" s="34" t="str">
        <f>TEXT(Metas_Diarias[[#This Row],[data]],"dddd")</f>
        <v>quarta-feira</v>
      </c>
      <c r="D1669" s="33">
        <v>2</v>
      </c>
      <c r="E1669" s="33">
        <v>2</v>
      </c>
      <c r="F1669" s="18"/>
      <c r="G1669" s="35">
        <f>WEEKDAY(Metas_Diarias[[#This Row],[data]])</f>
        <v>4</v>
      </c>
      <c r="H1669" s="35">
        <f>IF(Metas_Diarias[[#This Row],[dias_da_demana]]=1,"domingo",IF(Metas_Diarias[[#This Row],[dias_da_demana]]=7,0.5,1))</f>
        <v>1</v>
      </c>
      <c r="I1669" s="35">
        <f>_xlfn.XLOOKUP(Metas_Diarias[[#This Row],[data]],Feriados[Data],Feriados[Feriado],1)</f>
        <v>1</v>
      </c>
      <c r="J1669" s="33" cm="1">
        <f t="array" aca="1" ref="J1669" ca="1">SUMPRODUCT(IF((NOT(ISERROR(MATCH(ROW(INDIRECT(DATE(YEAR(B1669),MONTH(B1669),1)&amp;":"&amp;DATE(YEAR(B1669),MONTH(B1669)+1,0))),Feriados[Data],0))))=FALSE,
IF(WEEKDAY(ROW(INDIRECT(DATE(YEAR(B1669),MONTH(B1669),1)&amp;":"&amp;DATE(YEAR(B1669),MONTH(B1669)+1,0))),2)&lt;=5,1,IF(WEEKDAY(ROW(INDIRECT(DATE(YEAR(B1669),MONTH(B1669),1)&amp;":"&amp;DATE(YEAR(B1669),MONTH(B1669)+1,0))),2)=6,0.5,0)),0))</f>
        <v>25</v>
      </c>
      <c r="K1669" s="22" cm="1">
        <f t="array" ref="K1669">_xlfn.XLOOKUP(1,((Metas_Diarias[[#This Row],[tipo_equipe_id]]=Metas[equipe])*(Metas_Diarias[[#This Row],[data]]&gt;Metas[data_inicio])*(Metas_Diarias[[#This Row],[data]]&lt;Metas[data_fim])),Metas[meta_mensal],0)</f>
        <v>115500</v>
      </c>
      <c r="L1669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70" spans="2:12" x14ac:dyDescent="0.3">
      <c r="B1670" s="34">
        <v>46226</v>
      </c>
      <c r="C1670" s="34" t="str">
        <f>TEXT(Metas_Diarias[[#This Row],[data]],"dddd")</f>
        <v>quinta-feira</v>
      </c>
      <c r="D1670" s="33">
        <v>2</v>
      </c>
      <c r="E1670" s="33">
        <v>2</v>
      </c>
      <c r="F1670" s="18"/>
      <c r="G1670" s="35">
        <f>WEEKDAY(Metas_Diarias[[#This Row],[data]])</f>
        <v>5</v>
      </c>
      <c r="H1670" s="35">
        <f>IF(Metas_Diarias[[#This Row],[dias_da_demana]]=1,"domingo",IF(Metas_Diarias[[#This Row],[dias_da_demana]]=7,0.5,1))</f>
        <v>1</v>
      </c>
      <c r="I1670" s="35">
        <f>_xlfn.XLOOKUP(Metas_Diarias[[#This Row],[data]],Feriados[Data],Feriados[Feriado],1)</f>
        <v>1</v>
      </c>
      <c r="J1670" s="33" cm="1">
        <f t="array" aca="1" ref="J1670" ca="1">SUMPRODUCT(IF((NOT(ISERROR(MATCH(ROW(INDIRECT(DATE(YEAR(B1670),MONTH(B1670),1)&amp;":"&amp;DATE(YEAR(B1670),MONTH(B1670)+1,0))),Feriados[Data],0))))=FALSE,
IF(WEEKDAY(ROW(INDIRECT(DATE(YEAR(B1670),MONTH(B1670),1)&amp;":"&amp;DATE(YEAR(B1670),MONTH(B1670)+1,0))),2)&lt;=5,1,IF(WEEKDAY(ROW(INDIRECT(DATE(YEAR(B1670),MONTH(B1670),1)&amp;":"&amp;DATE(YEAR(B1670),MONTH(B1670)+1,0))),2)=6,0.5,0)),0))</f>
        <v>25</v>
      </c>
      <c r="K1670" s="22" cm="1">
        <f t="array" ref="K1670">_xlfn.XLOOKUP(1,((Metas_Diarias[[#This Row],[tipo_equipe_id]]=Metas[equipe])*(Metas_Diarias[[#This Row],[data]]&gt;Metas[data_inicio])*(Metas_Diarias[[#This Row],[data]]&lt;Metas[data_fim])),Metas[meta_mensal],0)</f>
        <v>115500</v>
      </c>
      <c r="L1670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71" spans="2:12" x14ac:dyDescent="0.3">
      <c r="B1671" s="34">
        <v>46227</v>
      </c>
      <c r="C1671" s="34" t="str">
        <f>TEXT(Metas_Diarias[[#This Row],[data]],"dddd")</f>
        <v>sexta-feira</v>
      </c>
      <c r="D1671" s="33">
        <v>2</v>
      </c>
      <c r="E1671" s="33">
        <v>2</v>
      </c>
      <c r="F1671" s="18"/>
      <c r="G1671" s="35">
        <f>WEEKDAY(Metas_Diarias[[#This Row],[data]])</f>
        <v>6</v>
      </c>
      <c r="H1671" s="35">
        <f>IF(Metas_Diarias[[#This Row],[dias_da_demana]]=1,"domingo",IF(Metas_Diarias[[#This Row],[dias_da_demana]]=7,0.5,1))</f>
        <v>1</v>
      </c>
      <c r="I1671" s="35">
        <f>_xlfn.XLOOKUP(Metas_Diarias[[#This Row],[data]],Feriados[Data],Feriados[Feriado],1)</f>
        <v>1</v>
      </c>
      <c r="J1671" s="33" cm="1">
        <f t="array" aca="1" ref="J1671" ca="1">SUMPRODUCT(IF((NOT(ISERROR(MATCH(ROW(INDIRECT(DATE(YEAR(B1671),MONTH(B1671),1)&amp;":"&amp;DATE(YEAR(B1671),MONTH(B1671)+1,0))),Feriados[Data],0))))=FALSE,
IF(WEEKDAY(ROW(INDIRECT(DATE(YEAR(B1671),MONTH(B1671),1)&amp;":"&amp;DATE(YEAR(B1671),MONTH(B1671)+1,0))),2)&lt;=5,1,IF(WEEKDAY(ROW(INDIRECT(DATE(YEAR(B1671),MONTH(B1671),1)&amp;":"&amp;DATE(YEAR(B1671),MONTH(B1671)+1,0))),2)=6,0.5,0)),0))</f>
        <v>25</v>
      </c>
      <c r="K1671" s="22" cm="1">
        <f t="array" ref="K1671">_xlfn.XLOOKUP(1,((Metas_Diarias[[#This Row],[tipo_equipe_id]]=Metas[equipe])*(Metas_Diarias[[#This Row],[data]]&gt;Metas[data_inicio])*(Metas_Diarias[[#This Row],[data]]&lt;Metas[data_fim])),Metas[meta_mensal],0)</f>
        <v>115500</v>
      </c>
      <c r="L1671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72" spans="2:12" x14ac:dyDescent="0.3">
      <c r="B1672" s="34">
        <v>46228</v>
      </c>
      <c r="C1672" s="34" t="str">
        <f>TEXT(Metas_Diarias[[#This Row],[data]],"dddd")</f>
        <v>sábado</v>
      </c>
      <c r="D1672" s="33">
        <v>2</v>
      </c>
      <c r="E1672" s="33">
        <v>2</v>
      </c>
      <c r="F1672" s="18"/>
      <c r="G1672" s="35">
        <f>WEEKDAY(Metas_Diarias[[#This Row],[data]])</f>
        <v>7</v>
      </c>
      <c r="H1672" s="35">
        <f>IF(Metas_Diarias[[#This Row],[dias_da_demana]]=1,"domingo",IF(Metas_Diarias[[#This Row],[dias_da_demana]]=7,0.5,1))</f>
        <v>0.5</v>
      </c>
      <c r="I1672" s="35">
        <f>_xlfn.XLOOKUP(Metas_Diarias[[#This Row],[data]],Feriados[Data],Feriados[Feriado],1)</f>
        <v>1</v>
      </c>
      <c r="J1672" s="33" cm="1">
        <f t="array" aca="1" ref="J1672" ca="1">SUMPRODUCT(IF((NOT(ISERROR(MATCH(ROW(INDIRECT(DATE(YEAR(B1672),MONTH(B1672),1)&amp;":"&amp;DATE(YEAR(B1672),MONTH(B1672)+1,0))),Feriados[Data],0))))=FALSE,
IF(WEEKDAY(ROW(INDIRECT(DATE(YEAR(B1672),MONTH(B1672),1)&amp;":"&amp;DATE(YEAR(B1672),MONTH(B1672)+1,0))),2)&lt;=5,1,IF(WEEKDAY(ROW(INDIRECT(DATE(YEAR(B1672),MONTH(B1672),1)&amp;":"&amp;DATE(YEAR(B1672),MONTH(B1672)+1,0))),2)=6,0.5,0)),0))</f>
        <v>25</v>
      </c>
      <c r="K1672" s="22" cm="1">
        <f t="array" ref="K1672">_xlfn.XLOOKUP(1,((Metas_Diarias[[#This Row],[tipo_equipe_id]]=Metas[equipe])*(Metas_Diarias[[#This Row],[data]]&gt;Metas[data_inicio])*(Metas_Diarias[[#This Row],[data]]&lt;Metas[data_fim])),Metas[meta_mensal],0)</f>
        <v>115500</v>
      </c>
      <c r="L1672" s="24">
        <f ca="1">Metas_Diarias[[#This Row],[meta_mensal]]*IF(Metas_Diarias[[#This Row],[semana]]="domingo",0,Metas_Diarias[[#This Row],[semana]])*IF(Metas_Diarias[[#This Row],[feriado]]&lt;&gt;1,0,1)/Metas_Diarias[[#This Row],[dias_úteis_Mês]]</f>
        <v>2310</v>
      </c>
    </row>
    <row r="1673" spans="2:12" x14ac:dyDescent="0.3">
      <c r="B1673" s="34">
        <v>46229</v>
      </c>
      <c r="C1673" s="34" t="str">
        <f>TEXT(Metas_Diarias[[#This Row],[data]],"dddd")</f>
        <v>domingo</v>
      </c>
      <c r="D1673" s="33">
        <v>2</v>
      </c>
      <c r="E1673" s="33">
        <v>2</v>
      </c>
      <c r="F1673" s="18"/>
      <c r="G1673" s="35">
        <f>WEEKDAY(Metas_Diarias[[#This Row],[data]])</f>
        <v>1</v>
      </c>
      <c r="H1673" s="35" t="str">
        <f>IF(Metas_Diarias[[#This Row],[dias_da_demana]]=1,"domingo",IF(Metas_Diarias[[#This Row],[dias_da_demana]]=7,0.5,1))</f>
        <v>domingo</v>
      </c>
      <c r="I1673" s="35">
        <f>_xlfn.XLOOKUP(Metas_Diarias[[#This Row],[data]],Feriados[Data],Feriados[Feriado],1)</f>
        <v>1</v>
      </c>
      <c r="J1673" s="33" cm="1">
        <f t="array" aca="1" ref="J1673" ca="1">SUMPRODUCT(IF((NOT(ISERROR(MATCH(ROW(INDIRECT(DATE(YEAR(B1673),MONTH(B1673),1)&amp;":"&amp;DATE(YEAR(B1673),MONTH(B1673)+1,0))),Feriados[Data],0))))=FALSE,
IF(WEEKDAY(ROW(INDIRECT(DATE(YEAR(B1673),MONTH(B1673),1)&amp;":"&amp;DATE(YEAR(B1673),MONTH(B1673)+1,0))),2)&lt;=5,1,IF(WEEKDAY(ROW(INDIRECT(DATE(YEAR(B1673),MONTH(B1673),1)&amp;":"&amp;DATE(YEAR(B1673),MONTH(B1673)+1,0))),2)=6,0.5,0)),0))</f>
        <v>25</v>
      </c>
      <c r="K1673" s="22" cm="1">
        <f t="array" ref="K1673">_xlfn.XLOOKUP(1,((Metas_Diarias[[#This Row],[tipo_equipe_id]]=Metas[equipe])*(Metas_Diarias[[#This Row],[data]]&gt;Metas[data_inicio])*(Metas_Diarias[[#This Row],[data]]&lt;Metas[data_fim])),Metas[meta_mensal],0)</f>
        <v>115500</v>
      </c>
      <c r="L16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74" spans="2:12" x14ac:dyDescent="0.3">
      <c r="B1674" s="34">
        <v>46230</v>
      </c>
      <c r="C1674" s="34" t="str">
        <f>TEXT(Metas_Diarias[[#This Row],[data]],"dddd")</f>
        <v>segunda-feira</v>
      </c>
      <c r="D1674" s="33">
        <v>2</v>
      </c>
      <c r="E1674" s="33">
        <v>2</v>
      </c>
      <c r="F1674" s="18"/>
      <c r="G1674" s="35">
        <f>WEEKDAY(Metas_Diarias[[#This Row],[data]])</f>
        <v>2</v>
      </c>
      <c r="H1674" s="35">
        <f>IF(Metas_Diarias[[#This Row],[dias_da_demana]]=1,"domingo",IF(Metas_Diarias[[#This Row],[dias_da_demana]]=7,0.5,1))</f>
        <v>1</v>
      </c>
      <c r="I1674" s="35">
        <f>_xlfn.XLOOKUP(Metas_Diarias[[#This Row],[data]],Feriados[Data],Feriados[Feriado],1)</f>
        <v>1</v>
      </c>
      <c r="J1674" s="33" cm="1">
        <f t="array" aca="1" ref="J1674" ca="1">SUMPRODUCT(IF((NOT(ISERROR(MATCH(ROW(INDIRECT(DATE(YEAR(B1674),MONTH(B1674),1)&amp;":"&amp;DATE(YEAR(B1674),MONTH(B1674)+1,0))),Feriados[Data],0))))=FALSE,
IF(WEEKDAY(ROW(INDIRECT(DATE(YEAR(B1674),MONTH(B1674),1)&amp;":"&amp;DATE(YEAR(B1674),MONTH(B1674)+1,0))),2)&lt;=5,1,IF(WEEKDAY(ROW(INDIRECT(DATE(YEAR(B1674),MONTH(B1674),1)&amp;":"&amp;DATE(YEAR(B1674),MONTH(B1674)+1,0))),2)=6,0.5,0)),0))</f>
        <v>25</v>
      </c>
      <c r="K1674" s="22" cm="1">
        <f t="array" ref="K1674">_xlfn.XLOOKUP(1,((Metas_Diarias[[#This Row],[tipo_equipe_id]]=Metas[equipe])*(Metas_Diarias[[#This Row],[data]]&gt;Metas[data_inicio])*(Metas_Diarias[[#This Row],[data]]&lt;Metas[data_fim])),Metas[meta_mensal],0)</f>
        <v>115500</v>
      </c>
      <c r="L1674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75" spans="2:12" x14ac:dyDescent="0.3">
      <c r="B1675" s="34">
        <v>46231</v>
      </c>
      <c r="C1675" s="34" t="str">
        <f>TEXT(Metas_Diarias[[#This Row],[data]],"dddd")</f>
        <v>terça-feira</v>
      </c>
      <c r="D1675" s="33">
        <v>2</v>
      </c>
      <c r="E1675" s="33">
        <v>2</v>
      </c>
      <c r="F1675" s="18"/>
      <c r="G1675" s="35">
        <f>WEEKDAY(Metas_Diarias[[#This Row],[data]])</f>
        <v>3</v>
      </c>
      <c r="H1675" s="35">
        <f>IF(Metas_Diarias[[#This Row],[dias_da_demana]]=1,"domingo",IF(Metas_Diarias[[#This Row],[dias_da_demana]]=7,0.5,1))</f>
        <v>1</v>
      </c>
      <c r="I1675" s="35">
        <f>_xlfn.XLOOKUP(Metas_Diarias[[#This Row],[data]],Feriados[Data],Feriados[Feriado],1)</f>
        <v>1</v>
      </c>
      <c r="J1675" s="33" cm="1">
        <f t="array" aca="1" ref="J1675" ca="1">SUMPRODUCT(IF((NOT(ISERROR(MATCH(ROW(INDIRECT(DATE(YEAR(B1675),MONTH(B1675),1)&amp;":"&amp;DATE(YEAR(B1675),MONTH(B1675)+1,0))),Feriados[Data],0))))=FALSE,
IF(WEEKDAY(ROW(INDIRECT(DATE(YEAR(B1675),MONTH(B1675),1)&amp;":"&amp;DATE(YEAR(B1675),MONTH(B1675)+1,0))),2)&lt;=5,1,IF(WEEKDAY(ROW(INDIRECT(DATE(YEAR(B1675),MONTH(B1675),1)&amp;":"&amp;DATE(YEAR(B1675),MONTH(B1675)+1,0))),2)=6,0.5,0)),0))</f>
        <v>25</v>
      </c>
      <c r="K1675" s="22" cm="1">
        <f t="array" ref="K1675">_xlfn.XLOOKUP(1,((Metas_Diarias[[#This Row],[tipo_equipe_id]]=Metas[equipe])*(Metas_Diarias[[#This Row],[data]]&gt;Metas[data_inicio])*(Metas_Diarias[[#This Row],[data]]&lt;Metas[data_fim])),Metas[meta_mensal],0)</f>
        <v>115500</v>
      </c>
      <c r="L1675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76" spans="2:12" x14ac:dyDescent="0.3">
      <c r="B1676" s="34">
        <v>46232</v>
      </c>
      <c r="C1676" s="34" t="str">
        <f>TEXT(Metas_Diarias[[#This Row],[data]],"dddd")</f>
        <v>quarta-feira</v>
      </c>
      <c r="D1676" s="33">
        <v>2</v>
      </c>
      <c r="E1676" s="33">
        <v>2</v>
      </c>
      <c r="F1676" s="18"/>
      <c r="G1676" s="35">
        <f>WEEKDAY(Metas_Diarias[[#This Row],[data]])</f>
        <v>4</v>
      </c>
      <c r="H1676" s="35">
        <f>IF(Metas_Diarias[[#This Row],[dias_da_demana]]=1,"domingo",IF(Metas_Diarias[[#This Row],[dias_da_demana]]=7,0.5,1))</f>
        <v>1</v>
      </c>
      <c r="I1676" s="35">
        <f>_xlfn.XLOOKUP(Metas_Diarias[[#This Row],[data]],Feriados[Data],Feriados[Feriado],1)</f>
        <v>1</v>
      </c>
      <c r="J1676" s="33" cm="1">
        <f t="array" aca="1" ref="J1676" ca="1">SUMPRODUCT(IF((NOT(ISERROR(MATCH(ROW(INDIRECT(DATE(YEAR(B1676),MONTH(B1676),1)&amp;":"&amp;DATE(YEAR(B1676),MONTH(B1676)+1,0))),Feriados[Data],0))))=FALSE,
IF(WEEKDAY(ROW(INDIRECT(DATE(YEAR(B1676),MONTH(B1676),1)&amp;":"&amp;DATE(YEAR(B1676),MONTH(B1676)+1,0))),2)&lt;=5,1,IF(WEEKDAY(ROW(INDIRECT(DATE(YEAR(B1676),MONTH(B1676),1)&amp;":"&amp;DATE(YEAR(B1676),MONTH(B1676)+1,0))),2)=6,0.5,0)),0))</f>
        <v>25</v>
      </c>
      <c r="K1676" s="22" cm="1">
        <f t="array" ref="K1676">_xlfn.XLOOKUP(1,((Metas_Diarias[[#This Row],[tipo_equipe_id]]=Metas[equipe])*(Metas_Diarias[[#This Row],[data]]&gt;Metas[data_inicio])*(Metas_Diarias[[#This Row],[data]]&lt;Metas[data_fim])),Metas[meta_mensal],0)</f>
        <v>115500</v>
      </c>
      <c r="L1676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77" spans="2:12" x14ac:dyDescent="0.3">
      <c r="B1677" s="34">
        <v>46233</v>
      </c>
      <c r="C1677" s="34" t="str">
        <f>TEXT(Metas_Diarias[[#This Row],[data]],"dddd")</f>
        <v>quinta-feira</v>
      </c>
      <c r="D1677" s="33">
        <v>2</v>
      </c>
      <c r="E1677" s="33">
        <v>2</v>
      </c>
      <c r="F1677" s="18"/>
      <c r="G1677" s="35">
        <f>WEEKDAY(Metas_Diarias[[#This Row],[data]])</f>
        <v>5</v>
      </c>
      <c r="H1677" s="35">
        <f>IF(Metas_Diarias[[#This Row],[dias_da_demana]]=1,"domingo",IF(Metas_Diarias[[#This Row],[dias_da_demana]]=7,0.5,1))</f>
        <v>1</v>
      </c>
      <c r="I1677" s="35">
        <f>_xlfn.XLOOKUP(Metas_Diarias[[#This Row],[data]],Feriados[Data],Feriados[Feriado],1)</f>
        <v>1</v>
      </c>
      <c r="J1677" s="33" cm="1">
        <f t="array" aca="1" ref="J1677" ca="1">SUMPRODUCT(IF((NOT(ISERROR(MATCH(ROW(INDIRECT(DATE(YEAR(B1677),MONTH(B1677),1)&amp;":"&amp;DATE(YEAR(B1677),MONTH(B1677)+1,0))),Feriados[Data],0))))=FALSE,
IF(WEEKDAY(ROW(INDIRECT(DATE(YEAR(B1677),MONTH(B1677),1)&amp;":"&amp;DATE(YEAR(B1677),MONTH(B1677)+1,0))),2)&lt;=5,1,IF(WEEKDAY(ROW(INDIRECT(DATE(YEAR(B1677),MONTH(B1677),1)&amp;":"&amp;DATE(YEAR(B1677),MONTH(B1677)+1,0))),2)=6,0.5,0)),0))</f>
        <v>25</v>
      </c>
      <c r="K1677" s="22" cm="1">
        <f t="array" ref="K1677">_xlfn.XLOOKUP(1,((Metas_Diarias[[#This Row],[tipo_equipe_id]]=Metas[equipe])*(Metas_Diarias[[#This Row],[data]]&gt;Metas[data_inicio])*(Metas_Diarias[[#This Row],[data]]&lt;Metas[data_fim])),Metas[meta_mensal],0)</f>
        <v>115500</v>
      </c>
      <c r="L1677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78" spans="2:12" x14ac:dyDescent="0.3">
      <c r="B1678" s="34">
        <v>46234</v>
      </c>
      <c r="C1678" s="34" t="str">
        <f>TEXT(Metas_Diarias[[#This Row],[data]],"dddd")</f>
        <v>sexta-feira</v>
      </c>
      <c r="D1678" s="33">
        <v>2</v>
      </c>
      <c r="E1678" s="33">
        <v>2</v>
      </c>
      <c r="F1678" s="18"/>
      <c r="G1678" s="35">
        <f>WEEKDAY(Metas_Diarias[[#This Row],[data]])</f>
        <v>6</v>
      </c>
      <c r="H1678" s="35">
        <f>IF(Metas_Diarias[[#This Row],[dias_da_demana]]=1,"domingo",IF(Metas_Diarias[[#This Row],[dias_da_demana]]=7,0.5,1))</f>
        <v>1</v>
      </c>
      <c r="I1678" s="35">
        <f>_xlfn.XLOOKUP(Metas_Diarias[[#This Row],[data]],Feriados[Data],Feriados[Feriado],1)</f>
        <v>1</v>
      </c>
      <c r="J1678" s="33" cm="1">
        <f t="array" aca="1" ref="J1678" ca="1">SUMPRODUCT(IF((NOT(ISERROR(MATCH(ROW(INDIRECT(DATE(YEAR(B1678),MONTH(B1678),1)&amp;":"&amp;DATE(YEAR(B1678),MONTH(B1678)+1,0))),Feriados[Data],0))))=FALSE,
IF(WEEKDAY(ROW(INDIRECT(DATE(YEAR(B1678),MONTH(B1678),1)&amp;":"&amp;DATE(YEAR(B1678),MONTH(B1678)+1,0))),2)&lt;=5,1,IF(WEEKDAY(ROW(INDIRECT(DATE(YEAR(B1678),MONTH(B1678),1)&amp;":"&amp;DATE(YEAR(B1678),MONTH(B1678)+1,0))),2)=6,0.5,0)),0))</f>
        <v>25</v>
      </c>
      <c r="K1678" s="22" cm="1">
        <f t="array" ref="K1678">_xlfn.XLOOKUP(1,((Metas_Diarias[[#This Row],[tipo_equipe_id]]=Metas[equipe])*(Metas_Diarias[[#This Row],[data]]&gt;Metas[data_inicio])*(Metas_Diarias[[#This Row],[data]]&lt;Metas[data_fim])),Metas[meta_mensal],0)</f>
        <v>115500</v>
      </c>
      <c r="L1678" s="24">
        <f ca="1">Metas_Diarias[[#This Row],[meta_mensal]]*IF(Metas_Diarias[[#This Row],[semana]]="domingo",0,Metas_Diarias[[#This Row],[semana]])*IF(Metas_Diarias[[#This Row],[feriado]]&lt;&gt;1,0,1)/Metas_Diarias[[#This Row],[dias_úteis_Mês]]</f>
        <v>4620</v>
      </c>
    </row>
    <row r="1679" spans="2:12" x14ac:dyDescent="0.3">
      <c r="B1679" s="34">
        <v>46235</v>
      </c>
      <c r="C1679" s="34" t="str">
        <f>TEXT(Metas_Diarias[[#This Row],[data]],"dddd")</f>
        <v>sábado</v>
      </c>
      <c r="D1679" s="33">
        <v>2</v>
      </c>
      <c r="E1679" s="33">
        <v>2</v>
      </c>
      <c r="F1679" s="18"/>
      <c r="G1679" s="35">
        <f>WEEKDAY(Metas_Diarias[[#This Row],[data]])</f>
        <v>7</v>
      </c>
      <c r="H1679" s="35">
        <f>IF(Metas_Diarias[[#This Row],[dias_da_demana]]=1,"domingo",IF(Metas_Diarias[[#This Row],[dias_da_demana]]=7,0.5,1))</f>
        <v>0.5</v>
      </c>
      <c r="I1679" s="35">
        <f>_xlfn.XLOOKUP(Metas_Diarias[[#This Row],[data]],Feriados[Data],Feriados[Feriado],1)</f>
        <v>1</v>
      </c>
      <c r="J1679" s="33" cm="1">
        <f t="array" aca="1" ref="J1679" ca="1">SUMPRODUCT(IF((NOT(ISERROR(MATCH(ROW(INDIRECT(DATE(YEAR(B1679),MONTH(B1679),1)&amp;":"&amp;DATE(YEAR(B1679),MONTH(B1679)+1,0))),Feriados[Data],0))))=FALSE,
IF(WEEKDAY(ROW(INDIRECT(DATE(YEAR(B1679),MONTH(B1679),1)&amp;":"&amp;DATE(YEAR(B1679),MONTH(B1679)+1,0))),2)&lt;=5,1,IF(WEEKDAY(ROW(INDIRECT(DATE(YEAR(B1679),MONTH(B1679),1)&amp;":"&amp;DATE(YEAR(B1679),MONTH(B1679)+1,0))),2)=6,0.5,0)),0))</f>
        <v>23.5</v>
      </c>
      <c r="K1679" s="22" cm="1">
        <f t="array" ref="K1679">_xlfn.XLOOKUP(1,((Metas_Diarias[[#This Row],[tipo_equipe_id]]=Metas[equipe])*(Metas_Diarias[[#This Row],[data]]&gt;Metas[data_inicio])*(Metas_Diarias[[#This Row],[data]]&lt;Metas[data_fim])),Metas[meta_mensal],0)</f>
        <v>115500</v>
      </c>
      <c r="L1679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680" spans="2:12" x14ac:dyDescent="0.3">
      <c r="B1680" s="34">
        <v>46236</v>
      </c>
      <c r="C1680" s="34" t="str">
        <f>TEXT(Metas_Diarias[[#This Row],[data]],"dddd")</f>
        <v>domingo</v>
      </c>
      <c r="D1680" s="33">
        <v>2</v>
      </c>
      <c r="E1680" s="33">
        <v>2</v>
      </c>
      <c r="F1680" s="18"/>
      <c r="G1680" s="35">
        <f>WEEKDAY(Metas_Diarias[[#This Row],[data]])</f>
        <v>1</v>
      </c>
      <c r="H1680" s="35" t="str">
        <f>IF(Metas_Diarias[[#This Row],[dias_da_demana]]=1,"domingo",IF(Metas_Diarias[[#This Row],[dias_da_demana]]=7,0.5,1))</f>
        <v>domingo</v>
      </c>
      <c r="I1680" s="35">
        <f>_xlfn.XLOOKUP(Metas_Diarias[[#This Row],[data]],Feriados[Data],Feriados[Feriado],1)</f>
        <v>1</v>
      </c>
      <c r="J1680" s="33" cm="1">
        <f t="array" aca="1" ref="J1680" ca="1">SUMPRODUCT(IF((NOT(ISERROR(MATCH(ROW(INDIRECT(DATE(YEAR(B1680),MONTH(B1680),1)&amp;":"&amp;DATE(YEAR(B1680),MONTH(B1680)+1,0))),Feriados[Data],0))))=FALSE,
IF(WEEKDAY(ROW(INDIRECT(DATE(YEAR(B1680),MONTH(B1680),1)&amp;":"&amp;DATE(YEAR(B1680),MONTH(B1680)+1,0))),2)&lt;=5,1,IF(WEEKDAY(ROW(INDIRECT(DATE(YEAR(B1680),MONTH(B1680),1)&amp;":"&amp;DATE(YEAR(B1680),MONTH(B1680)+1,0))),2)=6,0.5,0)),0))</f>
        <v>23.5</v>
      </c>
      <c r="K1680" s="22" cm="1">
        <f t="array" ref="K1680">_xlfn.XLOOKUP(1,((Metas_Diarias[[#This Row],[tipo_equipe_id]]=Metas[equipe])*(Metas_Diarias[[#This Row],[data]]&gt;Metas[data_inicio])*(Metas_Diarias[[#This Row],[data]]&lt;Metas[data_fim])),Metas[meta_mensal],0)</f>
        <v>115500</v>
      </c>
      <c r="L16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81" spans="2:12" x14ac:dyDescent="0.3">
      <c r="B1681" s="34">
        <v>46237</v>
      </c>
      <c r="C1681" s="34" t="str">
        <f>TEXT(Metas_Diarias[[#This Row],[data]],"dddd")</f>
        <v>segunda-feira</v>
      </c>
      <c r="D1681" s="33">
        <v>2</v>
      </c>
      <c r="E1681" s="33">
        <v>2</v>
      </c>
      <c r="F1681" s="18"/>
      <c r="G1681" s="35">
        <f>WEEKDAY(Metas_Diarias[[#This Row],[data]])</f>
        <v>2</v>
      </c>
      <c r="H1681" s="35">
        <f>IF(Metas_Diarias[[#This Row],[dias_da_demana]]=1,"domingo",IF(Metas_Diarias[[#This Row],[dias_da_demana]]=7,0.5,1))</f>
        <v>1</v>
      </c>
      <c r="I1681" s="35">
        <f>_xlfn.XLOOKUP(Metas_Diarias[[#This Row],[data]],Feriados[Data],Feriados[Feriado],1)</f>
        <v>1</v>
      </c>
      <c r="J1681" s="33" cm="1">
        <f t="array" aca="1" ref="J1681" ca="1">SUMPRODUCT(IF((NOT(ISERROR(MATCH(ROW(INDIRECT(DATE(YEAR(B1681),MONTH(B1681),1)&amp;":"&amp;DATE(YEAR(B1681),MONTH(B1681)+1,0))),Feriados[Data],0))))=FALSE,
IF(WEEKDAY(ROW(INDIRECT(DATE(YEAR(B1681),MONTH(B1681),1)&amp;":"&amp;DATE(YEAR(B1681),MONTH(B1681)+1,0))),2)&lt;=5,1,IF(WEEKDAY(ROW(INDIRECT(DATE(YEAR(B1681),MONTH(B1681),1)&amp;":"&amp;DATE(YEAR(B1681),MONTH(B1681)+1,0))),2)=6,0.5,0)),0))</f>
        <v>23.5</v>
      </c>
      <c r="K1681" s="22" cm="1">
        <f t="array" ref="K1681">_xlfn.XLOOKUP(1,((Metas_Diarias[[#This Row],[tipo_equipe_id]]=Metas[equipe])*(Metas_Diarias[[#This Row],[data]]&gt;Metas[data_inicio])*(Metas_Diarias[[#This Row],[data]]&lt;Metas[data_fim])),Metas[meta_mensal],0)</f>
        <v>115500</v>
      </c>
      <c r="L1681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82" spans="2:12" x14ac:dyDescent="0.3">
      <c r="B1682" s="34">
        <v>46238</v>
      </c>
      <c r="C1682" s="34" t="str">
        <f>TEXT(Metas_Diarias[[#This Row],[data]],"dddd")</f>
        <v>terça-feira</v>
      </c>
      <c r="D1682" s="33">
        <v>2</v>
      </c>
      <c r="E1682" s="33">
        <v>2</v>
      </c>
      <c r="F1682" s="18"/>
      <c r="G1682" s="35">
        <f>WEEKDAY(Metas_Diarias[[#This Row],[data]])</f>
        <v>3</v>
      </c>
      <c r="H1682" s="35">
        <f>IF(Metas_Diarias[[#This Row],[dias_da_demana]]=1,"domingo",IF(Metas_Diarias[[#This Row],[dias_da_demana]]=7,0.5,1))</f>
        <v>1</v>
      </c>
      <c r="I1682" s="35">
        <f>_xlfn.XLOOKUP(Metas_Diarias[[#This Row],[data]],Feriados[Data],Feriados[Feriado],1)</f>
        <v>1</v>
      </c>
      <c r="J1682" s="33" cm="1">
        <f t="array" aca="1" ref="J1682" ca="1">SUMPRODUCT(IF((NOT(ISERROR(MATCH(ROW(INDIRECT(DATE(YEAR(B1682),MONTH(B1682),1)&amp;":"&amp;DATE(YEAR(B1682),MONTH(B1682)+1,0))),Feriados[Data],0))))=FALSE,
IF(WEEKDAY(ROW(INDIRECT(DATE(YEAR(B1682),MONTH(B1682),1)&amp;":"&amp;DATE(YEAR(B1682),MONTH(B1682)+1,0))),2)&lt;=5,1,IF(WEEKDAY(ROW(INDIRECT(DATE(YEAR(B1682),MONTH(B1682),1)&amp;":"&amp;DATE(YEAR(B1682),MONTH(B1682)+1,0))),2)=6,0.5,0)),0))</f>
        <v>23.5</v>
      </c>
      <c r="K1682" s="22" cm="1">
        <f t="array" ref="K1682">_xlfn.XLOOKUP(1,((Metas_Diarias[[#This Row],[tipo_equipe_id]]=Metas[equipe])*(Metas_Diarias[[#This Row],[data]]&gt;Metas[data_inicio])*(Metas_Diarias[[#This Row],[data]]&lt;Metas[data_fim])),Metas[meta_mensal],0)</f>
        <v>115500</v>
      </c>
      <c r="L1682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83" spans="2:12" x14ac:dyDescent="0.3">
      <c r="B1683" s="34">
        <v>46239</v>
      </c>
      <c r="C1683" s="34" t="str">
        <f>TEXT(Metas_Diarias[[#This Row],[data]],"dddd")</f>
        <v>quarta-feira</v>
      </c>
      <c r="D1683" s="33">
        <v>2</v>
      </c>
      <c r="E1683" s="33">
        <v>2</v>
      </c>
      <c r="F1683" s="18"/>
      <c r="G1683" s="35">
        <f>WEEKDAY(Metas_Diarias[[#This Row],[data]])</f>
        <v>4</v>
      </c>
      <c r="H1683" s="35">
        <f>IF(Metas_Diarias[[#This Row],[dias_da_demana]]=1,"domingo",IF(Metas_Diarias[[#This Row],[dias_da_demana]]=7,0.5,1))</f>
        <v>1</v>
      </c>
      <c r="I1683" s="35">
        <f>_xlfn.XLOOKUP(Metas_Diarias[[#This Row],[data]],Feriados[Data],Feriados[Feriado],1)</f>
        <v>1</v>
      </c>
      <c r="J1683" s="33" cm="1">
        <f t="array" aca="1" ref="J1683" ca="1">SUMPRODUCT(IF((NOT(ISERROR(MATCH(ROW(INDIRECT(DATE(YEAR(B1683),MONTH(B1683),1)&amp;":"&amp;DATE(YEAR(B1683),MONTH(B1683)+1,0))),Feriados[Data],0))))=FALSE,
IF(WEEKDAY(ROW(INDIRECT(DATE(YEAR(B1683),MONTH(B1683),1)&amp;":"&amp;DATE(YEAR(B1683),MONTH(B1683)+1,0))),2)&lt;=5,1,IF(WEEKDAY(ROW(INDIRECT(DATE(YEAR(B1683),MONTH(B1683),1)&amp;":"&amp;DATE(YEAR(B1683),MONTH(B1683)+1,0))),2)=6,0.5,0)),0))</f>
        <v>23.5</v>
      </c>
      <c r="K1683" s="22" cm="1">
        <f t="array" ref="K1683">_xlfn.XLOOKUP(1,((Metas_Diarias[[#This Row],[tipo_equipe_id]]=Metas[equipe])*(Metas_Diarias[[#This Row],[data]]&gt;Metas[data_inicio])*(Metas_Diarias[[#This Row],[data]]&lt;Metas[data_fim])),Metas[meta_mensal],0)</f>
        <v>115500</v>
      </c>
      <c r="L1683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84" spans="2:12" x14ac:dyDescent="0.3">
      <c r="B1684" s="34">
        <v>46240</v>
      </c>
      <c r="C1684" s="34" t="str">
        <f>TEXT(Metas_Diarias[[#This Row],[data]],"dddd")</f>
        <v>quinta-feira</v>
      </c>
      <c r="D1684" s="33">
        <v>2</v>
      </c>
      <c r="E1684" s="33">
        <v>2</v>
      </c>
      <c r="F1684" s="18"/>
      <c r="G1684" s="35">
        <f>WEEKDAY(Metas_Diarias[[#This Row],[data]])</f>
        <v>5</v>
      </c>
      <c r="H1684" s="35">
        <f>IF(Metas_Diarias[[#This Row],[dias_da_demana]]=1,"domingo",IF(Metas_Diarias[[#This Row],[dias_da_demana]]=7,0.5,1))</f>
        <v>1</v>
      </c>
      <c r="I1684" s="35">
        <f>_xlfn.XLOOKUP(Metas_Diarias[[#This Row],[data]],Feriados[Data],Feriados[Feriado],1)</f>
        <v>1</v>
      </c>
      <c r="J1684" s="33" cm="1">
        <f t="array" aca="1" ref="J1684" ca="1">SUMPRODUCT(IF((NOT(ISERROR(MATCH(ROW(INDIRECT(DATE(YEAR(B1684),MONTH(B1684),1)&amp;":"&amp;DATE(YEAR(B1684),MONTH(B1684)+1,0))),Feriados[Data],0))))=FALSE,
IF(WEEKDAY(ROW(INDIRECT(DATE(YEAR(B1684),MONTH(B1684),1)&amp;":"&amp;DATE(YEAR(B1684),MONTH(B1684)+1,0))),2)&lt;=5,1,IF(WEEKDAY(ROW(INDIRECT(DATE(YEAR(B1684),MONTH(B1684),1)&amp;":"&amp;DATE(YEAR(B1684),MONTH(B1684)+1,0))),2)=6,0.5,0)),0))</f>
        <v>23.5</v>
      </c>
      <c r="K1684" s="22" cm="1">
        <f t="array" ref="K1684">_xlfn.XLOOKUP(1,((Metas_Diarias[[#This Row],[tipo_equipe_id]]=Metas[equipe])*(Metas_Diarias[[#This Row],[data]]&gt;Metas[data_inicio])*(Metas_Diarias[[#This Row],[data]]&lt;Metas[data_fim])),Metas[meta_mensal],0)</f>
        <v>115500</v>
      </c>
      <c r="L1684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85" spans="2:12" x14ac:dyDescent="0.3">
      <c r="B1685" s="34">
        <v>46241</v>
      </c>
      <c r="C1685" s="34" t="str">
        <f>TEXT(Metas_Diarias[[#This Row],[data]],"dddd")</f>
        <v>sexta-feira</v>
      </c>
      <c r="D1685" s="33">
        <v>2</v>
      </c>
      <c r="E1685" s="33">
        <v>2</v>
      </c>
      <c r="F1685" s="18"/>
      <c r="G1685" s="35">
        <f>WEEKDAY(Metas_Diarias[[#This Row],[data]])</f>
        <v>6</v>
      </c>
      <c r="H1685" s="35">
        <f>IF(Metas_Diarias[[#This Row],[dias_da_demana]]=1,"domingo",IF(Metas_Diarias[[#This Row],[dias_da_demana]]=7,0.5,1))</f>
        <v>1</v>
      </c>
      <c r="I1685" s="35">
        <f>_xlfn.XLOOKUP(Metas_Diarias[[#This Row],[data]],Feriados[Data],Feriados[Feriado],1)</f>
        <v>1</v>
      </c>
      <c r="J1685" s="33" cm="1">
        <f t="array" aca="1" ref="J1685" ca="1">SUMPRODUCT(IF((NOT(ISERROR(MATCH(ROW(INDIRECT(DATE(YEAR(B1685),MONTH(B1685),1)&amp;":"&amp;DATE(YEAR(B1685),MONTH(B1685)+1,0))),Feriados[Data],0))))=FALSE,
IF(WEEKDAY(ROW(INDIRECT(DATE(YEAR(B1685),MONTH(B1685),1)&amp;":"&amp;DATE(YEAR(B1685),MONTH(B1685)+1,0))),2)&lt;=5,1,IF(WEEKDAY(ROW(INDIRECT(DATE(YEAR(B1685),MONTH(B1685),1)&amp;":"&amp;DATE(YEAR(B1685),MONTH(B1685)+1,0))),2)=6,0.5,0)),0))</f>
        <v>23.5</v>
      </c>
      <c r="K1685" s="22" cm="1">
        <f t="array" ref="K1685">_xlfn.XLOOKUP(1,((Metas_Diarias[[#This Row],[tipo_equipe_id]]=Metas[equipe])*(Metas_Diarias[[#This Row],[data]]&gt;Metas[data_inicio])*(Metas_Diarias[[#This Row],[data]]&lt;Metas[data_fim])),Metas[meta_mensal],0)</f>
        <v>115500</v>
      </c>
      <c r="L168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86" spans="2:12" x14ac:dyDescent="0.3">
      <c r="B1686" s="34">
        <v>46242</v>
      </c>
      <c r="C1686" s="34" t="str">
        <f>TEXT(Metas_Diarias[[#This Row],[data]],"dddd")</f>
        <v>sábado</v>
      </c>
      <c r="D1686" s="33">
        <v>2</v>
      </c>
      <c r="E1686" s="33">
        <v>2</v>
      </c>
      <c r="F1686" s="18"/>
      <c r="G1686" s="35">
        <f>WEEKDAY(Metas_Diarias[[#This Row],[data]])</f>
        <v>7</v>
      </c>
      <c r="H1686" s="35">
        <f>IF(Metas_Diarias[[#This Row],[dias_da_demana]]=1,"domingo",IF(Metas_Diarias[[#This Row],[dias_da_demana]]=7,0.5,1))</f>
        <v>0.5</v>
      </c>
      <c r="I1686" s="35">
        <f>_xlfn.XLOOKUP(Metas_Diarias[[#This Row],[data]],Feriados[Data],Feriados[Feriado],1)</f>
        <v>1</v>
      </c>
      <c r="J1686" s="33" cm="1">
        <f t="array" aca="1" ref="J1686" ca="1">SUMPRODUCT(IF((NOT(ISERROR(MATCH(ROW(INDIRECT(DATE(YEAR(B1686),MONTH(B1686),1)&amp;":"&amp;DATE(YEAR(B1686),MONTH(B1686)+1,0))),Feriados[Data],0))))=FALSE,
IF(WEEKDAY(ROW(INDIRECT(DATE(YEAR(B1686),MONTH(B1686),1)&amp;":"&amp;DATE(YEAR(B1686),MONTH(B1686)+1,0))),2)&lt;=5,1,IF(WEEKDAY(ROW(INDIRECT(DATE(YEAR(B1686),MONTH(B1686),1)&amp;":"&amp;DATE(YEAR(B1686),MONTH(B1686)+1,0))),2)=6,0.5,0)),0))</f>
        <v>23.5</v>
      </c>
      <c r="K1686" s="22" cm="1">
        <f t="array" ref="K1686">_xlfn.XLOOKUP(1,((Metas_Diarias[[#This Row],[tipo_equipe_id]]=Metas[equipe])*(Metas_Diarias[[#This Row],[data]]&gt;Metas[data_inicio])*(Metas_Diarias[[#This Row],[data]]&lt;Metas[data_fim])),Metas[meta_mensal],0)</f>
        <v>115500</v>
      </c>
      <c r="L1686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687" spans="2:12" x14ac:dyDescent="0.3">
      <c r="B1687" s="34">
        <v>46243</v>
      </c>
      <c r="C1687" s="34" t="str">
        <f>TEXT(Metas_Diarias[[#This Row],[data]],"dddd")</f>
        <v>domingo</v>
      </c>
      <c r="D1687" s="33">
        <v>2</v>
      </c>
      <c r="E1687" s="33">
        <v>2</v>
      </c>
      <c r="F1687" s="18"/>
      <c r="G1687" s="35">
        <f>WEEKDAY(Metas_Diarias[[#This Row],[data]])</f>
        <v>1</v>
      </c>
      <c r="H1687" s="35" t="str">
        <f>IF(Metas_Diarias[[#This Row],[dias_da_demana]]=1,"domingo",IF(Metas_Diarias[[#This Row],[dias_da_demana]]=7,0.5,1))</f>
        <v>domingo</v>
      </c>
      <c r="I1687" s="35">
        <f>_xlfn.XLOOKUP(Metas_Diarias[[#This Row],[data]],Feriados[Data],Feriados[Feriado],1)</f>
        <v>1</v>
      </c>
      <c r="J1687" s="33" cm="1">
        <f t="array" aca="1" ref="J1687" ca="1">SUMPRODUCT(IF((NOT(ISERROR(MATCH(ROW(INDIRECT(DATE(YEAR(B1687),MONTH(B1687),1)&amp;":"&amp;DATE(YEAR(B1687),MONTH(B1687)+1,0))),Feriados[Data],0))))=FALSE,
IF(WEEKDAY(ROW(INDIRECT(DATE(YEAR(B1687),MONTH(B1687),1)&amp;":"&amp;DATE(YEAR(B1687),MONTH(B1687)+1,0))),2)&lt;=5,1,IF(WEEKDAY(ROW(INDIRECT(DATE(YEAR(B1687),MONTH(B1687),1)&amp;":"&amp;DATE(YEAR(B1687),MONTH(B1687)+1,0))),2)=6,0.5,0)),0))</f>
        <v>23.5</v>
      </c>
      <c r="K1687" s="22" cm="1">
        <f t="array" ref="K1687">_xlfn.XLOOKUP(1,((Metas_Diarias[[#This Row],[tipo_equipe_id]]=Metas[equipe])*(Metas_Diarias[[#This Row],[data]]&gt;Metas[data_inicio])*(Metas_Diarias[[#This Row],[data]]&lt;Metas[data_fim])),Metas[meta_mensal],0)</f>
        <v>115500</v>
      </c>
      <c r="L16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88" spans="2:12" x14ac:dyDescent="0.3">
      <c r="B1688" s="34">
        <v>46244</v>
      </c>
      <c r="C1688" s="34" t="str">
        <f>TEXT(Metas_Diarias[[#This Row],[data]],"dddd")</f>
        <v>segunda-feira</v>
      </c>
      <c r="D1688" s="33">
        <v>2</v>
      </c>
      <c r="E1688" s="33">
        <v>2</v>
      </c>
      <c r="F1688" s="18"/>
      <c r="G1688" s="35">
        <f>WEEKDAY(Metas_Diarias[[#This Row],[data]])</f>
        <v>2</v>
      </c>
      <c r="H1688" s="35">
        <f>IF(Metas_Diarias[[#This Row],[dias_da_demana]]=1,"domingo",IF(Metas_Diarias[[#This Row],[dias_da_demana]]=7,0.5,1))</f>
        <v>1</v>
      </c>
      <c r="I1688" s="35">
        <f>_xlfn.XLOOKUP(Metas_Diarias[[#This Row],[data]],Feriados[Data],Feriados[Feriado],1)</f>
        <v>1</v>
      </c>
      <c r="J1688" s="33" cm="1">
        <f t="array" aca="1" ref="J1688" ca="1">SUMPRODUCT(IF((NOT(ISERROR(MATCH(ROW(INDIRECT(DATE(YEAR(B1688),MONTH(B1688),1)&amp;":"&amp;DATE(YEAR(B1688),MONTH(B1688)+1,0))),Feriados[Data],0))))=FALSE,
IF(WEEKDAY(ROW(INDIRECT(DATE(YEAR(B1688),MONTH(B1688),1)&amp;":"&amp;DATE(YEAR(B1688),MONTH(B1688)+1,0))),2)&lt;=5,1,IF(WEEKDAY(ROW(INDIRECT(DATE(YEAR(B1688),MONTH(B1688),1)&amp;":"&amp;DATE(YEAR(B1688),MONTH(B1688)+1,0))),2)=6,0.5,0)),0))</f>
        <v>23.5</v>
      </c>
      <c r="K1688" s="22" cm="1">
        <f t="array" ref="K1688">_xlfn.XLOOKUP(1,((Metas_Diarias[[#This Row],[tipo_equipe_id]]=Metas[equipe])*(Metas_Diarias[[#This Row],[data]]&gt;Metas[data_inicio])*(Metas_Diarias[[#This Row],[data]]&lt;Metas[data_fim])),Metas[meta_mensal],0)</f>
        <v>115500</v>
      </c>
      <c r="L1688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89" spans="2:12" x14ac:dyDescent="0.3">
      <c r="B1689" s="34">
        <v>46245</v>
      </c>
      <c r="C1689" s="34" t="str">
        <f>TEXT(Metas_Diarias[[#This Row],[data]],"dddd")</f>
        <v>terça-feira</v>
      </c>
      <c r="D1689" s="33">
        <v>2</v>
      </c>
      <c r="E1689" s="33">
        <v>2</v>
      </c>
      <c r="F1689" s="18"/>
      <c r="G1689" s="35">
        <f>WEEKDAY(Metas_Diarias[[#This Row],[data]])</f>
        <v>3</v>
      </c>
      <c r="H1689" s="35">
        <f>IF(Metas_Diarias[[#This Row],[dias_da_demana]]=1,"domingo",IF(Metas_Diarias[[#This Row],[dias_da_demana]]=7,0.5,1))</f>
        <v>1</v>
      </c>
      <c r="I1689" s="35">
        <f>_xlfn.XLOOKUP(Metas_Diarias[[#This Row],[data]],Feriados[Data],Feriados[Feriado],1)</f>
        <v>1</v>
      </c>
      <c r="J1689" s="33" cm="1">
        <f t="array" aca="1" ref="J1689" ca="1">SUMPRODUCT(IF((NOT(ISERROR(MATCH(ROW(INDIRECT(DATE(YEAR(B1689),MONTH(B1689),1)&amp;":"&amp;DATE(YEAR(B1689),MONTH(B1689)+1,0))),Feriados[Data],0))))=FALSE,
IF(WEEKDAY(ROW(INDIRECT(DATE(YEAR(B1689),MONTH(B1689),1)&amp;":"&amp;DATE(YEAR(B1689),MONTH(B1689)+1,0))),2)&lt;=5,1,IF(WEEKDAY(ROW(INDIRECT(DATE(YEAR(B1689),MONTH(B1689),1)&amp;":"&amp;DATE(YEAR(B1689),MONTH(B1689)+1,0))),2)=6,0.5,0)),0))</f>
        <v>23.5</v>
      </c>
      <c r="K1689" s="22" cm="1">
        <f t="array" ref="K1689">_xlfn.XLOOKUP(1,((Metas_Diarias[[#This Row],[tipo_equipe_id]]=Metas[equipe])*(Metas_Diarias[[#This Row],[data]]&gt;Metas[data_inicio])*(Metas_Diarias[[#This Row],[data]]&lt;Metas[data_fim])),Metas[meta_mensal],0)</f>
        <v>115500</v>
      </c>
      <c r="L1689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90" spans="2:12" x14ac:dyDescent="0.3">
      <c r="B1690" s="34">
        <v>46246</v>
      </c>
      <c r="C1690" s="34" t="str">
        <f>TEXT(Metas_Diarias[[#This Row],[data]],"dddd")</f>
        <v>quarta-feira</v>
      </c>
      <c r="D1690" s="33">
        <v>2</v>
      </c>
      <c r="E1690" s="33">
        <v>2</v>
      </c>
      <c r="F1690" s="18"/>
      <c r="G1690" s="35">
        <f>WEEKDAY(Metas_Diarias[[#This Row],[data]])</f>
        <v>4</v>
      </c>
      <c r="H1690" s="35">
        <f>IF(Metas_Diarias[[#This Row],[dias_da_demana]]=1,"domingo",IF(Metas_Diarias[[#This Row],[dias_da_demana]]=7,0.5,1))</f>
        <v>1</v>
      </c>
      <c r="I1690" s="35">
        <f>_xlfn.XLOOKUP(Metas_Diarias[[#This Row],[data]],Feriados[Data],Feriados[Feriado],1)</f>
        <v>1</v>
      </c>
      <c r="J1690" s="33" cm="1">
        <f t="array" aca="1" ref="J1690" ca="1">SUMPRODUCT(IF((NOT(ISERROR(MATCH(ROW(INDIRECT(DATE(YEAR(B1690),MONTH(B1690),1)&amp;":"&amp;DATE(YEAR(B1690),MONTH(B1690)+1,0))),Feriados[Data],0))))=FALSE,
IF(WEEKDAY(ROW(INDIRECT(DATE(YEAR(B1690),MONTH(B1690),1)&amp;":"&amp;DATE(YEAR(B1690),MONTH(B1690)+1,0))),2)&lt;=5,1,IF(WEEKDAY(ROW(INDIRECT(DATE(YEAR(B1690),MONTH(B1690),1)&amp;":"&amp;DATE(YEAR(B1690),MONTH(B1690)+1,0))),2)=6,0.5,0)),0))</f>
        <v>23.5</v>
      </c>
      <c r="K1690" s="22" cm="1">
        <f t="array" ref="K1690">_xlfn.XLOOKUP(1,((Metas_Diarias[[#This Row],[tipo_equipe_id]]=Metas[equipe])*(Metas_Diarias[[#This Row],[data]]&gt;Metas[data_inicio])*(Metas_Diarias[[#This Row],[data]]&lt;Metas[data_fim])),Metas[meta_mensal],0)</f>
        <v>115500</v>
      </c>
      <c r="L1690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91" spans="2:12" x14ac:dyDescent="0.3">
      <c r="B1691" s="34">
        <v>46247</v>
      </c>
      <c r="C1691" s="34" t="str">
        <f>TEXT(Metas_Diarias[[#This Row],[data]],"dddd")</f>
        <v>quinta-feira</v>
      </c>
      <c r="D1691" s="33">
        <v>2</v>
      </c>
      <c r="E1691" s="33">
        <v>2</v>
      </c>
      <c r="F1691" s="18"/>
      <c r="G1691" s="35">
        <f>WEEKDAY(Metas_Diarias[[#This Row],[data]])</f>
        <v>5</v>
      </c>
      <c r="H1691" s="35">
        <f>IF(Metas_Diarias[[#This Row],[dias_da_demana]]=1,"domingo",IF(Metas_Diarias[[#This Row],[dias_da_demana]]=7,0.5,1))</f>
        <v>1</v>
      </c>
      <c r="I1691" s="35">
        <f>_xlfn.XLOOKUP(Metas_Diarias[[#This Row],[data]],Feriados[Data],Feriados[Feriado],1)</f>
        <v>1</v>
      </c>
      <c r="J1691" s="33" cm="1">
        <f t="array" aca="1" ref="J1691" ca="1">SUMPRODUCT(IF((NOT(ISERROR(MATCH(ROW(INDIRECT(DATE(YEAR(B1691),MONTH(B1691),1)&amp;":"&amp;DATE(YEAR(B1691),MONTH(B1691)+1,0))),Feriados[Data],0))))=FALSE,
IF(WEEKDAY(ROW(INDIRECT(DATE(YEAR(B1691),MONTH(B1691),1)&amp;":"&amp;DATE(YEAR(B1691),MONTH(B1691)+1,0))),2)&lt;=5,1,IF(WEEKDAY(ROW(INDIRECT(DATE(YEAR(B1691),MONTH(B1691),1)&amp;":"&amp;DATE(YEAR(B1691),MONTH(B1691)+1,0))),2)=6,0.5,0)),0))</f>
        <v>23.5</v>
      </c>
      <c r="K1691" s="22" cm="1">
        <f t="array" ref="K1691">_xlfn.XLOOKUP(1,((Metas_Diarias[[#This Row],[tipo_equipe_id]]=Metas[equipe])*(Metas_Diarias[[#This Row],[data]]&gt;Metas[data_inicio])*(Metas_Diarias[[#This Row],[data]]&lt;Metas[data_fim])),Metas[meta_mensal],0)</f>
        <v>115500</v>
      </c>
      <c r="L1691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92" spans="2:12" x14ac:dyDescent="0.3">
      <c r="B1692" s="34">
        <v>46248</v>
      </c>
      <c r="C1692" s="34" t="str">
        <f>TEXT(Metas_Diarias[[#This Row],[data]],"dddd")</f>
        <v>sexta-feira</v>
      </c>
      <c r="D1692" s="33">
        <v>2</v>
      </c>
      <c r="E1692" s="33">
        <v>2</v>
      </c>
      <c r="F1692" s="18"/>
      <c r="G1692" s="35">
        <f>WEEKDAY(Metas_Diarias[[#This Row],[data]])</f>
        <v>6</v>
      </c>
      <c r="H1692" s="35">
        <f>IF(Metas_Diarias[[#This Row],[dias_da_demana]]=1,"domingo",IF(Metas_Diarias[[#This Row],[dias_da_demana]]=7,0.5,1))</f>
        <v>1</v>
      </c>
      <c r="I1692" s="35">
        <f>_xlfn.XLOOKUP(Metas_Diarias[[#This Row],[data]],Feriados[Data],Feriados[Feriado],1)</f>
        <v>1</v>
      </c>
      <c r="J1692" s="33" cm="1">
        <f t="array" aca="1" ref="J1692" ca="1">SUMPRODUCT(IF((NOT(ISERROR(MATCH(ROW(INDIRECT(DATE(YEAR(B1692),MONTH(B1692),1)&amp;":"&amp;DATE(YEAR(B1692),MONTH(B1692)+1,0))),Feriados[Data],0))))=FALSE,
IF(WEEKDAY(ROW(INDIRECT(DATE(YEAR(B1692),MONTH(B1692),1)&amp;":"&amp;DATE(YEAR(B1692),MONTH(B1692)+1,0))),2)&lt;=5,1,IF(WEEKDAY(ROW(INDIRECT(DATE(YEAR(B1692),MONTH(B1692),1)&amp;":"&amp;DATE(YEAR(B1692),MONTH(B1692)+1,0))),2)=6,0.5,0)),0))</f>
        <v>23.5</v>
      </c>
      <c r="K1692" s="22" cm="1">
        <f t="array" ref="K1692">_xlfn.XLOOKUP(1,((Metas_Diarias[[#This Row],[tipo_equipe_id]]=Metas[equipe])*(Metas_Diarias[[#This Row],[data]]&gt;Metas[data_inicio])*(Metas_Diarias[[#This Row],[data]]&lt;Metas[data_fim])),Metas[meta_mensal],0)</f>
        <v>115500</v>
      </c>
      <c r="L1692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93" spans="2:12" x14ac:dyDescent="0.3">
      <c r="B1693" s="34">
        <v>46249</v>
      </c>
      <c r="C1693" s="34" t="str">
        <f>TEXT(Metas_Diarias[[#This Row],[data]],"dddd")</f>
        <v>sábado</v>
      </c>
      <c r="D1693" s="33">
        <v>2</v>
      </c>
      <c r="E1693" s="33">
        <v>2</v>
      </c>
      <c r="F1693" s="18"/>
      <c r="G1693" s="35">
        <f>WEEKDAY(Metas_Diarias[[#This Row],[data]])</f>
        <v>7</v>
      </c>
      <c r="H1693" s="35">
        <f>IF(Metas_Diarias[[#This Row],[dias_da_demana]]=1,"domingo",IF(Metas_Diarias[[#This Row],[dias_da_demana]]=7,0.5,1))</f>
        <v>0.5</v>
      </c>
      <c r="I1693" s="35">
        <f>_xlfn.XLOOKUP(Metas_Diarias[[#This Row],[data]],Feriados[Data],Feriados[Feriado],1)</f>
        <v>1</v>
      </c>
      <c r="J1693" s="33" cm="1">
        <f t="array" aca="1" ref="J1693" ca="1">SUMPRODUCT(IF((NOT(ISERROR(MATCH(ROW(INDIRECT(DATE(YEAR(B1693),MONTH(B1693),1)&amp;":"&amp;DATE(YEAR(B1693),MONTH(B1693)+1,0))),Feriados[Data],0))))=FALSE,
IF(WEEKDAY(ROW(INDIRECT(DATE(YEAR(B1693),MONTH(B1693),1)&amp;":"&amp;DATE(YEAR(B1693),MONTH(B1693)+1,0))),2)&lt;=5,1,IF(WEEKDAY(ROW(INDIRECT(DATE(YEAR(B1693),MONTH(B1693),1)&amp;":"&amp;DATE(YEAR(B1693),MONTH(B1693)+1,0))),2)=6,0.5,0)),0))</f>
        <v>23.5</v>
      </c>
      <c r="K1693" s="22" cm="1">
        <f t="array" ref="K1693">_xlfn.XLOOKUP(1,((Metas_Diarias[[#This Row],[tipo_equipe_id]]=Metas[equipe])*(Metas_Diarias[[#This Row],[data]]&gt;Metas[data_inicio])*(Metas_Diarias[[#This Row],[data]]&lt;Metas[data_fim])),Metas[meta_mensal],0)</f>
        <v>115500</v>
      </c>
      <c r="L1693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694" spans="2:12" x14ac:dyDescent="0.3">
      <c r="B1694" s="34">
        <v>46250</v>
      </c>
      <c r="C1694" s="34" t="str">
        <f>TEXT(Metas_Diarias[[#This Row],[data]],"dddd")</f>
        <v>domingo</v>
      </c>
      <c r="D1694" s="33">
        <v>2</v>
      </c>
      <c r="E1694" s="33">
        <v>2</v>
      </c>
      <c r="F1694" s="18"/>
      <c r="G1694" s="35">
        <f>WEEKDAY(Metas_Diarias[[#This Row],[data]])</f>
        <v>1</v>
      </c>
      <c r="H1694" s="35" t="str">
        <f>IF(Metas_Diarias[[#This Row],[dias_da_demana]]=1,"domingo",IF(Metas_Diarias[[#This Row],[dias_da_demana]]=7,0.5,1))</f>
        <v>domingo</v>
      </c>
      <c r="I1694" s="35">
        <f>_xlfn.XLOOKUP(Metas_Diarias[[#This Row],[data]],Feriados[Data],Feriados[Feriado],1)</f>
        <v>1</v>
      </c>
      <c r="J1694" s="33" cm="1">
        <f t="array" aca="1" ref="J1694" ca="1">SUMPRODUCT(IF((NOT(ISERROR(MATCH(ROW(INDIRECT(DATE(YEAR(B1694),MONTH(B1694),1)&amp;":"&amp;DATE(YEAR(B1694),MONTH(B1694)+1,0))),Feriados[Data],0))))=FALSE,
IF(WEEKDAY(ROW(INDIRECT(DATE(YEAR(B1694),MONTH(B1694),1)&amp;":"&amp;DATE(YEAR(B1694),MONTH(B1694)+1,0))),2)&lt;=5,1,IF(WEEKDAY(ROW(INDIRECT(DATE(YEAR(B1694),MONTH(B1694),1)&amp;":"&amp;DATE(YEAR(B1694),MONTH(B1694)+1,0))),2)=6,0.5,0)),0))</f>
        <v>23.5</v>
      </c>
      <c r="K1694" s="22" cm="1">
        <f t="array" ref="K1694">_xlfn.XLOOKUP(1,((Metas_Diarias[[#This Row],[tipo_equipe_id]]=Metas[equipe])*(Metas_Diarias[[#This Row],[data]]&gt;Metas[data_inicio])*(Metas_Diarias[[#This Row],[data]]&lt;Metas[data_fim])),Metas[meta_mensal],0)</f>
        <v>115500</v>
      </c>
      <c r="L16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695" spans="2:12" x14ac:dyDescent="0.3">
      <c r="B1695" s="34">
        <v>46251</v>
      </c>
      <c r="C1695" s="34" t="str">
        <f>TEXT(Metas_Diarias[[#This Row],[data]],"dddd")</f>
        <v>segunda-feira</v>
      </c>
      <c r="D1695" s="33">
        <v>2</v>
      </c>
      <c r="E1695" s="33">
        <v>2</v>
      </c>
      <c r="F1695" s="18"/>
      <c r="G1695" s="35">
        <f>WEEKDAY(Metas_Diarias[[#This Row],[data]])</f>
        <v>2</v>
      </c>
      <c r="H1695" s="35">
        <f>IF(Metas_Diarias[[#This Row],[dias_da_demana]]=1,"domingo",IF(Metas_Diarias[[#This Row],[dias_da_demana]]=7,0.5,1))</f>
        <v>1</v>
      </c>
      <c r="I1695" s="35">
        <f>_xlfn.XLOOKUP(Metas_Diarias[[#This Row],[data]],Feriados[Data],Feriados[Feriado],1)</f>
        <v>1</v>
      </c>
      <c r="J1695" s="33" cm="1">
        <f t="array" aca="1" ref="J1695" ca="1">SUMPRODUCT(IF((NOT(ISERROR(MATCH(ROW(INDIRECT(DATE(YEAR(B1695),MONTH(B1695),1)&amp;":"&amp;DATE(YEAR(B1695),MONTH(B1695)+1,0))),Feriados[Data],0))))=FALSE,
IF(WEEKDAY(ROW(INDIRECT(DATE(YEAR(B1695),MONTH(B1695),1)&amp;":"&amp;DATE(YEAR(B1695),MONTH(B1695)+1,0))),2)&lt;=5,1,IF(WEEKDAY(ROW(INDIRECT(DATE(YEAR(B1695),MONTH(B1695),1)&amp;":"&amp;DATE(YEAR(B1695),MONTH(B1695)+1,0))),2)=6,0.5,0)),0))</f>
        <v>23.5</v>
      </c>
      <c r="K1695" s="22" cm="1">
        <f t="array" ref="K1695">_xlfn.XLOOKUP(1,((Metas_Diarias[[#This Row],[tipo_equipe_id]]=Metas[equipe])*(Metas_Diarias[[#This Row],[data]]&gt;Metas[data_inicio])*(Metas_Diarias[[#This Row],[data]]&lt;Metas[data_fim])),Metas[meta_mensal],0)</f>
        <v>115500</v>
      </c>
      <c r="L169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96" spans="2:12" x14ac:dyDescent="0.3">
      <c r="B1696" s="34">
        <v>46252</v>
      </c>
      <c r="C1696" s="34" t="str">
        <f>TEXT(Metas_Diarias[[#This Row],[data]],"dddd")</f>
        <v>terça-feira</v>
      </c>
      <c r="D1696" s="33">
        <v>2</v>
      </c>
      <c r="E1696" s="33">
        <v>2</v>
      </c>
      <c r="F1696" s="18"/>
      <c r="G1696" s="35">
        <f>WEEKDAY(Metas_Diarias[[#This Row],[data]])</f>
        <v>3</v>
      </c>
      <c r="H1696" s="35">
        <f>IF(Metas_Diarias[[#This Row],[dias_da_demana]]=1,"domingo",IF(Metas_Diarias[[#This Row],[dias_da_demana]]=7,0.5,1))</f>
        <v>1</v>
      </c>
      <c r="I1696" s="35">
        <f>_xlfn.XLOOKUP(Metas_Diarias[[#This Row],[data]],Feriados[Data],Feriados[Feriado],1)</f>
        <v>1</v>
      </c>
      <c r="J1696" s="33" cm="1">
        <f t="array" aca="1" ref="J1696" ca="1">SUMPRODUCT(IF((NOT(ISERROR(MATCH(ROW(INDIRECT(DATE(YEAR(B1696),MONTH(B1696),1)&amp;":"&amp;DATE(YEAR(B1696),MONTH(B1696)+1,0))),Feriados[Data],0))))=FALSE,
IF(WEEKDAY(ROW(INDIRECT(DATE(YEAR(B1696),MONTH(B1696),1)&amp;":"&amp;DATE(YEAR(B1696),MONTH(B1696)+1,0))),2)&lt;=5,1,IF(WEEKDAY(ROW(INDIRECT(DATE(YEAR(B1696),MONTH(B1696),1)&amp;":"&amp;DATE(YEAR(B1696),MONTH(B1696)+1,0))),2)=6,0.5,0)),0))</f>
        <v>23.5</v>
      </c>
      <c r="K1696" s="22" cm="1">
        <f t="array" ref="K1696">_xlfn.XLOOKUP(1,((Metas_Diarias[[#This Row],[tipo_equipe_id]]=Metas[equipe])*(Metas_Diarias[[#This Row],[data]]&gt;Metas[data_inicio])*(Metas_Diarias[[#This Row],[data]]&lt;Metas[data_fim])),Metas[meta_mensal],0)</f>
        <v>115500</v>
      </c>
      <c r="L1696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97" spans="2:12" x14ac:dyDescent="0.3">
      <c r="B1697" s="34">
        <v>46253</v>
      </c>
      <c r="C1697" s="34" t="str">
        <f>TEXT(Metas_Diarias[[#This Row],[data]],"dddd")</f>
        <v>quarta-feira</v>
      </c>
      <c r="D1697" s="33">
        <v>2</v>
      </c>
      <c r="E1697" s="33">
        <v>2</v>
      </c>
      <c r="F1697" s="18"/>
      <c r="G1697" s="35">
        <f>WEEKDAY(Metas_Diarias[[#This Row],[data]])</f>
        <v>4</v>
      </c>
      <c r="H1697" s="35">
        <f>IF(Metas_Diarias[[#This Row],[dias_da_demana]]=1,"domingo",IF(Metas_Diarias[[#This Row],[dias_da_demana]]=7,0.5,1))</f>
        <v>1</v>
      </c>
      <c r="I1697" s="35">
        <f>_xlfn.XLOOKUP(Metas_Diarias[[#This Row],[data]],Feriados[Data],Feriados[Feriado],1)</f>
        <v>1</v>
      </c>
      <c r="J1697" s="33" cm="1">
        <f t="array" aca="1" ref="J1697" ca="1">SUMPRODUCT(IF((NOT(ISERROR(MATCH(ROW(INDIRECT(DATE(YEAR(B1697),MONTH(B1697),1)&amp;":"&amp;DATE(YEAR(B1697),MONTH(B1697)+1,0))),Feriados[Data],0))))=FALSE,
IF(WEEKDAY(ROW(INDIRECT(DATE(YEAR(B1697),MONTH(B1697),1)&amp;":"&amp;DATE(YEAR(B1697),MONTH(B1697)+1,0))),2)&lt;=5,1,IF(WEEKDAY(ROW(INDIRECT(DATE(YEAR(B1697),MONTH(B1697),1)&amp;":"&amp;DATE(YEAR(B1697),MONTH(B1697)+1,0))),2)=6,0.5,0)),0))</f>
        <v>23.5</v>
      </c>
      <c r="K1697" s="22" cm="1">
        <f t="array" ref="K1697">_xlfn.XLOOKUP(1,((Metas_Diarias[[#This Row],[tipo_equipe_id]]=Metas[equipe])*(Metas_Diarias[[#This Row],[data]]&gt;Metas[data_inicio])*(Metas_Diarias[[#This Row],[data]]&lt;Metas[data_fim])),Metas[meta_mensal],0)</f>
        <v>115500</v>
      </c>
      <c r="L1697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98" spans="2:12" x14ac:dyDescent="0.3">
      <c r="B1698" s="34">
        <v>46254</v>
      </c>
      <c r="C1698" s="34" t="str">
        <f>TEXT(Metas_Diarias[[#This Row],[data]],"dddd")</f>
        <v>quinta-feira</v>
      </c>
      <c r="D1698" s="33">
        <v>2</v>
      </c>
      <c r="E1698" s="33">
        <v>2</v>
      </c>
      <c r="F1698" s="18"/>
      <c r="G1698" s="35">
        <f>WEEKDAY(Metas_Diarias[[#This Row],[data]])</f>
        <v>5</v>
      </c>
      <c r="H1698" s="35">
        <f>IF(Metas_Diarias[[#This Row],[dias_da_demana]]=1,"domingo",IF(Metas_Diarias[[#This Row],[dias_da_demana]]=7,0.5,1))</f>
        <v>1</v>
      </c>
      <c r="I1698" s="35">
        <f>_xlfn.XLOOKUP(Metas_Diarias[[#This Row],[data]],Feriados[Data],Feriados[Feriado],1)</f>
        <v>1</v>
      </c>
      <c r="J1698" s="33" cm="1">
        <f t="array" aca="1" ref="J1698" ca="1">SUMPRODUCT(IF((NOT(ISERROR(MATCH(ROW(INDIRECT(DATE(YEAR(B1698),MONTH(B1698),1)&amp;":"&amp;DATE(YEAR(B1698),MONTH(B1698)+1,0))),Feriados[Data],0))))=FALSE,
IF(WEEKDAY(ROW(INDIRECT(DATE(YEAR(B1698),MONTH(B1698),1)&amp;":"&amp;DATE(YEAR(B1698),MONTH(B1698)+1,0))),2)&lt;=5,1,IF(WEEKDAY(ROW(INDIRECT(DATE(YEAR(B1698),MONTH(B1698),1)&amp;":"&amp;DATE(YEAR(B1698),MONTH(B1698)+1,0))),2)=6,0.5,0)),0))</f>
        <v>23.5</v>
      </c>
      <c r="K1698" s="22" cm="1">
        <f t="array" ref="K1698">_xlfn.XLOOKUP(1,((Metas_Diarias[[#This Row],[tipo_equipe_id]]=Metas[equipe])*(Metas_Diarias[[#This Row],[data]]&gt;Metas[data_inicio])*(Metas_Diarias[[#This Row],[data]]&lt;Metas[data_fim])),Metas[meta_mensal],0)</f>
        <v>115500</v>
      </c>
      <c r="L1698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699" spans="2:12" x14ac:dyDescent="0.3">
      <c r="B1699" s="34">
        <v>46255</v>
      </c>
      <c r="C1699" s="34" t="str">
        <f>TEXT(Metas_Diarias[[#This Row],[data]],"dddd")</f>
        <v>sexta-feira</v>
      </c>
      <c r="D1699" s="33">
        <v>2</v>
      </c>
      <c r="E1699" s="33">
        <v>2</v>
      </c>
      <c r="F1699" s="18"/>
      <c r="G1699" s="35">
        <f>WEEKDAY(Metas_Diarias[[#This Row],[data]])</f>
        <v>6</v>
      </c>
      <c r="H1699" s="35">
        <f>IF(Metas_Diarias[[#This Row],[dias_da_demana]]=1,"domingo",IF(Metas_Diarias[[#This Row],[dias_da_demana]]=7,0.5,1))</f>
        <v>1</v>
      </c>
      <c r="I1699" s="35">
        <f>_xlfn.XLOOKUP(Metas_Diarias[[#This Row],[data]],Feriados[Data],Feriados[Feriado],1)</f>
        <v>1</v>
      </c>
      <c r="J1699" s="33" cm="1">
        <f t="array" aca="1" ref="J1699" ca="1">SUMPRODUCT(IF((NOT(ISERROR(MATCH(ROW(INDIRECT(DATE(YEAR(B1699),MONTH(B1699),1)&amp;":"&amp;DATE(YEAR(B1699),MONTH(B1699)+1,0))),Feriados[Data],0))))=FALSE,
IF(WEEKDAY(ROW(INDIRECT(DATE(YEAR(B1699),MONTH(B1699),1)&amp;":"&amp;DATE(YEAR(B1699),MONTH(B1699)+1,0))),2)&lt;=5,1,IF(WEEKDAY(ROW(INDIRECT(DATE(YEAR(B1699),MONTH(B1699),1)&amp;":"&amp;DATE(YEAR(B1699),MONTH(B1699)+1,0))),2)=6,0.5,0)),0))</f>
        <v>23.5</v>
      </c>
      <c r="K1699" s="22" cm="1">
        <f t="array" ref="K1699">_xlfn.XLOOKUP(1,((Metas_Diarias[[#This Row],[tipo_equipe_id]]=Metas[equipe])*(Metas_Diarias[[#This Row],[data]]&gt;Metas[data_inicio])*(Metas_Diarias[[#This Row],[data]]&lt;Metas[data_fim])),Metas[meta_mensal],0)</f>
        <v>115500</v>
      </c>
      <c r="L1699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00" spans="2:12" x14ac:dyDescent="0.3">
      <c r="B1700" s="34">
        <v>46256</v>
      </c>
      <c r="C1700" s="34" t="str">
        <f>TEXT(Metas_Diarias[[#This Row],[data]],"dddd")</f>
        <v>sábado</v>
      </c>
      <c r="D1700" s="33">
        <v>2</v>
      </c>
      <c r="E1700" s="33">
        <v>2</v>
      </c>
      <c r="F1700" s="18"/>
      <c r="G1700" s="35">
        <f>WEEKDAY(Metas_Diarias[[#This Row],[data]])</f>
        <v>7</v>
      </c>
      <c r="H1700" s="35">
        <f>IF(Metas_Diarias[[#This Row],[dias_da_demana]]=1,"domingo",IF(Metas_Diarias[[#This Row],[dias_da_demana]]=7,0.5,1))</f>
        <v>0.5</v>
      </c>
      <c r="I1700" s="35">
        <f>_xlfn.XLOOKUP(Metas_Diarias[[#This Row],[data]],Feriados[Data],Feriados[Feriado],1)</f>
        <v>1</v>
      </c>
      <c r="J1700" s="33" cm="1">
        <f t="array" aca="1" ref="J1700" ca="1">SUMPRODUCT(IF((NOT(ISERROR(MATCH(ROW(INDIRECT(DATE(YEAR(B1700),MONTH(B1700),1)&amp;":"&amp;DATE(YEAR(B1700),MONTH(B1700)+1,0))),Feriados[Data],0))))=FALSE,
IF(WEEKDAY(ROW(INDIRECT(DATE(YEAR(B1700),MONTH(B1700),1)&amp;":"&amp;DATE(YEAR(B1700),MONTH(B1700)+1,0))),2)&lt;=5,1,IF(WEEKDAY(ROW(INDIRECT(DATE(YEAR(B1700),MONTH(B1700),1)&amp;":"&amp;DATE(YEAR(B1700),MONTH(B1700)+1,0))),2)=6,0.5,0)),0))</f>
        <v>23.5</v>
      </c>
      <c r="K1700" s="22" cm="1">
        <f t="array" ref="K1700">_xlfn.XLOOKUP(1,((Metas_Diarias[[#This Row],[tipo_equipe_id]]=Metas[equipe])*(Metas_Diarias[[#This Row],[data]]&gt;Metas[data_inicio])*(Metas_Diarias[[#This Row],[data]]&lt;Metas[data_fim])),Metas[meta_mensal],0)</f>
        <v>115500</v>
      </c>
      <c r="L1700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701" spans="2:12" x14ac:dyDescent="0.3">
      <c r="B1701" s="34">
        <v>46257</v>
      </c>
      <c r="C1701" s="34" t="str">
        <f>TEXT(Metas_Diarias[[#This Row],[data]],"dddd")</f>
        <v>domingo</v>
      </c>
      <c r="D1701" s="33">
        <v>2</v>
      </c>
      <c r="E1701" s="33">
        <v>2</v>
      </c>
      <c r="F1701" s="18"/>
      <c r="G1701" s="35">
        <f>WEEKDAY(Metas_Diarias[[#This Row],[data]])</f>
        <v>1</v>
      </c>
      <c r="H1701" s="35" t="str">
        <f>IF(Metas_Diarias[[#This Row],[dias_da_demana]]=1,"domingo",IF(Metas_Diarias[[#This Row],[dias_da_demana]]=7,0.5,1))</f>
        <v>domingo</v>
      </c>
      <c r="I1701" s="35">
        <f>_xlfn.XLOOKUP(Metas_Diarias[[#This Row],[data]],Feriados[Data],Feriados[Feriado],1)</f>
        <v>1</v>
      </c>
      <c r="J1701" s="33" cm="1">
        <f t="array" aca="1" ref="J1701" ca="1">SUMPRODUCT(IF((NOT(ISERROR(MATCH(ROW(INDIRECT(DATE(YEAR(B1701),MONTH(B1701),1)&amp;":"&amp;DATE(YEAR(B1701),MONTH(B1701)+1,0))),Feriados[Data],0))))=FALSE,
IF(WEEKDAY(ROW(INDIRECT(DATE(YEAR(B1701),MONTH(B1701),1)&amp;":"&amp;DATE(YEAR(B1701),MONTH(B1701)+1,0))),2)&lt;=5,1,IF(WEEKDAY(ROW(INDIRECT(DATE(YEAR(B1701),MONTH(B1701),1)&amp;":"&amp;DATE(YEAR(B1701),MONTH(B1701)+1,0))),2)=6,0.5,0)),0))</f>
        <v>23.5</v>
      </c>
      <c r="K1701" s="22" cm="1">
        <f t="array" ref="K1701">_xlfn.XLOOKUP(1,((Metas_Diarias[[#This Row],[tipo_equipe_id]]=Metas[equipe])*(Metas_Diarias[[#This Row],[data]]&gt;Metas[data_inicio])*(Metas_Diarias[[#This Row],[data]]&lt;Metas[data_fim])),Metas[meta_mensal],0)</f>
        <v>115500</v>
      </c>
      <c r="L17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02" spans="2:12" x14ac:dyDescent="0.3">
      <c r="B1702" s="34">
        <v>46258</v>
      </c>
      <c r="C1702" s="34" t="str">
        <f>TEXT(Metas_Diarias[[#This Row],[data]],"dddd")</f>
        <v>segunda-feira</v>
      </c>
      <c r="D1702" s="33">
        <v>2</v>
      </c>
      <c r="E1702" s="33">
        <v>2</v>
      </c>
      <c r="F1702" s="18"/>
      <c r="G1702" s="35">
        <f>WEEKDAY(Metas_Diarias[[#This Row],[data]])</f>
        <v>2</v>
      </c>
      <c r="H1702" s="35">
        <f>IF(Metas_Diarias[[#This Row],[dias_da_demana]]=1,"domingo",IF(Metas_Diarias[[#This Row],[dias_da_demana]]=7,0.5,1))</f>
        <v>1</v>
      </c>
      <c r="I1702" s="35">
        <f>_xlfn.XLOOKUP(Metas_Diarias[[#This Row],[data]],Feriados[Data],Feriados[Feriado],1)</f>
        <v>1</v>
      </c>
      <c r="J1702" s="33" cm="1">
        <f t="array" aca="1" ref="J1702" ca="1">SUMPRODUCT(IF((NOT(ISERROR(MATCH(ROW(INDIRECT(DATE(YEAR(B1702),MONTH(B1702),1)&amp;":"&amp;DATE(YEAR(B1702),MONTH(B1702)+1,0))),Feriados[Data],0))))=FALSE,
IF(WEEKDAY(ROW(INDIRECT(DATE(YEAR(B1702),MONTH(B1702),1)&amp;":"&amp;DATE(YEAR(B1702),MONTH(B1702)+1,0))),2)&lt;=5,1,IF(WEEKDAY(ROW(INDIRECT(DATE(YEAR(B1702),MONTH(B1702),1)&amp;":"&amp;DATE(YEAR(B1702),MONTH(B1702)+1,0))),2)=6,0.5,0)),0))</f>
        <v>23.5</v>
      </c>
      <c r="K1702" s="22" cm="1">
        <f t="array" ref="K1702">_xlfn.XLOOKUP(1,((Metas_Diarias[[#This Row],[tipo_equipe_id]]=Metas[equipe])*(Metas_Diarias[[#This Row],[data]]&gt;Metas[data_inicio])*(Metas_Diarias[[#This Row],[data]]&lt;Metas[data_fim])),Metas[meta_mensal],0)</f>
        <v>115500</v>
      </c>
      <c r="L1702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03" spans="2:12" x14ac:dyDescent="0.3">
      <c r="B1703" s="34">
        <v>46259</v>
      </c>
      <c r="C1703" s="34" t="str">
        <f>TEXT(Metas_Diarias[[#This Row],[data]],"dddd")</f>
        <v>terça-feira</v>
      </c>
      <c r="D1703" s="33">
        <v>2</v>
      </c>
      <c r="E1703" s="33">
        <v>2</v>
      </c>
      <c r="F1703" s="18"/>
      <c r="G1703" s="35">
        <f>WEEKDAY(Metas_Diarias[[#This Row],[data]])</f>
        <v>3</v>
      </c>
      <c r="H1703" s="35">
        <f>IF(Metas_Diarias[[#This Row],[dias_da_demana]]=1,"domingo",IF(Metas_Diarias[[#This Row],[dias_da_demana]]=7,0.5,1))</f>
        <v>1</v>
      </c>
      <c r="I1703" s="35">
        <f>_xlfn.XLOOKUP(Metas_Diarias[[#This Row],[data]],Feriados[Data],Feriados[Feriado],1)</f>
        <v>1</v>
      </c>
      <c r="J1703" s="33" cm="1">
        <f t="array" aca="1" ref="J1703" ca="1">SUMPRODUCT(IF((NOT(ISERROR(MATCH(ROW(INDIRECT(DATE(YEAR(B1703),MONTH(B1703),1)&amp;":"&amp;DATE(YEAR(B1703),MONTH(B1703)+1,0))),Feriados[Data],0))))=FALSE,
IF(WEEKDAY(ROW(INDIRECT(DATE(YEAR(B1703),MONTH(B1703),1)&amp;":"&amp;DATE(YEAR(B1703),MONTH(B1703)+1,0))),2)&lt;=5,1,IF(WEEKDAY(ROW(INDIRECT(DATE(YEAR(B1703),MONTH(B1703),1)&amp;":"&amp;DATE(YEAR(B1703),MONTH(B1703)+1,0))),2)=6,0.5,0)),0))</f>
        <v>23.5</v>
      </c>
      <c r="K1703" s="22" cm="1">
        <f t="array" ref="K1703">_xlfn.XLOOKUP(1,((Metas_Diarias[[#This Row],[tipo_equipe_id]]=Metas[equipe])*(Metas_Diarias[[#This Row],[data]]&gt;Metas[data_inicio])*(Metas_Diarias[[#This Row],[data]]&lt;Metas[data_fim])),Metas[meta_mensal],0)</f>
        <v>115500</v>
      </c>
      <c r="L1703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04" spans="2:12" x14ac:dyDescent="0.3">
      <c r="B1704" s="34">
        <v>46260</v>
      </c>
      <c r="C1704" s="34" t="str">
        <f>TEXT(Metas_Diarias[[#This Row],[data]],"dddd")</f>
        <v>quarta-feira</v>
      </c>
      <c r="D1704" s="33">
        <v>2</v>
      </c>
      <c r="E1704" s="33">
        <v>2</v>
      </c>
      <c r="F1704" s="18"/>
      <c r="G1704" s="35">
        <f>WEEKDAY(Metas_Diarias[[#This Row],[data]])</f>
        <v>4</v>
      </c>
      <c r="H1704" s="35">
        <f>IF(Metas_Diarias[[#This Row],[dias_da_demana]]=1,"domingo",IF(Metas_Diarias[[#This Row],[dias_da_demana]]=7,0.5,1))</f>
        <v>1</v>
      </c>
      <c r="I1704" s="35">
        <f>_xlfn.XLOOKUP(Metas_Diarias[[#This Row],[data]],Feriados[Data],Feriados[Feriado],1)</f>
        <v>1</v>
      </c>
      <c r="J1704" s="33" cm="1">
        <f t="array" aca="1" ref="J1704" ca="1">SUMPRODUCT(IF((NOT(ISERROR(MATCH(ROW(INDIRECT(DATE(YEAR(B1704),MONTH(B1704),1)&amp;":"&amp;DATE(YEAR(B1704),MONTH(B1704)+1,0))),Feriados[Data],0))))=FALSE,
IF(WEEKDAY(ROW(INDIRECT(DATE(YEAR(B1704),MONTH(B1704),1)&amp;":"&amp;DATE(YEAR(B1704),MONTH(B1704)+1,0))),2)&lt;=5,1,IF(WEEKDAY(ROW(INDIRECT(DATE(YEAR(B1704),MONTH(B1704),1)&amp;":"&amp;DATE(YEAR(B1704),MONTH(B1704)+1,0))),2)=6,0.5,0)),0))</f>
        <v>23.5</v>
      </c>
      <c r="K1704" s="22" cm="1">
        <f t="array" ref="K1704">_xlfn.XLOOKUP(1,((Metas_Diarias[[#This Row],[tipo_equipe_id]]=Metas[equipe])*(Metas_Diarias[[#This Row],[data]]&gt;Metas[data_inicio])*(Metas_Diarias[[#This Row],[data]]&lt;Metas[data_fim])),Metas[meta_mensal],0)</f>
        <v>115500</v>
      </c>
      <c r="L1704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05" spans="2:12" x14ac:dyDescent="0.3">
      <c r="B1705" s="34">
        <v>46261</v>
      </c>
      <c r="C1705" s="34" t="str">
        <f>TEXT(Metas_Diarias[[#This Row],[data]],"dddd")</f>
        <v>quinta-feira</v>
      </c>
      <c r="D1705" s="33">
        <v>2</v>
      </c>
      <c r="E1705" s="33">
        <v>2</v>
      </c>
      <c r="F1705" s="18"/>
      <c r="G1705" s="35">
        <f>WEEKDAY(Metas_Diarias[[#This Row],[data]])</f>
        <v>5</v>
      </c>
      <c r="H1705" s="35">
        <f>IF(Metas_Diarias[[#This Row],[dias_da_demana]]=1,"domingo",IF(Metas_Diarias[[#This Row],[dias_da_demana]]=7,0.5,1))</f>
        <v>1</v>
      </c>
      <c r="I1705" s="35">
        <f>_xlfn.XLOOKUP(Metas_Diarias[[#This Row],[data]],Feriados[Data],Feriados[Feriado],1)</f>
        <v>1</v>
      </c>
      <c r="J1705" s="33" cm="1">
        <f t="array" aca="1" ref="J1705" ca="1">SUMPRODUCT(IF((NOT(ISERROR(MATCH(ROW(INDIRECT(DATE(YEAR(B1705),MONTH(B1705),1)&amp;":"&amp;DATE(YEAR(B1705),MONTH(B1705)+1,0))),Feriados[Data],0))))=FALSE,
IF(WEEKDAY(ROW(INDIRECT(DATE(YEAR(B1705),MONTH(B1705),1)&amp;":"&amp;DATE(YEAR(B1705),MONTH(B1705)+1,0))),2)&lt;=5,1,IF(WEEKDAY(ROW(INDIRECT(DATE(YEAR(B1705),MONTH(B1705),1)&amp;":"&amp;DATE(YEAR(B1705),MONTH(B1705)+1,0))),2)=6,0.5,0)),0))</f>
        <v>23.5</v>
      </c>
      <c r="K1705" s="22" cm="1">
        <f t="array" ref="K1705">_xlfn.XLOOKUP(1,((Metas_Diarias[[#This Row],[tipo_equipe_id]]=Metas[equipe])*(Metas_Diarias[[#This Row],[data]]&gt;Metas[data_inicio])*(Metas_Diarias[[#This Row],[data]]&lt;Metas[data_fim])),Metas[meta_mensal],0)</f>
        <v>115500</v>
      </c>
      <c r="L170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06" spans="2:12" x14ac:dyDescent="0.3">
      <c r="B1706" s="34">
        <v>46262</v>
      </c>
      <c r="C1706" s="34" t="str">
        <f>TEXT(Metas_Diarias[[#This Row],[data]],"dddd")</f>
        <v>sexta-feira</v>
      </c>
      <c r="D1706" s="33">
        <v>2</v>
      </c>
      <c r="E1706" s="33">
        <v>2</v>
      </c>
      <c r="F1706" s="18"/>
      <c r="G1706" s="35">
        <f>WEEKDAY(Metas_Diarias[[#This Row],[data]])</f>
        <v>6</v>
      </c>
      <c r="H1706" s="35">
        <f>IF(Metas_Diarias[[#This Row],[dias_da_demana]]=1,"domingo",IF(Metas_Diarias[[#This Row],[dias_da_demana]]=7,0.5,1))</f>
        <v>1</v>
      </c>
      <c r="I1706" s="35">
        <f>_xlfn.XLOOKUP(Metas_Diarias[[#This Row],[data]],Feriados[Data],Feriados[Feriado],1)</f>
        <v>1</v>
      </c>
      <c r="J1706" s="33" cm="1">
        <f t="array" aca="1" ref="J1706" ca="1">SUMPRODUCT(IF((NOT(ISERROR(MATCH(ROW(INDIRECT(DATE(YEAR(B1706),MONTH(B1706),1)&amp;":"&amp;DATE(YEAR(B1706),MONTH(B1706)+1,0))),Feriados[Data],0))))=FALSE,
IF(WEEKDAY(ROW(INDIRECT(DATE(YEAR(B1706),MONTH(B1706),1)&amp;":"&amp;DATE(YEAR(B1706),MONTH(B1706)+1,0))),2)&lt;=5,1,IF(WEEKDAY(ROW(INDIRECT(DATE(YEAR(B1706),MONTH(B1706),1)&amp;":"&amp;DATE(YEAR(B1706),MONTH(B1706)+1,0))),2)=6,0.5,0)),0))</f>
        <v>23.5</v>
      </c>
      <c r="K1706" s="22" cm="1">
        <f t="array" ref="K1706">_xlfn.XLOOKUP(1,((Metas_Diarias[[#This Row],[tipo_equipe_id]]=Metas[equipe])*(Metas_Diarias[[#This Row],[data]]&gt;Metas[data_inicio])*(Metas_Diarias[[#This Row],[data]]&lt;Metas[data_fim])),Metas[meta_mensal],0)</f>
        <v>115500</v>
      </c>
      <c r="L1706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07" spans="2:12" x14ac:dyDescent="0.3">
      <c r="B1707" s="34">
        <v>46263</v>
      </c>
      <c r="C1707" s="34" t="str">
        <f>TEXT(Metas_Diarias[[#This Row],[data]],"dddd")</f>
        <v>sábado</v>
      </c>
      <c r="D1707" s="33">
        <v>2</v>
      </c>
      <c r="E1707" s="33">
        <v>2</v>
      </c>
      <c r="F1707" s="18"/>
      <c r="G1707" s="35">
        <f>WEEKDAY(Metas_Diarias[[#This Row],[data]])</f>
        <v>7</v>
      </c>
      <c r="H1707" s="35">
        <f>IF(Metas_Diarias[[#This Row],[dias_da_demana]]=1,"domingo",IF(Metas_Diarias[[#This Row],[dias_da_demana]]=7,0.5,1))</f>
        <v>0.5</v>
      </c>
      <c r="I1707" s="35">
        <f>_xlfn.XLOOKUP(Metas_Diarias[[#This Row],[data]],Feriados[Data],Feriados[Feriado],1)</f>
        <v>1</v>
      </c>
      <c r="J1707" s="33" cm="1">
        <f t="array" aca="1" ref="J1707" ca="1">SUMPRODUCT(IF((NOT(ISERROR(MATCH(ROW(INDIRECT(DATE(YEAR(B1707),MONTH(B1707),1)&amp;":"&amp;DATE(YEAR(B1707),MONTH(B1707)+1,0))),Feriados[Data],0))))=FALSE,
IF(WEEKDAY(ROW(INDIRECT(DATE(YEAR(B1707),MONTH(B1707),1)&amp;":"&amp;DATE(YEAR(B1707),MONTH(B1707)+1,0))),2)&lt;=5,1,IF(WEEKDAY(ROW(INDIRECT(DATE(YEAR(B1707),MONTH(B1707),1)&amp;":"&amp;DATE(YEAR(B1707),MONTH(B1707)+1,0))),2)=6,0.5,0)),0))</f>
        <v>23.5</v>
      </c>
      <c r="K1707" s="22" cm="1">
        <f t="array" ref="K1707">_xlfn.XLOOKUP(1,((Metas_Diarias[[#This Row],[tipo_equipe_id]]=Metas[equipe])*(Metas_Diarias[[#This Row],[data]]&gt;Metas[data_inicio])*(Metas_Diarias[[#This Row],[data]]&lt;Metas[data_fim])),Metas[meta_mensal],0)</f>
        <v>115500</v>
      </c>
      <c r="L1707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708" spans="2:12" x14ac:dyDescent="0.3">
      <c r="B1708" s="34">
        <v>46264</v>
      </c>
      <c r="C1708" s="34" t="str">
        <f>TEXT(Metas_Diarias[[#This Row],[data]],"dddd")</f>
        <v>domingo</v>
      </c>
      <c r="D1708" s="33">
        <v>2</v>
      </c>
      <c r="E1708" s="33">
        <v>2</v>
      </c>
      <c r="F1708" s="18"/>
      <c r="G1708" s="35">
        <f>WEEKDAY(Metas_Diarias[[#This Row],[data]])</f>
        <v>1</v>
      </c>
      <c r="H1708" s="35" t="str">
        <f>IF(Metas_Diarias[[#This Row],[dias_da_demana]]=1,"domingo",IF(Metas_Diarias[[#This Row],[dias_da_demana]]=7,0.5,1))</f>
        <v>domingo</v>
      </c>
      <c r="I1708" s="35">
        <f>_xlfn.XLOOKUP(Metas_Diarias[[#This Row],[data]],Feriados[Data],Feriados[Feriado],1)</f>
        <v>1</v>
      </c>
      <c r="J1708" s="33" cm="1">
        <f t="array" aca="1" ref="J1708" ca="1">SUMPRODUCT(IF((NOT(ISERROR(MATCH(ROW(INDIRECT(DATE(YEAR(B1708),MONTH(B1708),1)&amp;":"&amp;DATE(YEAR(B1708),MONTH(B1708)+1,0))),Feriados[Data],0))))=FALSE,
IF(WEEKDAY(ROW(INDIRECT(DATE(YEAR(B1708),MONTH(B1708),1)&amp;":"&amp;DATE(YEAR(B1708),MONTH(B1708)+1,0))),2)&lt;=5,1,IF(WEEKDAY(ROW(INDIRECT(DATE(YEAR(B1708),MONTH(B1708),1)&amp;":"&amp;DATE(YEAR(B1708),MONTH(B1708)+1,0))),2)=6,0.5,0)),0))</f>
        <v>23.5</v>
      </c>
      <c r="K1708" s="22" cm="1">
        <f t="array" ref="K1708">_xlfn.XLOOKUP(1,((Metas_Diarias[[#This Row],[tipo_equipe_id]]=Metas[equipe])*(Metas_Diarias[[#This Row],[data]]&gt;Metas[data_inicio])*(Metas_Diarias[[#This Row],[data]]&lt;Metas[data_fim])),Metas[meta_mensal],0)</f>
        <v>115500</v>
      </c>
      <c r="L17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09" spans="2:12" x14ac:dyDescent="0.3">
      <c r="B1709" s="34">
        <v>46265</v>
      </c>
      <c r="C1709" s="34" t="str">
        <f>TEXT(Metas_Diarias[[#This Row],[data]],"dddd")</f>
        <v>segunda-feira</v>
      </c>
      <c r="D1709" s="33">
        <v>2</v>
      </c>
      <c r="E1709" s="33">
        <v>2</v>
      </c>
      <c r="F1709" s="18"/>
      <c r="G1709" s="35">
        <f>WEEKDAY(Metas_Diarias[[#This Row],[data]])</f>
        <v>2</v>
      </c>
      <c r="H1709" s="35">
        <f>IF(Metas_Diarias[[#This Row],[dias_da_demana]]=1,"domingo",IF(Metas_Diarias[[#This Row],[dias_da_demana]]=7,0.5,1))</f>
        <v>1</v>
      </c>
      <c r="I1709" s="35">
        <f>_xlfn.XLOOKUP(Metas_Diarias[[#This Row],[data]],Feriados[Data],Feriados[Feriado],1)</f>
        <v>1</v>
      </c>
      <c r="J1709" s="33" cm="1">
        <f t="array" aca="1" ref="J1709" ca="1">SUMPRODUCT(IF((NOT(ISERROR(MATCH(ROW(INDIRECT(DATE(YEAR(B1709),MONTH(B1709),1)&amp;":"&amp;DATE(YEAR(B1709),MONTH(B1709)+1,0))),Feriados[Data],0))))=FALSE,
IF(WEEKDAY(ROW(INDIRECT(DATE(YEAR(B1709),MONTH(B1709),1)&amp;":"&amp;DATE(YEAR(B1709),MONTH(B1709)+1,0))),2)&lt;=5,1,IF(WEEKDAY(ROW(INDIRECT(DATE(YEAR(B1709),MONTH(B1709),1)&amp;":"&amp;DATE(YEAR(B1709),MONTH(B1709)+1,0))),2)=6,0.5,0)),0))</f>
        <v>23.5</v>
      </c>
      <c r="K1709" s="22" cm="1">
        <f t="array" ref="K1709">_xlfn.XLOOKUP(1,((Metas_Diarias[[#This Row],[tipo_equipe_id]]=Metas[equipe])*(Metas_Diarias[[#This Row],[data]]&gt;Metas[data_inicio])*(Metas_Diarias[[#This Row],[data]]&lt;Metas[data_fim])),Metas[meta_mensal],0)</f>
        <v>115500</v>
      </c>
      <c r="L1709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10" spans="2:12" x14ac:dyDescent="0.3">
      <c r="B1710" s="34">
        <v>46266</v>
      </c>
      <c r="C1710" s="34" t="str">
        <f>TEXT(Metas_Diarias[[#This Row],[data]],"dddd")</f>
        <v>terça-feira</v>
      </c>
      <c r="D1710" s="33">
        <v>2</v>
      </c>
      <c r="E1710" s="33">
        <v>2</v>
      </c>
      <c r="F1710" s="18"/>
      <c r="G1710" s="35">
        <f>WEEKDAY(Metas_Diarias[[#This Row],[data]])</f>
        <v>3</v>
      </c>
      <c r="H1710" s="35">
        <f>IF(Metas_Diarias[[#This Row],[dias_da_demana]]=1,"domingo",IF(Metas_Diarias[[#This Row],[dias_da_demana]]=7,0.5,1))</f>
        <v>1</v>
      </c>
      <c r="I1710" s="35">
        <f>_xlfn.XLOOKUP(Metas_Diarias[[#This Row],[data]],Feriados[Data],Feriados[Feriado],1)</f>
        <v>1</v>
      </c>
      <c r="J1710" s="33" cm="1">
        <f t="array" aca="1" ref="J1710" ca="1">SUMPRODUCT(IF((NOT(ISERROR(MATCH(ROW(INDIRECT(DATE(YEAR(B1710),MONTH(B1710),1)&amp;":"&amp;DATE(YEAR(B1710),MONTH(B1710)+1,0))),Feriados[Data],0))))=FALSE,
IF(WEEKDAY(ROW(INDIRECT(DATE(YEAR(B1710),MONTH(B1710),1)&amp;":"&amp;DATE(YEAR(B1710),MONTH(B1710)+1,0))),2)&lt;=5,1,IF(WEEKDAY(ROW(INDIRECT(DATE(YEAR(B1710),MONTH(B1710),1)&amp;":"&amp;DATE(YEAR(B1710),MONTH(B1710)+1,0))),2)=6,0.5,0)),0))</f>
        <v>23</v>
      </c>
      <c r="K1710" s="22" cm="1">
        <f t="array" ref="K1710">_xlfn.XLOOKUP(1,((Metas_Diarias[[#This Row],[tipo_equipe_id]]=Metas[equipe])*(Metas_Diarias[[#This Row],[data]]&gt;Metas[data_inicio])*(Metas_Diarias[[#This Row],[data]]&lt;Metas[data_fim])),Metas[meta_mensal],0)</f>
        <v>115500</v>
      </c>
      <c r="L1710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11" spans="2:12" x14ac:dyDescent="0.3">
      <c r="B1711" s="34">
        <v>46267</v>
      </c>
      <c r="C1711" s="34" t="str">
        <f>TEXT(Metas_Diarias[[#This Row],[data]],"dddd")</f>
        <v>quarta-feira</v>
      </c>
      <c r="D1711" s="33">
        <v>2</v>
      </c>
      <c r="E1711" s="33">
        <v>2</v>
      </c>
      <c r="F1711" s="18"/>
      <c r="G1711" s="35">
        <f>WEEKDAY(Metas_Diarias[[#This Row],[data]])</f>
        <v>4</v>
      </c>
      <c r="H1711" s="35">
        <f>IF(Metas_Diarias[[#This Row],[dias_da_demana]]=1,"domingo",IF(Metas_Diarias[[#This Row],[dias_da_demana]]=7,0.5,1))</f>
        <v>1</v>
      </c>
      <c r="I1711" s="35">
        <f>_xlfn.XLOOKUP(Metas_Diarias[[#This Row],[data]],Feriados[Data],Feriados[Feriado],1)</f>
        <v>1</v>
      </c>
      <c r="J1711" s="33" cm="1">
        <f t="array" aca="1" ref="J1711" ca="1">SUMPRODUCT(IF((NOT(ISERROR(MATCH(ROW(INDIRECT(DATE(YEAR(B1711),MONTH(B1711),1)&amp;":"&amp;DATE(YEAR(B1711),MONTH(B1711)+1,0))),Feriados[Data],0))))=FALSE,
IF(WEEKDAY(ROW(INDIRECT(DATE(YEAR(B1711),MONTH(B1711),1)&amp;":"&amp;DATE(YEAR(B1711),MONTH(B1711)+1,0))),2)&lt;=5,1,IF(WEEKDAY(ROW(INDIRECT(DATE(YEAR(B1711),MONTH(B1711),1)&amp;":"&amp;DATE(YEAR(B1711),MONTH(B1711)+1,0))),2)=6,0.5,0)),0))</f>
        <v>23</v>
      </c>
      <c r="K1711" s="22" cm="1">
        <f t="array" ref="K1711">_xlfn.XLOOKUP(1,((Metas_Diarias[[#This Row],[tipo_equipe_id]]=Metas[equipe])*(Metas_Diarias[[#This Row],[data]]&gt;Metas[data_inicio])*(Metas_Diarias[[#This Row],[data]]&lt;Metas[data_fim])),Metas[meta_mensal],0)</f>
        <v>115500</v>
      </c>
      <c r="L1711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12" spans="2:12" x14ac:dyDescent="0.3">
      <c r="B1712" s="34">
        <v>46268</v>
      </c>
      <c r="C1712" s="34" t="str">
        <f>TEXT(Metas_Diarias[[#This Row],[data]],"dddd")</f>
        <v>quinta-feira</v>
      </c>
      <c r="D1712" s="33">
        <v>2</v>
      </c>
      <c r="E1712" s="33">
        <v>2</v>
      </c>
      <c r="F1712" s="18"/>
      <c r="G1712" s="35">
        <f>WEEKDAY(Metas_Diarias[[#This Row],[data]])</f>
        <v>5</v>
      </c>
      <c r="H1712" s="35">
        <f>IF(Metas_Diarias[[#This Row],[dias_da_demana]]=1,"domingo",IF(Metas_Diarias[[#This Row],[dias_da_demana]]=7,0.5,1))</f>
        <v>1</v>
      </c>
      <c r="I1712" s="35">
        <f>_xlfn.XLOOKUP(Metas_Diarias[[#This Row],[data]],Feriados[Data],Feriados[Feriado],1)</f>
        <v>1</v>
      </c>
      <c r="J1712" s="33" cm="1">
        <f t="array" aca="1" ref="J1712" ca="1">SUMPRODUCT(IF((NOT(ISERROR(MATCH(ROW(INDIRECT(DATE(YEAR(B1712),MONTH(B1712),1)&amp;":"&amp;DATE(YEAR(B1712),MONTH(B1712)+1,0))),Feriados[Data],0))))=FALSE,
IF(WEEKDAY(ROW(INDIRECT(DATE(YEAR(B1712),MONTH(B1712),1)&amp;":"&amp;DATE(YEAR(B1712),MONTH(B1712)+1,0))),2)&lt;=5,1,IF(WEEKDAY(ROW(INDIRECT(DATE(YEAR(B1712),MONTH(B1712),1)&amp;":"&amp;DATE(YEAR(B1712),MONTH(B1712)+1,0))),2)=6,0.5,0)),0))</f>
        <v>23</v>
      </c>
      <c r="K1712" s="22" cm="1">
        <f t="array" ref="K1712">_xlfn.XLOOKUP(1,((Metas_Diarias[[#This Row],[tipo_equipe_id]]=Metas[equipe])*(Metas_Diarias[[#This Row],[data]]&gt;Metas[data_inicio])*(Metas_Diarias[[#This Row],[data]]&lt;Metas[data_fim])),Metas[meta_mensal],0)</f>
        <v>115500</v>
      </c>
      <c r="L1712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13" spans="2:12" x14ac:dyDescent="0.3">
      <c r="B1713" s="34">
        <v>46269</v>
      </c>
      <c r="C1713" s="34" t="str">
        <f>TEXT(Metas_Diarias[[#This Row],[data]],"dddd")</f>
        <v>sexta-feira</v>
      </c>
      <c r="D1713" s="33">
        <v>2</v>
      </c>
      <c r="E1713" s="33">
        <v>2</v>
      </c>
      <c r="F1713" s="18"/>
      <c r="G1713" s="35">
        <f>WEEKDAY(Metas_Diarias[[#This Row],[data]])</f>
        <v>6</v>
      </c>
      <c r="H1713" s="35">
        <f>IF(Metas_Diarias[[#This Row],[dias_da_demana]]=1,"domingo",IF(Metas_Diarias[[#This Row],[dias_da_demana]]=7,0.5,1))</f>
        <v>1</v>
      </c>
      <c r="I1713" s="35">
        <f>_xlfn.XLOOKUP(Metas_Diarias[[#This Row],[data]],Feriados[Data],Feriados[Feriado],1)</f>
        <v>1</v>
      </c>
      <c r="J1713" s="33" cm="1">
        <f t="array" aca="1" ref="J1713" ca="1">SUMPRODUCT(IF((NOT(ISERROR(MATCH(ROW(INDIRECT(DATE(YEAR(B1713),MONTH(B1713),1)&amp;":"&amp;DATE(YEAR(B1713),MONTH(B1713)+1,0))),Feriados[Data],0))))=FALSE,
IF(WEEKDAY(ROW(INDIRECT(DATE(YEAR(B1713),MONTH(B1713),1)&amp;":"&amp;DATE(YEAR(B1713),MONTH(B1713)+1,0))),2)&lt;=5,1,IF(WEEKDAY(ROW(INDIRECT(DATE(YEAR(B1713),MONTH(B1713),1)&amp;":"&amp;DATE(YEAR(B1713),MONTH(B1713)+1,0))),2)=6,0.5,0)),0))</f>
        <v>23</v>
      </c>
      <c r="K1713" s="22" cm="1">
        <f t="array" ref="K1713">_xlfn.XLOOKUP(1,((Metas_Diarias[[#This Row],[tipo_equipe_id]]=Metas[equipe])*(Metas_Diarias[[#This Row],[data]]&gt;Metas[data_inicio])*(Metas_Diarias[[#This Row],[data]]&lt;Metas[data_fim])),Metas[meta_mensal],0)</f>
        <v>115500</v>
      </c>
      <c r="L1713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14" spans="2:12" x14ac:dyDescent="0.3">
      <c r="B1714" s="34">
        <v>46270</v>
      </c>
      <c r="C1714" s="34" t="str">
        <f>TEXT(Metas_Diarias[[#This Row],[data]],"dddd")</f>
        <v>sábado</v>
      </c>
      <c r="D1714" s="33">
        <v>2</v>
      </c>
      <c r="E1714" s="33">
        <v>2</v>
      </c>
      <c r="F1714" s="18"/>
      <c r="G1714" s="35">
        <f>WEEKDAY(Metas_Diarias[[#This Row],[data]])</f>
        <v>7</v>
      </c>
      <c r="H1714" s="35">
        <f>IF(Metas_Diarias[[#This Row],[dias_da_demana]]=1,"domingo",IF(Metas_Diarias[[#This Row],[dias_da_demana]]=7,0.5,1))</f>
        <v>0.5</v>
      </c>
      <c r="I1714" s="35">
        <f>_xlfn.XLOOKUP(Metas_Diarias[[#This Row],[data]],Feriados[Data],Feriados[Feriado],1)</f>
        <v>1</v>
      </c>
      <c r="J1714" s="33" cm="1">
        <f t="array" aca="1" ref="J1714" ca="1">SUMPRODUCT(IF((NOT(ISERROR(MATCH(ROW(INDIRECT(DATE(YEAR(B1714),MONTH(B1714),1)&amp;":"&amp;DATE(YEAR(B1714),MONTH(B1714)+1,0))),Feriados[Data],0))))=FALSE,
IF(WEEKDAY(ROW(INDIRECT(DATE(YEAR(B1714),MONTH(B1714),1)&amp;":"&amp;DATE(YEAR(B1714),MONTH(B1714)+1,0))),2)&lt;=5,1,IF(WEEKDAY(ROW(INDIRECT(DATE(YEAR(B1714),MONTH(B1714),1)&amp;":"&amp;DATE(YEAR(B1714),MONTH(B1714)+1,0))),2)=6,0.5,0)),0))</f>
        <v>23</v>
      </c>
      <c r="K1714" s="22" cm="1">
        <f t="array" ref="K1714">_xlfn.XLOOKUP(1,((Metas_Diarias[[#This Row],[tipo_equipe_id]]=Metas[equipe])*(Metas_Diarias[[#This Row],[data]]&gt;Metas[data_inicio])*(Metas_Diarias[[#This Row],[data]]&lt;Metas[data_fim])),Metas[meta_mensal],0)</f>
        <v>115500</v>
      </c>
      <c r="L1714" s="24">
        <f ca="1">Metas_Diarias[[#This Row],[meta_mensal]]*IF(Metas_Diarias[[#This Row],[semana]]="domingo",0,Metas_Diarias[[#This Row],[semana]])*IF(Metas_Diarias[[#This Row],[feriado]]&lt;&gt;1,0,1)/Metas_Diarias[[#This Row],[dias_úteis_Mês]]</f>
        <v>2510.8695652173915</v>
      </c>
    </row>
    <row r="1715" spans="2:12" x14ac:dyDescent="0.3">
      <c r="B1715" s="34">
        <v>46271</v>
      </c>
      <c r="C1715" s="34" t="str">
        <f>TEXT(Metas_Diarias[[#This Row],[data]],"dddd")</f>
        <v>domingo</v>
      </c>
      <c r="D1715" s="33">
        <v>2</v>
      </c>
      <c r="E1715" s="33">
        <v>2</v>
      </c>
      <c r="F1715" s="18"/>
      <c r="G1715" s="35">
        <f>WEEKDAY(Metas_Diarias[[#This Row],[data]])</f>
        <v>1</v>
      </c>
      <c r="H1715" s="35" t="str">
        <f>IF(Metas_Diarias[[#This Row],[dias_da_demana]]=1,"domingo",IF(Metas_Diarias[[#This Row],[dias_da_demana]]=7,0.5,1))</f>
        <v>domingo</v>
      </c>
      <c r="I1715" s="35">
        <f>_xlfn.XLOOKUP(Metas_Diarias[[#This Row],[data]],Feriados[Data],Feriados[Feriado],1)</f>
        <v>1</v>
      </c>
      <c r="J1715" s="33" cm="1">
        <f t="array" aca="1" ref="J1715" ca="1">SUMPRODUCT(IF((NOT(ISERROR(MATCH(ROW(INDIRECT(DATE(YEAR(B1715),MONTH(B1715),1)&amp;":"&amp;DATE(YEAR(B1715),MONTH(B1715)+1,0))),Feriados[Data],0))))=FALSE,
IF(WEEKDAY(ROW(INDIRECT(DATE(YEAR(B1715),MONTH(B1715),1)&amp;":"&amp;DATE(YEAR(B1715),MONTH(B1715)+1,0))),2)&lt;=5,1,IF(WEEKDAY(ROW(INDIRECT(DATE(YEAR(B1715),MONTH(B1715),1)&amp;":"&amp;DATE(YEAR(B1715),MONTH(B1715)+1,0))),2)=6,0.5,0)),0))</f>
        <v>23</v>
      </c>
      <c r="K1715" s="22" cm="1">
        <f t="array" ref="K1715">_xlfn.XLOOKUP(1,((Metas_Diarias[[#This Row],[tipo_equipe_id]]=Metas[equipe])*(Metas_Diarias[[#This Row],[data]]&gt;Metas[data_inicio])*(Metas_Diarias[[#This Row],[data]]&lt;Metas[data_fim])),Metas[meta_mensal],0)</f>
        <v>115500</v>
      </c>
      <c r="L17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16" spans="2:12" x14ac:dyDescent="0.3">
      <c r="B1716" s="34">
        <v>46272</v>
      </c>
      <c r="C1716" s="34" t="str">
        <f>TEXT(Metas_Diarias[[#This Row],[data]],"dddd")</f>
        <v>segunda-feira</v>
      </c>
      <c r="D1716" s="33">
        <v>2</v>
      </c>
      <c r="E1716" s="33">
        <v>2</v>
      </c>
      <c r="F1716" s="18"/>
      <c r="G1716" s="35">
        <f>WEEKDAY(Metas_Diarias[[#This Row],[data]])</f>
        <v>2</v>
      </c>
      <c r="H1716" s="35">
        <f>IF(Metas_Diarias[[#This Row],[dias_da_demana]]=1,"domingo",IF(Metas_Diarias[[#This Row],[dias_da_demana]]=7,0.5,1))</f>
        <v>1</v>
      </c>
      <c r="I1716" s="35" t="str">
        <f>_xlfn.XLOOKUP(Metas_Diarias[[#This Row],[data]],Feriados[Data],Feriados[Feriado],1)</f>
        <v>Independência do Brasil</v>
      </c>
      <c r="J1716" s="33" cm="1">
        <f t="array" aca="1" ref="J1716" ca="1">SUMPRODUCT(IF((NOT(ISERROR(MATCH(ROW(INDIRECT(DATE(YEAR(B1716),MONTH(B1716),1)&amp;":"&amp;DATE(YEAR(B1716),MONTH(B1716)+1,0))),Feriados[Data],0))))=FALSE,
IF(WEEKDAY(ROW(INDIRECT(DATE(YEAR(B1716),MONTH(B1716),1)&amp;":"&amp;DATE(YEAR(B1716),MONTH(B1716)+1,0))),2)&lt;=5,1,IF(WEEKDAY(ROW(INDIRECT(DATE(YEAR(B1716),MONTH(B1716),1)&amp;":"&amp;DATE(YEAR(B1716),MONTH(B1716)+1,0))),2)=6,0.5,0)),0))</f>
        <v>23</v>
      </c>
      <c r="K1716" s="22" cm="1">
        <f t="array" ref="K1716">_xlfn.XLOOKUP(1,((Metas_Diarias[[#This Row],[tipo_equipe_id]]=Metas[equipe])*(Metas_Diarias[[#This Row],[data]]&gt;Metas[data_inicio])*(Metas_Diarias[[#This Row],[data]]&lt;Metas[data_fim])),Metas[meta_mensal],0)</f>
        <v>115500</v>
      </c>
      <c r="L17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17" spans="2:12" x14ac:dyDescent="0.3">
      <c r="B1717" s="34">
        <v>46273</v>
      </c>
      <c r="C1717" s="34" t="str">
        <f>TEXT(Metas_Diarias[[#This Row],[data]],"dddd")</f>
        <v>terça-feira</v>
      </c>
      <c r="D1717" s="33">
        <v>2</v>
      </c>
      <c r="E1717" s="33">
        <v>2</v>
      </c>
      <c r="F1717" s="18"/>
      <c r="G1717" s="35">
        <f>WEEKDAY(Metas_Diarias[[#This Row],[data]])</f>
        <v>3</v>
      </c>
      <c r="H1717" s="35">
        <f>IF(Metas_Diarias[[#This Row],[dias_da_demana]]=1,"domingo",IF(Metas_Diarias[[#This Row],[dias_da_demana]]=7,0.5,1))</f>
        <v>1</v>
      </c>
      <c r="I1717" s="35">
        <f>_xlfn.XLOOKUP(Metas_Diarias[[#This Row],[data]],Feriados[Data],Feriados[Feriado],1)</f>
        <v>1</v>
      </c>
      <c r="J1717" s="33" cm="1">
        <f t="array" aca="1" ref="J1717" ca="1">SUMPRODUCT(IF((NOT(ISERROR(MATCH(ROW(INDIRECT(DATE(YEAR(B1717),MONTH(B1717),1)&amp;":"&amp;DATE(YEAR(B1717),MONTH(B1717)+1,0))),Feriados[Data],0))))=FALSE,
IF(WEEKDAY(ROW(INDIRECT(DATE(YEAR(B1717),MONTH(B1717),1)&amp;":"&amp;DATE(YEAR(B1717),MONTH(B1717)+1,0))),2)&lt;=5,1,IF(WEEKDAY(ROW(INDIRECT(DATE(YEAR(B1717),MONTH(B1717),1)&amp;":"&amp;DATE(YEAR(B1717),MONTH(B1717)+1,0))),2)=6,0.5,0)),0))</f>
        <v>23</v>
      </c>
      <c r="K1717" s="22" cm="1">
        <f t="array" ref="K1717">_xlfn.XLOOKUP(1,((Metas_Diarias[[#This Row],[tipo_equipe_id]]=Metas[equipe])*(Metas_Diarias[[#This Row],[data]]&gt;Metas[data_inicio])*(Metas_Diarias[[#This Row],[data]]&lt;Metas[data_fim])),Metas[meta_mensal],0)</f>
        <v>115500</v>
      </c>
      <c r="L1717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18" spans="2:12" x14ac:dyDescent="0.3">
      <c r="B1718" s="34">
        <v>46274</v>
      </c>
      <c r="C1718" s="34" t="str">
        <f>TEXT(Metas_Diarias[[#This Row],[data]],"dddd")</f>
        <v>quarta-feira</v>
      </c>
      <c r="D1718" s="33">
        <v>2</v>
      </c>
      <c r="E1718" s="33">
        <v>2</v>
      </c>
      <c r="F1718" s="18"/>
      <c r="G1718" s="35">
        <f>WEEKDAY(Metas_Diarias[[#This Row],[data]])</f>
        <v>4</v>
      </c>
      <c r="H1718" s="35">
        <f>IF(Metas_Diarias[[#This Row],[dias_da_demana]]=1,"domingo",IF(Metas_Diarias[[#This Row],[dias_da_demana]]=7,0.5,1))</f>
        <v>1</v>
      </c>
      <c r="I1718" s="35">
        <f>_xlfn.XLOOKUP(Metas_Diarias[[#This Row],[data]],Feriados[Data],Feriados[Feriado],1)</f>
        <v>1</v>
      </c>
      <c r="J1718" s="33" cm="1">
        <f t="array" aca="1" ref="J1718" ca="1">SUMPRODUCT(IF((NOT(ISERROR(MATCH(ROW(INDIRECT(DATE(YEAR(B1718),MONTH(B1718),1)&amp;":"&amp;DATE(YEAR(B1718),MONTH(B1718)+1,0))),Feriados[Data],0))))=FALSE,
IF(WEEKDAY(ROW(INDIRECT(DATE(YEAR(B1718),MONTH(B1718),1)&amp;":"&amp;DATE(YEAR(B1718),MONTH(B1718)+1,0))),2)&lt;=5,1,IF(WEEKDAY(ROW(INDIRECT(DATE(YEAR(B1718),MONTH(B1718),1)&amp;":"&amp;DATE(YEAR(B1718),MONTH(B1718)+1,0))),2)=6,0.5,0)),0))</f>
        <v>23</v>
      </c>
      <c r="K1718" s="22" cm="1">
        <f t="array" ref="K1718">_xlfn.XLOOKUP(1,((Metas_Diarias[[#This Row],[tipo_equipe_id]]=Metas[equipe])*(Metas_Diarias[[#This Row],[data]]&gt;Metas[data_inicio])*(Metas_Diarias[[#This Row],[data]]&lt;Metas[data_fim])),Metas[meta_mensal],0)</f>
        <v>115500</v>
      </c>
      <c r="L1718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19" spans="2:12" x14ac:dyDescent="0.3">
      <c r="B1719" s="34">
        <v>46275</v>
      </c>
      <c r="C1719" s="34" t="str">
        <f>TEXT(Metas_Diarias[[#This Row],[data]],"dddd")</f>
        <v>quinta-feira</v>
      </c>
      <c r="D1719" s="33">
        <v>2</v>
      </c>
      <c r="E1719" s="33">
        <v>2</v>
      </c>
      <c r="F1719" s="18"/>
      <c r="G1719" s="35">
        <f>WEEKDAY(Metas_Diarias[[#This Row],[data]])</f>
        <v>5</v>
      </c>
      <c r="H1719" s="35">
        <f>IF(Metas_Diarias[[#This Row],[dias_da_demana]]=1,"domingo",IF(Metas_Diarias[[#This Row],[dias_da_demana]]=7,0.5,1))</f>
        <v>1</v>
      </c>
      <c r="I1719" s="35">
        <f>_xlfn.XLOOKUP(Metas_Diarias[[#This Row],[data]],Feriados[Data],Feriados[Feriado],1)</f>
        <v>1</v>
      </c>
      <c r="J1719" s="33" cm="1">
        <f t="array" aca="1" ref="J1719" ca="1">SUMPRODUCT(IF((NOT(ISERROR(MATCH(ROW(INDIRECT(DATE(YEAR(B1719),MONTH(B1719),1)&amp;":"&amp;DATE(YEAR(B1719),MONTH(B1719)+1,0))),Feriados[Data],0))))=FALSE,
IF(WEEKDAY(ROW(INDIRECT(DATE(YEAR(B1719),MONTH(B1719),1)&amp;":"&amp;DATE(YEAR(B1719),MONTH(B1719)+1,0))),2)&lt;=5,1,IF(WEEKDAY(ROW(INDIRECT(DATE(YEAR(B1719),MONTH(B1719),1)&amp;":"&amp;DATE(YEAR(B1719),MONTH(B1719)+1,0))),2)=6,0.5,0)),0))</f>
        <v>23</v>
      </c>
      <c r="K1719" s="22" cm="1">
        <f t="array" ref="K1719">_xlfn.XLOOKUP(1,((Metas_Diarias[[#This Row],[tipo_equipe_id]]=Metas[equipe])*(Metas_Diarias[[#This Row],[data]]&gt;Metas[data_inicio])*(Metas_Diarias[[#This Row],[data]]&lt;Metas[data_fim])),Metas[meta_mensal],0)</f>
        <v>115500</v>
      </c>
      <c r="L1719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20" spans="2:12" x14ac:dyDescent="0.3">
      <c r="B1720" s="34">
        <v>46276</v>
      </c>
      <c r="C1720" s="34" t="str">
        <f>TEXT(Metas_Diarias[[#This Row],[data]],"dddd")</f>
        <v>sexta-feira</v>
      </c>
      <c r="D1720" s="33">
        <v>2</v>
      </c>
      <c r="E1720" s="33">
        <v>2</v>
      </c>
      <c r="F1720" s="18"/>
      <c r="G1720" s="35">
        <f>WEEKDAY(Metas_Diarias[[#This Row],[data]])</f>
        <v>6</v>
      </c>
      <c r="H1720" s="35">
        <f>IF(Metas_Diarias[[#This Row],[dias_da_demana]]=1,"domingo",IF(Metas_Diarias[[#This Row],[dias_da_demana]]=7,0.5,1))</f>
        <v>1</v>
      </c>
      <c r="I1720" s="35">
        <f>_xlfn.XLOOKUP(Metas_Diarias[[#This Row],[data]],Feriados[Data],Feriados[Feriado],1)</f>
        <v>1</v>
      </c>
      <c r="J1720" s="33" cm="1">
        <f t="array" aca="1" ref="J1720" ca="1">SUMPRODUCT(IF((NOT(ISERROR(MATCH(ROW(INDIRECT(DATE(YEAR(B1720),MONTH(B1720),1)&amp;":"&amp;DATE(YEAR(B1720),MONTH(B1720)+1,0))),Feriados[Data],0))))=FALSE,
IF(WEEKDAY(ROW(INDIRECT(DATE(YEAR(B1720),MONTH(B1720),1)&amp;":"&amp;DATE(YEAR(B1720),MONTH(B1720)+1,0))),2)&lt;=5,1,IF(WEEKDAY(ROW(INDIRECT(DATE(YEAR(B1720),MONTH(B1720),1)&amp;":"&amp;DATE(YEAR(B1720),MONTH(B1720)+1,0))),2)=6,0.5,0)),0))</f>
        <v>23</v>
      </c>
      <c r="K1720" s="22" cm="1">
        <f t="array" ref="K1720">_xlfn.XLOOKUP(1,((Metas_Diarias[[#This Row],[tipo_equipe_id]]=Metas[equipe])*(Metas_Diarias[[#This Row],[data]]&gt;Metas[data_inicio])*(Metas_Diarias[[#This Row],[data]]&lt;Metas[data_fim])),Metas[meta_mensal],0)</f>
        <v>115500</v>
      </c>
      <c r="L1720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21" spans="2:12" x14ac:dyDescent="0.3">
      <c r="B1721" s="34">
        <v>46277</v>
      </c>
      <c r="C1721" s="34" t="str">
        <f>TEXT(Metas_Diarias[[#This Row],[data]],"dddd")</f>
        <v>sábado</v>
      </c>
      <c r="D1721" s="33">
        <v>2</v>
      </c>
      <c r="E1721" s="33">
        <v>2</v>
      </c>
      <c r="F1721" s="18"/>
      <c r="G1721" s="35">
        <f>WEEKDAY(Metas_Diarias[[#This Row],[data]])</f>
        <v>7</v>
      </c>
      <c r="H1721" s="35">
        <f>IF(Metas_Diarias[[#This Row],[dias_da_demana]]=1,"domingo",IF(Metas_Diarias[[#This Row],[dias_da_demana]]=7,0.5,1))</f>
        <v>0.5</v>
      </c>
      <c r="I1721" s="35">
        <f>_xlfn.XLOOKUP(Metas_Diarias[[#This Row],[data]],Feriados[Data],Feriados[Feriado],1)</f>
        <v>1</v>
      </c>
      <c r="J1721" s="33" cm="1">
        <f t="array" aca="1" ref="J1721" ca="1">SUMPRODUCT(IF((NOT(ISERROR(MATCH(ROW(INDIRECT(DATE(YEAR(B1721),MONTH(B1721),1)&amp;":"&amp;DATE(YEAR(B1721),MONTH(B1721)+1,0))),Feriados[Data],0))))=FALSE,
IF(WEEKDAY(ROW(INDIRECT(DATE(YEAR(B1721),MONTH(B1721),1)&amp;":"&amp;DATE(YEAR(B1721),MONTH(B1721)+1,0))),2)&lt;=5,1,IF(WEEKDAY(ROW(INDIRECT(DATE(YEAR(B1721),MONTH(B1721),1)&amp;":"&amp;DATE(YEAR(B1721),MONTH(B1721)+1,0))),2)=6,0.5,0)),0))</f>
        <v>23</v>
      </c>
      <c r="K1721" s="22" cm="1">
        <f t="array" ref="K1721">_xlfn.XLOOKUP(1,((Metas_Diarias[[#This Row],[tipo_equipe_id]]=Metas[equipe])*(Metas_Diarias[[#This Row],[data]]&gt;Metas[data_inicio])*(Metas_Diarias[[#This Row],[data]]&lt;Metas[data_fim])),Metas[meta_mensal],0)</f>
        <v>115500</v>
      </c>
      <c r="L1721" s="24">
        <f ca="1">Metas_Diarias[[#This Row],[meta_mensal]]*IF(Metas_Diarias[[#This Row],[semana]]="domingo",0,Metas_Diarias[[#This Row],[semana]])*IF(Metas_Diarias[[#This Row],[feriado]]&lt;&gt;1,0,1)/Metas_Diarias[[#This Row],[dias_úteis_Mês]]</f>
        <v>2510.8695652173915</v>
      </c>
    </row>
    <row r="1722" spans="2:12" x14ac:dyDescent="0.3">
      <c r="B1722" s="34">
        <v>46278</v>
      </c>
      <c r="C1722" s="34" t="str">
        <f>TEXT(Metas_Diarias[[#This Row],[data]],"dddd")</f>
        <v>domingo</v>
      </c>
      <c r="D1722" s="33">
        <v>2</v>
      </c>
      <c r="E1722" s="33">
        <v>2</v>
      </c>
      <c r="F1722" s="18"/>
      <c r="G1722" s="35">
        <f>WEEKDAY(Metas_Diarias[[#This Row],[data]])</f>
        <v>1</v>
      </c>
      <c r="H1722" s="35" t="str">
        <f>IF(Metas_Diarias[[#This Row],[dias_da_demana]]=1,"domingo",IF(Metas_Diarias[[#This Row],[dias_da_demana]]=7,0.5,1))</f>
        <v>domingo</v>
      </c>
      <c r="I1722" s="35">
        <f>_xlfn.XLOOKUP(Metas_Diarias[[#This Row],[data]],Feriados[Data],Feriados[Feriado],1)</f>
        <v>1</v>
      </c>
      <c r="J1722" s="33" cm="1">
        <f t="array" aca="1" ref="J1722" ca="1">SUMPRODUCT(IF((NOT(ISERROR(MATCH(ROW(INDIRECT(DATE(YEAR(B1722),MONTH(B1722),1)&amp;":"&amp;DATE(YEAR(B1722),MONTH(B1722)+1,0))),Feriados[Data],0))))=FALSE,
IF(WEEKDAY(ROW(INDIRECT(DATE(YEAR(B1722),MONTH(B1722),1)&amp;":"&amp;DATE(YEAR(B1722),MONTH(B1722)+1,0))),2)&lt;=5,1,IF(WEEKDAY(ROW(INDIRECT(DATE(YEAR(B1722),MONTH(B1722),1)&amp;":"&amp;DATE(YEAR(B1722),MONTH(B1722)+1,0))),2)=6,0.5,0)),0))</f>
        <v>23</v>
      </c>
      <c r="K1722" s="22" cm="1">
        <f t="array" ref="K1722">_xlfn.XLOOKUP(1,((Metas_Diarias[[#This Row],[tipo_equipe_id]]=Metas[equipe])*(Metas_Diarias[[#This Row],[data]]&gt;Metas[data_inicio])*(Metas_Diarias[[#This Row],[data]]&lt;Metas[data_fim])),Metas[meta_mensal],0)</f>
        <v>115500</v>
      </c>
      <c r="L17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23" spans="2:12" x14ac:dyDescent="0.3">
      <c r="B1723" s="34">
        <v>46279</v>
      </c>
      <c r="C1723" s="34" t="str">
        <f>TEXT(Metas_Diarias[[#This Row],[data]],"dddd")</f>
        <v>segunda-feira</v>
      </c>
      <c r="D1723" s="33">
        <v>2</v>
      </c>
      <c r="E1723" s="33">
        <v>2</v>
      </c>
      <c r="F1723" s="18"/>
      <c r="G1723" s="35">
        <f>WEEKDAY(Metas_Diarias[[#This Row],[data]])</f>
        <v>2</v>
      </c>
      <c r="H1723" s="35">
        <f>IF(Metas_Diarias[[#This Row],[dias_da_demana]]=1,"domingo",IF(Metas_Diarias[[#This Row],[dias_da_demana]]=7,0.5,1))</f>
        <v>1</v>
      </c>
      <c r="I1723" s="35">
        <f>_xlfn.XLOOKUP(Metas_Diarias[[#This Row],[data]],Feriados[Data],Feriados[Feriado],1)</f>
        <v>1</v>
      </c>
      <c r="J1723" s="33" cm="1">
        <f t="array" aca="1" ref="J1723" ca="1">SUMPRODUCT(IF((NOT(ISERROR(MATCH(ROW(INDIRECT(DATE(YEAR(B1723),MONTH(B1723),1)&amp;":"&amp;DATE(YEAR(B1723),MONTH(B1723)+1,0))),Feriados[Data],0))))=FALSE,
IF(WEEKDAY(ROW(INDIRECT(DATE(YEAR(B1723),MONTH(B1723),1)&amp;":"&amp;DATE(YEAR(B1723),MONTH(B1723)+1,0))),2)&lt;=5,1,IF(WEEKDAY(ROW(INDIRECT(DATE(YEAR(B1723),MONTH(B1723),1)&amp;":"&amp;DATE(YEAR(B1723),MONTH(B1723)+1,0))),2)=6,0.5,0)),0))</f>
        <v>23</v>
      </c>
      <c r="K1723" s="22" cm="1">
        <f t="array" ref="K1723">_xlfn.XLOOKUP(1,((Metas_Diarias[[#This Row],[tipo_equipe_id]]=Metas[equipe])*(Metas_Diarias[[#This Row],[data]]&gt;Metas[data_inicio])*(Metas_Diarias[[#This Row],[data]]&lt;Metas[data_fim])),Metas[meta_mensal],0)</f>
        <v>115500</v>
      </c>
      <c r="L1723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24" spans="2:12" x14ac:dyDescent="0.3">
      <c r="B1724" s="34">
        <v>46280</v>
      </c>
      <c r="C1724" s="34" t="str">
        <f>TEXT(Metas_Diarias[[#This Row],[data]],"dddd")</f>
        <v>terça-feira</v>
      </c>
      <c r="D1724" s="33">
        <v>2</v>
      </c>
      <c r="E1724" s="33">
        <v>2</v>
      </c>
      <c r="F1724" s="18"/>
      <c r="G1724" s="35">
        <f>WEEKDAY(Metas_Diarias[[#This Row],[data]])</f>
        <v>3</v>
      </c>
      <c r="H1724" s="35">
        <f>IF(Metas_Diarias[[#This Row],[dias_da_demana]]=1,"domingo",IF(Metas_Diarias[[#This Row],[dias_da_demana]]=7,0.5,1))</f>
        <v>1</v>
      </c>
      <c r="I1724" s="35">
        <f>_xlfn.XLOOKUP(Metas_Diarias[[#This Row],[data]],Feriados[Data],Feriados[Feriado],1)</f>
        <v>1</v>
      </c>
      <c r="J1724" s="33" cm="1">
        <f t="array" aca="1" ref="J1724" ca="1">SUMPRODUCT(IF((NOT(ISERROR(MATCH(ROW(INDIRECT(DATE(YEAR(B1724),MONTH(B1724),1)&amp;":"&amp;DATE(YEAR(B1724),MONTH(B1724)+1,0))),Feriados[Data],0))))=FALSE,
IF(WEEKDAY(ROW(INDIRECT(DATE(YEAR(B1724),MONTH(B1724),1)&amp;":"&amp;DATE(YEAR(B1724),MONTH(B1724)+1,0))),2)&lt;=5,1,IF(WEEKDAY(ROW(INDIRECT(DATE(YEAR(B1724),MONTH(B1724),1)&amp;":"&amp;DATE(YEAR(B1724),MONTH(B1724)+1,0))),2)=6,0.5,0)),0))</f>
        <v>23</v>
      </c>
      <c r="K1724" s="22" cm="1">
        <f t="array" ref="K1724">_xlfn.XLOOKUP(1,((Metas_Diarias[[#This Row],[tipo_equipe_id]]=Metas[equipe])*(Metas_Diarias[[#This Row],[data]]&gt;Metas[data_inicio])*(Metas_Diarias[[#This Row],[data]]&lt;Metas[data_fim])),Metas[meta_mensal],0)</f>
        <v>115500</v>
      </c>
      <c r="L1724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25" spans="2:12" x14ac:dyDescent="0.3">
      <c r="B1725" s="34">
        <v>46281</v>
      </c>
      <c r="C1725" s="34" t="str">
        <f>TEXT(Metas_Diarias[[#This Row],[data]],"dddd")</f>
        <v>quarta-feira</v>
      </c>
      <c r="D1725" s="33">
        <v>2</v>
      </c>
      <c r="E1725" s="33">
        <v>2</v>
      </c>
      <c r="F1725" s="18"/>
      <c r="G1725" s="35">
        <f>WEEKDAY(Metas_Diarias[[#This Row],[data]])</f>
        <v>4</v>
      </c>
      <c r="H1725" s="35">
        <f>IF(Metas_Diarias[[#This Row],[dias_da_demana]]=1,"domingo",IF(Metas_Diarias[[#This Row],[dias_da_demana]]=7,0.5,1))</f>
        <v>1</v>
      </c>
      <c r="I1725" s="35">
        <f>_xlfn.XLOOKUP(Metas_Diarias[[#This Row],[data]],Feriados[Data],Feriados[Feriado],1)</f>
        <v>1</v>
      </c>
      <c r="J1725" s="33" cm="1">
        <f t="array" aca="1" ref="J1725" ca="1">SUMPRODUCT(IF((NOT(ISERROR(MATCH(ROW(INDIRECT(DATE(YEAR(B1725),MONTH(B1725),1)&amp;":"&amp;DATE(YEAR(B1725),MONTH(B1725)+1,0))),Feriados[Data],0))))=FALSE,
IF(WEEKDAY(ROW(INDIRECT(DATE(YEAR(B1725),MONTH(B1725),1)&amp;":"&amp;DATE(YEAR(B1725),MONTH(B1725)+1,0))),2)&lt;=5,1,IF(WEEKDAY(ROW(INDIRECT(DATE(YEAR(B1725),MONTH(B1725),1)&amp;":"&amp;DATE(YEAR(B1725),MONTH(B1725)+1,0))),2)=6,0.5,0)),0))</f>
        <v>23</v>
      </c>
      <c r="K1725" s="22" cm="1">
        <f t="array" ref="K1725">_xlfn.XLOOKUP(1,((Metas_Diarias[[#This Row],[tipo_equipe_id]]=Metas[equipe])*(Metas_Diarias[[#This Row],[data]]&gt;Metas[data_inicio])*(Metas_Diarias[[#This Row],[data]]&lt;Metas[data_fim])),Metas[meta_mensal],0)</f>
        <v>115500</v>
      </c>
      <c r="L1725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26" spans="2:12" x14ac:dyDescent="0.3">
      <c r="B1726" s="34">
        <v>46282</v>
      </c>
      <c r="C1726" s="34" t="str">
        <f>TEXT(Metas_Diarias[[#This Row],[data]],"dddd")</f>
        <v>quinta-feira</v>
      </c>
      <c r="D1726" s="33">
        <v>2</v>
      </c>
      <c r="E1726" s="33">
        <v>2</v>
      </c>
      <c r="F1726" s="18"/>
      <c r="G1726" s="35">
        <f>WEEKDAY(Metas_Diarias[[#This Row],[data]])</f>
        <v>5</v>
      </c>
      <c r="H1726" s="35">
        <f>IF(Metas_Diarias[[#This Row],[dias_da_demana]]=1,"domingo",IF(Metas_Diarias[[#This Row],[dias_da_demana]]=7,0.5,1))</f>
        <v>1</v>
      </c>
      <c r="I1726" s="35">
        <f>_xlfn.XLOOKUP(Metas_Diarias[[#This Row],[data]],Feriados[Data],Feriados[Feriado],1)</f>
        <v>1</v>
      </c>
      <c r="J1726" s="33" cm="1">
        <f t="array" aca="1" ref="J1726" ca="1">SUMPRODUCT(IF((NOT(ISERROR(MATCH(ROW(INDIRECT(DATE(YEAR(B1726),MONTH(B1726),1)&amp;":"&amp;DATE(YEAR(B1726),MONTH(B1726)+1,0))),Feriados[Data],0))))=FALSE,
IF(WEEKDAY(ROW(INDIRECT(DATE(YEAR(B1726),MONTH(B1726),1)&amp;":"&amp;DATE(YEAR(B1726),MONTH(B1726)+1,0))),2)&lt;=5,1,IF(WEEKDAY(ROW(INDIRECT(DATE(YEAR(B1726),MONTH(B1726),1)&amp;":"&amp;DATE(YEAR(B1726),MONTH(B1726)+1,0))),2)=6,0.5,0)),0))</f>
        <v>23</v>
      </c>
      <c r="K1726" s="22" cm="1">
        <f t="array" ref="K1726">_xlfn.XLOOKUP(1,((Metas_Diarias[[#This Row],[tipo_equipe_id]]=Metas[equipe])*(Metas_Diarias[[#This Row],[data]]&gt;Metas[data_inicio])*(Metas_Diarias[[#This Row],[data]]&lt;Metas[data_fim])),Metas[meta_mensal],0)</f>
        <v>115500</v>
      </c>
      <c r="L1726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27" spans="2:12" x14ac:dyDescent="0.3">
      <c r="B1727" s="34">
        <v>46283</v>
      </c>
      <c r="C1727" s="34" t="str">
        <f>TEXT(Metas_Diarias[[#This Row],[data]],"dddd")</f>
        <v>sexta-feira</v>
      </c>
      <c r="D1727" s="33">
        <v>2</v>
      </c>
      <c r="E1727" s="33">
        <v>2</v>
      </c>
      <c r="F1727" s="18"/>
      <c r="G1727" s="35">
        <f>WEEKDAY(Metas_Diarias[[#This Row],[data]])</f>
        <v>6</v>
      </c>
      <c r="H1727" s="35">
        <f>IF(Metas_Diarias[[#This Row],[dias_da_demana]]=1,"domingo",IF(Metas_Diarias[[#This Row],[dias_da_demana]]=7,0.5,1))</f>
        <v>1</v>
      </c>
      <c r="I1727" s="35">
        <f>_xlfn.XLOOKUP(Metas_Diarias[[#This Row],[data]],Feriados[Data],Feriados[Feriado],1)</f>
        <v>1</v>
      </c>
      <c r="J1727" s="33" cm="1">
        <f t="array" aca="1" ref="J1727" ca="1">SUMPRODUCT(IF((NOT(ISERROR(MATCH(ROW(INDIRECT(DATE(YEAR(B1727),MONTH(B1727),1)&amp;":"&amp;DATE(YEAR(B1727),MONTH(B1727)+1,0))),Feriados[Data],0))))=FALSE,
IF(WEEKDAY(ROW(INDIRECT(DATE(YEAR(B1727),MONTH(B1727),1)&amp;":"&amp;DATE(YEAR(B1727),MONTH(B1727)+1,0))),2)&lt;=5,1,IF(WEEKDAY(ROW(INDIRECT(DATE(YEAR(B1727),MONTH(B1727),1)&amp;":"&amp;DATE(YEAR(B1727),MONTH(B1727)+1,0))),2)=6,0.5,0)),0))</f>
        <v>23</v>
      </c>
      <c r="K1727" s="22" cm="1">
        <f t="array" ref="K1727">_xlfn.XLOOKUP(1,((Metas_Diarias[[#This Row],[tipo_equipe_id]]=Metas[equipe])*(Metas_Diarias[[#This Row],[data]]&gt;Metas[data_inicio])*(Metas_Diarias[[#This Row],[data]]&lt;Metas[data_fim])),Metas[meta_mensal],0)</f>
        <v>115500</v>
      </c>
      <c r="L1727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28" spans="2:12" x14ac:dyDescent="0.3">
      <c r="B1728" s="34">
        <v>46284</v>
      </c>
      <c r="C1728" s="34" t="str">
        <f>TEXT(Metas_Diarias[[#This Row],[data]],"dddd")</f>
        <v>sábado</v>
      </c>
      <c r="D1728" s="33">
        <v>2</v>
      </c>
      <c r="E1728" s="33">
        <v>2</v>
      </c>
      <c r="F1728" s="18"/>
      <c r="G1728" s="35">
        <f>WEEKDAY(Metas_Diarias[[#This Row],[data]])</f>
        <v>7</v>
      </c>
      <c r="H1728" s="35">
        <f>IF(Metas_Diarias[[#This Row],[dias_da_demana]]=1,"domingo",IF(Metas_Diarias[[#This Row],[dias_da_demana]]=7,0.5,1))</f>
        <v>0.5</v>
      </c>
      <c r="I1728" s="35">
        <f>_xlfn.XLOOKUP(Metas_Diarias[[#This Row],[data]],Feriados[Data],Feriados[Feriado],1)</f>
        <v>1</v>
      </c>
      <c r="J1728" s="33" cm="1">
        <f t="array" aca="1" ref="J1728" ca="1">SUMPRODUCT(IF((NOT(ISERROR(MATCH(ROW(INDIRECT(DATE(YEAR(B1728),MONTH(B1728),1)&amp;":"&amp;DATE(YEAR(B1728),MONTH(B1728)+1,0))),Feriados[Data],0))))=FALSE,
IF(WEEKDAY(ROW(INDIRECT(DATE(YEAR(B1728),MONTH(B1728),1)&amp;":"&amp;DATE(YEAR(B1728),MONTH(B1728)+1,0))),2)&lt;=5,1,IF(WEEKDAY(ROW(INDIRECT(DATE(YEAR(B1728),MONTH(B1728),1)&amp;":"&amp;DATE(YEAR(B1728),MONTH(B1728)+1,0))),2)=6,0.5,0)),0))</f>
        <v>23</v>
      </c>
      <c r="K1728" s="22" cm="1">
        <f t="array" ref="K1728">_xlfn.XLOOKUP(1,((Metas_Diarias[[#This Row],[tipo_equipe_id]]=Metas[equipe])*(Metas_Diarias[[#This Row],[data]]&gt;Metas[data_inicio])*(Metas_Diarias[[#This Row],[data]]&lt;Metas[data_fim])),Metas[meta_mensal],0)</f>
        <v>115500</v>
      </c>
      <c r="L1728" s="24">
        <f ca="1">Metas_Diarias[[#This Row],[meta_mensal]]*IF(Metas_Diarias[[#This Row],[semana]]="domingo",0,Metas_Diarias[[#This Row],[semana]])*IF(Metas_Diarias[[#This Row],[feriado]]&lt;&gt;1,0,1)/Metas_Diarias[[#This Row],[dias_úteis_Mês]]</f>
        <v>2510.8695652173915</v>
      </c>
    </row>
    <row r="1729" spans="2:12" x14ac:dyDescent="0.3">
      <c r="B1729" s="34">
        <v>46285</v>
      </c>
      <c r="C1729" s="34" t="str">
        <f>TEXT(Metas_Diarias[[#This Row],[data]],"dddd")</f>
        <v>domingo</v>
      </c>
      <c r="D1729" s="33">
        <v>2</v>
      </c>
      <c r="E1729" s="33">
        <v>2</v>
      </c>
      <c r="F1729" s="18"/>
      <c r="G1729" s="35">
        <f>WEEKDAY(Metas_Diarias[[#This Row],[data]])</f>
        <v>1</v>
      </c>
      <c r="H1729" s="35" t="str">
        <f>IF(Metas_Diarias[[#This Row],[dias_da_demana]]=1,"domingo",IF(Metas_Diarias[[#This Row],[dias_da_demana]]=7,0.5,1))</f>
        <v>domingo</v>
      </c>
      <c r="I1729" s="35">
        <f>_xlfn.XLOOKUP(Metas_Diarias[[#This Row],[data]],Feriados[Data],Feriados[Feriado],1)</f>
        <v>1</v>
      </c>
      <c r="J1729" s="33" cm="1">
        <f t="array" aca="1" ref="J1729" ca="1">SUMPRODUCT(IF((NOT(ISERROR(MATCH(ROW(INDIRECT(DATE(YEAR(B1729),MONTH(B1729),1)&amp;":"&amp;DATE(YEAR(B1729),MONTH(B1729)+1,0))),Feriados[Data],0))))=FALSE,
IF(WEEKDAY(ROW(INDIRECT(DATE(YEAR(B1729),MONTH(B1729),1)&amp;":"&amp;DATE(YEAR(B1729),MONTH(B1729)+1,0))),2)&lt;=5,1,IF(WEEKDAY(ROW(INDIRECT(DATE(YEAR(B1729),MONTH(B1729),1)&amp;":"&amp;DATE(YEAR(B1729),MONTH(B1729)+1,0))),2)=6,0.5,0)),0))</f>
        <v>23</v>
      </c>
      <c r="K1729" s="22" cm="1">
        <f t="array" ref="K1729">_xlfn.XLOOKUP(1,((Metas_Diarias[[#This Row],[tipo_equipe_id]]=Metas[equipe])*(Metas_Diarias[[#This Row],[data]]&gt;Metas[data_inicio])*(Metas_Diarias[[#This Row],[data]]&lt;Metas[data_fim])),Metas[meta_mensal],0)</f>
        <v>115500</v>
      </c>
      <c r="L172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30" spans="2:12" x14ac:dyDescent="0.3">
      <c r="B1730" s="34">
        <v>46286</v>
      </c>
      <c r="C1730" s="34" t="str">
        <f>TEXT(Metas_Diarias[[#This Row],[data]],"dddd")</f>
        <v>segunda-feira</v>
      </c>
      <c r="D1730" s="33">
        <v>2</v>
      </c>
      <c r="E1730" s="33">
        <v>2</v>
      </c>
      <c r="F1730" s="18"/>
      <c r="G1730" s="35">
        <f>WEEKDAY(Metas_Diarias[[#This Row],[data]])</f>
        <v>2</v>
      </c>
      <c r="H1730" s="35">
        <f>IF(Metas_Diarias[[#This Row],[dias_da_demana]]=1,"domingo",IF(Metas_Diarias[[#This Row],[dias_da_demana]]=7,0.5,1))</f>
        <v>1</v>
      </c>
      <c r="I1730" s="35">
        <f>_xlfn.XLOOKUP(Metas_Diarias[[#This Row],[data]],Feriados[Data],Feriados[Feriado],1)</f>
        <v>1</v>
      </c>
      <c r="J1730" s="33" cm="1">
        <f t="array" aca="1" ref="J1730" ca="1">SUMPRODUCT(IF((NOT(ISERROR(MATCH(ROW(INDIRECT(DATE(YEAR(B1730),MONTH(B1730),1)&amp;":"&amp;DATE(YEAR(B1730),MONTH(B1730)+1,0))),Feriados[Data],0))))=FALSE,
IF(WEEKDAY(ROW(INDIRECT(DATE(YEAR(B1730),MONTH(B1730),1)&amp;":"&amp;DATE(YEAR(B1730),MONTH(B1730)+1,0))),2)&lt;=5,1,IF(WEEKDAY(ROW(INDIRECT(DATE(YEAR(B1730),MONTH(B1730),1)&amp;":"&amp;DATE(YEAR(B1730),MONTH(B1730)+1,0))),2)=6,0.5,0)),0))</f>
        <v>23</v>
      </c>
      <c r="K1730" s="22" cm="1">
        <f t="array" ref="K1730">_xlfn.XLOOKUP(1,((Metas_Diarias[[#This Row],[tipo_equipe_id]]=Metas[equipe])*(Metas_Diarias[[#This Row],[data]]&gt;Metas[data_inicio])*(Metas_Diarias[[#This Row],[data]]&lt;Metas[data_fim])),Metas[meta_mensal],0)</f>
        <v>115500</v>
      </c>
      <c r="L1730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31" spans="2:12" x14ac:dyDescent="0.3">
      <c r="B1731" s="34">
        <v>46287</v>
      </c>
      <c r="C1731" s="34" t="str">
        <f>TEXT(Metas_Diarias[[#This Row],[data]],"dddd")</f>
        <v>terça-feira</v>
      </c>
      <c r="D1731" s="33">
        <v>2</v>
      </c>
      <c r="E1731" s="33">
        <v>2</v>
      </c>
      <c r="F1731" s="18"/>
      <c r="G1731" s="35">
        <f>WEEKDAY(Metas_Diarias[[#This Row],[data]])</f>
        <v>3</v>
      </c>
      <c r="H1731" s="35">
        <f>IF(Metas_Diarias[[#This Row],[dias_da_demana]]=1,"domingo",IF(Metas_Diarias[[#This Row],[dias_da_demana]]=7,0.5,1))</f>
        <v>1</v>
      </c>
      <c r="I1731" s="35">
        <f>_xlfn.XLOOKUP(Metas_Diarias[[#This Row],[data]],Feriados[Data],Feriados[Feriado],1)</f>
        <v>1</v>
      </c>
      <c r="J1731" s="33" cm="1">
        <f t="array" aca="1" ref="J1731" ca="1">SUMPRODUCT(IF((NOT(ISERROR(MATCH(ROW(INDIRECT(DATE(YEAR(B1731),MONTH(B1731),1)&amp;":"&amp;DATE(YEAR(B1731),MONTH(B1731)+1,0))),Feriados[Data],0))))=FALSE,
IF(WEEKDAY(ROW(INDIRECT(DATE(YEAR(B1731),MONTH(B1731),1)&amp;":"&amp;DATE(YEAR(B1731),MONTH(B1731)+1,0))),2)&lt;=5,1,IF(WEEKDAY(ROW(INDIRECT(DATE(YEAR(B1731),MONTH(B1731),1)&amp;":"&amp;DATE(YEAR(B1731),MONTH(B1731)+1,0))),2)=6,0.5,0)),0))</f>
        <v>23</v>
      </c>
      <c r="K1731" s="22" cm="1">
        <f t="array" ref="K1731">_xlfn.XLOOKUP(1,((Metas_Diarias[[#This Row],[tipo_equipe_id]]=Metas[equipe])*(Metas_Diarias[[#This Row],[data]]&gt;Metas[data_inicio])*(Metas_Diarias[[#This Row],[data]]&lt;Metas[data_fim])),Metas[meta_mensal],0)</f>
        <v>115500</v>
      </c>
      <c r="L1731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32" spans="2:12" x14ac:dyDescent="0.3">
      <c r="B1732" s="34">
        <v>46288</v>
      </c>
      <c r="C1732" s="34" t="str">
        <f>TEXT(Metas_Diarias[[#This Row],[data]],"dddd")</f>
        <v>quarta-feira</v>
      </c>
      <c r="D1732" s="33">
        <v>2</v>
      </c>
      <c r="E1732" s="33">
        <v>2</v>
      </c>
      <c r="F1732" s="18"/>
      <c r="G1732" s="35">
        <f>WEEKDAY(Metas_Diarias[[#This Row],[data]])</f>
        <v>4</v>
      </c>
      <c r="H1732" s="35">
        <f>IF(Metas_Diarias[[#This Row],[dias_da_demana]]=1,"domingo",IF(Metas_Diarias[[#This Row],[dias_da_demana]]=7,0.5,1))</f>
        <v>1</v>
      </c>
      <c r="I1732" s="35">
        <f>_xlfn.XLOOKUP(Metas_Diarias[[#This Row],[data]],Feriados[Data],Feriados[Feriado],1)</f>
        <v>1</v>
      </c>
      <c r="J1732" s="33" cm="1">
        <f t="array" aca="1" ref="J1732" ca="1">SUMPRODUCT(IF((NOT(ISERROR(MATCH(ROW(INDIRECT(DATE(YEAR(B1732),MONTH(B1732),1)&amp;":"&amp;DATE(YEAR(B1732),MONTH(B1732)+1,0))),Feriados[Data],0))))=FALSE,
IF(WEEKDAY(ROW(INDIRECT(DATE(YEAR(B1732),MONTH(B1732),1)&amp;":"&amp;DATE(YEAR(B1732),MONTH(B1732)+1,0))),2)&lt;=5,1,IF(WEEKDAY(ROW(INDIRECT(DATE(YEAR(B1732),MONTH(B1732),1)&amp;":"&amp;DATE(YEAR(B1732),MONTH(B1732)+1,0))),2)=6,0.5,0)),0))</f>
        <v>23</v>
      </c>
      <c r="K1732" s="22" cm="1">
        <f t="array" ref="K1732">_xlfn.XLOOKUP(1,((Metas_Diarias[[#This Row],[tipo_equipe_id]]=Metas[equipe])*(Metas_Diarias[[#This Row],[data]]&gt;Metas[data_inicio])*(Metas_Diarias[[#This Row],[data]]&lt;Metas[data_fim])),Metas[meta_mensal],0)</f>
        <v>115500</v>
      </c>
      <c r="L1732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33" spans="2:12" x14ac:dyDescent="0.3">
      <c r="B1733" s="34">
        <v>46289</v>
      </c>
      <c r="C1733" s="34" t="str">
        <f>TEXT(Metas_Diarias[[#This Row],[data]],"dddd")</f>
        <v>quinta-feira</v>
      </c>
      <c r="D1733" s="33">
        <v>2</v>
      </c>
      <c r="E1733" s="33">
        <v>2</v>
      </c>
      <c r="F1733" s="18"/>
      <c r="G1733" s="35">
        <f>WEEKDAY(Metas_Diarias[[#This Row],[data]])</f>
        <v>5</v>
      </c>
      <c r="H1733" s="35">
        <f>IF(Metas_Diarias[[#This Row],[dias_da_demana]]=1,"domingo",IF(Metas_Diarias[[#This Row],[dias_da_demana]]=7,0.5,1))</f>
        <v>1</v>
      </c>
      <c r="I1733" s="35">
        <f>_xlfn.XLOOKUP(Metas_Diarias[[#This Row],[data]],Feriados[Data],Feriados[Feriado],1)</f>
        <v>1</v>
      </c>
      <c r="J1733" s="33" cm="1">
        <f t="array" aca="1" ref="J1733" ca="1">SUMPRODUCT(IF((NOT(ISERROR(MATCH(ROW(INDIRECT(DATE(YEAR(B1733),MONTH(B1733),1)&amp;":"&amp;DATE(YEAR(B1733),MONTH(B1733)+1,0))),Feriados[Data],0))))=FALSE,
IF(WEEKDAY(ROW(INDIRECT(DATE(YEAR(B1733),MONTH(B1733),1)&amp;":"&amp;DATE(YEAR(B1733),MONTH(B1733)+1,0))),2)&lt;=5,1,IF(WEEKDAY(ROW(INDIRECT(DATE(YEAR(B1733),MONTH(B1733),1)&amp;":"&amp;DATE(YEAR(B1733),MONTH(B1733)+1,0))),2)=6,0.5,0)),0))</f>
        <v>23</v>
      </c>
      <c r="K1733" s="22" cm="1">
        <f t="array" ref="K1733">_xlfn.XLOOKUP(1,((Metas_Diarias[[#This Row],[tipo_equipe_id]]=Metas[equipe])*(Metas_Diarias[[#This Row],[data]]&gt;Metas[data_inicio])*(Metas_Diarias[[#This Row],[data]]&lt;Metas[data_fim])),Metas[meta_mensal],0)</f>
        <v>115500</v>
      </c>
      <c r="L1733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34" spans="2:12" x14ac:dyDescent="0.3">
      <c r="B1734" s="34">
        <v>46290</v>
      </c>
      <c r="C1734" s="34" t="str">
        <f>TEXT(Metas_Diarias[[#This Row],[data]],"dddd")</f>
        <v>sexta-feira</v>
      </c>
      <c r="D1734" s="33">
        <v>2</v>
      </c>
      <c r="E1734" s="33">
        <v>2</v>
      </c>
      <c r="F1734" s="18"/>
      <c r="G1734" s="35">
        <f>WEEKDAY(Metas_Diarias[[#This Row],[data]])</f>
        <v>6</v>
      </c>
      <c r="H1734" s="35">
        <f>IF(Metas_Diarias[[#This Row],[dias_da_demana]]=1,"domingo",IF(Metas_Diarias[[#This Row],[dias_da_demana]]=7,0.5,1))</f>
        <v>1</v>
      </c>
      <c r="I1734" s="35">
        <f>_xlfn.XLOOKUP(Metas_Diarias[[#This Row],[data]],Feriados[Data],Feriados[Feriado],1)</f>
        <v>1</v>
      </c>
      <c r="J1734" s="33" cm="1">
        <f t="array" aca="1" ref="J1734" ca="1">SUMPRODUCT(IF((NOT(ISERROR(MATCH(ROW(INDIRECT(DATE(YEAR(B1734),MONTH(B1734),1)&amp;":"&amp;DATE(YEAR(B1734),MONTH(B1734)+1,0))),Feriados[Data],0))))=FALSE,
IF(WEEKDAY(ROW(INDIRECT(DATE(YEAR(B1734),MONTH(B1734),1)&amp;":"&amp;DATE(YEAR(B1734),MONTH(B1734)+1,0))),2)&lt;=5,1,IF(WEEKDAY(ROW(INDIRECT(DATE(YEAR(B1734),MONTH(B1734),1)&amp;":"&amp;DATE(YEAR(B1734),MONTH(B1734)+1,0))),2)=6,0.5,0)),0))</f>
        <v>23</v>
      </c>
      <c r="K1734" s="22" cm="1">
        <f t="array" ref="K1734">_xlfn.XLOOKUP(1,((Metas_Diarias[[#This Row],[tipo_equipe_id]]=Metas[equipe])*(Metas_Diarias[[#This Row],[data]]&gt;Metas[data_inicio])*(Metas_Diarias[[#This Row],[data]]&lt;Metas[data_fim])),Metas[meta_mensal],0)</f>
        <v>115500</v>
      </c>
      <c r="L1734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35" spans="2:12" x14ac:dyDescent="0.3">
      <c r="B1735" s="34">
        <v>46291</v>
      </c>
      <c r="C1735" s="34" t="str">
        <f>TEXT(Metas_Diarias[[#This Row],[data]],"dddd")</f>
        <v>sábado</v>
      </c>
      <c r="D1735" s="33">
        <v>2</v>
      </c>
      <c r="E1735" s="33">
        <v>2</v>
      </c>
      <c r="F1735" s="18"/>
      <c r="G1735" s="35">
        <f>WEEKDAY(Metas_Diarias[[#This Row],[data]])</f>
        <v>7</v>
      </c>
      <c r="H1735" s="35">
        <f>IF(Metas_Diarias[[#This Row],[dias_da_demana]]=1,"domingo",IF(Metas_Diarias[[#This Row],[dias_da_demana]]=7,0.5,1))</f>
        <v>0.5</v>
      </c>
      <c r="I1735" s="35">
        <f>_xlfn.XLOOKUP(Metas_Diarias[[#This Row],[data]],Feriados[Data],Feriados[Feriado],1)</f>
        <v>1</v>
      </c>
      <c r="J1735" s="33" cm="1">
        <f t="array" aca="1" ref="J1735" ca="1">SUMPRODUCT(IF((NOT(ISERROR(MATCH(ROW(INDIRECT(DATE(YEAR(B1735),MONTH(B1735),1)&amp;":"&amp;DATE(YEAR(B1735),MONTH(B1735)+1,0))),Feriados[Data],0))))=FALSE,
IF(WEEKDAY(ROW(INDIRECT(DATE(YEAR(B1735),MONTH(B1735),1)&amp;":"&amp;DATE(YEAR(B1735),MONTH(B1735)+1,0))),2)&lt;=5,1,IF(WEEKDAY(ROW(INDIRECT(DATE(YEAR(B1735),MONTH(B1735),1)&amp;":"&amp;DATE(YEAR(B1735),MONTH(B1735)+1,0))),2)=6,0.5,0)),0))</f>
        <v>23</v>
      </c>
      <c r="K1735" s="22" cm="1">
        <f t="array" ref="K1735">_xlfn.XLOOKUP(1,((Metas_Diarias[[#This Row],[tipo_equipe_id]]=Metas[equipe])*(Metas_Diarias[[#This Row],[data]]&gt;Metas[data_inicio])*(Metas_Diarias[[#This Row],[data]]&lt;Metas[data_fim])),Metas[meta_mensal],0)</f>
        <v>115500</v>
      </c>
      <c r="L1735" s="24">
        <f ca="1">Metas_Diarias[[#This Row],[meta_mensal]]*IF(Metas_Diarias[[#This Row],[semana]]="domingo",0,Metas_Diarias[[#This Row],[semana]])*IF(Metas_Diarias[[#This Row],[feriado]]&lt;&gt;1,0,1)/Metas_Diarias[[#This Row],[dias_úteis_Mês]]</f>
        <v>2510.8695652173915</v>
      </c>
    </row>
    <row r="1736" spans="2:12" x14ac:dyDescent="0.3">
      <c r="B1736" s="34">
        <v>46292</v>
      </c>
      <c r="C1736" s="34" t="str">
        <f>TEXT(Metas_Diarias[[#This Row],[data]],"dddd")</f>
        <v>domingo</v>
      </c>
      <c r="D1736" s="33">
        <v>2</v>
      </c>
      <c r="E1736" s="33">
        <v>2</v>
      </c>
      <c r="F1736" s="18"/>
      <c r="G1736" s="35">
        <f>WEEKDAY(Metas_Diarias[[#This Row],[data]])</f>
        <v>1</v>
      </c>
      <c r="H1736" s="35" t="str">
        <f>IF(Metas_Diarias[[#This Row],[dias_da_demana]]=1,"domingo",IF(Metas_Diarias[[#This Row],[dias_da_demana]]=7,0.5,1))</f>
        <v>domingo</v>
      </c>
      <c r="I1736" s="35">
        <f>_xlfn.XLOOKUP(Metas_Diarias[[#This Row],[data]],Feriados[Data],Feriados[Feriado],1)</f>
        <v>1</v>
      </c>
      <c r="J1736" s="33" cm="1">
        <f t="array" aca="1" ref="J1736" ca="1">SUMPRODUCT(IF((NOT(ISERROR(MATCH(ROW(INDIRECT(DATE(YEAR(B1736),MONTH(B1736),1)&amp;":"&amp;DATE(YEAR(B1736),MONTH(B1736)+1,0))),Feriados[Data],0))))=FALSE,
IF(WEEKDAY(ROW(INDIRECT(DATE(YEAR(B1736),MONTH(B1736),1)&amp;":"&amp;DATE(YEAR(B1736),MONTH(B1736)+1,0))),2)&lt;=5,1,IF(WEEKDAY(ROW(INDIRECT(DATE(YEAR(B1736),MONTH(B1736),1)&amp;":"&amp;DATE(YEAR(B1736),MONTH(B1736)+1,0))),2)=6,0.5,0)),0))</f>
        <v>23</v>
      </c>
      <c r="K1736" s="22" cm="1">
        <f t="array" ref="K1736">_xlfn.XLOOKUP(1,((Metas_Diarias[[#This Row],[tipo_equipe_id]]=Metas[equipe])*(Metas_Diarias[[#This Row],[data]]&gt;Metas[data_inicio])*(Metas_Diarias[[#This Row],[data]]&lt;Metas[data_fim])),Metas[meta_mensal],0)</f>
        <v>115500</v>
      </c>
      <c r="L173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37" spans="2:12" x14ac:dyDescent="0.3">
      <c r="B1737" s="34">
        <v>46293</v>
      </c>
      <c r="C1737" s="34" t="str">
        <f>TEXT(Metas_Diarias[[#This Row],[data]],"dddd")</f>
        <v>segunda-feira</v>
      </c>
      <c r="D1737" s="33">
        <v>2</v>
      </c>
      <c r="E1737" s="33">
        <v>2</v>
      </c>
      <c r="F1737" s="18"/>
      <c r="G1737" s="35">
        <f>WEEKDAY(Metas_Diarias[[#This Row],[data]])</f>
        <v>2</v>
      </c>
      <c r="H1737" s="35">
        <f>IF(Metas_Diarias[[#This Row],[dias_da_demana]]=1,"domingo",IF(Metas_Diarias[[#This Row],[dias_da_demana]]=7,0.5,1))</f>
        <v>1</v>
      </c>
      <c r="I1737" s="35">
        <f>_xlfn.XLOOKUP(Metas_Diarias[[#This Row],[data]],Feriados[Data],Feriados[Feriado],1)</f>
        <v>1</v>
      </c>
      <c r="J1737" s="33" cm="1">
        <f t="array" aca="1" ref="J1737" ca="1">SUMPRODUCT(IF((NOT(ISERROR(MATCH(ROW(INDIRECT(DATE(YEAR(B1737),MONTH(B1737),1)&amp;":"&amp;DATE(YEAR(B1737),MONTH(B1737)+1,0))),Feriados[Data],0))))=FALSE,
IF(WEEKDAY(ROW(INDIRECT(DATE(YEAR(B1737),MONTH(B1737),1)&amp;":"&amp;DATE(YEAR(B1737),MONTH(B1737)+1,0))),2)&lt;=5,1,IF(WEEKDAY(ROW(INDIRECT(DATE(YEAR(B1737),MONTH(B1737),1)&amp;":"&amp;DATE(YEAR(B1737),MONTH(B1737)+1,0))),2)=6,0.5,0)),0))</f>
        <v>23</v>
      </c>
      <c r="K1737" s="22" cm="1">
        <f t="array" ref="K1737">_xlfn.XLOOKUP(1,((Metas_Diarias[[#This Row],[tipo_equipe_id]]=Metas[equipe])*(Metas_Diarias[[#This Row],[data]]&gt;Metas[data_inicio])*(Metas_Diarias[[#This Row],[data]]&lt;Metas[data_fim])),Metas[meta_mensal],0)</f>
        <v>115500</v>
      </c>
      <c r="L1737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38" spans="2:12" x14ac:dyDescent="0.3">
      <c r="B1738" s="34">
        <v>46294</v>
      </c>
      <c r="C1738" s="34" t="str">
        <f>TEXT(Metas_Diarias[[#This Row],[data]],"dddd")</f>
        <v>terça-feira</v>
      </c>
      <c r="D1738" s="33">
        <v>2</v>
      </c>
      <c r="E1738" s="33">
        <v>2</v>
      </c>
      <c r="F1738" s="18"/>
      <c r="G1738" s="35">
        <f>WEEKDAY(Metas_Diarias[[#This Row],[data]])</f>
        <v>3</v>
      </c>
      <c r="H1738" s="35">
        <f>IF(Metas_Diarias[[#This Row],[dias_da_demana]]=1,"domingo",IF(Metas_Diarias[[#This Row],[dias_da_demana]]=7,0.5,1))</f>
        <v>1</v>
      </c>
      <c r="I1738" s="35">
        <f>_xlfn.XLOOKUP(Metas_Diarias[[#This Row],[data]],Feriados[Data],Feriados[Feriado],1)</f>
        <v>1</v>
      </c>
      <c r="J1738" s="33" cm="1">
        <f t="array" aca="1" ref="J1738" ca="1">SUMPRODUCT(IF((NOT(ISERROR(MATCH(ROW(INDIRECT(DATE(YEAR(B1738),MONTH(B1738),1)&amp;":"&amp;DATE(YEAR(B1738),MONTH(B1738)+1,0))),Feriados[Data],0))))=FALSE,
IF(WEEKDAY(ROW(INDIRECT(DATE(YEAR(B1738),MONTH(B1738),1)&amp;":"&amp;DATE(YEAR(B1738),MONTH(B1738)+1,0))),2)&lt;=5,1,IF(WEEKDAY(ROW(INDIRECT(DATE(YEAR(B1738),MONTH(B1738),1)&amp;":"&amp;DATE(YEAR(B1738),MONTH(B1738)+1,0))),2)=6,0.5,0)),0))</f>
        <v>23</v>
      </c>
      <c r="K1738" s="22" cm="1">
        <f t="array" ref="K1738">_xlfn.XLOOKUP(1,((Metas_Diarias[[#This Row],[tipo_equipe_id]]=Metas[equipe])*(Metas_Diarias[[#This Row],[data]]&gt;Metas[data_inicio])*(Metas_Diarias[[#This Row],[data]]&lt;Metas[data_fim])),Metas[meta_mensal],0)</f>
        <v>115500</v>
      </c>
      <c r="L1738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39" spans="2:12" x14ac:dyDescent="0.3">
      <c r="B1739" s="34">
        <v>46295</v>
      </c>
      <c r="C1739" s="34" t="str">
        <f>TEXT(Metas_Diarias[[#This Row],[data]],"dddd")</f>
        <v>quarta-feira</v>
      </c>
      <c r="D1739" s="33">
        <v>2</v>
      </c>
      <c r="E1739" s="33">
        <v>2</v>
      </c>
      <c r="F1739" s="18"/>
      <c r="G1739" s="35">
        <f>WEEKDAY(Metas_Diarias[[#This Row],[data]])</f>
        <v>4</v>
      </c>
      <c r="H1739" s="35">
        <f>IF(Metas_Diarias[[#This Row],[dias_da_demana]]=1,"domingo",IF(Metas_Diarias[[#This Row],[dias_da_demana]]=7,0.5,1))</f>
        <v>1</v>
      </c>
      <c r="I1739" s="35">
        <f>_xlfn.XLOOKUP(Metas_Diarias[[#This Row],[data]],Feriados[Data],Feriados[Feriado],1)</f>
        <v>1</v>
      </c>
      <c r="J1739" s="33" cm="1">
        <f t="array" aca="1" ref="J1739" ca="1">SUMPRODUCT(IF((NOT(ISERROR(MATCH(ROW(INDIRECT(DATE(YEAR(B1739),MONTH(B1739),1)&amp;":"&amp;DATE(YEAR(B1739),MONTH(B1739)+1,0))),Feriados[Data],0))))=FALSE,
IF(WEEKDAY(ROW(INDIRECT(DATE(YEAR(B1739),MONTH(B1739),1)&amp;":"&amp;DATE(YEAR(B1739),MONTH(B1739)+1,0))),2)&lt;=5,1,IF(WEEKDAY(ROW(INDIRECT(DATE(YEAR(B1739),MONTH(B1739),1)&amp;":"&amp;DATE(YEAR(B1739),MONTH(B1739)+1,0))),2)=6,0.5,0)),0))</f>
        <v>23</v>
      </c>
      <c r="K1739" s="22" cm="1">
        <f t="array" ref="K1739">_xlfn.XLOOKUP(1,((Metas_Diarias[[#This Row],[tipo_equipe_id]]=Metas[equipe])*(Metas_Diarias[[#This Row],[data]]&gt;Metas[data_inicio])*(Metas_Diarias[[#This Row],[data]]&lt;Metas[data_fim])),Metas[meta_mensal],0)</f>
        <v>115500</v>
      </c>
      <c r="L1739" s="24">
        <f ca="1">Metas_Diarias[[#This Row],[meta_mensal]]*IF(Metas_Diarias[[#This Row],[semana]]="domingo",0,Metas_Diarias[[#This Row],[semana]])*IF(Metas_Diarias[[#This Row],[feriado]]&lt;&gt;1,0,1)/Metas_Diarias[[#This Row],[dias_úteis_Mês]]</f>
        <v>5021.739130434783</v>
      </c>
    </row>
    <row r="1740" spans="2:12" x14ac:dyDescent="0.3">
      <c r="B1740" s="34">
        <v>46296</v>
      </c>
      <c r="C1740" s="34" t="str">
        <f>TEXT(Metas_Diarias[[#This Row],[data]],"dddd")</f>
        <v>quinta-feira</v>
      </c>
      <c r="D1740" s="33">
        <v>2</v>
      </c>
      <c r="E1740" s="33">
        <v>2</v>
      </c>
      <c r="F1740" s="18"/>
      <c r="G1740" s="35">
        <f>WEEKDAY(Metas_Diarias[[#This Row],[data]])</f>
        <v>5</v>
      </c>
      <c r="H1740" s="35">
        <f>IF(Metas_Diarias[[#This Row],[dias_da_demana]]=1,"domingo",IF(Metas_Diarias[[#This Row],[dias_da_demana]]=7,0.5,1))</f>
        <v>1</v>
      </c>
      <c r="I1740" s="35">
        <f>_xlfn.XLOOKUP(Metas_Diarias[[#This Row],[data]],Feriados[Data],Feriados[Feriado],1)</f>
        <v>1</v>
      </c>
      <c r="J1740" s="33" cm="1">
        <f t="array" aca="1" ref="J1740" ca="1">SUMPRODUCT(IF((NOT(ISERROR(MATCH(ROW(INDIRECT(DATE(YEAR(B1740),MONTH(B1740),1)&amp;":"&amp;DATE(YEAR(B1740),MONTH(B1740)+1,0))),Feriados[Data],0))))=FALSE,
IF(WEEKDAY(ROW(INDIRECT(DATE(YEAR(B1740),MONTH(B1740),1)&amp;":"&amp;DATE(YEAR(B1740),MONTH(B1740)+1,0))),2)&lt;=5,1,IF(WEEKDAY(ROW(INDIRECT(DATE(YEAR(B1740),MONTH(B1740),1)&amp;":"&amp;DATE(YEAR(B1740),MONTH(B1740)+1,0))),2)=6,0.5,0)),0))</f>
        <v>23.5</v>
      </c>
      <c r="K1740" s="22" cm="1">
        <f t="array" ref="K1740">_xlfn.XLOOKUP(1,((Metas_Diarias[[#This Row],[tipo_equipe_id]]=Metas[equipe])*(Metas_Diarias[[#This Row],[data]]&gt;Metas[data_inicio])*(Metas_Diarias[[#This Row],[data]]&lt;Metas[data_fim])),Metas[meta_mensal],0)</f>
        <v>115500</v>
      </c>
      <c r="L1740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41" spans="2:12" x14ac:dyDescent="0.3">
      <c r="B1741" s="34">
        <v>46297</v>
      </c>
      <c r="C1741" s="34" t="str">
        <f>TEXT(Metas_Diarias[[#This Row],[data]],"dddd")</f>
        <v>sexta-feira</v>
      </c>
      <c r="D1741" s="33">
        <v>2</v>
      </c>
      <c r="E1741" s="33">
        <v>2</v>
      </c>
      <c r="F1741" s="18"/>
      <c r="G1741" s="35">
        <f>WEEKDAY(Metas_Diarias[[#This Row],[data]])</f>
        <v>6</v>
      </c>
      <c r="H1741" s="35">
        <f>IF(Metas_Diarias[[#This Row],[dias_da_demana]]=1,"domingo",IF(Metas_Diarias[[#This Row],[dias_da_demana]]=7,0.5,1))</f>
        <v>1</v>
      </c>
      <c r="I1741" s="35">
        <f>_xlfn.XLOOKUP(Metas_Diarias[[#This Row],[data]],Feriados[Data],Feriados[Feriado],1)</f>
        <v>1</v>
      </c>
      <c r="J1741" s="33" cm="1">
        <f t="array" aca="1" ref="J1741" ca="1">SUMPRODUCT(IF((NOT(ISERROR(MATCH(ROW(INDIRECT(DATE(YEAR(B1741),MONTH(B1741),1)&amp;":"&amp;DATE(YEAR(B1741),MONTH(B1741)+1,0))),Feriados[Data],0))))=FALSE,
IF(WEEKDAY(ROW(INDIRECT(DATE(YEAR(B1741),MONTH(B1741),1)&amp;":"&amp;DATE(YEAR(B1741),MONTH(B1741)+1,0))),2)&lt;=5,1,IF(WEEKDAY(ROW(INDIRECT(DATE(YEAR(B1741),MONTH(B1741),1)&amp;":"&amp;DATE(YEAR(B1741),MONTH(B1741)+1,0))),2)=6,0.5,0)),0))</f>
        <v>23.5</v>
      </c>
      <c r="K1741" s="22" cm="1">
        <f t="array" ref="K1741">_xlfn.XLOOKUP(1,((Metas_Diarias[[#This Row],[tipo_equipe_id]]=Metas[equipe])*(Metas_Diarias[[#This Row],[data]]&gt;Metas[data_inicio])*(Metas_Diarias[[#This Row],[data]]&lt;Metas[data_fim])),Metas[meta_mensal],0)</f>
        <v>115500</v>
      </c>
      <c r="L1741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42" spans="2:12" x14ac:dyDescent="0.3">
      <c r="B1742" s="34">
        <v>46298</v>
      </c>
      <c r="C1742" s="34" t="str">
        <f>TEXT(Metas_Diarias[[#This Row],[data]],"dddd")</f>
        <v>sábado</v>
      </c>
      <c r="D1742" s="33">
        <v>2</v>
      </c>
      <c r="E1742" s="33">
        <v>2</v>
      </c>
      <c r="F1742" s="18"/>
      <c r="G1742" s="35">
        <f>WEEKDAY(Metas_Diarias[[#This Row],[data]])</f>
        <v>7</v>
      </c>
      <c r="H1742" s="35">
        <f>IF(Metas_Diarias[[#This Row],[dias_da_demana]]=1,"domingo",IF(Metas_Diarias[[#This Row],[dias_da_demana]]=7,0.5,1))</f>
        <v>0.5</v>
      </c>
      <c r="I1742" s="35">
        <f>_xlfn.XLOOKUP(Metas_Diarias[[#This Row],[data]],Feriados[Data],Feriados[Feriado],1)</f>
        <v>1</v>
      </c>
      <c r="J1742" s="33" cm="1">
        <f t="array" aca="1" ref="J1742" ca="1">SUMPRODUCT(IF((NOT(ISERROR(MATCH(ROW(INDIRECT(DATE(YEAR(B1742),MONTH(B1742),1)&amp;":"&amp;DATE(YEAR(B1742),MONTH(B1742)+1,0))),Feriados[Data],0))))=FALSE,
IF(WEEKDAY(ROW(INDIRECT(DATE(YEAR(B1742),MONTH(B1742),1)&amp;":"&amp;DATE(YEAR(B1742),MONTH(B1742)+1,0))),2)&lt;=5,1,IF(WEEKDAY(ROW(INDIRECT(DATE(YEAR(B1742),MONTH(B1742),1)&amp;":"&amp;DATE(YEAR(B1742),MONTH(B1742)+1,0))),2)=6,0.5,0)),0))</f>
        <v>23.5</v>
      </c>
      <c r="K1742" s="22" cm="1">
        <f t="array" ref="K1742">_xlfn.XLOOKUP(1,((Metas_Diarias[[#This Row],[tipo_equipe_id]]=Metas[equipe])*(Metas_Diarias[[#This Row],[data]]&gt;Metas[data_inicio])*(Metas_Diarias[[#This Row],[data]]&lt;Metas[data_fim])),Metas[meta_mensal],0)</f>
        <v>115500</v>
      </c>
      <c r="L1742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743" spans="2:12" x14ac:dyDescent="0.3">
      <c r="B1743" s="34">
        <v>46299</v>
      </c>
      <c r="C1743" s="34" t="str">
        <f>TEXT(Metas_Diarias[[#This Row],[data]],"dddd")</f>
        <v>domingo</v>
      </c>
      <c r="D1743" s="33">
        <v>2</v>
      </c>
      <c r="E1743" s="33">
        <v>2</v>
      </c>
      <c r="F1743" s="18"/>
      <c r="G1743" s="35">
        <f>WEEKDAY(Metas_Diarias[[#This Row],[data]])</f>
        <v>1</v>
      </c>
      <c r="H1743" s="35" t="str">
        <f>IF(Metas_Diarias[[#This Row],[dias_da_demana]]=1,"domingo",IF(Metas_Diarias[[#This Row],[dias_da_demana]]=7,0.5,1))</f>
        <v>domingo</v>
      </c>
      <c r="I1743" s="35">
        <f>_xlfn.XLOOKUP(Metas_Diarias[[#This Row],[data]],Feriados[Data],Feriados[Feriado],1)</f>
        <v>1</v>
      </c>
      <c r="J1743" s="33" cm="1">
        <f t="array" aca="1" ref="J1743" ca="1">SUMPRODUCT(IF((NOT(ISERROR(MATCH(ROW(INDIRECT(DATE(YEAR(B1743),MONTH(B1743),1)&amp;":"&amp;DATE(YEAR(B1743),MONTH(B1743)+1,0))),Feriados[Data],0))))=FALSE,
IF(WEEKDAY(ROW(INDIRECT(DATE(YEAR(B1743),MONTH(B1743),1)&amp;":"&amp;DATE(YEAR(B1743),MONTH(B1743)+1,0))),2)&lt;=5,1,IF(WEEKDAY(ROW(INDIRECT(DATE(YEAR(B1743),MONTH(B1743),1)&amp;":"&amp;DATE(YEAR(B1743),MONTH(B1743)+1,0))),2)=6,0.5,0)),0))</f>
        <v>23.5</v>
      </c>
      <c r="K1743" s="22" cm="1">
        <f t="array" ref="K1743">_xlfn.XLOOKUP(1,((Metas_Diarias[[#This Row],[tipo_equipe_id]]=Metas[equipe])*(Metas_Diarias[[#This Row],[data]]&gt;Metas[data_inicio])*(Metas_Diarias[[#This Row],[data]]&lt;Metas[data_fim])),Metas[meta_mensal],0)</f>
        <v>115500</v>
      </c>
      <c r="L17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44" spans="2:12" x14ac:dyDescent="0.3">
      <c r="B1744" s="34">
        <v>46300</v>
      </c>
      <c r="C1744" s="34" t="str">
        <f>TEXT(Metas_Diarias[[#This Row],[data]],"dddd")</f>
        <v>segunda-feira</v>
      </c>
      <c r="D1744" s="33">
        <v>2</v>
      </c>
      <c r="E1744" s="33">
        <v>2</v>
      </c>
      <c r="F1744" s="18"/>
      <c r="G1744" s="35">
        <f>WEEKDAY(Metas_Diarias[[#This Row],[data]])</f>
        <v>2</v>
      </c>
      <c r="H1744" s="35">
        <f>IF(Metas_Diarias[[#This Row],[dias_da_demana]]=1,"domingo",IF(Metas_Diarias[[#This Row],[dias_da_demana]]=7,0.5,1))</f>
        <v>1</v>
      </c>
      <c r="I1744" s="35">
        <f>_xlfn.XLOOKUP(Metas_Diarias[[#This Row],[data]],Feriados[Data],Feriados[Feriado],1)</f>
        <v>1</v>
      </c>
      <c r="J1744" s="33" cm="1">
        <f t="array" aca="1" ref="J1744" ca="1">SUMPRODUCT(IF((NOT(ISERROR(MATCH(ROW(INDIRECT(DATE(YEAR(B1744),MONTH(B1744),1)&amp;":"&amp;DATE(YEAR(B1744),MONTH(B1744)+1,0))),Feriados[Data],0))))=FALSE,
IF(WEEKDAY(ROW(INDIRECT(DATE(YEAR(B1744),MONTH(B1744),1)&amp;":"&amp;DATE(YEAR(B1744),MONTH(B1744)+1,0))),2)&lt;=5,1,IF(WEEKDAY(ROW(INDIRECT(DATE(YEAR(B1744),MONTH(B1744),1)&amp;":"&amp;DATE(YEAR(B1744),MONTH(B1744)+1,0))),2)=6,0.5,0)),0))</f>
        <v>23.5</v>
      </c>
      <c r="K1744" s="22" cm="1">
        <f t="array" ref="K1744">_xlfn.XLOOKUP(1,((Metas_Diarias[[#This Row],[tipo_equipe_id]]=Metas[equipe])*(Metas_Diarias[[#This Row],[data]]&gt;Metas[data_inicio])*(Metas_Diarias[[#This Row],[data]]&lt;Metas[data_fim])),Metas[meta_mensal],0)</f>
        <v>115500</v>
      </c>
      <c r="L1744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45" spans="2:12" x14ac:dyDescent="0.3">
      <c r="B1745" s="34">
        <v>46301</v>
      </c>
      <c r="C1745" s="34" t="str">
        <f>TEXT(Metas_Diarias[[#This Row],[data]],"dddd")</f>
        <v>terça-feira</v>
      </c>
      <c r="D1745" s="33">
        <v>2</v>
      </c>
      <c r="E1745" s="33">
        <v>2</v>
      </c>
      <c r="F1745" s="18"/>
      <c r="G1745" s="35">
        <f>WEEKDAY(Metas_Diarias[[#This Row],[data]])</f>
        <v>3</v>
      </c>
      <c r="H1745" s="35">
        <f>IF(Metas_Diarias[[#This Row],[dias_da_demana]]=1,"domingo",IF(Metas_Diarias[[#This Row],[dias_da_demana]]=7,0.5,1))</f>
        <v>1</v>
      </c>
      <c r="I1745" s="35">
        <f>_xlfn.XLOOKUP(Metas_Diarias[[#This Row],[data]],Feriados[Data],Feriados[Feriado],1)</f>
        <v>1</v>
      </c>
      <c r="J1745" s="33" cm="1">
        <f t="array" aca="1" ref="J1745" ca="1">SUMPRODUCT(IF((NOT(ISERROR(MATCH(ROW(INDIRECT(DATE(YEAR(B1745),MONTH(B1745),1)&amp;":"&amp;DATE(YEAR(B1745),MONTH(B1745)+1,0))),Feriados[Data],0))))=FALSE,
IF(WEEKDAY(ROW(INDIRECT(DATE(YEAR(B1745),MONTH(B1745),1)&amp;":"&amp;DATE(YEAR(B1745),MONTH(B1745)+1,0))),2)&lt;=5,1,IF(WEEKDAY(ROW(INDIRECT(DATE(YEAR(B1745),MONTH(B1745),1)&amp;":"&amp;DATE(YEAR(B1745),MONTH(B1745)+1,0))),2)=6,0.5,0)),0))</f>
        <v>23.5</v>
      </c>
      <c r="K1745" s="22" cm="1">
        <f t="array" ref="K1745">_xlfn.XLOOKUP(1,((Metas_Diarias[[#This Row],[tipo_equipe_id]]=Metas[equipe])*(Metas_Diarias[[#This Row],[data]]&gt;Metas[data_inicio])*(Metas_Diarias[[#This Row],[data]]&lt;Metas[data_fim])),Metas[meta_mensal],0)</f>
        <v>115500</v>
      </c>
      <c r="L174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46" spans="2:12" x14ac:dyDescent="0.3">
      <c r="B1746" s="34">
        <v>46302</v>
      </c>
      <c r="C1746" s="34" t="str">
        <f>TEXT(Metas_Diarias[[#This Row],[data]],"dddd")</f>
        <v>quarta-feira</v>
      </c>
      <c r="D1746" s="33">
        <v>2</v>
      </c>
      <c r="E1746" s="33">
        <v>2</v>
      </c>
      <c r="F1746" s="18"/>
      <c r="G1746" s="35">
        <f>WEEKDAY(Metas_Diarias[[#This Row],[data]])</f>
        <v>4</v>
      </c>
      <c r="H1746" s="35">
        <f>IF(Metas_Diarias[[#This Row],[dias_da_demana]]=1,"domingo",IF(Metas_Diarias[[#This Row],[dias_da_demana]]=7,0.5,1))</f>
        <v>1</v>
      </c>
      <c r="I1746" s="35">
        <f>_xlfn.XLOOKUP(Metas_Diarias[[#This Row],[data]],Feriados[Data],Feriados[Feriado],1)</f>
        <v>1</v>
      </c>
      <c r="J1746" s="33" cm="1">
        <f t="array" aca="1" ref="J1746" ca="1">SUMPRODUCT(IF((NOT(ISERROR(MATCH(ROW(INDIRECT(DATE(YEAR(B1746),MONTH(B1746),1)&amp;":"&amp;DATE(YEAR(B1746),MONTH(B1746)+1,0))),Feriados[Data],0))))=FALSE,
IF(WEEKDAY(ROW(INDIRECT(DATE(YEAR(B1746),MONTH(B1746),1)&amp;":"&amp;DATE(YEAR(B1746),MONTH(B1746)+1,0))),2)&lt;=5,1,IF(WEEKDAY(ROW(INDIRECT(DATE(YEAR(B1746),MONTH(B1746),1)&amp;":"&amp;DATE(YEAR(B1746),MONTH(B1746)+1,0))),2)=6,0.5,0)),0))</f>
        <v>23.5</v>
      </c>
      <c r="K1746" s="22" cm="1">
        <f t="array" ref="K1746">_xlfn.XLOOKUP(1,((Metas_Diarias[[#This Row],[tipo_equipe_id]]=Metas[equipe])*(Metas_Diarias[[#This Row],[data]]&gt;Metas[data_inicio])*(Metas_Diarias[[#This Row],[data]]&lt;Metas[data_fim])),Metas[meta_mensal],0)</f>
        <v>115500</v>
      </c>
      <c r="L1746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47" spans="2:12" x14ac:dyDescent="0.3">
      <c r="B1747" s="34">
        <v>46303</v>
      </c>
      <c r="C1747" s="34" t="str">
        <f>TEXT(Metas_Diarias[[#This Row],[data]],"dddd")</f>
        <v>quinta-feira</v>
      </c>
      <c r="D1747" s="33">
        <v>2</v>
      </c>
      <c r="E1747" s="33">
        <v>2</v>
      </c>
      <c r="F1747" s="18"/>
      <c r="G1747" s="35">
        <f>WEEKDAY(Metas_Diarias[[#This Row],[data]])</f>
        <v>5</v>
      </c>
      <c r="H1747" s="35">
        <f>IF(Metas_Diarias[[#This Row],[dias_da_demana]]=1,"domingo",IF(Metas_Diarias[[#This Row],[dias_da_demana]]=7,0.5,1))</f>
        <v>1</v>
      </c>
      <c r="I1747" s="35">
        <f>_xlfn.XLOOKUP(Metas_Diarias[[#This Row],[data]],Feriados[Data],Feriados[Feriado],1)</f>
        <v>1</v>
      </c>
      <c r="J1747" s="33" cm="1">
        <f t="array" aca="1" ref="J1747" ca="1">SUMPRODUCT(IF((NOT(ISERROR(MATCH(ROW(INDIRECT(DATE(YEAR(B1747),MONTH(B1747),1)&amp;":"&amp;DATE(YEAR(B1747),MONTH(B1747)+1,0))),Feriados[Data],0))))=FALSE,
IF(WEEKDAY(ROW(INDIRECT(DATE(YEAR(B1747),MONTH(B1747),1)&amp;":"&amp;DATE(YEAR(B1747),MONTH(B1747)+1,0))),2)&lt;=5,1,IF(WEEKDAY(ROW(INDIRECT(DATE(YEAR(B1747),MONTH(B1747),1)&amp;":"&amp;DATE(YEAR(B1747),MONTH(B1747)+1,0))),2)=6,0.5,0)),0))</f>
        <v>23.5</v>
      </c>
      <c r="K1747" s="22" cm="1">
        <f t="array" ref="K1747">_xlfn.XLOOKUP(1,((Metas_Diarias[[#This Row],[tipo_equipe_id]]=Metas[equipe])*(Metas_Diarias[[#This Row],[data]]&gt;Metas[data_inicio])*(Metas_Diarias[[#This Row],[data]]&lt;Metas[data_fim])),Metas[meta_mensal],0)</f>
        <v>115500</v>
      </c>
      <c r="L1747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48" spans="2:12" x14ac:dyDescent="0.3">
      <c r="B1748" s="34">
        <v>46304</v>
      </c>
      <c r="C1748" s="34" t="str">
        <f>TEXT(Metas_Diarias[[#This Row],[data]],"dddd")</f>
        <v>sexta-feira</v>
      </c>
      <c r="D1748" s="33">
        <v>2</v>
      </c>
      <c r="E1748" s="33">
        <v>2</v>
      </c>
      <c r="F1748" s="18"/>
      <c r="G1748" s="35">
        <f>WEEKDAY(Metas_Diarias[[#This Row],[data]])</f>
        <v>6</v>
      </c>
      <c r="H1748" s="35">
        <f>IF(Metas_Diarias[[#This Row],[dias_da_demana]]=1,"domingo",IF(Metas_Diarias[[#This Row],[dias_da_demana]]=7,0.5,1))</f>
        <v>1</v>
      </c>
      <c r="I1748" s="35">
        <f>_xlfn.XLOOKUP(Metas_Diarias[[#This Row],[data]],Feriados[Data],Feriados[Feriado],1)</f>
        <v>1</v>
      </c>
      <c r="J1748" s="33" cm="1">
        <f t="array" aca="1" ref="J1748" ca="1">SUMPRODUCT(IF((NOT(ISERROR(MATCH(ROW(INDIRECT(DATE(YEAR(B1748),MONTH(B1748),1)&amp;":"&amp;DATE(YEAR(B1748),MONTH(B1748)+1,0))),Feriados[Data],0))))=FALSE,
IF(WEEKDAY(ROW(INDIRECT(DATE(YEAR(B1748),MONTH(B1748),1)&amp;":"&amp;DATE(YEAR(B1748),MONTH(B1748)+1,0))),2)&lt;=5,1,IF(WEEKDAY(ROW(INDIRECT(DATE(YEAR(B1748),MONTH(B1748),1)&amp;":"&amp;DATE(YEAR(B1748),MONTH(B1748)+1,0))),2)=6,0.5,0)),0))</f>
        <v>23.5</v>
      </c>
      <c r="K1748" s="22" cm="1">
        <f t="array" ref="K1748">_xlfn.XLOOKUP(1,((Metas_Diarias[[#This Row],[tipo_equipe_id]]=Metas[equipe])*(Metas_Diarias[[#This Row],[data]]&gt;Metas[data_inicio])*(Metas_Diarias[[#This Row],[data]]&lt;Metas[data_fim])),Metas[meta_mensal],0)</f>
        <v>115500</v>
      </c>
      <c r="L1748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49" spans="2:12" x14ac:dyDescent="0.3">
      <c r="B1749" s="34">
        <v>46305</v>
      </c>
      <c r="C1749" s="34" t="str">
        <f>TEXT(Metas_Diarias[[#This Row],[data]],"dddd")</f>
        <v>sábado</v>
      </c>
      <c r="D1749" s="33">
        <v>2</v>
      </c>
      <c r="E1749" s="33">
        <v>2</v>
      </c>
      <c r="F1749" s="18"/>
      <c r="G1749" s="35">
        <f>WEEKDAY(Metas_Diarias[[#This Row],[data]])</f>
        <v>7</v>
      </c>
      <c r="H1749" s="35">
        <f>IF(Metas_Diarias[[#This Row],[dias_da_demana]]=1,"domingo",IF(Metas_Diarias[[#This Row],[dias_da_demana]]=7,0.5,1))</f>
        <v>0.5</v>
      </c>
      <c r="I1749" s="35">
        <f>_xlfn.XLOOKUP(Metas_Diarias[[#This Row],[data]],Feriados[Data],Feriados[Feriado],1)</f>
        <v>1</v>
      </c>
      <c r="J1749" s="33" cm="1">
        <f t="array" aca="1" ref="J1749" ca="1">SUMPRODUCT(IF((NOT(ISERROR(MATCH(ROW(INDIRECT(DATE(YEAR(B1749),MONTH(B1749),1)&amp;":"&amp;DATE(YEAR(B1749),MONTH(B1749)+1,0))),Feriados[Data],0))))=FALSE,
IF(WEEKDAY(ROW(INDIRECT(DATE(YEAR(B1749),MONTH(B1749),1)&amp;":"&amp;DATE(YEAR(B1749),MONTH(B1749)+1,0))),2)&lt;=5,1,IF(WEEKDAY(ROW(INDIRECT(DATE(YEAR(B1749),MONTH(B1749),1)&amp;":"&amp;DATE(YEAR(B1749),MONTH(B1749)+1,0))),2)=6,0.5,0)),0))</f>
        <v>23.5</v>
      </c>
      <c r="K1749" s="22" cm="1">
        <f t="array" ref="K1749">_xlfn.XLOOKUP(1,((Metas_Diarias[[#This Row],[tipo_equipe_id]]=Metas[equipe])*(Metas_Diarias[[#This Row],[data]]&gt;Metas[data_inicio])*(Metas_Diarias[[#This Row],[data]]&lt;Metas[data_fim])),Metas[meta_mensal],0)</f>
        <v>115500</v>
      </c>
      <c r="L1749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750" spans="2:12" x14ac:dyDescent="0.3">
      <c r="B1750" s="34">
        <v>46306</v>
      </c>
      <c r="C1750" s="34" t="str">
        <f>TEXT(Metas_Diarias[[#This Row],[data]],"dddd")</f>
        <v>domingo</v>
      </c>
      <c r="D1750" s="33">
        <v>2</v>
      </c>
      <c r="E1750" s="33">
        <v>2</v>
      </c>
      <c r="F1750" s="18"/>
      <c r="G1750" s="35">
        <f>WEEKDAY(Metas_Diarias[[#This Row],[data]])</f>
        <v>1</v>
      </c>
      <c r="H1750" s="35" t="str">
        <f>IF(Metas_Diarias[[#This Row],[dias_da_demana]]=1,"domingo",IF(Metas_Diarias[[#This Row],[dias_da_demana]]=7,0.5,1))</f>
        <v>domingo</v>
      </c>
      <c r="I1750" s="35">
        <f>_xlfn.XLOOKUP(Metas_Diarias[[#This Row],[data]],Feriados[Data],Feriados[Feriado],1)</f>
        <v>1</v>
      </c>
      <c r="J1750" s="33" cm="1">
        <f t="array" aca="1" ref="J1750" ca="1">SUMPRODUCT(IF((NOT(ISERROR(MATCH(ROW(INDIRECT(DATE(YEAR(B1750),MONTH(B1750),1)&amp;":"&amp;DATE(YEAR(B1750),MONTH(B1750)+1,0))),Feriados[Data],0))))=FALSE,
IF(WEEKDAY(ROW(INDIRECT(DATE(YEAR(B1750),MONTH(B1750),1)&amp;":"&amp;DATE(YEAR(B1750),MONTH(B1750)+1,0))),2)&lt;=5,1,IF(WEEKDAY(ROW(INDIRECT(DATE(YEAR(B1750),MONTH(B1750),1)&amp;":"&amp;DATE(YEAR(B1750),MONTH(B1750)+1,0))),2)=6,0.5,0)),0))</f>
        <v>23.5</v>
      </c>
      <c r="K1750" s="22" cm="1">
        <f t="array" ref="K1750">_xlfn.XLOOKUP(1,((Metas_Diarias[[#This Row],[tipo_equipe_id]]=Metas[equipe])*(Metas_Diarias[[#This Row],[data]]&gt;Metas[data_inicio])*(Metas_Diarias[[#This Row],[data]]&lt;Metas[data_fim])),Metas[meta_mensal],0)</f>
        <v>115500</v>
      </c>
      <c r="L175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51" spans="2:12" x14ac:dyDescent="0.3">
      <c r="B1751" s="34">
        <v>46307</v>
      </c>
      <c r="C1751" s="34" t="str">
        <f>TEXT(Metas_Diarias[[#This Row],[data]],"dddd")</f>
        <v>segunda-feira</v>
      </c>
      <c r="D1751" s="33">
        <v>2</v>
      </c>
      <c r="E1751" s="33">
        <v>2</v>
      </c>
      <c r="F1751" s="18"/>
      <c r="G1751" s="35">
        <f>WEEKDAY(Metas_Diarias[[#This Row],[data]])</f>
        <v>2</v>
      </c>
      <c r="H1751" s="35">
        <f>IF(Metas_Diarias[[#This Row],[dias_da_demana]]=1,"domingo",IF(Metas_Diarias[[#This Row],[dias_da_demana]]=7,0.5,1))</f>
        <v>1</v>
      </c>
      <c r="I1751" s="35" t="str">
        <f>_xlfn.XLOOKUP(Metas_Diarias[[#This Row],[data]],Feriados[Data],Feriados[Feriado],1)</f>
        <v>Nossa Sr.a Aparecida - Padroeira do Brasil</v>
      </c>
      <c r="J1751" s="33" cm="1">
        <f t="array" aca="1" ref="J1751" ca="1">SUMPRODUCT(IF((NOT(ISERROR(MATCH(ROW(INDIRECT(DATE(YEAR(B1751),MONTH(B1751),1)&amp;":"&amp;DATE(YEAR(B1751),MONTH(B1751)+1,0))),Feriados[Data],0))))=FALSE,
IF(WEEKDAY(ROW(INDIRECT(DATE(YEAR(B1751),MONTH(B1751),1)&amp;":"&amp;DATE(YEAR(B1751),MONTH(B1751)+1,0))),2)&lt;=5,1,IF(WEEKDAY(ROW(INDIRECT(DATE(YEAR(B1751),MONTH(B1751),1)&amp;":"&amp;DATE(YEAR(B1751),MONTH(B1751)+1,0))),2)=6,0.5,0)),0))</f>
        <v>23.5</v>
      </c>
      <c r="K1751" s="22" cm="1">
        <f t="array" ref="K1751">_xlfn.XLOOKUP(1,((Metas_Diarias[[#This Row],[tipo_equipe_id]]=Metas[equipe])*(Metas_Diarias[[#This Row],[data]]&gt;Metas[data_inicio])*(Metas_Diarias[[#This Row],[data]]&lt;Metas[data_fim])),Metas[meta_mensal],0)</f>
        <v>115500</v>
      </c>
      <c r="L17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52" spans="2:12" x14ac:dyDescent="0.3">
      <c r="B1752" s="34">
        <v>46308</v>
      </c>
      <c r="C1752" s="34" t="str">
        <f>TEXT(Metas_Diarias[[#This Row],[data]],"dddd")</f>
        <v>terça-feira</v>
      </c>
      <c r="D1752" s="33">
        <v>2</v>
      </c>
      <c r="E1752" s="33">
        <v>2</v>
      </c>
      <c r="F1752" s="18"/>
      <c r="G1752" s="35">
        <f>WEEKDAY(Metas_Diarias[[#This Row],[data]])</f>
        <v>3</v>
      </c>
      <c r="H1752" s="35">
        <f>IF(Metas_Diarias[[#This Row],[dias_da_demana]]=1,"domingo",IF(Metas_Diarias[[#This Row],[dias_da_demana]]=7,0.5,1))</f>
        <v>1</v>
      </c>
      <c r="I1752" s="35">
        <f>_xlfn.XLOOKUP(Metas_Diarias[[#This Row],[data]],Feriados[Data],Feriados[Feriado],1)</f>
        <v>1</v>
      </c>
      <c r="J1752" s="33" cm="1">
        <f t="array" aca="1" ref="J1752" ca="1">SUMPRODUCT(IF((NOT(ISERROR(MATCH(ROW(INDIRECT(DATE(YEAR(B1752),MONTH(B1752),1)&amp;":"&amp;DATE(YEAR(B1752),MONTH(B1752)+1,0))),Feriados[Data],0))))=FALSE,
IF(WEEKDAY(ROW(INDIRECT(DATE(YEAR(B1752),MONTH(B1752),1)&amp;":"&amp;DATE(YEAR(B1752),MONTH(B1752)+1,0))),2)&lt;=5,1,IF(WEEKDAY(ROW(INDIRECT(DATE(YEAR(B1752),MONTH(B1752),1)&amp;":"&amp;DATE(YEAR(B1752),MONTH(B1752)+1,0))),2)=6,0.5,0)),0))</f>
        <v>23.5</v>
      </c>
      <c r="K1752" s="22" cm="1">
        <f t="array" ref="K1752">_xlfn.XLOOKUP(1,((Metas_Diarias[[#This Row],[tipo_equipe_id]]=Metas[equipe])*(Metas_Diarias[[#This Row],[data]]&gt;Metas[data_inicio])*(Metas_Diarias[[#This Row],[data]]&lt;Metas[data_fim])),Metas[meta_mensal],0)</f>
        <v>115500</v>
      </c>
      <c r="L1752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53" spans="2:12" x14ac:dyDescent="0.3">
      <c r="B1753" s="34">
        <v>46309</v>
      </c>
      <c r="C1753" s="34" t="str">
        <f>TEXT(Metas_Diarias[[#This Row],[data]],"dddd")</f>
        <v>quarta-feira</v>
      </c>
      <c r="D1753" s="33">
        <v>2</v>
      </c>
      <c r="E1753" s="33">
        <v>2</v>
      </c>
      <c r="F1753" s="18"/>
      <c r="G1753" s="35">
        <f>WEEKDAY(Metas_Diarias[[#This Row],[data]])</f>
        <v>4</v>
      </c>
      <c r="H1753" s="35">
        <f>IF(Metas_Diarias[[#This Row],[dias_da_demana]]=1,"domingo",IF(Metas_Diarias[[#This Row],[dias_da_demana]]=7,0.5,1))</f>
        <v>1</v>
      </c>
      <c r="I1753" s="35">
        <f>_xlfn.XLOOKUP(Metas_Diarias[[#This Row],[data]],Feriados[Data],Feriados[Feriado],1)</f>
        <v>1</v>
      </c>
      <c r="J1753" s="33" cm="1">
        <f t="array" aca="1" ref="J1753" ca="1">SUMPRODUCT(IF((NOT(ISERROR(MATCH(ROW(INDIRECT(DATE(YEAR(B1753),MONTH(B1753),1)&amp;":"&amp;DATE(YEAR(B1753),MONTH(B1753)+1,0))),Feriados[Data],0))))=FALSE,
IF(WEEKDAY(ROW(INDIRECT(DATE(YEAR(B1753),MONTH(B1753),1)&amp;":"&amp;DATE(YEAR(B1753),MONTH(B1753)+1,0))),2)&lt;=5,1,IF(WEEKDAY(ROW(INDIRECT(DATE(YEAR(B1753),MONTH(B1753),1)&amp;":"&amp;DATE(YEAR(B1753),MONTH(B1753)+1,0))),2)=6,0.5,0)),0))</f>
        <v>23.5</v>
      </c>
      <c r="K1753" s="22" cm="1">
        <f t="array" ref="K1753">_xlfn.XLOOKUP(1,((Metas_Diarias[[#This Row],[tipo_equipe_id]]=Metas[equipe])*(Metas_Diarias[[#This Row],[data]]&gt;Metas[data_inicio])*(Metas_Diarias[[#This Row],[data]]&lt;Metas[data_fim])),Metas[meta_mensal],0)</f>
        <v>115500</v>
      </c>
      <c r="L1753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54" spans="2:12" x14ac:dyDescent="0.3">
      <c r="B1754" s="34">
        <v>46310</v>
      </c>
      <c r="C1754" s="34" t="str">
        <f>TEXT(Metas_Diarias[[#This Row],[data]],"dddd")</f>
        <v>quinta-feira</v>
      </c>
      <c r="D1754" s="33">
        <v>2</v>
      </c>
      <c r="E1754" s="33">
        <v>2</v>
      </c>
      <c r="F1754" s="18"/>
      <c r="G1754" s="35">
        <f>WEEKDAY(Metas_Diarias[[#This Row],[data]])</f>
        <v>5</v>
      </c>
      <c r="H1754" s="35">
        <f>IF(Metas_Diarias[[#This Row],[dias_da_demana]]=1,"domingo",IF(Metas_Diarias[[#This Row],[dias_da_demana]]=7,0.5,1))</f>
        <v>1</v>
      </c>
      <c r="I1754" s="35">
        <f>_xlfn.XLOOKUP(Metas_Diarias[[#This Row],[data]],Feriados[Data],Feriados[Feriado],1)</f>
        <v>1</v>
      </c>
      <c r="J1754" s="33" cm="1">
        <f t="array" aca="1" ref="J1754" ca="1">SUMPRODUCT(IF((NOT(ISERROR(MATCH(ROW(INDIRECT(DATE(YEAR(B1754),MONTH(B1754),1)&amp;":"&amp;DATE(YEAR(B1754),MONTH(B1754)+1,0))),Feriados[Data],0))))=FALSE,
IF(WEEKDAY(ROW(INDIRECT(DATE(YEAR(B1754),MONTH(B1754),1)&amp;":"&amp;DATE(YEAR(B1754),MONTH(B1754)+1,0))),2)&lt;=5,1,IF(WEEKDAY(ROW(INDIRECT(DATE(YEAR(B1754),MONTH(B1754),1)&amp;":"&amp;DATE(YEAR(B1754),MONTH(B1754)+1,0))),2)=6,0.5,0)),0))</f>
        <v>23.5</v>
      </c>
      <c r="K1754" s="22" cm="1">
        <f t="array" ref="K1754">_xlfn.XLOOKUP(1,((Metas_Diarias[[#This Row],[tipo_equipe_id]]=Metas[equipe])*(Metas_Diarias[[#This Row],[data]]&gt;Metas[data_inicio])*(Metas_Diarias[[#This Row],[data]]&lt;Metas[data_fim])),Metas[meta_mensal],0)</f>
        <v>115500</v>
      </c>
      <c r="L1754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55" spans="2:12" x14ac:dyDescent="0.3">
      <c r="B1755" s="34">
        <v>46311</v>
      </c>
      <c r="C1755" s="34" t="str">
        <f>TEXT(Metas_Diarias[[#This Row],[data]],"dddd")</f>
        <v>sexta-feira</v>
      </c>
      <c r="D1755" s="33">
        <v>2</v>
      </c>
      <c r="E1755" s="33">
        <v>2</v>
      </c>
      <c r="F1755" s="18"/>
      <c r="G1755" s="35">
        <f>WEEKDAY(Metas_Diarias[[#This Row],[data]])</f>
        <v>6</v>
      </c>
      <c r="H1755" s="35">
        <f>IF(Metas_Diarias[[#This Row],[dias_da_demana]]=1,"domingo",IF(Metas_Diarias[[#This Row],[dias_da_demana]]=7,0.5,1))</f>
        <v>1</v>
      </c>
      <c r="I1755" s="35">
        <f>_xlfn.XLOOKUP(Metas_Diarias[[#This Row],[data]],Feriados[Data],Feriados[Feriado],1)</f>
        <v>1</v>
      </c>
      <c r="J1755" s="33" cm="1">
        <f t="array" aca="1" ref="J1755" ca="1">SUMPRODUCT(IF((NOT(ISERROR(MATCH(ROW(INDIRECT(DATE(YEAR(B1755),MONTH(B1755),1)&amp;":"&amp;DATE(YEAR(B1755),MONTH(B1755)+1,0))),Feriados[Data],0))))=FALSE,
IF(WEEKDAY(ROW(INDIRECT(DATE(YEAR(B1755),MONTH(B1755),1)&amp;":"&amp;DATE(YEAR(B1755),MONTH(B1755)+1,0))),2)&lt;=5,1,IF(WEEKDAY(ROW(INDIRECT(DATE(YEAR(B1755),MONTH(B1755),1)&amp;":"&amp;DATE(YEAR(B1755),MONTH(B1755)+1,0))),2)=6,0.5,0)),0))</f>
        <v>23.5</v>
      </c>
      <c r="K1755" s="22" cm="1">
        <f t="array" ref="K1755">_xlfn.XLOOKUP(1,((Metas_Diarias[[#This Row],[tipo_equipe_id]]=Metas[equipe])*(Metas_Diarias[[#This Row],[data]]&gt;Metas[data_inicio])*(Metas_Diarias[[#This Row],[data]]&lt;Metas[data_fim])),Metas[meta_mensal],0)</f>
        <v>115500</v>
      </c>
      <c r="L175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56" spans="2:12" x14ac:dyDescent="0.3">
      <c r="B1756" s="34">
        <v>46312</v>
      </c>
      <c r="C1756" s="34" t="str">
        <f>TEXT(Metas_Diarias[[#This Row],[data]],"dddd")</f>
        <v>sábado</v>
      </c>
      <c r="D1756" s="33">
        <v>2</v>
      </c>
      <c r="E1756" s="33">
        <v>2</v>
      </c>
      <c r="F1756" s="18"/>
      <c r="G1756" s="35">
        <f>WEEKDAY(Metas_Diarias[[#This Row],[data]])</f>
        <v>7</v>
      </c>
      <c r="H1756" s="35">
        <f>IF(Metas_Diarias[[#This Row],[dias_da_demana]]=1,"domingo",IF(Metas_Diarias[[#This Row],[dias_da_demana]]=7,0.5,1))</f>
        <v>0.5</v>
      </c>
      <c r="I1756" s="35">
        <f>_xlfn.XLOOKUP(Metas_Diarias[[#This Row],[data]],Feriados[Data],Feriados[Feriado],1)</f>
        <v>1</v>
      </c>
      <c r="J1756" s="33" cm="1">
        <f t="array" aca="1" ref="J1756" ca="1">SUMPRODUCT(IF((NOT(ISERROR(MATCH(ROW(INDIRECT(DATE(YEAR(B1756),MONTH(B1756),1)&amp;":"&amp;DATE(YEAR(B1756),MONTH(B1756)+1,0))),Feriados[Data],0))))=FALSE,
IF(WEEKDAY(ROW(INDIRECT(DATE(YEAR(B1756),MONTH(B1756),1)&amp;":"&amp;DATE(YEAR(B1756),MONTH(B1756)+1,0))),2)&lt;=5,1,IF(WEEKDAY(ROW(INDIRECT(DATE(YEAR(B1756),MONTH(B1756),1)&amp;":"&amp;DATE(YEAR(B1756),MONTH(B1756)+1,0))),2)=6,0.5,0)),0))</f>
        <v>23.5</v>
      </c>
      <c r="K1756" s="22" cm="1">
        <f t="array" ref="K1756">_xlfn.XLOOKUP(1,((Metas_Diarias[[#This Row],[tipo_equipe_id]]=Metas[equipe])*(Metas_Diarias[[#This Row],[data]]&gt;Metas[data_inicio])*(Metas_Diarias[[#This Row],[data]]&lt;Metas[data_fim])),Metas[meta_mensal],0)</f>
        <v>115500</v>
      </c>
      <c r="L1756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757" spans="2:12" x14ac:dyDescent="0.3">
      <c r="B1757" s="34">
        <v>46313</v>
      </c>
      <c r="C1757" s="34" t="str">
        <f>TEXT(Metas_Diarias[[#This Row],[data]],"dddd")</f>
        <v>domingo</v>
      </c>
      <c r="D1757" s="33">
        <v>2</v>
      </c>
      <c r="E1757" s="33">
        <v>2</v>
      </c>
      <c r="F1757" s="18"/>
      <c r="G1757" s="35">
        <f>WEEKDAY(Metas_Diarias[[#This Row],[data]])</f>
        <v>1</v>
      </c>
      <c r="H1757" s="35" t="str">
        <f>IF(Metas_Diarias[[#This Row],[dias_da_demana]]=1,"domingo",IF(Metas_Diarias[[#This Row],[dias_da_demana]]=7,0.5,1))</f>
        <v>domingo</v>
      </c>
      <c r="I1757" s="35">
        <f>_xlfn.XLOOKUP(Metas_Diarias[[#This Row],[data]],Feriados[Data],Feriados[Feriado],1)</f>
        <v>1</v>
      </c>
      <c r="J1757" s="33" cm="1">
        <f t="array" aca="1" ref="J1757" ca="1">SUMPRODUCT(IF((NOT(ISERROR(MATCH(ROW(INDIRECT(DATE(YEAR(B1757),MONTH(B1757),1)&amp;":"&amp;DATE(YEAR(B1757),MONTH(B1757)+1,0))),Feriados[Data],0))))=FALSE,
IF(WEEKDAY(ROW(INDIRECT(DATE(YEAR(B1757),MONTH(B1757),1)&amp;":"&amp;DATE(YEAR(B1757),MONTH(B1757)+1,0))),2)&lt;=5,1,IF(WEEKDAY(ROW(INDIRECT(DATE(YEAR(B1757),MONTH(B1757),1)&amp;":"&amp;DATE(YEAR(B1757),MONTH(B1757)+1,0))),2)=6,0.5,0)),0))</f>
        <v>23.5</v>
      </c>
      <c r="K1757" s="22" cm="1">
        <f t="array" ref="K1757">_xlfn.XLOOKUP(1,((Metas_Diarias[[#This Row],[tipo_equipe_id]]=Metas[equipe])*(Metas_Diarias[[#This Row],[data]]&gt;Metas[data_inicio])*(Metas_Diarias[[#This Row],[data]]&lt;Metas[data_fim])),Metas[meta_mensal],0)</f>
        <v>115500</v>
      </c>
      <c r="L175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58" spans="2:12" x14ac:dyDescent="0.3">
      <c r="B1758" s="34">
        <v>46314</v>
      </c>
      <c r="C1758" s="34" t="str">
        <f>TEXT(Metas_Diarias[[#This Row],[data]],"dddd")</f>
        <v>segunda-feira</v>
      </c>
      <c r="D1758" s="33">
        <v>2</v>
      </c>
      <c r="E1758" s="33">
        <v>2</v>
      </c>
      <c r="F1758" s="18"/>
      <c r="G1758" s="35">
        <f>WEEKDAY(Metas_Diarias[[#This Row],[data]])</f>
        <v>2</v>
      </c>
      <c r="H1758" s="35">
        <f>IF(Metas_Diarias[[#This Row],[dias_da_demana]]=1,"domingo",IF(Metas_Diarias[[#This Row],[dias_da_demana]]=7,0.5,1))</f>
        <v>1</v>
      </c>
      <c r="I1758" s="35">
        <f>_xlfn.XLOOKUP(Metas_Diarias[[#This Row],[data]],Feriados[Data],Feriados[Feriado],1)</f>
        <v>1</v>
      </c>
      <c r="J1758" s="33" cm="1">
        <f t="array" aca="1" ref="J1758" ca="1">SUMPRODUCT(IF((NOT(ISERROR(MATCH(ROW(INDIRECT(DATE(YEAR(B1758),MONTH(B1758),1)&amp;":"&amp;DATE(YEAR(B1758),MONTH(B1758)+1,0))),Feriados[Data],0))))=FALSE,
IF(WEEKDAY(ROW(INDIRECT(DATE(YEAR(B1758),MONTH(B1758),1)&amp;":"&amp;DATE(YEAR(B1758),MONTH(B1758)+1,0))),2)&lt;=5,1,IF(WEEKDAY(ROW(INDIRECT(DATE(YEAR(B1758),MONTH(B1758),1)&amp;":"&amp;DATE(YEAR(B1758),MONTH(B1758)+1,0))),2)=6,0.5,0)),0))</f>
        <v>23.5</v>
      </c>
      <c r="K1758" s="22" cm="1">
        <f t="array" ref="K1758">_xlfn.XLOOKUP(1,((Metas_Diarias[[#This Row],[tipo_equipe_id]]=Metas[equipe])*(Metas_Diarias[[#This Row],[data]]&gt;Metas[data_inicio])*(Metas_Diarias[[#This Row],[data]]&lt;Metas[data_fim])),Metas[meta_mensal],0)</f>
        <v>115500</v>
      </c>
      <c r="L1758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59" spans="2:12" x14ac:dyDescent="0.3">
      <c r="B1759" s="34">
        <v>46315</v>
      </c>
      <c r="C1759" s="34" t="str">
        <f>TEXT(Metas_Diarias[[#This Row],[data]],"dddd")</f>
        <v>terça-feira</v>
      </c>
      <c r="D1759" s="33">
        <v>2</v>
      </c>
      <c r="E1759" s="33">
        <v>2</v>
      </c>
      <c r="F1759" s="18"/>
      <c r="G1759" s="35">
        <f>WEEKDAY(Metas_Diarias[[#This Row],[data]])</f>
        <v>3</v>
      </c>
      <c r="H1759" s="35">
        <f>IF(Metas_Diarias[[#This Row],[dias_da_demana]]=1,"domingo",IF(Metas_Diarias[[#This Row],[dias_da_demana]]=7,0.5,1))</f>
        <v>1</v>
      </c>
      <c r="I1759" s="35">
        <f>_xlfn.XLOOKUP(Metas_Diarias[[#This Row],[data]],Feriados[Data],Feriados[Feriado],1)</f>
        <v>1</v>
      </c>
      <c r="J1759" s="33" cm="1">
        <f t="array" aca="1" ref="J1759" ca="1">SUMPRODUCT(IF((NOT(ISERROR(MATCH(ROW(INDIRECT(DATE(YEAR(B1759),MONTH(B1759),1)&amp;":"&amp;DATE(YEAR(B1759),MONTH(B1759)+1,0))),Feriados[Data],0))))=FALSE,
IF(WEEKDAY(ROW(INDIRECT(DATE(YEAR(B1759),MONTH(B1759),1)&amp;":"&amp;DATE(YEAR(B1759),MONTH(B1759)+1,0))),2)&lt;=5,1,IF(WEEKDAY(ROW(INDIRECT(DATE(YEAR(B1759),MONTH(B1759),1)&amp;":"&amp;DATE(YEAR(B1759),MONTH(B1759)+1,0))),2)=6,0.5,0)),0))</f>
        <v>23.5</v>
      </c>
      <c r="K1759" s="22" cm="1">
        <f t="array" ref="K1759">_xlfn.XLOOKUP(1,((Metas_Diarias[[#This Row],[tipo_equipe_id]]=Metas[equipe])*(Metas_Diarias[[#This Row],[data]]&gt;Metas[data_inicio])*(Metas_Diarias[[#This Row],[data]]&lt;Metas[data_fim])),Metas[meta_mensal],0)</f>
        <v>115500</v>
      </c>
      <c r="L1759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60" spans="2:12" x14ac:dyDescent="0.3">
      <c r="B1760" s="34">
        <v>46316</v>
      </c>
      <c r="C1760" s="34" t="str">
        <f>TEXT(Metas_Diarias[[#This Row],[data]],"dddd")</f>
        <v>quarta-feira</v>
      </c>
      <c r="D1760" s="33">
        <v>2</v>
      </c>
      <c r="E1760" s="33">
        <v>2</v>
      </c>
      <c r="F1760" s="18"/>
      <c r="G1760" s="35">
        <f>WEEKDAY(Metas_Diarias[[#This Row],[data]])</f>
        <v>4</v>
      </c>
      <c r="H1760" s="35">
        <f>IF(Metas_Diarias[[#This Row],[dias_da_demana]]=1,"domingo",IF(Metas_Diarias[[#This Row],[dias_da_demana]]=7,0.5,1))</f>
        <v>1</v>
      </c>
      <c r="I1760" s="35">
        <f>_xlfn.XLOOKUP(Metas_Diarias[[#This Row],[data]],Feriados[Data],Feriados[Feriado],1)</f>
        <v>1</v>
      </c>
      <c r="J1760" s="33" cm="1">
        <f t="array" aca="1" ref="J1760" ca="1">SUMPRODUCT(IF((NOT(ISERROR(MATCH(ROW(INDIRECT(DATE(YEAR(B1760),MONTH(B1760),1)&amp;":"&amp;DATE(YEAR(B1760),MONTH(B1760)+1,0))),Feriados[Data],0))))=FALSE,
IF(WEEKDAY(ROW(INDIRECT(DATE(YEAR(B1760),MONTH(B1760),1)&amp;":"&amp;DATE(YEAR(B1760),MONTH(B1760)+1,0))),2)&lt;=5,1,IF(WEEKDAY(ROW(INDIRECT(DATE(YEAR(B1760),MONTH(B1760),1)&amp;":"&amp;DATE(YEAR(B1760),MONTH(B1760)+1,0))),2)=6,0.5,0)),0))</f>
        <v>23.5</v>
      </c>
      <c r="K1760" s="22" cm="1">
        <f t="array" ref="K1760">_xlfn.XLOOKUP(1,((Metas_Diarias[[#This Row],[tipo_equipe_id]]=Metas[equipe])*(Metas_Diarias[[#This Row],[data]]&gt;Metas[data_inicio])*(Metas_Diarias[[#This Row],[data]]&lt;Metas[data_fim])),Metas[meta_mensal],0)</f>
        <v>115500</v>
      </c>
      <c r="L1760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61" spans="2:12" x14ac:dyDescent="0.3">
      <c r="B1761" s="34">
        <v>46317</v>
      </c>
      <c r="C1761" s="34" t="str">
        <f>TEXT(Metas_Diarias[[#This Row],[data]],"dddd")</f>
        <v>quinta-feira</v>
      </c>
      <c r="D1761" s="33">
        <v>2</v>
      </c>
      <c r="E1761" s="33">
        <v>2</v>
      </c>
      <c r="F1761" s="18"/>
      <c r="G1761" s="35">
        <f>WEEKDAY(Metas_Diarias[[#This Row],[data]])</f>
        <v>5</v>
      </c>
      <c r="H1761" s="35">
        <f>IF(Metas_Diarias[[#This Row],[dias_da_demana]]=1,"domingo",IF(Metas_Diarias[[#This Row],[dias_da_demana]]=7,0.5,1))</f>
        <v>1</v>
      </c>
      <c r="I1761" s="35">
        <f>_xlfn.XLOOKUP(Metas_Diarias[[#This Row],[data]],Feriados[Data],Feriados[Feriado],1)</f>
        <v>1</v>
      </c>
      <c r="J1761" s="33" cm="1">
        <f t="array" aca="1" ref="J1761" ca="1">SUMPRODUCT(IF((NOT(ISERROR(MATCH(ROW(INDIRECT(DATE(YEAR(B1761),MONTH(B1761),1)&amp;":"&amp;DATE(YEAR(B1761),MONTH(B1761)+1,0))),Feriados[Data],0))))=FALSE,
IF(WEEKDAY(ROW(INDIRECT(DATE(YEAR(B1761),MONTH(B1761),1)&amp;":"&amp;DATE(YEAR(B1761),MONTH(B1761)+1,0))),2)&lt;=5,1,IF(WEEKDAY(ROW(INDIRECT(DATE(YEAR(B1761),MONTH(B1761),1)&amp;":"&amp;DATE(YEAR(B1761),MONTH(B1761)+1,0))),2)=6,0.5,0)),0))</f>
        <v>23.5</v>
      </c>
      <c r="K1761" s="22" cm="1">
        <f t="array" ref="K1761">_xlfn.XLOOKUP(1,((Metas_Diarias[[#This Row],[tipo_equipe_id]]=Metas[equipe])*(Metas_Diarias[[#This Row],[data]]&gt;Metas[data_inicio])*(Metas_Diarias[[#This Row],[data]]&lt;Metas[data_fim])),Metas[meta_mensal],0)</f>
        <v>115500</v>
      </c>
      <c r="L1761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62" spans="2:12" x14ac:dyDescent="0.3">
      <c r="B1762" s="34">
        <v>46318</v>
      </c>
      <c r="C1762" s="34" t="str">
        <f>TEXT(Metas_Diarias[[#This Row],[data]],"dddd")</f>
        <v>sexta-feira</v>
      </c>
      <c r="D1762" s="33">
        <v>2</v>
      </c>
      <c r="E1762" s="33">
        <v>2</v>
      </c>
      <c r="F1762" s="18"/>
      <c r="G1762" s="35">
        <f>WEEKDAY(Metas_Diarias[[#This Row],[data]])</f>
        <v>6</v>
      </c>
      <c r="H1762" s="35">
        <f>IF(Metas_Diarias[[#This Row],[dias_da_demana]]=1,"domingo",IF(Metas_Diarias[[#This Row],[dias_da_demana]]=7,0.5,1))</f>
        <v>1</v>
      </c>
      <c r="I1762" s="35">
        <f>_xlfn.XLOOKUP(Metas_Diarias[[#This Row],[data]],Feriados[Data],Feriados[Feriado],1)</f>
        <v>1</v>
      </c>
      <c r="J1762" s="33" cm="1">
        <f t="array" aca="1" ref="J1762" ca="1">SUMPRODUCT(IF((NOT(ISERROR(MATCH(ROW(INDIRECT(DATE(YEAR(B1762),MONTH(B1762),1)&amp;":"&amp;DATE(YEAR(B1762),MONTH(B1762)+1,0))),Feriados[Data],0))))=FALSE,
IF(WEEKDAY(ROW(INDIRECT(DATE(YEAR(B1762),MONTH(B1762),1)&amp;":"&amp;DATE(YEAR(B1762),MONTH(B1762)+1,0))),2)&lt;=5,1,IF(WEEKDAY(ROW(INDIRECT(DATE(YEAR(B1762),MONTH(B1762),1)&amp;":"&amp;DATE(YEAR(B1762),MONTH(B1762)+1,0))),2)=6,0.5,0)),0))</f>
        <v>23.5</v>
      </c>
      <c r="K1762" s="22" cm="1">
        <f t="array" ref="K1762">_xlfn.XLOOKUP(1,((Metas_Diarias[[#This Row],[tipo_equipe_id]]=Metas[equipe])*(Metas_Diarias[[#This Row],[data]]&gt;Metas[data_inicio])*(Metas_Diarias[[#This Row],[data]]&lt;Metas[data_fim])),Metas[meta_mensal],0)</f>
        <v>115500</v>
      </c>
      <c r="L1762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63" spans="2:12" x14ac:dyDescent="0.3">
      <c r="B1763" s="34">
        <v>46319</v>
      </c>
      <c r="C1763" s="34" t="str">
        <f>TEXT(Metas_Diarias[[#This Row],[data]],"dddd")</f>
        <v>sábado</v>
      </c>
      <c r="D1763" s="33">
        <v>2</v>
      </c>
      <c r="E1763" s="33">
        <v>2</v>
      </c>
      <c r="F1763" s="18"/>
      <c r="G1763" s="35">
        <f>WEEKDAY(Metas_Diarias[[#This Row],[data]])</f>
        <v>7</v>
      </c>
      <c r="H1763" s="35">
        <f>IF(Metas_Diarias[[#This Row],[dias_da_demana]]=1,"domingo",IF(Metas_Diarias[[#This Row],[dias_da_demana]]=7,0.5,1))</f>
        <v>0.5</v>
      </c>
      <c r="I1763" s="35">
        <f>_xlfn.XLOOKUP(Metas_Diarias[[#This Row],[data]],Feriados[Data],Feriados[Feriado],1)</f>
        <v>1</v>
      </c>
      <c r="J1763" s="33" cm="1">
        <f t="array" aca="1" ref="J1763" ca="1">SUMPRODUCT(IF((NOT(ISERROR(MATCH(ROW(INDIRECT(DATE(YEAR(B1763),MONTH(B1763),1)&amp;":"&amp;DATE(YEAR(B1763),MONTH(B1763)+1,0))),Feriados[Data],0))))=FALSE,
IF(WEEKDAY(ROW(INDIRECT(DATE(YEAR(B1763),MONTH(B1763),1)&amp;":"&amp;DATE(YEAR(B1763),MONTH(B1763)+1,0))),2)&lt;=5,1,IF(WEEKDAY(ROW(INDIRECT(DATE(YEAR(B1763),MONTH(B1763),1)&amp;":"&amp;DATE(YEAR(B1763),MONTH(B1763)+1,0))),2)=6,0.5,0)),0))</f>
        <v>23.5</v>
      </c>
      <c r="K1763" s="22" cm="1">
        <f t="array" ref="K1763">_xlfn.XLOOKUP(1,((Metas_Diarias[[#This Row],[tipo_equipe_id]]=Metas[equipe])*(Metas_Diarias[[#This Row],[data]]&gt;Metas[data_inicio])*(Metas_Diarias[[#This Row],[data]]&lt;Metas[data_fim])),Metas[meta_mensal],0)</f>
        <v>115500</v>
      </c>
      <c r="L1763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764" spans="2:12" x14ac:dyDescent="0.3">
      <c r="B1764" s="34">
        <v>46320</v>
      </c>
      <c r="C1764" s="34" t="str">
        <f>TEXT(Metas_Diarias[[#This Row],[data]],"dddd")</f>
        <v>domingo</v>
      </c>
      <c r="D1764" s="33">
        <v>2</v>
      </c>
      <c r="E1764" s="33">
        <v>2</v>
      </c>
      <c r="F1764" s="18"/>
      <c r="G1764" s="35">
        <f>WEEKDAY(Metas_Diarias[[#This Row],[data]])</f>
        <v>1</v>
      </c>
      <c r="H1764" s="35" t="str">
        <f>IF(Metas_Diarias[[#This Row],[dias_da_demana]]=1,"domingo",IF(Metas_Diarias[[#This Row],[dias_da_demana]]=7,0.5,1))</f>
        <v>domingo</v>
      </c>
      <c r="I1764" s="35">
        <f>_xlfn.XLOOKUP(Metas_Diarias[[#This Row],[data]],Feriados[Data],Feriados[Feriado],1)</f>
        <v>1</v>
      </c>
      <c r="J1764" s="33" cm="1">
        <f t="array" aca="1" ref="J1764" ca="1">SUMPRODUCT(IF((NOT(ISERROR(MATCH(ROW(INDIRECT(DATE(YEAR(B1764),MONTH(B1764),1)&amp;":"&amp;DATE(YEAR(B1764),MONTH(B1764)+1,0))),Feriados[Data],0))))=FALSE,
IF(WEEKDAY(ROW(INDIRECT(DATE(YEAR(B1764),MONTH(B1764),1)&amp;":"&amp;DATE(YEAR(B1764),MONTH(B1764)+1,0))),2)&lt;=5,1,IF(WEEKDAY(ROW(INDIRECT(DATE(YEAR(B1764),MONTH(B1764),1)&amp;":"&amp;DATE(YEAR(B1764),MONTH(B1764)+1,0))),2)=6,0.5,0)),0))</f>
        <v>23.5</v>
      </c>
      <c r="K1764" s="22" cm="1">
        <f t="array" ref="K1764">_xlfn.XLOOKUP(1,((Metas_Diarias[[#This Row],[tipo_equipe_id]]=Metas[equipe])*(Metas_Diarias[[#This Row],[data]]&gt;Metas[data_inicio])*(Metas_Diarias[[#This Row],[data]]&lt;Metas[data_fim])),Metas[meta_mensal],0)</f>
        <v>115500</v>
      </c>
      <c r="L176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65" spans="2:12" x14ac:dyDescent="0.3">
      <c r="B1765" s="34">
        <v>46321</v>
      </c>
      <c r="C1765" s="34" t="str">
        <f>TEXT(Metas_Diarias[[#This Row],[data]],"dddd")</f>
        <v>segunda-feira</v>
      </c>
      <c r="D1765" s="33">
        <v>2</v>
      </c>
      <c r="E1765" s="33">
        <v>2</v>
      </c>
      <c r="F1765" s="18"/>
      <c r="G1765" s="35">
        <f>WEEKDAY(Metas_Diarias[[#This Row],[data]])</f>
        <v>2</v>
      </c>
      <c r="H1765" s="35">
        <f>IF(Metas_Diarias[[#This Row],[dias_da_demana]]=1,"domingo",IF(Metas_Diarias[[#This Row],[dias_da_demana]]=7,0.5,1))</f>
        <v>1</v>
      </c>
      <c r="I1765" s="35">
        <f>_xlfn.XLOOKUP(Metas_Diarias[[#This Row],[data]],Feriados[Data],Feriados[Feriado],1)</f>
        <v>1</v>
      </c>
      <c r="J1765" s="33" cm="1">
        <f t="array" aca="1" ref="J1765" ca="1">SUMPRODUCT(IF((NOT(ISERROR(MATCH(ROW(INDIRECT(DATE(YEAR(B1765),MONTH(B1765),1)&amp;":"&amp;DATE(YEAR(B1765),MONTH(B1765)+1,0))),Feriados[Data],0))))=FALSE,
IF(WEEKDAY(ROW(INDIRECT(DATE(YEAR(B1765),MONTH(B1765),1)&amp;":"&amp;DATE(YEAR(B1765),MONTH(B1765)+1,0))),2)&lt;=5,1,IF(WEEKDAY(ROW(INDIRECT(DATE(YEAR(B1765),MONTH(B1765),1)&amp;":"&amp;DATE(YEAR(B1765),MONTH(B1765)+1,0))),2)=6,0.5,0)),0))</f>
        <v>23.5</v>
      </c>
      <c r="K1765" s="22" cm="1">
        <f t="array" ref="K1765">_xlfn.XLOOKUP(1,((Metas_Diarias[[#This Row],[tipo_equipe_id]]=Metas[equipe])*(Metas_Diarias[[#This Row],[data]]&gt;Metas[data_inicio])*(Metas_Diarias[[#This Row],[data]]&lt;Metas[data_fim])),Metas[meta_mensal],0)</f>
        <v>115500</v>
      </c>
      <c r="L1765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66" spans="2:12" x14ac:dyDescent="0.3">
      <c r="B1766" s="34">
        <v>46322</v>
      </c>
      <c r="C1766" s="34" t="str">
        <f>TEXT(Metas_Diarias[[#This Row],[data]],"dddd")</f>
        <v>terça-feira</v>
      </c>
      <c r="D1766" s="33">
        <v>2</v>
      </c>
      <c r="E1766" s="33">
        <v>2</v>
      </c>
      <c r="F1766" s="18"/>
      <c r="G1766" s="35">
        <f>WEEKDAY(Metas_Diarias[[#This Row],[data]])</f>
        <v>3</v>
      </c>
      <c r="H1766" s="35">
        <f>IF(Metas_Diarias[[#This Row],[dias_da_demana]]=1,"domingo",IF(Metas_Diarias[[#This Row],[dias_da_demana]]=7,0.5,1))</f>
        <v>1</v>
      </c>
      <c r="I1766" s="35">
        <f>_xlfn.XLOOKUP(Metas_Diarias[[#This Row],[data]],Feriados[Data],Feriados[Feriado],1)</f>
        <v>1</v>
      </c>
      <c r="J1766" s="33" cm="1">
        <f t="array" aca="1" ref="J1766" ca="1">SUMPRODUCT(IF((NOT(ISERROR(MATCH(ROW(INDIRECT(DATE(YEAR(B1766),MONTH(B1766),1)&amp;":"&amp;DATE(YEAR(B1766),MONTH(B1766)+1,0))),Feriados[Data],0))))=FALSE,
IF(WEEKDAY(ROW(INDIRECT(DATE(YEAR(B1766),MONTH(B1766),1)&amp;":"&amp;DATE(YEAR(B1766),MONTH(B1766)+1,0))),2)&lt;=5,1,IF(WEEKDAY(ROW(INDIRECT(DATE(YEAR(B1766),MONTH(B1766),1)&amp;":"&amp;DATE(YEAR(B1766),MONTH(B1766)+1,0))),2)=6,0.5,0)),0))</f>
        <v>23.5</v>
      </c>
      <c r="K1766" s="22" cm="1">
        <f t="array" ref="K1766">_xlfn.XLOOKUP(1,((Metas_Diarias[[#This Row],[tipo_equipe_id]]=Metas[equipe])*(Metas_Diarias[[#This Row],[data]]&gt;Metas[data_inicio])*(Metas_Diarias[[#This Row],[data]]&lt;Metas[data_fim])),Metas[meta_mensal],0)</f>
        <v>115500</v>
      </c>
      <c r="L1766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67" spans="2:12" x14ac:dyDescent="0.3">
      <c r="B1767" s="34">
        <v>46323</v>
      </c>
      <c r="C1767" s="34" t="str">
        <f>TEXT(Metas_Diarias[[#This Row],[data]],"dddd")</f>
        <v>quarta-feira</v>
      </c>
      <c r="D1767" s="33">
        <v>2</v>
      </c>
      <c r="E1767" s="33">
        <v>2</v>
      </c>
      <c r="F1767" s="18"/>
      <c r="G1767" s="35">
        <f>WEEKDAY(Metas_Diarias[[#This Row],[data]])</f>
        <v>4</v>
      </c>
      <c r="H1767" s="35">
        <f>IF(Metas_Diarias[[#This Row],[dias_da_demana]]=1,"domingo",IF(Metas_Diarias[[#This Row],[dias_da_demana]]=7,0.5,1))</f>
        <v>1</v>
      </c>
      <c r="I1767" s="35">
        <f>_xlfn.XLOOKUP(Metas_Diarias[[#This Row],[data]],Feriados[Data],Feriados[Feriado],1)</f>
        <v>1</v>
      </c>
      <c r="J1767" s="33" cm="1">
        <f t="array" aca="1" ref="J1767" ca="1">SUMPRODUCT(IF((NOT(ISERROR(MATCH(ROW(INDIRECT(DATE(YEAR(B1767),MONTH(B1767),1)&amp;":"&amp;DATE(YEAR(B1767),MONTH(B1767)+1,0))),Feriados[Data],0))))=FALSE,
IF(WEEKDAY(ROW(INDIRECT(DATE(YEAR(B1767),MONTH(B1767),1)&amp;":"&amp;DATE(YEAR(B1767),MONTH(B1767)+1,0))),2)&lt;=5,1,IF(WEEKDAY(ROW(INDIRECT(DATE(YEAR(B1767),MONTH(B1767),1)&amp;":"&amp;DATE(YEAR(B1767),MONTH(B1767)+1,0))),2)=6,0.5,0)),0))</f>
        <v>23.5</v>
      </c>
      <c r="K1767" s="22" cm="1">
        <f t="array" ref="K1767">_xlfn.XLOOKUP(1,((Metas_Diarias[[#This Row],[tipo_equipe_id]]=Metas[equipe])*(Metas_Diarias[[#This Row],[data]]&gt;Metas[data_inicio])*(Metas_Diarias[[#This Row],[data]]&lt;Metas[data_fim])),Metas[meta_mensal],0)</f>
        <v>115500</v>
      </c>
      <c r="L1767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68" spans="2:12" x14ac:dyDescent="0.3">
      <c r="B1768" s="34">
        <v>46324</v>
      </c>
      <c r="C1768" s="34" t="str">
        <f>TEXT(Metas_Diarias[[#This Row],[data]],"dddd")</f>
        <v>quinta-feira</v>
      </c>
      <c r="D1768" s="33">
        <v>2</v>
      </c>
      <c r="E1768" s="33">
        <v>2</v>
      </c>
      <c r="F1768" s="18"/>
      <c r="G1768" s="35">
        <f>WEEKDAY(Metas_Diarias[[#This Row],[data]])</f>
        <v>5</v>
      </c>
      <c r="H1768" s="35">
        <f>IF(Metas_Diarias[[#This Row],[dias_da_demana]]=1,"domingo",IF(Metas_Diarias[[#This Row],[dias_da_demana]]=7,0.5,1))</f>
        <v>1</v>
      </c>
      <c r="I1768" s="35">
        <f>_xlfn.XLOOKUP(Metas_Diarias[[#This Row],[data]],Feriados[Data],Feriados[Feriado],1)</f>
        <v>1</v>
      </c>
      <c r="J1768" s="33" cm="1">
        <f t="array" aca="1" ref="J1768" ca="1">SUMPRODUCT(IF((NOT(ISERROR(MATCH(ROW(INDIRECT(DATE(YEAR(B1768),MONTH(B1768),1)&amp;":"&amp;DATE(YEAR(B1768),MONTH(B1768)+1,0))),Feriados[Data],0))))=FALSE,
IF(WEEKDAY(ROW(INDIRECT(DATE(YEAR(B1768),MONTH(B1768),1)&amp;":"&amp;DATE(YEAR(B1768),MONTH(B1768)+1,0))),2)&lt;=5,1,IF(WEEKDAY(ROW(INDIRECT(DATE(YEAR(B1768),MONTH(B1768),1)&amp;":"&amp;DATE(YEAR(B1768),MONTH(B1768)+1,0))),2)=6,0.5,0)),0))</f>
        <v>23.5</v>
      </c>
      <c r="K1768" s="22" cm="1">
        <f t="array" ref="K1768">_xlfn.XLOOKUP(1,((Metas_Diarias[[#This Row],[tipo_equipe_id]]=Metas[equipe])*(Metas_Diarias[[#This Row],[data]]&gt;Metas[data_inicio])*(Metas_Diarias[[#This Row],[data]]&lt;Metas[data_fim])),Metas[meta_mensal],0)</f>
        <v>115500</v>
      </c>
      <c r="L1768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69" spans="2:12" x14ac:dyDescent="0.3">
      <c r="B1769" s="34">
        <v>46325</v>
      </c>
      <c r="C1769" s="34" t="str">
        <f>TEXT(Metas_Diarias[[#This Row],[data]],"dddd")</f>
        <v>sexta-feira</v>
      </c>
      <c r="D1769" s="33">
        <v>2</v>
      </c>
      <c r="E1769" s="33">
        <v>2</v>
      </c>
      <c r="F1769" s="18"/>
      <c r="G1769" s="35">
        <f>WEEKDAY(Metas_Diarias[[#This Row],[data]])</f>
        <v>6</v>
      </c>
      <c r="H1769" s="35">
        <f>IF(Metas_Diarias[[#This Row],[dias_da_demana]]=1,"domingo",IF(Metas_Diarias[[#This Row],[dias_da_demana]]=7,0.5,1))</f>
        <v>1</v>
      </c>
      <c r="I1769" s="35">
        <f>_xlfn.XLOOKUP(Metas_Diarias[[#This Row],[data]],Feriados[Data],Feriados[Feriado],1)</f>
        <v>1</v>
      </c>
      <c r="J1769" s="33" cm="1">
        <f t="array" aca="1" ref="J1769" ca="1">SUMPRODUCT(IF((NOT(ISERROR(MATCH(ROW(INDIRECT(DATE(YEAR(B1769),MONTH(B1769),1)&amp;":"&amp;DATE(YEAR(B1769),MONTH(B1769)+1,0))),Feriados[Data],0))))=FALSE,
IF(WEEKDAY(ROW(INDIRECT(DATE(YEAR(B1769),MONTH(B1769),1)&amp;":"&amp;DATE(YEAR(B1769),MONTH(B1769)+1,0))),2)&lt;=5,1,IF(WEEKDAY(ROW(INDIRECT(DATE(YEAR(B1769),MONTH(B1769),1)&amp;":"&amp;DATE(YEAR(B1769),MONTH(B1769)+1,0))),2)=6,0.5,0)),0))</f>
        <v>23.5</v>
      </c>
      <c r="K1769" s="22" cm="1">
        <f t="array" ref="K1769">_xlfn.XLOOKUP(1,((Metas_Diarias[[#This Row],[tipo_equipe_id]]=Metas[equipe])*(Metas_Diarias[[#This Row],[data]]&gt;Metas[data_inicio])*(Metas_Diarias[[#This Row],[data]]&lt;Metas[data_fim])),Metas[meta_mensal],0)</f>
        <v>115500</v>
      </c>
      <c r="L1769" s="24">
        <f ca="1">Metas_Diarias[[#This Row],[meta_mensal]]*IF(Metas_Diarias[[#This Row],[semana]]="domingo",0,Metas_Diarias[[#This Row],[semana]])*IF(Metas_Diarias[[#This Row],[feriado]]&lt;&gt;1,0,1)/Metas_Diarias[[#This Row],[dias_úteis_Mês]]</f>
        <v>4914.8936170212764</v>
      </c>
    </row>
    <row r="1770" spans="2:12" x14ac:dyDescent="0.3">
      <c r="B1770" s="34">
        <v>46326</v>
      </c>
      <c r="C1770" s="34" t="str">
        <f>TEXT(Metas_Diarias[[#This Row],[data]],"dddd")</f>
        <v>sábado</v>
      </c>
      <c r="D1770" s="33">
        <v>2</v>
      </c>
      <c r="E1770" s="33">
        <v>2</v>
      </c>
      <c r="F1770" s="18"/>
      <c r="G1770" s="35">
        <f>WEEKDAY(Metas_Diarias[[#This Row],[data]])</f>
        <v>7</v>
      </c>
      <c r="H1770" s="35">
        <f>IF(Metas_Diarias[[#This Row],[dias_da_demana]]=1,"domingo",IF(Metas_Diarias[[#This Row],[dias_da_demana]]=7,0.5,1))</f>
        <v>0.5</v>
      </c>
      <c r="I1770" s="35">
        <f>_xlfn.XLOOKUP(Metas_Diarias[[#This Row],[data]],Feriados[Data],Feriados[Feriado],1)</f>
        <v>1</v>
      </c>
      <c r="J1770" s="33" cm="1">
        <f t="array" aca="1" ref="J1770" ca="1">SUMPRODUCT(IF((NOT(ISERROR(MATCH(ROW(INDIRECT(DATE(YEAR(B1770),MONTH(B1770),1)&amp;":"&amp;DATE(YEAR(B1770),MONTH(B1770)+1,0))),Feriados[Data],0))))=FALSE,
IF(WEEKDAY(ROW(INDIRECT(DATE(YEAR(B1770),MONTH(B1770),1)&amp;":"&amp;DATE(YEAR(B1770),MONTH(B1770)+1,0))),2)&lt;=5,1,IF(WEEKDAY(ROW(INDIRECT(DATE(YEAR(B1770),MONTH(B1770),1)&amp;":"&amp;DATE(YEAR(B1770),MONTH(B1770)+1,0))),2)=6,0.5,0)),0))</f>
        <v>23.5</v>
      </c>
      <c r="K1770" s="22" cm="1">
        <f t="array" ref="K1770">_xlfn.XLOOKUP(1,((Metas_Diarias[[#This Row],[tipo_equipe_id]]=Metas[equipe])*(Metas_Diarias[[#This Row],[data]]&gt;Metas[data_inicio])*(Metas_Diarias[[#This Row],[data]]&lt;Metas[data_fim])),Metas[meta_mensal],0)</f>
        <v>115500</v>
      </c>
      <c r="L1770" s="24">
        <f ca="1">Metas_Diarias[[#This Row],[meta_mensal]]*IF(Metas_Diarias[[#This Row],[semana]]="domingo",0,Metas_Diarias[[#This Row],[semana]])*IF(Metas_Diarias[[#This Row],[feriado]]&lt;&gt;1,0,1)/Metas_Diarias[[#This Row],[dias_úteis_Mês]]</f>
        <v>2457.4468085106382</v>
      </c>
    </row>
    <row r="1771" spans="2:12" x14ac:dyDescent="0.3">
      <c r="B1771" s="34">
        <v>46327</v>
      </c>
      <c r="C1771" s="34" t="str">
        <f>TEXT(Metas_Diarias[[#This Row],[data]],"dddd")</f>
        <v>domingo</v>
      </c>
      <c r="D1771" s="33">
        <v>2</v>
      </c>
      <c r="E1771" s="33">
        <v>2</v>
      </c>
      <c r="F1771" s="18"/>
      <c r="G1771" s="35">
        <f>WEEKDAY(Metas_Diarias[[#This Row],[data]])</f>
        <v>1</v>
      </c>
      <c r="H1771" s="35" t="str">
        <f>IF(Metas_Diarias[[#This Row],[dias_da_demana]]=1,"domingo",IF(Metas_Diarias[[#This Row],[dias_da_demana]]=7,0.5,1))</f>
        <v>domingo</v>
      </c>
      <c r="I1771" s="35">
        <f>_xlfn.XLOOKUP(Metas_Diarias[[#This Row],[data]],Feriados[Data],Feriados[Feriado],1)</f>
        <v>1</v>
      </c>
      <c r="J1771" s="33" cm="1">
        <f t="array" aca="1" ref="J1771" ca="1">SUMPRODUCT(IF((NOT(ISERROR(MATCH(ROW(INDIRECT(DATE(YEAR(B1771),MONTH(B1771),1)&amp;":"&amp;DATE(YEAR(B1771),MONTH(B1771)+1,0))),Feriados[Data],0))))=FALSE,
IF(WEEKDAY(ROW(INDIRECT(DATE(YEAR(B1771),MONTH(B1771),1)&amp;":"&amp;DATE(YEAR(B1771),MONTH(B1771)+1,0))),2)&lt;=5,1,IF(WEEKDAY(ROW(INDIRECT(DATE(YEAR(B1771),MONTH(B1771),1)&amp;":"&amp;DATE(YEAR(B1771),MONTH(B1771)+1,0))),2)=6,0.5,0)),0))</f>
        <v>22</v>
      </c>
      <c r="K1771" s="22" cm="1">
        <f t="array" ref="K1771">_xlfn.XLOOKUP(1,((Metas_Diarias[[#This Row],[tipo_equipe_id]]=Metas[equipe])*(Metas_Diarias[[#This Row],[data]]&gt;Metas[data_inicio])*(Metas_Diarias[[#This Row],[data]]&lt;Metas[data_fim])),Metas[meta_mensal],0)</f>
        <v>115500</v>
      </c>
      <c r="L17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72" spans="2:12" x14ac:dyDescent="0.3">
      <c r="B1772" s="34">
        <v>46328</v>
      </c>
      <c r="C1772" s="34" t="str">
        <f>TEXT(Metas_Diarias[[#This Row],[data]],"dddd")</f>
        <v>segunda-feira</v>
      </c>
      <c r="D1772" s="33">
        <v>2</v>
      </c>
      <c r="E1772" s="33">
        <v>2</v>
      </c>
      <c r="F1772" s="18"/>
      <c r="G1772" s="35">
        <f>WEEKDAY(Metas_Diarias[[#This Row],[data]])</f>
        <v>2</v>
      </c>
      <c r="H1772" s="35">
        <f>IF(Metas_Diarias[[#This Row],[dias_da_demana]]=1,"domingo",IF(Metas_Diarias[[#This Row],[dias_da_demana]]=7,0.5,1))</f>
        <v>1</v>
      </c>
      <c r="I1772" s="35" t="str">
        <f>_xlfn.XLOOKUP(Metas_Diarias[[#This Row],[data]],Feriados[Data],Feriados[Feriado],1)</f>
        <v>Finados</v>
      </c>
      <c r="J1772" s="33" cm="1">
        <f t="array" aca="1" ref="J1772" ca="1">SUMPRODUCT(IF((NOT(ISERROR(MATCH(ROW(INDIRECT(DATE(YEAR(B1772),MONTH(B1772),1)&amp;":"&amp;DATE(YEAR(B1772),MONTH(B1772)+1,0))),Feriados[Data],0))))=FALSE,
IF(WEEKDAY(ROW(INDIRECT(DATE(YEAR(B1772),MONTH(B1772),1)&amp;":"&amp;DATE(YEAR(B1772),MONTH(B1772)+1,0))),2)&lt;=5,1,IF(WEEKDAY(ROW(INDIRECT(DATE(YEAR(B1772),MONTH(B1772),1)&amp;":"&amp;DATE(YEAR(B1772),MONTH(B1772)+1,0))),2)=6,0.5,0)),0))</f>
        <v>22</v>
      </c>
      <c r="K1772" s="22" cm="1">
        <f t="array" ref="K1772">_xlfn.XLOOKUP(1,((Metas_Diarias[[#This Row],[tipo_equipe_id]]=Metas[equipe])*(Metas_Diarias[[#This Row],[data]]&gt;Metas[data_inicio])*(Metas_Diarias[[#This Row],[data]]&lt;Metas[data_fim])),Metas[meta_mensal],0)</f>
        <v>115500</v>
      </c>
      <c r="L177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73" spans="2:12" x14ac:dyDescent="0.3">
      <c r="B1773" s="34">
        <v>46329</v>
      </c>
      <c r="C1773" s="34" t="str">
        <f>TEXT(Metas_Diarias[[#This Row],[data]],"dddd")</f>
        <v>terça-feira</v>
      </c>
      <c r="D1773" s="33">
        <v>2</v>
      </c>
      <c r="E1773" s="33">
        <v>2</v>
      </c>
      <c r="F1773" s="18"/>
      <c r="G1773" s="35">
        <f>WEEKDAY(Metas_Diarias[[#This Row],[data]])</f>
        <v>3</v>
      </c>
      <c r="H1773" s="35">
        <f>IF(Metas_Diarias[[#This Row],[dias_da_demana]]=1,"domingo",IF(Metas_Diarias[[#This Row],[dias_da_demana]]=7,0.5,1))</f>
        <v>1</v>
      </c>
      <c r="I1773" s="35">
        <f>_xlfn.XLOOKUP(Metas_Diarias[[#This Row],[data]],Feriados[Data],Feriados[Feriado],1)</f>
        <v>1</v>
      </c>
      <c r="J1773" s="33" cm="1">
        <f t="array" aca="1" ref="J1773" ca="1">SUMPRODUCT(IF((NOT(ISERROR(MATCH(ROW(INDIRECT(DATE(YEAR(B1773),MONTH(B1773),1)&amp;":"&amp;DATE(YEAR(B1773),MONTH(B1773)+1,0))),Feriados[Data],0))))=FALSE,
IF(WEEKDAY(ROW(INDIRECT(DATE(YEAR(B1773),MONTH(B1773),1)&amp;":"&amp;DATE(YEAR(B1773),MONTH(B1773)+1,0))),2)&lt;=5,1,IF(WEEKDAY(ROW(INDIRECT(DATE(YEAR(B1773),MONTH(B1773),1)&amp;":"&amp;DATE(YEAR(B1773),MONTH(B1773)+1,0))),2)=6,0.5,0)),0))</f>
        <v>22</v>
      </c>
      <c r="K1773" s="22" cm="1">
        <f t="array" ref="K1773">_xlfn.XLOOKUP(1,((Metas_Diarias[[#This Row],[tipo_equipe_id]]=Metas[equipe])*(Metas_Diarias[[#This Row],[data]]&gt;Metas[data_inicio])*(Metas_Diarias[[#This Row],[data]]&lt;Metas[data_fim])),Metas[meta_mensal],0)</f>
        <v>115500</v>
      </c>
      <c r="L1773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74" spans="2:12" x14ac:dyDescent="0.3">
      <c r="B1774" s="34">
        <v>46330</v>
      </c>
      <c r="C1774" s="34" t="str">
        <f>TEXT(Metas_Diarias[[#This Row],[data]],"dddd")</f>
        <v>quarta-feira</v>
      </c>
      <c r="D1774" s="33">
        <v>2</v>
      </c>
      <c r="E1774" s="33">
        <v>2</v>
      </c>
      <c r="F1774" s="18"/>
      <c r="G1774" s="35">
        <f>WEEKDAY(Metas_Diarias[[#This Row],[data]])</f>
        <v>4</v>
      </c>
      <c r="H1774" s="35">
        <f>IF(Metas_Diarias[[#This Row],[dias_da_demana]]=1,"domingo",IF(Metas_Diarias[[#This Row],[dias_da_demana]]=7,0.5,1))</f>
        <v>1</v>
      </c>
      <c r="I1774" s="35">
        <f>_xlfn.XLOOKUP(Metas_Diarias[[#This Row],[data]],Feriados[Data],Feriados[Feriado],1)</f>
        <v>1</v>
      </c>
      <c r="J1774" s="33" cm="1">
        <f t="array" aca="1" ref="J1774" ca="1">SUMPRODUCT(IF((NOT(ISERROR(MATCH(ROW(INDIRECT(DATE(YEAR(B1774),MONTH(B1774),1)&amp;":"&amp;DATE(YEAR(B1774),MONTH(B1774)+1,0))),Feriados[Data],0))))=FALSE,
IF(WEEKDAY(ROW(INDIRECT(DATE(YEAR(B1774),MONTH(B1774),1)&amp;":"&amp;DATE(YEAR(B1774),MONTH(B1774)+1,0))),2)&lt;=5,1,IF(WEEKDAY(ROW(INDIRECT(DATE(YEAR(B1774),MONTH(B1774),1)&amp;":"&amp;DATE(YEAR(B1774),MONTH(B1774)+1,0))),2)=6,0.5,0)),0))</f>
        <v>22</v>
      </c>
      <c r="K1774" s="22" cm="1">
        <f t="array" ref="K1774">_xlfn.XLOOKUP(1,((Metas_Diarias[[#This Row],[tipo_equipe_id]]=Metas[equipe])*(Metas_Diarias[[#This Row],[data]]&gt;Metas[data_inicio])*(Metas_Diarias[[#This Row],[data]]&lt;Metas[data_fim])),Metas[meta_mensal],0)</f>
        <v>115500</v>
      </c>
      <c r="L1774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75" spans="2:12" x14ac:dyDescent="0.3">
      <c r="B1775" s="34">
        <v>46331</v>
      </c>
      <c r="C1775" s="34" t="str">
        <f>TEXT(Metas_Diarias[[#This Row],[data]],"dddd")</f>
        <v>quinta-feira</v>
      </c>
      <c r="D1775" s="33">
        <v>2</v>
      </c>
      <c r="E1775" s="33">
        <v>2</v>
      </c>
      <c r="F1775" s="18"/>
      <c r="G1775" s="35">
        <f>WEEKDAY(Metas_Diarias[[#This Row],[data]])</f>
        <v>5</v>
      </c>
      <c r="H1775" s="35">
        <f>IF(Metas_Diarias[[#This Row],[dias_da_demana]]=1,"domingo",IF(Metas_Diarias[[#This Row],[dias_da_demana]]=7,0.5,1))</f>
        <v>1</v>
      </c>
      <c r="I1775" s="35">
        <f>_xlfn.XLOOKUP(Metas_Diarias[[#This Row],[data]],Feriados[Data],Feriados[Feriado],1)</f>
        <v>1</v>
      </c>
      <c r="J1775" s="33" cm="1">
        <f t="array" aca="1" ref="J1775" ca="1">SUMPRODUCT(IF((NOT(ISERROR(MATCH(ROW(INDIRECT(DATE(YEAR(B1775),MONTH(B1775),1)&amp;":"&amp;DATE(YEAR(B1775),MONTH(B1775)+1,0))),Feriados[Data],0))))=FALSE,
IF(WEEKDAY(ROW(INDIRECT(DATE(YEAR(B1775),MONTH(B1775),1)&amp;":"&amp;DATE(YEAR(B1775),MONTH(B1775)+1,0))),2)&lt;=5,1,IF(WEEKDAY(ROW(INDIRECT(DATE(YEAR(B1775),MONTH(B1775),1)&amp;":"&amp;DATE(YEAR(B1775),MONTH(B1775)+1,0))),2)=6,0.5,0)),0))</f>
        <v>22</v>
      </c>
      <c r="K1775" s="22" cm="1">
        <f t="array" ref="K1775">_xlfn.XLOOKUP(1,((Metas_Diarias[[#This Row],[tipo_equipe_id]]=Metas[equipe])*(Metas_Diarias[[#This Row],[data]]&gt;Metas[data_inicio])*(Metas_Diarias[[#This Row],[data]]&lt;Metas[data_fim])),Metas[meta_mensal],0)</f>
        <v>115500</v>
      </c>
      <c r="L1775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76" spans="2:12" x14ac:dyDescent="0.3">
      <c r="B1776" s="34">
        <v>46332</v>
      </c>
      <c r="C1776" s="34" t="str">
        <f>TEXT(Metas_Diarias[[#This Row],[data]],"dddd")</f>
        <v>sexta-feira</v>
      </c>
      <c r="D1776" s="33">
        <v>2</v>
      </c>
      <c r="E1776" s="33">
        <v>2</v>
      </c>
      <c r="F1776" s="18"/>
      <c r="G1776" s="35">
        <f>WEEKDAY(Metas_Diarias[[#This Row],[data]])</f>
        <v>6</v>
      </c>
      <c r="H1776" s="35">
        <f>IF(Metas_Diarias[[#This Row],[dias_da_demana]]=1,"domingo",IF(Metas_Diarias[[#This Row],[dias_da_demana]]=7,0.5,1))</f>
        <v>1</v>
      </c>
      <c r="I1776" s="35">
        <f>_xlfn.XLOOKUP(Metas_Diarias[[#This Row],[data]],Feriados[Data],Feriados[Feriado],1)</f>
        <v>1</v>
      </c>
      <c r="J1776" s="33" cm="1">
        <f t="array" aca="1" ref="J1776" ca="1">SUMPRODUCT(IF((NOT(ISERROR(MATCH(ROW(INDIRECT(DATE(YEAR(B1776),MONTH(B1776),1)&amp;":"&amp;DATE(YEAR(B1776),MONTH(B1776)+1,0))),Feriados[Data],0))))=FALSE,
IF(WEEKDAY(ROW(INDIRECT(DATE(YEAR(B1776),MONTH(B1776),1)&amp;":"&amp;DATE(YEAR(B1776),MONTH(B1776)+1,0))),2)&lt;=5,1,IF(WEEKDAY(ROW(INDIRECT(DATE(YEAR(B1776),MONTH(B1776),1)&amp;":"&amp;DATE(YEAR(B1776),MONTH(B1776)+1,0))),2)=6,0.5,0)),0))</f>
        <v>22</v>
      </c>
      <c r="K1776" s="22" cm="1">
        <f t="array" ref="K1776">_xlfn.XLOOKUP(1,((Metas_Diarias[[#This Row],[tipo_equipe_id]]=Metas[equipe])*(Metas_Diarias[[#This Row],[data]]&gt;Metas[data_inicio])*(Metas_Diarias[[#This Row],[data]]&lt;Metas[data_fim])),Metas[meta_mensal],0)</f>
        <v>115500</v>
      </c>
      <c r="L1776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77" spans="2:12" x14ac:dyDescent="0.3">
      <c r="B1777" s="34">
        <v>46333</v>
      </c>
      <c r="C1777" s="34" t="str">
        <f>TEXT(Metas_Diarias[[#This Row],[data]],"dddd")</f>
        <v>sábado</v>
      </c>
      <c r="D1777" s="33">
        <v>2</v>
      </c>
      <c r="E1777" s="33">
        <v>2</v>
      </c>
      <c r="F1777" s="18"/>
      <c r="G1777" s="35">
        <f>WEEKDAY(Metas_Diarias[[#This Row],[data]])</f>
        <v>7</v>
      </c>
      <c r="H1777" s="35">
        <f>IF(Metas_Diarias[[#This Row],[dias_da_demana]]=1,"domingo",IF(Metas_Diarias[[#This Row],[dias_da_demana]]=7,0.5,1))</f>
        <v>0.5</v>
      </c>
      <c r="I1777" s="35">
        <f>_xlfn.XLOOKUP(Metas_Diarias[[#This Row],[data]],Feriados[Data],Feriados[Feriado],1)</f>
        <v>1</v>
      </c>
      <c r="J1777" s="33" cm="1">
        <f t="array" aca="1" ref="J1777" ca="1">SUMPRODUCT(IF((NOT(ISERROR(MATCH(ROW(INDIRECT(DATE(YEAR(B1777),MONTH(B1777),1)&amp;":"&amp;DATE(YEAR(B1777),MONTH(B1777)+1,0))),Feriados[Data],0))))=FALSE,
IF(WEEKDAY(ROW(INDIRECT(DATE(YEAR(B1777),MONTH(B1777),1)&amp;":"&amp;DATE(YEAR(B1777),MONTH(B1777)+1,0))),2)&lt;=5,1,IF(WEEKDAY(ROW(INDIRECT(DATE(YEAR(B1777),MONTH(B1777),1)&amp;":"&amp;DATE(YEAR(B1777),MONTH(B1777)+1,0))),2)=6,0.5,0)),0))</f>
        <v>22</v>
      </c>
      <c r="K1777" s="22" cm="1">
        <f t="array" ref="K1777">_xlfn.XLOOKUP(1,((Metas_Diarias[[#This Row],[tipo_equipe_id]]=Metas[equipe])*(Metas_Diarias[[#This Row],[data]]&gt;Metas[data_inicio])*(Metas_Diarias[[#This Row],[data]]&lt;Metas[data_fim])),Metas[meta_mensal],0)</f>
        <v>115500</v>
      </c>
      <c r="L1777" s="24">
        <f ca="1">Metas_Diarias[[#This Row],[meta_mensal]]*IF(Metas_Diarias[[#This Row],[semana]]="domingo",0,Metas_Diarias[[#This Row],[semana]])*IF(Metas_Diarias[[#This Row],[feriado]]&lt;&gt;1,0,1)/Metas_Diarias[[#This Row],[dias_úteis_Mês]]</f>
        <v>2625</v>
      </c>
    </row>
    <row r="1778" spans="2:12" x14ac:dyDescent="0.3">
      <c r="B1778" s="34">
        <v>46334</v>
      </c>
      <c r="C1778" s="34" t="str">
        <f>TEXT(Metas_Diarias[[#This Row],[data]],"dddd")</f>
        <v>domingo</v>
      </c>
      <c r="D1778" s="33">
        <v>2</v>
      </c>
      <c r="E1778" s="33">
        <v>2</v>
      </c>
      <c r="F1778" s="18"/>
      <c r="G1778" s="35">
        <f>WEEKDAY(Metas_Diarias[[#This Row],[data]])</f>
        <v>1</v>
      </c>
      <c r="H1778" s="35" t="str">
        <f>IF(Metas_Diarias[[#This Row],[dias_da_demana]]=1,"domingo",IF(Metas_Diarias[[#This Row],[dias_da_demana]]=7,0.5,1))</f>
        <v>domingo</v>
      </c>
      <c r="I1778" s="35">
        <f>_xlfn.XLOOKUP(Metas_Diarias[[#This Row],[data]],Feriados[Data],Feriados[Feriado],1)</f>
        <v>1</v>
      </c>
      <c r="J1778" s="33" cm="1">
        <f t="array" aca="1" ref="J1778" ca="1">SUMPRODUCT(IF((NOT(ISERROR(MATCH(ROW(INDIRECT(DATE(YEAR(B1778),MONTH(B1778),1)&amp;":"&amp;DATE(YEAR(B1778),MONTH(B1778)+1,0))),Feriados[Data],0))))=FALSE,
IF(WEEKDAY(ROW(INDIRECT(DATE(YEAR(B1778),MONTH(B1778),1)&amp;":"&amp;DATE(YEAR(B1778),MONTH(B1778)+1,0))),2)&lt;=5,1,IF(WEEKDAY(ROW(INDIRECT(DATE(YEAR(B1778),MONTH(B1778),1)&amp;":"&amp;DATE(YEAR(B1778),MONTH(B1778)+1,0))),2)=6,0.5,0)),0))</f>
        <v>22</v>
      </c>
      <c r="K1778" s="22" cm="1">
        <f t="array" ref="K1778">_xlfn.XLOOKUP(1,((Metas_Diarias[[#This Row],[tipo_equipe_id]]=Metas[equipe])*(Metas_Diarias[[#This Row],[data]]&gt;Metas[data_inicio])*(Metas_Diarias[[#This Row],[data]]&lt;Metas[data_fim])),Metas[meta_mensal],0)</f>
        <v>115500</v>
      </c>
      <c r="L17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79" spans="2:12" x14ac:dyDescent="0.3">
      <c r="B1779" s="34">
        <v>46335</v>
      </c>
      <c r="C1779" s="34" t="str">
        <f>TEXT(Metas_Diarias[[#This Row],[data]],"dddd")</f>
        <v>segunda-feira</v>
      </c>
      <c r="D1779" s="33">
        <v>2</v>
      </c>
      <c r="E1779" s="33">
        <v>2</v>
      </c>
      <c r="F1779" s="18"/>
      <c r="G1779" s="35">
        <f>WEEKDAY(Metas_Diarias[[#This Row],[data]])</f>
        <v>2</v>
      </c>
      <c r="H1779" s="35">
        <f>IF(Metas_Diarias[[#This Row],[dias_da_demana]]=1,"domingo",IF(Metas_Diarias[[#This Row],[dias_da_demana]]=7,0.5,1))</f>
        <v>1</v>
      </c>
      <c r="I1779" s="35">
        <f>_xlfn.XLOOKUP(Metas_Diarias[[#This Row],[data]],Feriados[Data],Feriados[Feriado],1)</f>
        <v>1</v>
      </c>
      <c r="J1779" s="33" cm="1">
        <f t="array" aca="1" ref="J1779" ca="1">SUMPRODUCT(IF((NOT(ISERROR(MATCH(ROW(INDIRECT(DATE(YEAR(B1779),MONTH(B1779),1)&amp;":"&amp;DATE(YEAR(B1779),MONTH(B1779)+1,0))),Feriados[Data],0))))=FALSE,
IF(WEEKDAY(ROW(INDIRECT(DATE(YEAR(B1779),MONTH(B1779),1)&amp;":"&amp;DATE(YEAR(B1779),MONTH(B1779)+1,0))),2)&lt;=5,1,IF(WEEKDAY(ROW(INDIRECT(DATE(YEAR(B1779),MONTH(B1779),1)&amp;":"&amp;DATE(YEAR(B1779),MONTH(B1779)+1,0))),2)=6,0.5,0)),0))</f>
        <v>22</v>
      </c>
      <c r="K1779" s="22" cm="1">
        <f t="array" ref="K1779">_xlfn.XLOOKUP(1,((Metas_Diarias[[#This Row],[tipo_equipe_id]]=Metas[equipe])*(Metas_Diarias[[#This Row],[data]]&gt;Metas[data_inicio])*(Metas_Diarias[[#This Row],[data]]&lt;Metas[data_fim])),Metas[meta_mensal],0)</f>
        <v>115500</v>
      </c>
      <c r="L1779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80" spans="2:12" x14ac:dyDescent="0.3">
      <c r="B1780" s="34">
        <v>46336</v>
      </c>
      <c r="C1780" s="34" t="str">
        <f>TEXT(Metas_Diarias[[#This Row],[data]],"dddd")</f>
        <v>terça-feira</v>
      </c>
      <c r="D1780" s="33">
        <v>2</v>
      </c>
      <c r="E1780" s="33">
        <v>2</v>
      </c>
      <c r="F1780" s="18"/>
      <c r="G1780" s="35">
        <f>WEEKDAY(Metas_Diarias[[#This Row],[data]])</f>
        <v>3</v>
      </c>
      <c r="H1780" s="35">
        <f>IF(Metas_Diarias[[#This Row],[dias_da_demana]]=1,"domingo",IF(Metas_Diarias[[#This Row],[dias_da_demana]]=7,0.5,1))</f>
        <v>1</v>
      </c>
      <c r="I1780" s="35">
        <f>_xlfn.XLOOKUP(Metas_Diarias[[#This Row],[data]],Feriados[Data],Feriados[Feriado],1)</f>
        <v>1</v>
      </c>
      <c r="J1780" s="33" cm="1">
        <f t="array" aca="1" ref="J1780" ca="1">SUMPRODUCT(IF((NOT(ISERROR(MATCH(ROW(INDIRECT(DATE(YEAR(B1780),MONTH(B1780),1)&amp;":"&amp;DATE(YEAR(B1780),MONTH(B1780)+1,0))),Feriados[Data],0))))=FALSE,
IF(WEEKDAY(ROW(INDIRECT(DATE(YEAR(B1780),MONTH(B1780),1)&amp;":"&amp;DATE(YEAR(B1780),MONTH(B1780)+1,0))),2)&lt;=5,1,IF(WEEKDAY(ROW(INDIRECT(DATE(YEAR(B1780),MONTH(B1780),1)&amp;":"&amp;DATE(YEAR(B1780),MONTH(B1780)+1,0))),2)=6,0.5,0)),0))</f>
        <v>22</v>
      </c>
      <c r="K1780" s="22" cm="1">
        <f t="array" ref="K1780">_xlfn.XLOOKUP(1,((Metas_Diarias[[#This Row],[tipo_equipe_id]]=Metas[equipe])*(Metas_Diarias[[#This Row],[data]]&gt;Metas[data_inicio])*(Metas_Diarias[[#This Row],[data]]&lt;Metas[data_fim])),Metas[meta_mensal],0)</f>
        <v>115500</v>
      </c>
      <c r="L1780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81" spans="2:12" x14ac:dyDescent="0.3">
      <c r="B1781" s="34">
        <v>46337</v>
      </c>
      <c r="C1781" s="34" t="str">
        <f>TEXT(Metas_Diarias[[#This Row],[data]],"dddd")</f>
        <v>quarta-feira</v>
      </c>
      <c r="D1781" s="33">
        <v>2</v>
      </c>
      <c r="E1781" s="33">
        <v>2</v>
      </c>
      <c r="F1781" s="18"/>
      <c r="G1781" s="35">
        <f>WEEKDAY(Metas_Diarias[[#This Row],[data]])</f>
        <v>4</v>
      </c>
      <c r="H1781" s="35">
        <f>IF(Metas_Diarias[[#This Row],[dias_da_demana]]=1,"domingo",IF(Metas_Diarias[[#This Row],[dias_da_demana]]=7,0.5,1))</f>
        <v>1</v>
      </c>
      <c r="I1781" s="35">
        <f>_xlfn.XLOOKUP(Metas_Diarias[[#This Row],[data]],Feriados[Data],Feriados[Feriado],1)</f>
        <v>1</v>
      </c>
      <c r="J1781" s="33" cm="1">
        <f t="array" aca="1" ref="J1781" ca="1">SUMPRODUCT(IF((NOT(ISERROR(MATCH(ROW(INDIRECT(DATE(YEAR(B1781),MONTH(B1781),1)&amp;":"&amp;DATE(YEAR(B1781),MONTH(B1781)+1,0))),Feriados[Data],0))))=FALSE,
IF(WEEKDAY(ROW(INDIRECT(DATE(YEAR(B1781),MONTH(B1781),1)&amp;":"&amp;DATE(YEAR(B1781),MONTH(B1781)+1,0))),2)&lt;=5,1,IF(WEEKDAY(ROW(INDIRECT(DATE(YEAR(B1781),MONTH(B1781),1)&amp;":"&amp;DATE(YEAR(B1781),MONTH(B1781)+1,0))),2)=6,0.5,0)),0))</f>
        <v>22</v>
      </c>
      <c r="K1781" s="22" cm="1">
        <f t="array" ref="K1781">_xlfn.XLOOKUP(1,((Metas_Diarias[[#This Row],[tipo_equipe_id]]=Metas[equipe])*(Metas_Diarias[[#This Row],[data]]&gt;Metas[data_inicio])*(Metas_Diarias[[#This Row],[data]]&lt;Metas[data_fim])),Metas[meta_mensal],0)</f>
        <v>115500</v>
      </c>
      <c r="L1781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82" spans="2:12" x14ac:dyDescent="0.3">
      <c r="B1782" s="34">
        <v>46338</v>
      </c>
      <c r="C1782" s="34" t="str">
        <f>TEXT(Metas_Diarias[[#This Row],[data]],"dddd")</f>
        <v>quinta-feira</v>
      </c>
      <c r="D1782" s="33">
        <v>2</v>
      </c>
      <c r="E1782" s="33">
        <v>2</v>
      </c>
      <c r="F1782" s="18"/>
      <c r="G1782" s="35">
        <f>WEEKDAY(Metas_Diarias[[#This Row],[data]])</f>
        <v>5</v>
      </c>
      <c r="H1782" s="35">
        <f>IF(Metas_Diarias[[#This Row],[dias_da_demana]]=1,"domingo",IF(Metas_Diarias[[#This Row],[dias_da_demana]]=7,0.5,1))</f>
        <v>1</v>
      </c>
      <c r="I1782" s="35">
        <f>_xlfn.XLOOKUP(Metas_Diarias[[#This Row],[data]],Feriados[Data],Feriados[Feriado],1)</f>
        <v>1</v>
      </c>
      <c r="J1782" s="33" cm="1">
        <f t="array" aca="1" ref="J1782" ca="1">SUMPRODUCT(IF((NOT(ISERROR(MATCH(ROW(INDIRECT(DATE(YEAR(B1782),MONTH(B1782),1)&amp;":"&amp;DATE(YEAR(B1782),MONTH(B1782)+1,0))),Feriados[Data],0))))=FALSE,
IF(WEEKDAY(ROW(INDIRECT(DATE(YEAR(B1782),MONTH(B1782),1)&amp;":"&amp;DATE(YEAR(B1782),MONTH(B1782)+1,0))),2)&lt;=5,1,IF(WEEKDAY(ROW(INDIRECT(DATE(YEAR(B1782),MONTH(B1782),1)&amp;":"&amp;DATE(YEAR(B1782),MONTH(B1782)+1,0))),2)=6,0.5,0)),0))</f>
        <v>22</v>
      </c>
      <c r="K1782" s="22" cm="1">
        <f t="array" ref="K1782">_xlfn.XLOOKUP(1,((Metas_Diarias[[#This Row],[tipo_equipe_id]]=Metas[equipe])*(Metas_Diarias[[#This Row],[data]]&gt;Metas[data_inicio])*(Metas_Diarias[[#This Row],[data]]&lt;Metas[data_fim])),Metas[meta_mensal],0)</f>
        <v>115500</v>
      </c>
      <c r="L1782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83" spans="2:12" x14ac:dyDescent="0.3">
      <c r="B1783" s="34">
        <v>46339</v>
      </c>
      <c r="C1783" s="34" t="str">
        <f>TEXT(Metas_Diarias[[#This Row],[data]],"dddd")</f>
        <v>sexta-feira</v>
      </c>
      <c r="D1783" s="33">
        <v>2</v>
      </c>
      <c r="E1783" s="33">
        <v>2</v>
      </c>
      <c r="F1783" s="18"/>
      <c r="G1783" s="35">
        <f>WEEKDAY(Metas_Diarias[[#This Row],[data]])</f>
        <v>6</v>
      </c>
      <c r="H1783" s="35">
        <f>IF(Metas_Diarias[[#This Row],[dias_da_demana]]=1,"domingo",IF(Metas_Diarias[[#This Row],[dias_da_demana]]=7,0.5,1))</f>
        <v>1</v>
      </c>
      <c r="I1783" s="35">
        <f>_xlfn.XLOOKUP(Metas_Diarias[[#This Row],[data]],Feriados[Data],Feriados[Feriado],1)</f>
        <v>1</v>
      </c>
      <c r="J1783" s="33" cm="1">
        <f t="array" aca="1" ref="J1783" ca="1">SUMPRODUCT(IF((NOT(ISERROR(MATCH(ROW(INDIRECT(DATE(YEAR(B1783),MONTH(B1783),1)&amp;":"&amp;DATE(YEAR(B1783),MONTH(B1783)+1,0))),Feriados[Data],0))))=FALSE,
IF(WEEKDAY(ROW(INDIRECT(DATE(YEAR(B1783),MONTH(B1783),1)&amp;":"&amp;DATE(YEAR(B1783),MONTH(B1783)+1,0))),2)&lt;=5,1,IF(WEEKDAY(ROW(INDIRECT(DATE(YEAR(B1783),MONTH(B1783),1)&amp;":"&amp;DATE(YEAR(B1783),MONTH(B1783)+1,0))),2)=6,0.5,0)),0))</f>
        <v>22</v>
      </c>
      <c r="K1783" s="22" cm="1">
        <f t="array" ref="K1783">_xlfn.XLOOKUP(1,((Metas_Diarias[[#This Row],[tipo_equipe_id]]=Metas[equipe])*(Metas_Diarias[[#This Row],[data]]&gt;Metas[data_inicio])*(Metas_Diarias[[#This Row],[data]]&lt;Metas[data_fim])),Metas[meta_mensal],0)</f>
        <v>115500</v>
      </c>
      <c r="L1783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84" spans="2:12" x14ac:dyDescent="0.3">
      <c r="B1784" s="34">
        <v>46340</v>
      </c>
      <c r="C1784" s="34" t="str">
        <f>TEXT(Metas_Diarias[[#This Row],[data]],"dddd")</f>
        <v>sábado</v>
      </c>
      <c r="D1784" s="33">
        <v>2</v>
      </c>
      <c r="E1784" s="33">
        <v>2</v>
      </c>
      <c r="F1784" s="18"/>
      <c r="G1784" s="35">
        <f>WEEKDAY(Metas_Diarias[[#This Row],[data]])</f>
        <v>7</v>
      </c>
      <c r="H1784" s="35">
        <f>IF(Metas_Diarias[[#This Row],[dias_da_demana]]=1,"domingo",IF(Metas_Diarias[[#This Row],[dias_da_demana]]=7,0.5,1))</f>
        <v>0.5</v>
      </c>
      <c r="I1784" s="35">
        <f>_xlfn.XLOOKUP(Metas_Diarias[[#This Row],[data]],Feriados[Data],Feriados[Feriado],1)</f>
        <v>1</v>
      </c>
      <c r="J1784" s="33" cm="1">
        <f t="array" aca="1" ref="J1784" ca="1">SUMPRODUCT(IF((NOT(ISERROR(MATCH(ROW(INDIRECT(DATE(YEAR(B1784),MONTH(B1784),1)&amp;":"&amp;DATE(YEAR(B1784),MONTH(B1784)+1,0))),Feriados[Data],0))))=FALSE,
IF(WEEKDAY(ROW(INDIRECT(DATE(YEAR(B1784),MONTH(B1784),1)&amp;":"&amp;DATE(YEAR(B1784),MONTH(B1784)+1,0))),2)&lt;=5,1,IF(WEEKDAY(ROW(INDIRECT(DATE(YEAR(B1784),MONTH(B1784),1)&amp;":"&amp;DATE(YEAR(B1784),MONTH(B1784)+1,0))),2)=6,0.5,0)),0))</f>
        <v>22</v>
      </c>
      <c r="K1784" s="22" cm="1">
        <f t="array" ref="K1784">_xlfn.XLOOKUP(1,((Metas_Diarias[[#This Row],[tipo_equipe_id]]=Metas[equipe])*(Metas_Diarias[[#This Row],[data]]&gt;Metas[data_inicio])*(Metas_Diarias[[#This Row],[data]]&lt;Metas[data_fim])),Metas[meta_mensal],0)</f>
        <v>115500</v>
      </c>
      <c r="L1784" s="24">
        <f ca="1">Metas_Diarias[[#This Row],[meta_mensal]]*IF(Metas_Diarias[[#This Row],[semana]]="domingo",0,Metas_Diarias[[#This Row],[semana]])*IF(Metas_Diarias[[#This Row],[feriado]]&lt;&gt;1,0,1)/Metas_Diarias[[#This Row],[dias_úteis_Mês]]</f>
        <v>2625</v>
      </c>
    </row>
    <row r="1785" spans="2:12" x14ac:dyDescent="0.3">
      <c r="B1785" s="34">
        <v>46341</v>
      </c>
      <c r="C1785" s="34" t="str">
        <f>TEXT(Metas_Diarias[[#This Row],[data]],"dddd")</f>
        <v>domingo</v>
      </c>
      <c r="D1785" s="33">
        <v>2</v>
      </c>
      <c r="E1785" s="33">
        <v>2</v>
      </c>
      <c r="F1785" s="18"/>
      <c r="G1785" s="35">
        <f>WEEKDAY(Metas_Diarias[[#This Row],[data]])</f>
        <v>1</v>
      </c>
      <c r="H1785" s="35" t="str">
        <f>IF(Metas_Diarias[[#This Row],[dias_da_demana]]=1,"domingo",IF(Metas_Diarias[[#This Row],[dias_da_demana]]=7,0.5,1))</f>
        <v>domingo</v>
      </c>
      <c r="I1785" s="35" t="str">
        <f>_xlfn.XLOOKUP(Metas_Diarias[[#This Row],[data]],Feriados[Data],Feriados[Feriado],1)</f>
        <v>Proclamação da República</v>
      </c>
      <c r="J1785" s="33" cm="1">
        <f t="array" aca="1" ref="J1785" ca="1">SUMPRODUCT(IF((NOT(ISERROR(MATCH(ROW(INDIRECT(DATE(YEAR(B1785),MONTH(B1785),1)&amp;":"&amp;DATE(YEAR(B1785),MONTH(B1785)+1,0))),Feriados[Data],0))))=FALSE,
IF(WEEKDAY(ROW(INDIRECT(DATE(YEAR(B1785),MONTH(B1785),1)&amp;":"&amp;DATE(YEAR(B1785),MONTH(B1785)+1,0))),2)&lt;=5,1,IF(WEEKDAY(ROW(INDIRECT(DATE(YEAR(B1785),MONTH(B1785),1)&amp;":"&amp;DATE(YEAR(B1785),MONTH(B1785)+1,0))),2)=6,0.5,0)),0))</f>
        <v>22</v>
      </c>
      <c r="K1785" s="22" cm="1">
        <f t="array" ref="K1785">_xlfn.XLOOKUP(1,((Metas_Diarias[[#This Row],[tipo_equipe_id]]=Metas[equipe])*(Metas_Diarias[[#This Row],[data]]&gt;Metas[data_inicio])*(Metas_Diarias[[#This Row],[data]]&lt;Metas[data_fim])),Metas[meta_mensal],0)</f>
        <v>115500</v>
      </c>
      <c r="L178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86" spans="2:12" x14ac:dyDescent="0.3">
      <c r="B1786" s="34">
        <v>46342</v>
      </c>
      <c r="C1786" s="34" t="str">
        <f>TEXT(Metas_Diarias[[#This Row],[data]],"dddd")</f>
        <v>segunda-feira</v>
      </c>
      <c r="D1786" s="33">
        <v>2</v>
      </c>
      <c r="E1786" s="33">
        <v>2</v>
      </c>
      <c r="F1786" s="18"/>
      <c r="G1786" s="35">
        <f>WEEKDAY(Metas_Diarias[[#This Row],[data]])</f>
        <v>2</v>
      </c>
      <c r="H1786" s="35">
        <f>IF(Metas_Diarias[[#This Row],[dias_da_demana]]=1,"domingo",IF(Metas_Diarias[[#This Row],[dias_da_demana]]=7,0.5,1))</f>
        <v>1</v>
      </c>
      <c r="I1786" s="35">
        <f>_xlfn.XLOOKUP(Metas_Diarias[[#This Row],[data]],Feriados[Data],Feriados[Feriado],1)</f>
        <v>1</v>
      </c>
      <c r="J1786" s="33" cm="1">
        <f t="array" aca="1" ref="J1786" ca="1">SUMPRODUCT(IF((NOT(ISERROR(MATCH(ROW(INDIRECT(DATE(YEAR(B1786),MONTH(B1786),1)&amp;":"&amp;DATE(YEAR(B1786),MONTH(B1786)+1,0))),Feriados[Data],0))))=FALSE,
IF(WEEKDAY(ROW(INDIRECT(DATE(YEAR(B1786),MONTH(B1786),1)&amp;":"&amp;DATE(YEAR(B1786),MONTH(B1786)+1,0))),2)&lt;=5,1,IF(WEEKDAY(ROW(INDIRECT(DATE(YEAR(B1786),MONTH(B1786),1)&amp;":"&amp;DATE(YEAR(B1786),MONTH(B1786)+1,0))),2)=6,0.5,0)),0))</f>
        <v>22</v>
      </c>
      <c r="K1786" s="22" cm="1">
        <f t="array" ref="K1786">_xlfn.XLOOKUP(1,((Metas_Diarias[[#This Row],[tipo_equipe_id]]=Metas[equipe])*(Metas_Diarias[[#This Row],[data]]&gt;Metas[data_inicio])*(Metas_Diarias[[#This Row],[data]]&lt;Metas[data_fim])),Metas[meta_mensal],0)</f>
        <v>115500</v>
      </c>
      <c r="L1786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87" spans="2:12" x14ac:dyDescent="0.3">
      <c r="B1787" s="34">
        <v>46343</v>
      </c>
      <c r="C1787" s="34" t="str">
        <f>TEXT(Metas_Diarias[[#This Row],[data]],"dddd")</f>
        <v>terça-feira</v>
      </c>
      <c r="D1787" s="33">
        <v>2</v>
      </c>
      <c r="E1787" s="33">
        <v>2</v>
      </c>
      <c r="F1787" s="18"/>
      <c r="G1787" s="35">
        <f>WEEKDAY(Metas_Diarias[[#This Row],[data]])</f>
        <v>3</v>
      </c>
      <c r="H1787" s="35">
        <f>IF(Metas_Diarias[[#This Row],[dias_da_demana]]=1,"domingo",IF(Metas_Diarias[[#This Row],[dias_da_demana]]=7,0.5,1))</f>
        <v>1</v>
      </c>
      <c r="I1787" s="35">
        <f>_xlfn.XLOOKUP(Metas_Diarias[[#This Row],[data]],Feriados[Data],Feriados[Feriado],1)</f>
        <v>1</v>
      </c>
      <c r="J1787" s="33" cm="1">
        <f t="array" aca="1" ref="J1787" ca="1">SUMPRODUCT(IF((NOT(ISERROR(MATCH(ROW(INDIRECT(DATE(YEAR(B1787),MONTH(B1787),1)&amp;":"&amp;DATE(YEAR(B1787),MONTH(B1787)+1,0))),Feriados[Data],0))))=FALSE,
IF(WEEKDAY(ROW(INDIRECT(DATE(YEAR(B1787),MONTH(B1787),1)&amp;":"&amp;DATE(YEAR(B1787),MONTH(B1787)+1,0))),2)&lt;=5,1,IF(WEEKDAY(ROW(INDIRECT(DATE(YEAR(B1787),MONTH(B1787),1)&amp;":"&amp;DATE(YEAR(B1787),MONTH(B1787)+1,0))),2)=6,0.5,0)),0))</f>
        <v>22</v>
      </c>
      <c r="K1787" s="22" cm="1">
        <f t="array" ref="K1787">_xlfn.XLOOKUP(1,((Metas_Diarias[[#This Row],[tipo_equipe_id]]=Metas[equipe])*(Metas_Diarias[[#This Row],[data]]&gt;Metas[data_inicio])*(Metas_Diarias[[#This Row],[data]]&lt;Metas[data_fim])),Metas[meta_mensal],0)</f>
        <v>115500</v>
      </c>
      <c r="L1787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88" spans="2:12" x14ac:dyDescent="0.3">
      <c r="B1788" s="34">
        <v>46344</v>
      </c>
      <c r="C1788" s="34" t="str">
        <f>TEXT(Metas_Diarias[[#This Row],[data]],"dddd")</f>
        <v>quarta-feira</v>
      </c>
      <c r="D1788" s="33">
        <v>2</v>
      </c>
      <c r="E1788" s="33">
        <v>2</v>
      </c>
      <c r="F1788" s="18"/>
      <c r="G1788" s="35">
        <f>WEEKDAY(Metas_Diarias[[#This Row],[data]])</f>
        <v>4</v>
      </c>
      <c r="H1788" s="35">
        <f>IF(Metas_Diarias[[#This Row],[dias_da_demana]]=1,"domingo",IF(Metas_Diarias[[#This Row],[dias_da_demana]]=7,0.5,1))</f>
        <v>1</v>
      </c>
      <c r="I1788" s="35">
        <f>_xlfn.XLOOKUP(Metas_Diarias[[#This Row],[data]],Feriados[Data],Feriados[Feriado],1)</f>
        <v>1</v>
      </c>
      <c r="J1788" s="33" cm="1">
        <f t="array" aca="1" ref="J1788" ca="1">SUMPRODUCT(IF((NOT(ISERROR(MATCH(ROW(INDIRECT(DATE(YEAR(B1788),MONTH(B1788),1)&amp;":"&amp;DATE(YEAR(B1788),MONTH(B1788)+1,0))),Feriados[Data],0))))=FALSE,
IF(WEEKDAY(ROW(INDIRECT(DATE(YEAR(B1788),MONTH(B1788),1)&amp;":"&amp;DATE(YEAR(B1788),MONTH(B1788)+1,0))),2)&lt;=5,1,IF(WEEKDAY(ROW(INDIRECT(DATE(YEAR(B1788),MONTH(B1788),1)&amp;":"&amp;DATE(YEAR(B1788),MONTH(B1788)+1,0))),2)=6,0.5,0)),0))</f>
        <v>22</v>
      </c>
      <c r="K1788" s="22" cm="1">
        <f t="array" ref="K1788">_xlfn.XLOOKUP(1,((Metas_Diarias[[#This Row],[tipo_equipe_id]]=Metas[equipe])*(Metas_Diarias[[#This Row],[data]]&gt;Metas[data_inicio])*(Metas_Diarias[[#This Row],[data]]&lt;Metas[data_fim])),Metas[meta_mensal],0)</f>
        <v>115500</v>
      </c>
      <c r="L1788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89" spans="2:12" x14ac:dyDescent="0.3">
      <c r="B1789" s="34">
        <v>46345</v>
      </c>
      <c r="C1789" s="34" t="str">
        <f>TEXT(Metas_Diarias[[#This Row],[data]],"dddd")</f>
        <v>quinta-feira</v>
      </c>
      <c r="D1789" s="33">
        <v>2</v>
      </c>
      <c r="E1789" s="33">
        <v>2</v>
      </c>
      <c r="F1789" s="18"/>
      <c r="G1789" s="35">
        <f>WEEKDAY(Metas_Diarias[[#This Row],[data]])</f>
        <v>5</v>
      </c>
      <c r="H1789" s="35">
        <f>IF(Metas_Diarias[[#This Row],[dias_da_demana]]=1,"domingo",IF(Metas_Diarias[[#This Row],[dias_da_demana]]=7,0.5,1))</f>
        <v>1</v>
      </c>
      <c r="I1789" s="35">
        <f>_xlfn.XLOOKUP(Metas_Diarias[[#This Row],[data]],Feriados[Data],Feriados[Feriado],1)</f>
        <v>1</v>
      </c>
      <c r="J1789" s="33" cm="1">
        <f t="array" aca="1" ref="J1789" ca="1">SUMPRODUCT(IF((NOT(ISERROR(MATCH(ROW(INDIRECT(DATE(YEAR(B1789),MONTH(B1789),1)&amp;":"&amp;DATE(YEAR(B1789),MONTH(B1789)+1,0))),Feriados[Data],0))))=FALSE,
IF(WEEKDAY(ROW(INDIRECT(DATE(YEAR(B1789),MONTH(B1789),1)&amp;":"&amp;DATE(YEAR(B1789),MONTH(B1789)+1,0))),2)&lt;=5,1,IF(WEEKDAY(ROW(INDIRECT(DATE(YEAR(B1789),MONTH(B1789),1)&amp;":"&amp;DATE(YEAR(B1789),MONTH(B1789)+1,0))),2)=6,0.5,0)),0))</f>
        <v>22</v>
      </c>
      <c r="K1789" s="22" cm="1">
        <f t="array" ref="K1789">_xlfn.XLOOKUP(1,((Metas_Diarias[[#This Row],[tipo_equipe_id]]=Metas[equipe])*(Metas_Diarias[[#This Row],[data]]&gt;Metas[data_inicio])*(Metas_Diarias[[#This Row],[data]]&lt;Metas[data_fim])),Metas[meta_mensal],0)</f>
        <v>115500</v>
      </c>
      <c r="L1789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90" spans="2:12" x14ac:dyDescent="0.3">
      <c r="B1790" s="34">
        <v>46346</v>
      </c>
      <c r="C1790" s="34" t="str">
        <f>TEXT(Metas_Diarias[[#This Row],[data]],"dddd")</f>
        <v>sexta-feira</v>
      </c>
      <c r="D1790" s="33">
        <v>2</v>
      </c>
      <c r="E1790" s="33">
        <v>2</v>
      </c>
      <c r="F1790" s="18"/>
      <c r="G1790" s="35">
        <f>WEEKDAY(Metas_Diarias[[#This Row],[data]])</f>
        <v>6</v>
      </c>
      <c r="H1790" s="35">
        <f>IF(Metas_Diarias[[#This Row],[dias_da_demana]]=1,"domingo",IF(Metas_Diarias[[#This Row],[dias_da_demana]]=7,0.5,1))</f>
        <v>1</v>
      </c>
      <c r="I1790" s="35">
        <f>_xlfn.XLOOKUP(Metas_Diarias[[#This Row],[data]],Feriados[Data],Feriados[Feriado],1)</f>
        <v>1</v>
      </c>
      <c r="J1790" s="33" cm="1">
        <f t="array" aca="1" ref="J1790" ca="1">SUMPRODUCT(IF((NOT(ISERROR(MATCH(ROW(INDIRECT(DATE(YEAR(B1790),MONTH(B1790),1)&amp;":"&amp;DATE(YEAR(B1790),MONTH(B1790)+1,0))),Feriados[Data],0))))=FALSE,
IF(WEEKDAY(ROW(INDIRECT(DATE(YEAR(B1790),MONTH(B1790),1)&amp;":"&amp;DATE(YEAR(B1790),MONTH(B1790)+1,0))),2)&lt;=5,1,IF(WEEKDAY(ROW(INDIRECT(DATE(YEAR(B1790),MONTH(B1790),1)&amp;":"&amp;DATE(YEAR(B1790),MONTH(B1790)+1,0))),2)=6,0.5,0)),0))</f>
        <v>22</v>
      </c>
      <c r="K1790" s="22" cm="1">
        <f t="array" ref="K1790">_xlfn.XLOOKUP(1,((Metas_Diarias[[#This Row],[tipo_equipe_id]]=Metas[equipe])*(Metas_Diarias[[#This Row],[data]]&gt;Metas[data_inicio])*(Metas_Diarias[[#This Row],[data]]&lt;Metas[data_fim])),Metas[meta_mensal],0)</f>
        <v>115500</v>
      </c>
      <c r="L1790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91" spans="2:12" x14ac:dyDescent="0.3">
      <c r="B1791" s="34">
        <v>46347</v>
      </c>
      <c r="C1791" s="34" t="str">
        <f>TEXT(Metas_Diarias[[#This Row],[data]],"dddd")</f>
        <v>sábado</v>
      </c>
      <c r="D1791" s="33">
        <v>2</v>
      </c>
      <c r="E1791" s="33">
        <v>2</v>
      </c>
      <c r="F1791" s="18"/>
      <c r="G1791" s="35">
        <f>WEEKDAY(Metas_Diarias[[#This Row],[data]])</f>
        <v>7</v>
      </c>
      <c r="H1791" s="35">
        <f>IF(Metas_Diarias[[#This Row],[dias_da_demana]]=1,"domingo",IF(Metas_Diarias[[#This Row],[dias_da_demana]]=7,0.5,1))</f>
        <v>0.5</v>
      </c>
      <c r="I1791" s="35">
        <f>_xlfn.XLOOKUP(Metas_Diarias[[#This Row],[data]],Feriados[Data],Feriados[Feriado],1)</f>
        <v>1</v>
      </c>
      <c r="J1791" s="33" cm="1">
        <f t="array" aca="1" ref="J1791" ca="1">SUMPRODUCT(IF((NOT(ISERROR(MATCH(ROW(INDIRECT(DATE(YEAR(B1791),MONTH(B1791),1)&amp;":"&amp;DATE(YEAR(B1791),MONTH(B1791)+1,0))),Feriados[Data],0))))=FALSE,
IF(WEEKDAY(ROW(INDIRECT(DATE(YEAR(B1791),MONTH(B1791),1)&amp;":"&amp;DATE(YEAR(B1791),MONTH(B1791)+1,0))),2)&lt;=5,1,IF(WEEKDAY(ROW(INDIRECT(DATE(YEAR(B1791),MONTH(B1791),1)&amp;":"&amp;DATE(YEAR(B1791),MONTH(B1791)+1,0))),2)=6,0.5,0)),0))</f>
        <v>22</v>
      </c>
      <c r="K1791" s="22" cm="1">
        <f t="array" ref="K1791">_xlfn.XLOOKUP(1,((Metas_Diarias[[#This Row],[tipo_equipe_id]]=Metas[equipe])*(Metas_Diarias[[#This Row],[data]]&gt;Metas[data_inicio])*(Metas_Diarias[[#This Row],[data]]&lt;Metas[data_fim])),Metas[meta_mensal],0)</f>
        <v>115500</v>
      </c>
      <c r="L1791" s="24">
        <f ca="1">Metas_Diarias[[#This Row],[meta_mensal]]*IF(Metas_Diarias[[#This Row],[semana]]="domingo",0,Metas_Diarias[[#This Row],[semana]])*IF(Metas_Diarias[[#This Row],[feriado]]&lt;&gt;1,0,1)/Metas_Diarias[[#This Row],[dias_úteis_Mês]]</f>
        <v>2625</v>
      </c>
    </row>
    <row r="1792" spans="2:12" x14ac:dyDescent="0.3">
      <c r="B1792" s="34">
        <v>46348</v>
      </c>
      <c r="C1792" s="34" t="str">
        <f>TEXT(Metas_Diarias[[#This Row],[data]],"dddd")</f>
        <v>domingo</v>
      </c>
      <c r="D1792" s="33">
        <v>2</v>
      </c>
      <c r="E1792" s="33">
        <v>2</v>
      </c>
      <c r="F1792" s="18"/>
      <c r="G1792" s="35">
        <f>WEEKDAY(Metas_Diarias[[#This Row],[data]])</f>
        <v>1</v>
      </c>
      <c r="H1792" s="35" t="str">
        <f>IF(Metas_Diarias[[#This Row],[dias_da_demana]]=1,"domingo",IF(Metas_Diarias[[#This Row],[dias_da_demana]]=7,0.5,1))</f>
        <v>domingo</v>
      </c>
      <c r="I1792" s="35">
        <f>_xlfn.XLOOKUP(Metas_Diarias[[#This Row],[data]],Feriados[Data],Feriados[Feriado],1)</f>
        <v>1</v>
      </c>
      <c r="J1792" s="33" cm="1">
        <f t="array" aca="1" ref="J1792" ca="1">SUMPRODUCT(IF((NOT(ISERROR(MATCH(ROW(INDIRECT(DATE(YEAR(B1792),MONTH(B1792),1)&amp;":"&amp;DATE(YEAR(B1792),MONTH(B1792)+1,0))),Feriados[Data],0))))=FALSE,
IF(WEEKDAY(ROW(INDIRECT(DATE(YEAR(B1792),MONTH(B1792),1)&amp;":"&amp;DATE(YEAR(B1792),MONTH(B1792)+1,0))),2)&lt;=5,1,IF(WEEKDAY(ROW(INDIRECT(DATE(YEAR(B1792),MONTH(B1792),1)&amp;":"&amp;DATE(YEAR(B1792),MONTH(B1792)+1,0))),2)=6,0.5,0)),0))</f>
        <v>22</v>
      </c>
      <c r="K1792" s="22" cm="1">
        <f t="array" ref="K1792">_xlfn.XLOOKUP(1,((Metas_Diarias[[#This Row],[tipo_equipe_id]]=Metas[equipe])*(Metas_Diarias[[#This Row],[data]]&gt;Metas[data_inicio])*(Metas_Diarias[[#This Row],[data]]&lt;Metas[data_fim])),Metas[meta_mensal],0)</f>
        <v>115500</v>
      </c>
      <c r="L179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793" spans="2:12" x14ac:dyDescent="0.3">
      <c r="B1793" s="34">
        <v>46349</v>
      </c>
      <c r="C1793" s="34" t="str">
        <f>TEXT(Metas_Diarias[[#This Row],[data]],"dddd")</f>
        <v>segunda-feira</v>
      </c>
      <c r="D1793" s="33">
        <v>2</v>
      </c>
      <c r="E1793" s="33">
        <v>2</v>
      </c>
      <c r="F1793" s="18"/>
      <c r="G1793" s="35">
        <f>WEEKDAY(Metas_Diarias[[#This Row],[data]])</f>
        <v>2</v>
      </c>
      <c r="H1793" s="35">
        <f>IF(Metas_Diarias[[#This Row],[dias_da_demana]]=1,"domingo",IF(Metas_Diarias[[#This Row],[dias_da_demana]]=7,0.5,1))</f>
        <v>1</v>
      </c>
      <c r="I1793" s="35">
        <f>_xlfn.XLOOKUP(Metas_Diarias[[#This Row],[data]],Feriados[Data],Feriados[Feriado],1)</f>
        <v>1</v>
      </c>
      <c r="J1793" s="33" cm="1">
        <f t="array" aca="1" ref="J1793" ca="1">SUMPRODUCT(IF((NOT(ISERROR(MATCH(ROW(INDIRECT(DATE(YEAR(B1793),MONTH(B1793),1)&amp;":"&amp;DATE(YEAR(B1793),MONTH(B1793)+1,0))),Feriados[Data],0))))=FALSE,
IF(WEEKDAY(ROW(INDIRECT(DATE(YEAR(B1793),MONTH(B1793),1)&amp;":"&amp;DATE(YEAR(B1793),MONTH(B1793)+1,0))),2)&lt;=5,1,IF(WEEKDAY(ROW(INDIRECT(DATE(YEAR(B1793),MONTH(B1793),1)&amp;":"&amp;DATE(YEAR(B1793),MONTH(B1793)+1,0))),2)=6,0.5,0)),0))</f>
        <v>22</v>
      </c>
      <c r="K1793" s="22" cm="1">
        <f t="array" ref="K1793">_xlfn.XLOOKUP(1,((Metas_Diarias[[#This Row],[tipo_equipe_id]]=Metas[equipe])*(Metas_Diarias[[#This Row],[data]]&gt;Metas[data_inicio])*(Metas_Diarias[[#This Row],[data]]&lt;Metas[data_fim])),Metas[meta_mensal],0)</f>
        <v>115500</v>
      </c>
      <c r="L1793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94" spans="2:12" x14ac:dyDescent="0.3">
      <c r="B1794" s="34">
        <v>46350</v>
      </c>
      <c r="C1794" s="34" t="str">
        <f>TEXT(Metas_Diarias[[#This Row],[data]],"dddd")</f>
        <v>terça-feira</v>
      </c>
      <c r="D1794" s="33">
        <v>2</v>
      </c>
      <c r="E1794" s="33">
        <v>2</v>
      </c>
      <c r="F1794" s="18"/>
      <c r="G1794" s="35">
        <f>WEEKDAY(Metas_Diarias[[#This Row],[data]])</f>
        <v>3</v>
      </c>
      <c r="H1794" s="35">
        <f>IF(Metas_Diarias[[#This Row],[dias_da_demana]]=1,"domingo",IF(Metas_Diarias[[#This Row],[dias_da_demana]]=7,0.5,1))</f>
        <v>1</v>
      </c>
      <c r="I1794" s="35">
        <f>_xlfn.XLOOKUP(Metas_Diarias[[#This Row],[data]],Feriados[Data],Feriados[Feriado],1)</f>
        <v>1</v>
      </c>
      <c r="J1794" s="33" cm="1">
        <f t="array" aca="1" ref="J1794" ca="1">SUMPRODUCT(IF((NOT(ISERROR(MATCH(ROW(INDIRECT(DATE(YEAR(B1794),MONTH(B1794),1)&amp;":"&amp;DATE(YEAR(B1794),MONTH(B1794)+1,0))),Feriados[Data],0))))=FALSE,
IF(WEEKDAY(ROW(INDIRECT(DATE(YEAR(B1794),MONTH(B1794),1)&amp;":"&amp;DATE(YEAR(B1794),MONTH(B1794)+1,0))),2)&lt;=5,1,IF(WEEKDAY(ROW(INDIRECT(DATE(YEAR(B1794),MONTH(B1794),1)&amp;":"&amp;DATE(YEAR(B1794),MONTH(B1794)+1,0))),2)=6,0.5,0)),0))</f>
        <v>22</v>
      </c>
      <c r="K1794" s="22" cm="1">
        <f t="array" ref="K1794">_xlfn.XLOOKUP(1,((Metas_Diarias[[#This Row],[tipo_equipe_id]]=Metas[equipe])*(Metas_Diarias[[#This Row],[data]]&gt;Metas[data_inicio])*(Metas_Diarias[[#This Row],[data]]&lt;Metas[data_fim])),Metas[meta_mensal],0)</f>
        <v>115500</v>
      </c>
      <c r="L1794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95" spans="2:12" x14ac:dyDescent="0.3">
      <c r="B1795" s="34">
        <v>46351</v>
      </c>
      <c r="C1795" s="34" t="str">
        <f>TEXT(Metas_Diarias[[#This Row],[data]],"dddd")</f>
        <v>quarta-feira</v>
      </c>
      <c r="D1795" s="33">
        <v>2</v>
      </c>
      <c r="E1795" s="33">
        <v>2</v>
      </c>
      <c r="F1795" s="18"/>
      <c r="G1795" s="35">
        <f>WEEKDAY(Metas_Diarias[[#This Row],[data]])</f>
        <v>4</v>
      </c>
      <c r="H1795" s="35">
        <f>IF(Metas_Diarias[[#This Row],[dias_da_demana]]=1,"domingo",IF(Metas_Diarias[[#This Row],[dias_da_demana]]=7,0.5,1))</f>
        <v>1</v>
      </c>
      <c r="I1795" s="35">
        <f>_xlfn.XLOOKUP(Metas_Diarias[[#This Row],[data]],Feriados[Data],Feriados[Feriado],1)</f>
        <v>1</v>
      </c>
      <c r="J1795" s="33" cm="1">
        <f t="array" aca="1" ref="J1795" ca="1">SUMPRODUCT(IF((NOT(ISERROR(MATCH(ROW(INDIRECT(DATE(YEAR(B1795),MONTH(B1795),1)&amp;":"&amp;DATE(YEAR(B1795),MONTH(B1795)+1,0))),Feriados[Data],0))))=FALSE,
IF(WEEKDAY(ROW(INDIRECT(DATE(YEAR(B1795),MONTH(B1795),1)&amp;":"&amp;DATE(YEAR(B1795),MONTH(B1795)+1,0))),2)&lt;=5,1,IF(WEEKDAY(ROW(INDIRECT(DATE(YEAR(B1795),MONTH(B1795),1)&amp;":"&amp;DATE(YEAR(B1795),MONTH(B1795)+1,0))),2)=6,0.5,0)),0))</f>
        <v>22</v>
      </c>
      <c r="K1795" s="22" cm="1">
        <f t="array" ref="K1795">_xlfn.XLOOKUP(1,((Metas_Diarias[[#This Row],[tipo_equipe_id]]=Metas[equipe])*(Metas_Diarias[[#This Row],[data]]&gt;Metas[data_inicio])*(Metas_Diarias[[#This Row],[data]]&lt;Metas[data_fim])),Metas[meta_mensal],0)</f>
        <v>115500</v>
      </c>
      <c r="L1795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96" spans="2:12" x14ac:dyDescent="0.3">
      <c r="B1796" s="34">
        <v>46352</v>
      </c>
      <c r="C1796" s="34" t="str">
        <f>TEXT(Metas_Diarias[[#This Row],[data]],"dddd")</f>
        <v>quinta-feira</v>
      </c>
      <c r="D1796" s="33">
        <v>2</v>
      </c>
      <c r="E1796" s="33">
        <v>2</v>
      </c>
      <c r="F1796" s="18"/>
      <c r="G1796" s="35">
        <f>WEEKDAY(Metas_Diarias[[#This Row],[data]])</f>
        <v>5</v>
      </c>
      <c r="H1796" s="35">
        <f>IF(Metas_Diarias[[#This Row],[dias_da_demana]]=1,"domingo",IF(Metas_Diarias[[#This Row],[dias_da_demana]]=7,0.5,1))</f>
        <v>1</v>
      </c>
      <c r="I1796" s="35">
        <f>_xlfn.XLOOKUP(Metas_Diarias[[#This Row],[data]],Feriados[Data],Feriados[Feriado],1)</f>
        <v>1</v>
      </c>
      <c r="J1796" s="33" cm="1">
        <f t="array" aca="1" ref="J1796" ca="1">SUMPRODUCT(IF((NOT(ISERROR(MATCH(ROW(INDIRECT(DATE(YEAR(B1796),MONTH(B1796),1)&amp;":"&amp;DATE(YEAR(B1796),MONTH(B1796)+1,0))),Feriados[Data],0))))=FALSE,
IF(WEEKDAY(ROW(INDIRECT(DATE(YEAR(B1796),MONTH(B1796),1)&amp;":"&amp;DATE(YEAR(B1796),MONTH(B1796)+1,0))),2)&lt;=5,1,IF(WEEKDAY(ROW(INDIRECT(DATE(YEAR(B1796),MONTH(B1796),1)&amp;":"&amp;DATE(YEAR(B1796),MONTH(B1796)+1,0))),2)=6,0.5,0)),0))</f>
        <v>22</v>
      </c>
      <c r="K1796" s="22" cm="1">
        <f t="array" ref="K1796">_xlfn.XLOOKUP(1,((Metas_Diarias[[#This Row],[tipo_equipe_id]]=Metas[equipe])*(Metas_Diarias[[#This Row],[data]]&gt;Metas[data_inicio])*(Metas_Diarias[[#This Row],[data]]&lt;Metas[data_fim])),Metas[meta_mensal],0)</f>
        <v>115500</v>
      </c>
      <c r="L1796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97" spans="2:12" x14ac:dyDescent="0.3">
      <c r="B1797" s="34">
        <v>46353</v>
      </c>
      <c r="C1797" s="34" t="str">
        <f>TEXT(Metas_Diarias[[#This Row],[data]],"dddd")</f>
        <v>sexta-feira</v>
      </c>
      <c r="D1797" s="33">
        <v>2</v>
      </c>
      <c r="E1797" s="33">
        <v>2</v>
      </c>
      <c r="F1797" s="18"/>
      <c r="G1797" s="35">
        <f>WEEKDAY(Metas_Diarias[[#This Row],[data]])</f>
        <v>6</v>
      </c>
      <c r="H1797" s="35">
        <f>IF(Metas_Diarias[[#This Row],[dias_da_demana]]=1,"domingo",IF(Metas_Diarias[[#This Row],[dias_da_demana]]=7,0.5,1))</f>
        <v>1</v>
      </c>
      <c r="I1797" s="35">
        <f>_xlfn.XLOOKUP(Metas_Diarias[[#This Row],[data]],Feriados[Data],Feriados[Feriado],1)</f>
        <v>1</v>
      </c>
      <c r="J1797" s="33" cm="1">
        <f t="array" aca="1" ref="J1797" ca="1">SUMPRODUCT(IF((NOT(ISERROR(MATCH(ROW(INDIRECT(DATE(YEAR(B1797),MONTH(B1797),1)&amp;":"&amp;DATE(YEAR(B1797),MONTH(B1797)+1,0))),Feriados[Data],0))))=FALSE,
IF(WEEKDAY(ROW(INDIRECT(DATE(YEAR(B1797),MONTH(B1797),1)&amp;":"&amp;DATE(YEAR(B1797),MONTH(B1797)+1,0))),2)&lt;=5,1,IF(WEEKDAY(ROW(INDIRECT(DATE(YEAR(B1797),MONTH(B1797),1)&amp;":"&amp;DATE(YEAR(B1797),MONTH(B1797)+1,0))),2)=6,0.5,0)),0))</f>
        <v>22</v>
      </c>
      <c r="K1797" s="22" cm="1">
        <f t="array" ref="K1797">_xlfn.XLOOKUP(1,((Metas_Diarias[[#This Row],[tipo_equipe_id]]=Metas[equipe])*(Metas_Diarias[[#This Row],[data]]&gt;Metas[data_inicio])*(Metas_Diarias[[#This Row],[data]]&lt;Metas[data_fim])),Metas[meta_mensal],0)</f>
        <v>115500</v>
      </c>
      <c r="L1797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798" spans="2:12" x14ac:dyDescent="0.3">
      <c r="B1798" s="34">
        <v>46354</v>
      </c>
      <c r="C1798" s="34" t="str">
        <f>TEXT(Metas_Diarias[[#This Row],[data]],"dddd")</f>
        <v>sábado</v>
      </c>
      <c r="D1798" s="33">
        <v>2</v>
      </c>
      <c r="E1798" s="33">
        <v>2</v>
      </c>
      <c r="F1798" s="18"/>
      <c r="G1798" s="35">
        <f>WEEKDAY(Metas_Diarias[[#This Row],[data]])</f>
        <v>7</v>
      </c>
      <c r="H1798" s="35">
        <f>IF(Metas_Diarias[[#This Row],[dias_da_demana]]=1,"domingo",IF(Metas_Diarias[[#This Row],[dias_da_demana]]=7,0.5,1))</f>
        <v>0.5</v>
      </c>
      <c r="I1798" s="35">
        <f>_xlfn.XLOOKUP(Metas_Diarias[[#This Row],[data]],Feriados[Data],Feriados[Feriado],1)</f>
        <v>1</v>
      </c>
      <c r="J1798" s="33" cm="1">
        <f t="array" aca="1" ref="J1798" ca="1">SUMPRODUCT(IF((NOT(ISERROR(MATCH(ROW(INDIRECT(DATE(YEAR(B1798),MONTH(B1798),1)&amp;":"&amp;DATE(YEAR(B1798),MONTH(B1798)+1,0))),Feriados[Data],0))))=FALSE,
IF(WEEKDAY(ROW(INDIRECT(DATE(YEAR(B1798),MONTH(B1798),1)&amp;":"&amp;DATE(YEAR(B1798),MONTH(B1798)+1,0))),2)&lt;=5,1,IF(WEEKDAY(ROW(INDIRECT(DATE(YEAR(B1798),MONTH(B1798),1)&amp;":"&amp;DATE(YEAR(B1798),MONTH(B1798)+1,0))),2)=6,0.5,0)),0))</f>
        <v>22</v>
      </c>
      <c r="K1798" s="22" cm="1">
        <f t="array" ref="K1798">_xlfn.XLOOKUP(1,((Metas_Diarias[[#This Row],[tipo_equipe_id]]=Metas[equipe])*(Metas_Diarias[[#This Row],[data]]&gt;Metas[data_inicio])*(Metas_Diarias[[#This Row],[data]]&lt;Metas[data_fim])),Metas[meta_mensal],0)</f>
        <v>115500</v>
      </c>
      <c r="L1798" s="24">
        <f ca="1">Metas_Diarias[[#This Row],[meta_mensal]]*IF(Metas_Diarias[[#This Row],[semana]]="domingo",0,Metas_Diarias[[#This Row],[semana]])*IF(Metas_Diarias[[#This Row],[feriado]]&lt;&gt;1,0,1)/Metas_Diarias[[#This Row],[dias_úteis_Mês]]</f>
        <v>2625</v>
      </c>
    </row>
    <row r="1799" spans="2:12" x14ac:dyDescent="0.3">
      <c r="B1799" s="34">
        <v>46355</v>
      </c>
      <c r="C1799" s="34" t="str">
        <f>TEXT(Metas_Diarias[[#This Row],[data]],"dddd")</f>
        <v>domingo</v>
      </c>
      <c r="D1799" s="33">
        <v>2</v>
      </c>
      <c r="E1799" s="33">
        <v>2</v>
      </c>
      <c r="F1799" s="18"/>
      <c r="G1799" s="35">
        <f>WEEKDAY(Metas_Diarias[[#This Row],[data]])</f>
        <v>1</v>
      </c>
      <c r="H1799" s="35" t="str">
        <f>IF(Metas_Diarias[[#This Row],[dias_da_demana]]=1,"domingo",IF(Metas_Diarias[[#This Row],[dias_da_demana]]=7,0.5,1))</f>
        <v>domingo</v>
      </c>
      <c r="I1799" s="35">
        <f>_xlfn.XLOOKUP(Metas_Diarias[[#This Row],[data]],Feriados[Data],Feriados[Feriado],1)</f>
        <v>1</v>
      </c>
      <c r="J1799" s="33" cm="1">
        <f t="array" aca="1" ref="J1799" ca="1">SUMPRODUCT(IF((NOT(ISERROR(MATCH(ROW(INDIRECT(DATE(YEAR(B1799),MONTH(B1799),1)&amp;":"&amp;DATE(YEAR(B1799),MONTH(B1799)+1,0))),Feriados[Data],0))))=FALSE,
IF(WEEKDAY(ROW(INDIRECT(DATE(YEAR(B1799),MONTH(B1799),1)&amp;":"&amp;DATE(YEAR(B1799),MONTH(B1799)+1,0))),2)&lt;=5,1,IF(WEEKDAY(ROW(INDIRECT(DATE(YEAR(B1799),MONTH(B1799),1)&amp;":"&amp;DATE(YEAR(B1799),MONTH(B1799)+1,0))),2)=6,0.5,0)),0))</f>
        <v>22</v>
      </c>
      <c r="K1799" s="22" cm="1">
        <f t="array" ref="K1799">_xlfn.XLOOKUP(1,((Metas_Diarias[[#This Row],[tipo_equipe_id]]=Metas[equipe])*(Metas_Diarias[[#This Row],[data]]&gt;Metas[data_inicio])*(Metas_Diarias[[#This Row],[data]]&lt;Metas[data_fim])),Metas[meta_mensal],0)</f>
        <v>115500</v>
      </c>
      <c r="L179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00" spans="2:12" x14ac:dyDescent="0.3">
      <c r="B1800" s="34">
        <v>46356</v>
      </c>
      <c r="C1800" s="34" t="str">
        <f>TEXT(Metas_Diarias[[#This Row],[data]],"dddd")</f>
        <v>segunda-feira</v>
      </c>
      <c r="D1800" s="33">
        <v>2</v>
      </c>
      <c r="E1800" s="33">
        <v>2</v>
      </c>
      <c r="F1800" s="18"/>
      <c r="G1800" s="35">
        <f>WEEKDAY(Metas_Diarias[[#This Row],[data]])</f>
        <v>2</v>
      </c>
      <c r="H1800" s="35">
        <f>IF(Metas_Diarias[[#This Row],[dias_da_demana]]=1,"domingo",IF(Metas_Diarias[[#This Row],[dias_da_demana]]=7,0.5,1))</f>
        <v>1</v>
      </c>
      <c r="I1800" s="35">
        <f>_xlfn.XLOOKUP(Metas_Diarias[[#This Row],[data]],Feriados[Data],Feriados[Feriado],1)</f>
        <v>1</v>
      </c>
      <c r="J1800" s="33" cm="1">
        <f t="array" aca="1" ref="J1800" ca="1">SUMPRODUCT(IF((NOT(ISERROR(MATCH(ROW(INDIRECT(DATE(YEAR(B1800),MONTH(B1800),1)&amp;":"&amp;DATE(YEAR(B1800),MONTH(B1800)+1,0))),Feriados[Data],0))))=FALSE,
IF(WEEKDAY(ROW(INDIRECT(DATE(YEAR(B1800),MONTH(B1800),1)&amp;":"&amp;DATE(YEAR(B1800),MONTH(B1800)+1,0))),2)&lt;=5,1,IF(WEEKDAY(ROW(INDIRECT(DATE(YEAR(B1800),MONTH(B1800),1)&amp;":"&amp;DATE(YEAR(B1800),MONTH(B1800)+1,0))),2)=6,0.5,0)),0))</f>
        <v>22</v>
      </c>
      <c r="K1800" s="22" cm="1">
        <f t="array" ref="K1800">_xlfn.XLOOKUP(1,((Metas_Diarias[[#This Row],[tipo_equipe_id]]=Metas[equipe])*(Metas_Diarias[[#This Row],[data]]&gt;Metas[data_inicio])*(Metas_Diarias[[#This Row],[data]]&lt;Metas[data_fim])),Metas[meta_mensal],0)</f>
        <v>115500</v>
      </c>
      <c r="L1800" s="24">
        <f ca="1">Metas_Diarias[[#This Row],[meta_mensal]]*IF(Metas_Diarias[[#This Row],[semana]]="domingo",0,Metas_Diarias[[#This Row],[semana]])*IF(Metas_Diarias[[#This Row],[feriado]]&lt;&gt;1,0,1)/Metas_Diarias[[#This Row],[dias_úteis_Mês]]</f>
        <v>5250</v>
      </c>
    </row>
    <row r="1801" spans="2:12" x14ac:dyDescent="0.3">
      <c r="B1801" s="34">
        <v>46357</v>
      </c>
      <c r="C1801" s="34" t="str">
        <f>TEXT(Metas_Diarias[[#This Row],[data]],"dddd")</f>
        <v>terça-feira</v>
      </c>
      <c r="D1801" s="33">
        <v>2</v>
      </c>
      <c r="E1801" s="33">
        <v>2</v>
      </c>
      <c r="F1801" s="18"/>
      <c r="G1801" s="35">
        <f>WEEKDAY(Metas_Diarias[[#This Row],[data]])</f>
        <v>3</v>
      </c>
      <c r="H1801" s="35">
        <f>IF(Metas_Diarias[[#This Row],[dias_da_demana]]=1,"domingo",IF(Metas_Diarias[[#This Row],[dias_da_demana]]=7,0.5,1))</f>
        <v>1</v>
      </c>
      <c r="I1801" s="35">
        <f>_xlfn.XLOOKUP(Metas_Diarias[[#This Row],[data]],Feriados[Data],Feriados[Feriado],1)</f>
        <v>1</v>
      </c>
      <c r="J1801" s="33" cm="1">
        <f t="array" aca="1" ref="J1801" ca="1">SUMPRODUCT(IF((NOT(ISERROR(MATCH(ROW(INDIRECT(DATE(YEAR(B1801),MONTH(B1801),1)&amp;":"&amp;DATE(YEAR(B1801),MONTH(B1801)+1,0))),Feriados[Data],0))))=FALSE,
IF(WEEKDAY(ROW(INDIRECT(DATE(YEAR(B1801),MONTH(B1801),1)&amp;":"&amp;DATE(YEAR(B1801),MONTH(B1801)+1,0))),2)&lt;=5,1,IF(WEEKDAY(ROW(INDIRECT(DATE(YEAR(B1801),MONTH(B1801),1)&amp;":"&amp;DATE(YEAR(B1801),MONTH(B1801)+1,0))),2)=6,0.5,0)),0))</f>
        <v>24</v>
      </c>
      <c r="K1801" s="22" cm="1">
        <f t="array" ref="K1801">_xlfn.XLOOKUP(1,((Metas_Diarias[[#This Row],[tipo_equipe_id]]=Metas[equipe])*(Metas_Diarias[[#This Row],[data]]&gt;Metas[data_inicio])*(Metas_Diarias[[#This Row],[data]]&lt;Metas[data_fim])),Metas[meta_mensal],0)</f>
        <v>115500</v>
      </c>
      <c r="L1801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02" spans="2:12" x14ac:dyDescent="0.3">
      <c r="B1802" s="34">
        <v>46358</v>
      </c>
      <c r="C1802" s="34" t="str">
        <f>TEXT(Metas_Diarias[[#This Row],[data]],"dddd")</f>
        <v>quarta-feira</v>
      </c>
      <c r="D1802" s="33">
        <v>2</v>
      </c>
      <c r="E1802" s="33">
        <v>2</v>
      </c>
      <c r="F1802" s="18"/>
      <c r="G1802" s="35">
        <f>WEEKDAY(Metas_Diarias[[#This Row],[data]])</f>
        <v>4</v>
      </c>
      <c r="H1802" s="35">
        <f>IF(Metas_Diarias[[#This Row],[dias_da_demana]]=1,"domingo",IF(Metas_Diarias[[#This Row],[dias_da_demana]]=7,0.5,1))</f>
        <v>1</v>
      </c>
      <c r="I1802" s="35">
        <f>_xlfn.XLOOKUP(Metas_Diarias[[#This Row],[data]],Feriados[Data],Feriados[Feriado],1)</f>
        <v>1</v>
      </c>
      <c r="J1802" s="33" cm="1">
        <f t="array" aca="1" ref="J1802" ca="1">SUMPRODUCT(IF((NOT(ISERROR(MATCH(ROW(INDIRECT(DATE(YEAR(B1802),MONTH(B1802),1)&amp;":"&amp;DATE(YEAR(B1802),MONTH(B1802)+1,0))),Feriados[Data],0))))=FALSE,
IF(WEEKDAY(ROW(INDIRECT(DATE(YEAR(B1802),MONTH(B1802),1)&amp;":"&amp;DATE(YEAR(B1802),MONTH(B1802)+1,0))),2)&lt;=5,1,IF(WEEKDAY(ROW(INDIRECT(DATE(YEAR(B1802),MONTH(B1802),1)&amp;":"&amp;DATE(YEAR(B1802),MONTH(B1802)+1,0))),2)=6,0.5,0)),0))</f>
        <v>24</v>
      </c>
      <c r="K1802" s="22" cm="1">
        <f t="array" ref="K1802">_xlfn.XLOOKUP(1,((Metas_Diarias[[#This Row],[tipo_equipe_id]]=Metas[equipe])*(Metas_Diarias[[#This Row],[data]]&gt;Metas[data_inicio])*(Metas_Diarias[[#This Row],[data]]&lt;Metas[data_fim])),Metas[meta_mensal],0)</f>
        <v>115500</v>
      </c>
      <c r="L1802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03" spans="2:12" x14ac:dyDescent="0.3">
      <c r="B1803" s="34">
        <v>46359</v>
      </c>
      <c r="C1803" s="34" t="str">
        <f>TEXT(Metas_Diarias[[#This Row],[data]],"dddd")</f>
        <v>quinta-feira</v>
      </c>
      <c r="D1803" s="33">
        <v>2</v>
      </c>
      <c r="E1803" s="33">
        <v>2</v>
      </c>
      <c r="F1803" s="18"/>
      <c r="G1803" s="35">
        <f>WEEKDAY(Metas_Diarias[[#This Row],[data]])</f>
        <v>5</v>
      </c>
      <c r="H1803" s="35">
        <f>IF(Metas_Diarias[[#This Row],[dias_da_demana]]=1,"domingo",IF(Metas_Diarias[[#This Row],[dias_da_demana]]=7,0.5,1))</f>
        <v>1</v>
      </c>
      <c r="I1803" s="35">
        <f>_xlfn.XLOOKUP(Metas_Diarias[[#This Row],[data]],Feriados[Data],Feriados[Feriado],1)</f>
        <v>1</v>
      </c>
      <c r="J1803" s="33" cm="1">
        <f t="array" aca="1" ref="J1803" ca="1">SUMPRODUCT(IF((NOT(ISERROR(MATCH(ROW(INDIRECT(DATE(YEAR(B1803),MONTH(B1803),1)&amp;":"&amp;DATE(YEAR(B1803),MONTH(B1803)+1,0))),Feriados[Data],0))))=FALSE,
IF(WEEKDAY(ROW(INDIRECT(DATE(YEAR(B1803),MONTH(B1803),1)&amp;":"&amp;DATE(YEAR(B1803),MONTH(B1803)+1,0))),2)&lt;=5,1,IF(WEEKDAY(ROW(INDIRECT(DATE(YEAR(B1803),MONTH(B1803),1)&amp;":"&amp;DATE(YEAR(B1803),MONTH(B1803)+1,0))),2)=6,0.5,0)),0))</f>
        <v>24</v>
      </c>
      <c r="K1803" s="22" cm="1">
        <f t="array" ref="K1803">_xlfn.XLOOKUP(1,((Metas_Diarias[[#This Row],[tipo_equipe_id]]=Metas[equipe])*(Metas_Diarias[[#This Row],[data]]&gt;Metas[data_inicio])*(Metas_Diarias[[#This Row],[data]]&lt;Metas[data_fim])),Metas[meta_mensal],0)</f>
        <v>115500</v>
      </c>
      <c r="L1803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04" spans="2:12" x14ac:dyDescent="0.3">
      <c r="B1804" s="34">
        <v>46360</v>
      </c>
      <c r="C1804" s="34" t="str">
        <f>TEXT(Metas_Diarias[[#This Row],[data]],"dddd")</f>
        <v>sexta-feira</v>
      </c>
      <c r="D1804" s="33">
        <v>2</v>
      </c>
      <c r="E1804" s="33">
        <v>2</v>
      </c>
      <c r="F1804" s="18"/>
      <c r="G1804" s="35">
        <f>WEEKDAY(Metas_Diarias[[#This Row],[data]])</f>
        <v>6</v>
      </c>
      <c r="H1804" s="35">
        <f>IF(Metas_Diarias[[#This Row],[dias_da_demana]]=1,"domingo",IF(Metas_Diarias[[#This Row],[dias_da_demana]]=7,0.5,1))</f>
        <v>1</v>
      </c>
      <c r="I1804" s="35">
        <f>_xlfn.XLOOKUP(Metas_Diarias[[#This Row],[data]],Feriados[Data],Feriados[Feriado],1)</f>
        <v>1</v>
      </c>
      <c r="J1804" s="33" cm="1">
        <f t="array" aca="1" ref="J1804" ca="1">SUMPRODUCT(IF((NOT(ISERROR(MATCH(ROW(INDIRECT(DATE(YEAR(B1804),MONTH(B1804),1)&amp;":"&amp;DATE(YEAR(B1804),MONTH(B1804)+1,0))),Feriados[Data],0))))=FALSE,
IF(WEEKDAY(ROW(INDIRECT(DATE(YEAR(B1804),MONTH(B1804),1)&amp;":"&amp;DATE(YEAR(B1804),MONTH(B1804)+1,0))),2)&lt;=5,1,IF(WEEKDAY(ROW(INDIRECT(DATE(YEAR(B1804),MONTH(B1804),1)&amp;":"&amp;DATE(YEAR(B1804),MONTH(B1804)+1,0))),2)=6,0.5,0)),0))</f>
        <v>24</v>
      </c>
      <c r="K1804" s="22" cm="1">
        <f t="array" ref="K1804">_xlfn.XLOOKUP(1,((Metas_Diarias[[#This Row],[tipo_equipe_id]]=Metas[equipe])*(Metas_Diarias[[#This Row],[data]]&gt;Metas[data_inicio])*(Metas_Diarias[[#This Row],[data]]&lt;Metas[data_fim])),Metas[meta_mensal],0)</f>
        <v>115500</v>
      </c>
      <c r="L1804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05" spans="2:12" x14ac:dyDescent="0.3">
      <c r="B1805" s="34">
        <v>46361</v>
      </c>
      <c r="C1805" s="34" t="str">
        <f>TEXT(Metas_Diarias[[#This Row],[data]],"dddd")</f>
        <v>sábado</v>
      </c>
      <c r="D1805" s="33">
        <v>2</v>
      </c>
      <c r="E1805" s="33">
        <v>2</v>
      </c>
      <c r="F1805" s="18"/>
      <c r="G1805" s="35">
        <f>WEEKDAY(Metas_Diarias[[#This Row],[data]])</f>
        <v>7</v>
      </c>
      <c r="H1805" s="35">
        <f>IF(Metas_Diarias[[#This Row],[dias_da_demana]]=1,"domingo",IF(Metas_Diarias[[#This Row],[dias_da_demana]]=7,0.5,1))</f>
        <v>0.5</v>
      </c>
      <c r="I1805" s="35">
        <f>_xlfn.XLOOKUP(Metas_Diarias[[#This Row],[data]],Feriados[Data],Feriados[Feriado],1)</f>
        <v>1</v>
      </c>
      <c r="J1805" s="33" cm="1">
        <f t="array" aca="1" ref="J1805" ca="1">SUMPRODUCT(IF((NOT(ISERROR(MATCH(ROW(INDIRECT(DATE(YEAR(B1805),MONTH(B1805),1)&amp;":"&amp;DATE(YEAR(B1805),MONTH(B1805)+1,0))),Feriados[Data],0))))=FALSE,
IF(WEEKDAY(ROW(INDIRECT(DATE(YEAR(B1805),MONTH(B1805),1)&amp;":"&amp;DATE(YEAR(B1805),MONTH(B1805)+1,0))),2)&lt;=5,1,IF(WEEKDAY(ROW(INDIRECT(DATE(YEAR(B1805),MONTH(B1805),1)&amp;":"&amp;DATE(YEAR(B1805),MONTH(B1805)+1,0))),2)=6,0.5,0)),0))</f>
        <v>24</v>
      </c>
      <c r="K1805" s="22" cm="1">
        <f t="array" ref="K1805">_xlfn.XLOOKUP(1,((Metas_Diarias[[#This Row],[tipo_equipe_id]]=Metas[equipe])*(Metas_Diarias[[#This Row],[data]]&gt;Metas[data_inicio])*(Metas_Diarias[[#This Row],[data]]&lt;Metas[data_fim])),Metas[meta_mensal],0)</f>
        <v>115500</v>
      </c>
      <c r="L1805" s="24">
        <f ca="1">Metas_Diarias[[#This Row],[meta_mensal]]*IF(Metas_Diarias[[#This Row],[semana]]="domingo",0,Metas_Diarias[[#This Row],[semana]])*IF(Metas_Diarias[[#This Row],[feriado]]&lt;&gt;1,0,1)/Metas_Diarias[[#This Row],[dias_úteis_Mês]]</f>
        <v>2406.25</v>
      </c>
    </row>
    <row r="1806" spans="2:12" x14ac:dyDescent="0.3">
      <c r="B1806" s="34">
        <v>46362</v>
      </c>
      <c r="C1806" s="34" t="str">
        <f>TEXT(Metas_Diarias[[#This Row],[data]],"dddd")</f>
        <v>domingo</v>
      </c>
      <c r="D1806" s="33">
        <v>2</v>
      </c>
      <c r="E1806" s="33">
        <v>2</v>
      </c>
      <c r="F1806" s="18"/>
      <c r="G1806" s="35">
        <f>WEEKDAY(Metas_Diarias[[#This Row],[data]])</f>
        <v>1</v>
      </c>
      <c r="H1806" s="35" t="str">
        <f>IF(Metas_Diarias[[#This Row],[dias_da_demana]]=1,"domingo",IF(Metas_Diarias[[#This Row],[dias_da_demana]]=7,0.5,1))</f>
        <v>domingo</v>
      </c>
      <c r="I1806" s="35">
        <f>_xlfn.XLOOKUP(Metas_Diarias[[#This Row],[data]],Feriados[Data],Feriados[Feriado],1)</f>
        <v>1</v>
      </c>
      <c r="J1806" s="33" cm="1">
        <f t="array" aca="1" ref="J1806" ca="1">SUMPRODUCT(IF((NOT(ISERROR(MATCH(ROW(INDIRECT(DATE(YEAR(B1806),MONTH(B1806),1)&amp;":"&amp;DATE(YEAR(B1806),MONTH(B1806)+1,0))),Feriados[Data],0))))=FALSE,
IF(WEEKDAY(ROW(INDIRECT(DATE(YEAR(B1806),MONTH(B1806),1)&amp;":"&amp;DATE(YEAR(B1806),MONTH(B1806)+1,0))),2)&lt;=5,1,IF(WEEKDAY(ROW(INDIRECT(DATE(YEAR(B1806),MONTH(B1806),1)&amp;":"&amp;DATE(YEAR(B1806),MONTH(B1806)+1,0))),2)=6,0.5,0)),0))</f>
        <v>24</v>
      </c>
      <c r="K1806" s="22" cm="1">
        <f t="array" ref="K1806">_xlfn.XLOOKUP(1,((Metas_Diarias[[#This Row],[tipo_equipe_id]]=Metas[equipe])*(Metas_Diarias[[#This Row],[data]]&gt;Metas[data_inicio])*(Metas_Diarias[[#This Row],[data]]&lt;Metas[data_fim])),Metas[meta_mensal],0)</f>
        <v>115500</v>
      </c>
      <c r="L180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07" spans="2:12" x14ac:dyDescent="0.3">
      <c r="B1807" s="34">
        <v>46363</v>
      </c>
      <c r="C1807" s="34" t="str">
        <f>TEXT(Metas_Diarias[[#This Row],[data]],"dddd")</f>
        <v>segunda-feira</v>
      </c>
      <c r="D1807" s="33">
        <v>2</v>
      </c>
      <c r="E1807" s="33">
        <v>2</v>
      </c>
      <c r="F1807" s="18"/>
      <c r="G1807" s="35">
        <f>WEEKDAY(Metas_Diarias[[#This Row],[data]])</f>
        <v>2</v>
      </c>
      <c r="H1807" s="35">
        <f>IF(Metas_Diarias[[#This Row],[dias_da_demana]]=1,"domingo",IF(Metas_Diarias[[#This Row],[dias_da_demana]]=7,0.5,1))</f>
        <v>1</v>
      </c>
      <c r="I1807" s="35">
        <f>_xlfn.XLOOKUP(Metas_Diarias[[#This Row],[data]],Feriados[Data],Feriados[Feriado],1)</f>
        <v>1</v>
      </c>
      <c r="J1807" s="33" cm="1">
        <f t="array" aca="1" ref="J1807" ca="1">SUMPRODUCT(IF((NOT(ISERROR(MATCH(ROW(INDIRECT(DATE(YEAR(B1807),MONTH(B1807),1)&amp;":"&amp;DATE(YEAR(B1807),MONTH(B1807)+1,0))),Feriados[Data],0))))=FALSE,
IF(WEEKDAY(ROW(INDIRECT(DATE(YEAR(B1807),MONTH(B1807),1)&amp;":"&amp;DATE(YEAR(B1807),MONTH(B1807)+1,0))),2)&lt;=5,1,IF(WEEKDAY(ROW(INDIRECT(DATE(YEAR(B1807),MONTH(B1807),1)&amp;":"&amp;DATE(YEAR(B1807),MONTH(B1807)+1,0))),2)=6,0.5,0)),0))</f>
        <v>24</v>
      </c>
      <c r="K1807" s="22" cm="1">
        <f t="array" ref="K1807">_xlfn.XLOOKUP(1,((Metas_Diarias[[#This Row],[tipo_equipe_id]]=Metas[equipe])*(Metas_Diarias[[#This Row],[data]]&gt;Metas[data_inicio])*(Metas_Diarias[[#This Row],[data]]&lt;Metas[data_fim])),Metas[meta_mensal],0)</f>
        <v>115500</v>
      </c>
      <c r="L1807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08" spans="2:12" x14ac:dyDescent="0.3">
      <c r="B1808" s="34">
        <v>46364</v>
      </c>
      <c r="C1808" s="34" t="str">
        <f>TEXT(Metas_Diarias[[#This Row],[data]],"dddd")</f>
        <v>terça-feira</v>
      </c>
      <c r="D1808" s="33">
        <v>2</v>
      </c>
      <c r="E1808" s="33">
        <v>2</v>
      </c>
      <c r="F1808" s="18"/>
      <c r="G1808" s="35">
        <f>WEEKDAY(Metas_Diarias[[#This Row],[data]])</f>
        <v>3</v>
      </c>
      <c r="H1808" s="35">
        <f>IF(Metas_Diarias[[#This Row],[dias_da_demana]]=1,"domingo",IF(Metas_Diarias[[#This Row],[dias_da_demana]]=7,0.5,1))</f>
        <v>1</v>
      </c>
      <c r="I1808" s="35">
        <f>_xlfn.XLOOKUP(Metas_Diarias[[#This Row],[data]],Feriados[Data],Feriados[Feriado],1)</f>
        <v>1</v>
      </c>
      <c r="J1808" s="33" cm="1">
        <f t="array" aca="1" ref="J1808" ca="1">SUMPRODUCT(IF((NOT(ISERROR(MATCH(ROW(INDIRECT(DATE(YEAR(B1808),MONTH(B1808),1)&amp;":"&amp;DATE(YEAR(B1808),MONTH(B1808)+1,0))),Feriados[Data],0))))=FALSE,
IF(WEEKDAY(ROW(INDIRECT(DATE(YEAR(B1808),MONTH(B1808),1)&amp;":"&amp;DATE(YEAR(B1808),MONTH(B1808)+1,0))),2)&lt;=5,1,IF(WEEKDAY(ROW(INDIRECT(DATE(YEAR(B1808),MONTH(B1808),1)&amp;":"&amp;DATE(YEAR(B1808),MONTH(B1808)+1,0))),2)=6,0.5,0)),0))</f>
        <v>24</v>
      </c>
      <c r="K1808" s="22" cm="1">
        <f t="array" ref="K1808">_xlfn.XLOOKUP(1,((Metas_Diarias[[#This Row],[tipo_equipe_id]]=Metas[equipe])*(Metas_Diarias[[#This Row],[data]]&gt;Metas[data_inicio])*(Metas_Diarias[[#This Row],[data]]&lt;Metas[data_fim])),Metas[meta_mensal],0)</f>
        <v>115500</v>
      </c>
      <c r="L1808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09" spans="2:12" x14ac:dyDescent="0.3">
      <c r="B1809" s="34">
        <v>46365</v>
      </c>
      <c r="C1809" s="34" t="str">
        <f>TEXT(Metas_Diarias[[#This Row],[data]],"dddd")</f>
        <v>quarta-feira</v>
      </c>
      <c r="D1809" s="33">
        <v>2</v>
      </c>
      <c r="E1809" s="33">
        <v>2</v>
      </c>
      <c r="F1809" s="18"/>
      <c r="G1809" s="35">
        <f>WEEKDAY(Metas_Diarias[[#This Row],[data]])</f>
        <v>4</v>
      </c>
      <c r="H1809" s="35">
        <f>IF(Metas_Diarias[[#This Row],[dias_da_demana]]=1,"domingo",IF(Metas_Diarias[[#This Row],[dias_da_demana]]=7,0.5,1))</f>
        <v>1</v>
      </c>
      <c r="I1809" s="35">
        <f>_xlfn.XLOOKUP(Metas_Diarias[[#This Row],[data]],Feriados[Data],Feriados[Feriado],1)</f>
        <v>1</v>
      </c>
      <c r="J1809" s="33" cm="1">
        <f t="array" aca="1" ref="J1809" ca="1">SUMPRODUCT(IF((NOT(ISERROR(MATCH(ROW(INDIRECT(DATE(YEAR(B1809),MONTH(B1809),1)&amp;":"&amp;DATE(YEAR(B1809),MONTH(B1809)+1,0))),Feriados[Data],0))))=FALSE,
IF(WEEKDAY(ROW(INDIRECT(DATE(YEAR(B1809),MONTH(B1809),1)&amp;":"&amp;DATE(YEAR(B1809),MONTH(B1809)+1,0))),2)&lt;=5,1,IF(WEEKDAY(ROW(INDIRECT(DATE(YEAR(B1809),MONTH(B1809),1)&amp;":"&amp;DATE(YEAR(B1809),MONTH(B1809)+1,0))),2)=6,0.5,0)),0))</f>
        <v>24</v>
      </c>
      <c r="K1809" s="22" cm="1">
        <f t="array" ref="K1809">_xlfn.XLOOKUP(1,((Metas_Diarias[[#This Row],[tipo_equipe_id]]=Metas[equipe])*(Metas_Diarias[[#This Row],[data]]&gt;Metas[data_inicio])*(Metas_Diarias[[#This Row],[data]]&lt;Metas[data_fim])),Metas[meta_mensal],0)</f>
        <v>115500</v>
      </c>
      <c r="L1809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10" spans="2:12" x14ac:dyDescent="0.3">
      <c r="B1810" s="34">
        <v>46366</v>
      </c>
      <c r="C1810" s="34" t="str">
        <f>TEXT(Metas_Diarias[[#This Row],[data]],"dddd")</f>
        <v>quinta-feira</v>
      </c>
      <c r="D1810" s="33">
        <v>2</v>
      </c>
      <c r="E1810" s="33">
        <v>2</v>
      </c>
      <c r="F1810" s="18"/>
      <c r="G1810" s="35">
        <f>WEEKDAY(Metas_Diarias[[#This Row],[data]])</f>
        <v>5</v>
      </c>
      <c r="H1810" s="35">
        <f>IF(Metas_Diarias[[#This Row],[dias_da_demana]]=1,"domingo",IF(Metas_Diarias[[#This Row],[dias_da_demana]]=7,0.5,1))</f>
        <v>1</v>
      </c>
      <c r="I1810" s="35">
        <f>_xlfn.XLOOKUP(Metas_Diarias[[#This Row],[data]],Feriados[Data],Feriados[Feriado],1)</f>
        <v>1</v>
      </c>
      <c r="J1810" s="33" cm="1">
        <f t="array" aca="1" ref="J1810" ca="1">SUMPRODUCT(IF((NOT(ISERROR(MATCH(ROW(INDIRECT(DATE(YEAR(B1810),MONTH(B1810),1)&amp;":"&amp;DATE(YEAR(B1810),MONTH(B1810)+1,0))),Feriados[Data],0))))=FALSE,
IF(WEEKDAY(ROW(INDIRECT(DATE(YEAR(B1810),MONTH(B1810),1)&amp;":"&amp;DATE(YEAR(B1810),MONTH(B1810)+1,0))),2)&lt;=5,1,IF(WEEKDAY(ROW(INDIRECT(DATE(YEAR(B1810),MONTH(B1810),1)&amp;":"&amp;DATE(YEAR(B1810),MONTH(B1810)+1,0))),2)=6,0.5,0)),0))</f>
        <v>24</v>
      </c>
      <c r="K1810" s="22" cm="1">
        <f t="array" ref="K1810">_xlfn.XLOOKUP(1,((Metas_Diarias[[#This Row],[tipo_equipe_id]]=Metas[equipe])*(Metas_Diarias[[#This Row],[data]]&gt;Metas[data_inicio])*(Metas_Diarias[[#This Row],[data]]&lt;Metas[data_fim])),Metas[meta_mensal],0)</f>
        <v>115500</v>
      </c>
      <c r="L1810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11" spans="2:12" x14ac:dyDescent="0.3">
      <c r="B1811" s="34">
        <v>46367</v>
      </c>
      <c r="C1811" s="34" t="str">
        <f>TEXT(Metas_Diarias[[#This Row],[data]],"dddd")</f>
        <v>sexta-feira</v>
      </c>
      <c r="D1811" s="33">
        <v>2</v>
      </c>
      <c r="E1811" s="33">
        <v>2</v>
      </c>
      <c r="F1811" s="18"/>
      <c r="G1811" s="35">
        <f>WEEKDAY(Metas_Diarias[[#This Row],[data]])</f>
        <v>6</v>
      </c>
      <c r="H1811" s="35">
        <f>IF(Metas_Diarias[[#This Row],[dias_da_demana]]=1,"domingo",IF(Metas_Diarias[[#This Row],[dias_da_demana]]=7,0.5,1))</f>
        <v>1</v>
      </c>
      <c r="I1811" s="35">
        <f>_xlfn.XLOOKUP(Metas_Diarias[[#This Row],[data]],Feriados[Data],Feriados[Feriado],1)</f>
        <v>1</v>
      </c>
      <c r="J1811" s="33" cm="1">
        <f t="array" aca="1" ref="J1811" ca="1">SUMPRODUCT(IF((NOT(ISERROR(MATCH(ROW(INDIRECT(DATE(YEAR(B1811),MONTH(B1811),1)&amp;":"&amp;DATE(YEAR(B1811),MONTH(B1811)+1,0))),Feriados[Data],0))))=FALSE,
IF(WEEKDAY(ROW(INDIRECT(DATE(YEAR(B1811),MONTH(B1811),1)&amp;":"&amp;DATE(YEAR(B1811),MONTH(B1811)+1,0))),2)&lt;=5,1,IF(WEEKDAY(ROW(INDIRECT(DATE(YEAR(B1811),MONTH(B1811),1)&amp;":"&amp;DATE(YEAR(B1811),MONTH(B1811)+1,0))),2)=6,0.5,0)),0))</f>
        <v>24</v>
      </c>
      <c r="K1811" s="22" cm="1">
        <f t="array" ref="K1811">_xlfn.XLOOKUP(1,((Metas_Diarias[[#This Row],[tipo_equipe_id]]=Metas[equipe])*(Metas_Diarias[[#This Row],[data]]&gt;Metas[data_inicio])*(Metas_Diarias[[#This Row],[data]]&lt;Metas[data_fim])),Metas[meta_mensal],0)</f>
        <v>115500</v>
      </c>
      <c r="L1811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12" spans="2:12" x14ac:dyDescent="0.3">
      <c r="B1812" s="34">
        <v>46368</v>
      </c>
      <c r="C1812" s="34" t="str">
        <f>TEXT(Metas_Diarias[[#This Row],[data]],"dddd")</f>
        <v>sábado</v>
      </c>
      <c r="D1812" s="33">
        <v>2</v>
      </c>
      <c r="E1812" s="33">
        <v>2</v>
      </c>
      <c r="F1812" s="18"/>
      <c r="G1812" s="35">
        <f>WEEKDAY(Metas_Diarias[[#This Row],[data]])</f>
        <v>7</v>
      </c>
      <c r="H1812" s="35">
        <f>IF(Metas_Diarias[[#This Row],[dias_da_demana]]=1,"domingo",IF(Metas_Diarias[[#This Row],[dias_da_demana]]=7,0.5,1))</f>
        <v>0.5</v>
      </c>
      <c r="I1812" s="35">
        <f>_xlfn.XLOOKUP(Metas_Diarias[[#This Row],[data]],Feriados[Data],Feriados[Feriado],1)</f>
        <v>1</v>
      </c>
      <c r="J1812" s="33" cm="1">
        <f t="array" aca="1" ref="J1812" ca="1">SUMPRODUCT(IF((NOT(ISERROR(MATCH(ROW(INDIRECT(DATE(YEAR(B1812),MONTH(B1812),1)&amp;":"&amp;DATE(YEAR(B1812),MONTH(B1812)+1,0))),Feriados[Data],0))))=FALSE,
IF(WEEKDAY(ROW(INDIRECT(DATE(YEAR(B1812),MONTH(B1812),1)&amp;":"&amp;DATE(YEAR(B1812),MONTH(B1812)+1,0))),2)&lt;=5,1,IF(WEEKDAY(ROW(INDIRECT(DATE(YEAR(B1812),MONTH(B1812),1)&amp;":"&amp;DATE(YEAR(B1812),MONTH(B1812)+1,0))),2)=6,0.5,0)),0))</f>
        <v>24</v>
      </c>
      <c r="K1812" s="22" cm="1">
        <f t="array" ref="K1812">_xlfn.XLOOKUP(1,((Metas_Diarias[[#This Row],[tipo_equipe_id]]=Metas[equipe])*(Metas_Diarias[[#This Row],[data]]&gt;Metas[data_inicio])*(Metas_Diarias[[#This Row],[data]]&lt;Metas[data_fim])),Metas[meta_mensal],0)</f>
        <v>115500</v>
      </c>
      <c r="L1812" s="24">
        <f ca="1">Metas_Diarias[[#This Row],[meta_mensal]]*IF(Metas_Diarias[[#This Row],[semana]]="domingo",0,Metas_Diarias[[#This Row],[semana]])*IF(Metas_Diarias[[#This Row],[feriado]]&lt;&gt;1,0,1)/Metas_Diarias[[#This Row],[dias_úteis_Mês]]</f>
        <v>2406.25</v>
      </c>
    </row>
    <row r="1813" spans="2:12" x14ac:dyDescent="0.3">
      <c r="B1813" s="34">
        <v>46369</v>
      </c>
      <c r="C1813" s="34" t="str">
        <f>TEXT(Metas_Diarias[[#This Row],[data]],"dddd")</f>
        <v>domingo</v>
      </c>
      <c r="D1813" s="33">
        <v>2</v>
      </c>
      <c r="E1813" s="33">
        <v>2</v>
      </c>
      <c r="F1813" s="18"/>
      <c r="G1813" s="35">
        <f>WEEKDAY(Metas_Diarias[[#This Row],[data]])</f>
        <v>1</v>
      </c>
      <c r="H1813" s="35" t="str">
        <f>IF(Metas_Diarias[[#This Row],[dias_da_demana]]=1,"domingo",IF(Metas_Diarias[[#This Row],[dias_da_demana]]=7,0.5,1))</f>
        <v>domingo</v>
      </c>
      <c r="I1813" s="35">
        <f>_xlfn.XLOOKUP(Metas_Diarias[[#This Row],[data]],Feriados[Data],Feriados[Feriado],1)</f>
        <v>1</v>
      </c>
      <c r="J1813" s="33" cm="1">
        <f t="array" aca="1" ref="J1813" ca="1">SUMPRODUCT(IF((NOT(ISERROR(MATCH(ROW(INDIRECT(DATE(YEAR(B1813),MONTH(B1813),1)&amp;":"&amp;DATE(YEAR(B1813),MONTH(B1813)+1,0))),Feriados[Data],0))))=FALSE,
IF(WEEKDAY(ROW(INDIRECT(DATE(YEAR(B1813),MONTH(B1813),1)&amp;":"&amp;DATE(YEAR(B1813),MONTH(B1813)+1,0))),2)&lt;=5,1,IF(WEEKDAY(ROW(INDIRECT(DATE(YEAR(B1813),MONTH(B1813),1)&amp;":"&amp;DATE(YEAR(B1813),MONTH(B1813)+1,0))),2)=6,0.5,0)),0))</f>
        <v>24</v>
      </c>
      <c r="K1813" s="22" cm="1">
        <f t="array" ref="K1813">_xlfn.XLOOKUP(1,((Metas_Diarias[[#This Row],[tipo_equipe_id]]=Metas[equipe])*(Metas_Diarias[[#This Row],[data]]&gt;Metas[data_inicio])*(Metas_Diarias[[#This Row],[data]]&lt;Metas[data_fim])),Metas[meta_mensal],0)</f>
        <v>115500</v>
      </c>
      <c r="L181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14" spans="2:12" x14ac:dyDescent="0.3">
      <c r="B1814" s="34">
        <v>46370</v>
      </c>
      <c r="C1814" s="34" t="str">
        <f>TEXT(Metas_Diarias[[#This Row],[data]],"dddd")</f>
        <v>segunda-feira</v>
      </c>
      <c r="D1814" s="33">
        <v>2</v>
      </c>
      <c r="E1814" s="33">
        <v>2</v>
      </c>
      <c r="F1814" s="18"/>
      <c r="G1814" s="35">
        <f>WEEKDAY(Metas_Diarias[[#This Row],[data]])</f>
        <v>2</v>
      </c>
      <c r="H1814" s="35">
        <f>IF(Metas_Diarias[[#This Row],[dias_da_demana]]=1,"domingo",IF(Metas_Diarias[[#This Row],[dias_da_demana]]=7,0.5,1))</f>
        <v>1</v>
      </c>
      <c r="I1814" s="35">
        <f>_xlfn.XLOOKUP(Metas_Diarias[[#This Row],[data]],Feriados[Data],Feriados[Feriado],1)</f>
        <v>1</v>
      </c>
      <c r="J1814" s="33" cm="1">
        <f t="array" aca="1" ref="J1814" ca="1">SUMPRODUCT(IF((NOT(ISERROR(MATCH(ROW(INDIRECT(DATE(YEAR(B1814),MONTH(B1814),1)&amp;":"&amp;DATE(YEAR(B1814),MONTH(B1814)+1,0))),Feriados[Data],0))))=FALSE,
IF(WEEKDAY(ROW(INDIRECT(DATE(YEAR(B1814),MONTH(B1814),1)&amp;":"&amp;DATE(YEAR(B1814),MONTH(B1814)+1,0))),2)&lt;=5,1,IF(WEEKDAY(ROW(INDIRECT(DATE(YEAR(B1814),MONTH(B1814),1)&amp;":"&amp;DATE(YEAR(B1814),MONTH(B1814)+1,0))),2)=6,0.5,0)),0))</f>
        <v>24</v>
      </c>
      <c r="K1814" s="22" cm="1">
        <f t="array" ref="K1814">_xlfn.XLOOKUP(1,((Metas_Diarias[[#This Row],[tipo_equipe_id]]=Metas[equipe])*(Metas_Diarias[[#This Row],[data]]&gt;Metas[data_inicio])*(Metas_Diarias[[#This Row],[data]]&lt;Metas[data_fim])),Metas[meta_mensal],0)</f>
        <v>115500</v>
      </c>
      <c r="L1814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15" spans="2:12" x14ac:dyDescent="0.3">
      <c r="B1815" s="34">
        <v>46371</v>
      </c>
      <c r="C1815" s="34" t="str">
        <f>TEXT(Metas_Diarias[[#This Row],[data]],"dddd")</f>
        <v>terça-feira</v>
      </c>
      <c r="D1815" s="33">
        <v>2</v>
      </c>
      <c r="E1815" s="33">
        <v>2</v>
      </c>
      <c r="F1815" s="18"/>
      <c r="G1815" s="35">
        <f>WEEKDAY(Metas_Diarias[[#This Row],[data]])</f>
        <v>3</v>
      </c>
      <c r="H1815" s="35">
        <f>IF(Metas_Diarias[[#This Row],[dias_da_demana]]=1,"domingo",IF(Metas_Diarias[[#This Row],[dias_da_demana]]=7,0.5,1))</f>
        <v>1</v>
      </c>
      <c r="I1815" s="35">
        <f>_xlfn.XLOOKUP(Metas_Diarias[[#This Row],[data]],Feriados[Data],Feriados[Feriado],1)</f>
        <v>1</v>
      </c>
      <c r="J1815" s="33" cm="1">
        <f t="array" aca="1" ref="J1815" ca="1">SUMPRODUCT(IF((NOT(ISERROR(MATCH(ROW(INDIRECT(DATE(YEAR(B1815),MONTH(B1815),1)&amp;":"&amp;DATE(YEAR(B1815),MONTH(B1815)+1,0))),Feriados[Data],0))))=FALSE,
IF(WEEKDAY(ROW(INDIRECT(DATE(YEAR(B1815),MONTH(B1815),1)&amp;":"&amp;DATE(YEAR(B1815),MONTH(B1815)+1,0))),2)&lt;=5,1,IF(WEEKDAY(ROW(INDIRECT(DATE(YEAR(B1815),MONTH(B1815),1)&amp;":"&amp;DATE(YEAR(B1815),MONTH(B1815)+1,0))),2)=6,0.5,0)),0))</f>
        <v>24</v>
      </c>
      <c r="K1815" s="22" cm="1">
        <f t="array" ref="K1815">_xlfn.XLOOKUP(1,((Metas_Diarias[[#This Row],[tipo_equipe_id]]=Metas[equipe])*(Metas_Diarias[[#This Row],[data]]&gt;Metas[data_inicio])*(Metas_Diarias[[#This Row],[data]]&lt;Metas[data_fim])),Metas[meta_mensal],0)</f>
        <v>115500</v>
      </c>
      <c r="L1815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16" spans="2:12" x14ac:dyDescent="0.3">
      <c r="B1816" s="34">
        <v>46372</v>
      </c>
      <c r="C1816" s="34" t="str">
        <f>TEXT(Metas_Diarias[[#This Row],[data]],"dddd")</f>
        <v>quarta-feira</v>
      </c>
      <c r="D1816" s="33">
        <v>2</v>
      </c>
      <c r="E1816" s="33">
        <v>2</v>
      </c>
      <c r="F1816" s="18"/>
      <c r="G1816" s="35">
        <f>WEEKDAY(Metas_Diarias[[#This Row],[data]])</f>
        <v>4</v>
      </c>
      <c r="H1816" s="35">
        <f>IF(Metas_Diarias[[#This Row],[dias_da_demana]]=1,"domingo",IF(Metas_Diarias[[#This Row],[dias_da_demana]]=7,0.5,1))</f>
        <v>1</v>
      </c>
      <c r="I1816" s="35">
        <f>_xlfn.XLOOKUP(Metas_Diarias[[#This Row],[data]],Feriados[Data],Feriados[Feriado],1)</f>
        <v>1</v>
      </c>
      <c r="J1816" s="33" cm="1">
        <f t="array" aca="1" ref="J1816" ca="1">SUMPRODUCT(IF((NOT(ISERROR(MATCH(ROW(INDIRECT(DATE(YEAR(B1816),MONTH(B1816),1)&amp;":"&amp;DATE(YEAR(B1816),MONTH(B1816)+1,0))),Feriados[Data],0))))=FALSE,
IF(WEEKDAY(ROW(INDIRECT(DATE(YEAR(B1816),MONTH(B1816),1)&amp;":"&amp;DATE(YEAR(B1816),MONTH(B1816)+1,0))),2)&lt;=5,1,IF(WEEKDAY(ROW(INDIRECT(DATE(YEAR(B1816),MONTH(B1816),1)&amp;":"&amp;DATE(YEAR(B1816),MONTH(B1816)+1,0))),2)=6,0.5,0)),0))</f>
        <v>24</v>
      </c>
      <c r="K1816" s="22" cm="1">
        <f t="array" ref="K1816">_xlfn.XLOOKUP(1,((Metas_Diarias[[#This Row],[tipo_equipe_id]]=Metas[equipe])*(Metas_Diarias[[#This Row],[data]]&gt;Metas[data_inicio])*(Metas_Diarias[[#This Row],[data]]&lt;Metas[data_fim])),Metas[meta_mensal],0)</f>
        <v>115500</v>
      </c>
      <c r="L1816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17" spans="2:12" x14ac:dyDescent="0.3">
      <c r="B1817" s="34">
        <v>46373</v>
      </c>
      <c r="C1817" s="34" t="str">
        <f>TEXT(Metas_Diarias[[#This Row],[data]],"dddd")</f>
        <v>quinta-feira</v>
      </c>
      <c r="D1817" s="33">
        <v>2</v>
      </c>
      <c r="E1817" s="33">
        <v>2</v>
      </c>
      <c r="F1817" s="18"/>
      <c r="G1817" s="35">
        <f>WEEKDAY(Metas_Diarias[[#This Row],[data]])</f>
        <v>5</v>
      </c>
      <c r="H1817" s="35">
        <f>IF(Metas_Diarias[[#This Row],[dias_da_demana]]=1,"domingo",IF(Metas_Diarias[[#This Row],[dias_da_demana]]=7,0.5,1))</f>
        <v>1</v>
      </c>
      <c r="I1817" s="35">
        <f>_xlfn.XLOOKUP(Metas_Diarias[[#This Row],[data]],Feriados[Data],Feriados[Feriado],1)</f>
        <v>1</v>
      </c>
      <c r="J1817" s="33" cm="1">
        <f t="array" aca="1" ref="J1817" ca="1">SUMPRODUCT(IF((NOT(ISERROR(MATCH(ROW(INDIRECT(DATE(YEAR(B1817),MONTH(B1817),1)&amp;":"&amp;DATE(YEAR(B1817),MONTH(B1817)+1,0))),Feriados[Data],0))))=FALSE,
IF(WEEKDAY(ROW(INDIRECT(DATE(YEAR(B1817),MONTH(B1817),1)&amp;":"&amp;DATE(YEAR(B1817),MONTH(B1817)+1,0))),2)&lt;=5,1,IF(WEEKDAY(ROW(INDIRECT(DATE(YEAR(B1817),MONTH(B1817),1)&amp;":"&amp;DATE(YEAR(B1817),MONTH(B1817)+1,0))),2)=6,0.5,0)),0))</f>
        <v>24</v>
      </c>
      <c r="K1817" s="22" cm="1">
        <f t="array" ref="K1817">_xlfn.XLOOKUP(1,((Metas_Diarias[[#This Row],[tipo_equipe_id]]=Metas[equipe])*(Metas_Diarias[[#This Row],[data]]&gt;Metas[data_inicio])*(Metas_Diarias[[#This Row],[data]]&lt;Metas[data_fim])),Metas[meta_mensal],0)</f>
        <v>115500</v>
      </c>
      <c r="L1817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18" spans="2:12" x14ac:dyDescent="0.3">
      <c r="B1818" s="34">
        <v>46374</v>
      </c>
      <c r="C1818" s="34" t="str">
        <f>TEXT(Metas_Diarias[[#This Row],[data]],"dddd")</f>
        <v>sexta-feira</v>
      </c>
      <c r="D1818" s="33">
        <v>2</v>
      </c>
      <c r="E1818" s="33">
        <v>2</v>
      </c>
      <c r="F1818" s="18"/>
      <c r="G1818" s="35">
        <f>WEEKDAY(Metas_Diarias[[#This Row],[data]])</f>
        <v>6</v>
      </c>
      <c r="H1818" s="35">
        <f>IF(Metas_Diarias[[#This Row],[dias_da_demana]]=1,"domingo",IF(Metas_Diarias[[#This Row],[dias_da_demana]]=7,0.5,1))</f>
        <v>1</v>
      </c>
      <c r="I1818" s="35">
        <f>_xlfn.XLOOKUP(Metas_Diarias[[#This Row],[data]],Feriados[Data],Feriados[Feriado],1)</f>
        <v>1</v>
      </c>
      <c r="J1818" s="33" cm="1">
        <f t="array" aca="1" ref="J1818" ca="1">SUMPRODUCT(IF((NOT(ISERROR(MATCH(ROW(INDIRECT(DATE(YEAR(B1818),MONTH(B1818),1)&amp;":"&amp;DATE(YEAR(B1818),MONTH(B1818)+1,0))),Feriados[Data],0))))=FALSE,
IF(WEEKDAY(ROW(INDIRECT(DATE(YEAR(B1818),MONTH(B1818),1)&amp;":"&amp;DATE(YEAR(B1818),MONTH(B1818)+1,0))),2)&lt;=5,1,IF(WEEKDAY(ROW(INDIRECT(DATE(YEAR(B1818),MONTH(B1818),1)&amp;":"&amp;DATE(YEAR(B1818),MONTH(B1818)+1,0))),2)=6,0.5,0)),0))</f>
        <v>24</v>
      </c>
      <c r="K1818" s="22" cm="1">
        <f t="array" ref="K1818">_xlfn.XLOOKUP(1,((Metas_Diarias[[#This Row],[tipo_equipe_id]]=Metas[equipe])*(Metas_Diarias[[#This Row],[data]]&gt;Metas[data_inicio])*(Metas_Diarias[[#This Row],[data]]&lt;Metas[data_fim])),Metas[meta_mensal],0)</f>
        <v>115500</v>
      </c>
      <c r="L1818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19" spans="2:12" x14ac:dyDescent="0.3">
      <c r="B1819" s="34">
        <v>46375</v>
      </c>
      <c r="C1819" s="34" t="str">
        <f>TEXT(Metas_Diarias[[#This Row],[data]],"dddd")</f>
        <v>sábado</v>
      </c>
      <c r="D1819" s="33">
        <v>2</v>
      </c>
      <c r="E1819" s="33">
        <v>2</v>
      </c>
      <c r="F1819" s="18"/>
      <c r="G1819" s="35">
        <f>WEEKDAY(Metas_Diarias[[#This Row],[data]])</f>
        <v>7</v>
      </c>
      <c r="H1819" s="35">
        <f>IF(Metas_Diarias[[#This Row],[dias_da_demana]]=1,"domingo",IF(Metas_Diarias[[#This Row],[dias_da_demana]]=7,0.5,1))</f>
        <v>0.5</v>
      </c>
      <c r="I1819" s="35">
        <f>_xlfn.XLOOKUP(Metas_Diarias[[#This Row],[data]],Feriados[Data],Feriados[Feriado],1)</f>
        <v>1</v>
      </c>
      <c r="J1819" s="33" cm="1">
        <f t="array" aca="1" ref="J1819" ca="1">SUMPRODUCT(IF((NOT(ISERROR(MATCH(ROW(INDIRECT(DATE(YEAR(B1819),MONTH(B1819),1)&amp;":"&amp;DATE(YEAR(B1819),MONTH(B1819)+1,0))),Feriados[Data],0))))=FALSE,
IF(WEEKDAY(ROW(INDIRECT(DATE(YEAR(B1819),MONTH(B1819),1)&amp;":"&amp;DATE(YEAR(B1819),MONTH(B1819)+1,0))),2)&lt;=5,1,IF(WEEKDAY(ROW(INDIRECT(DATE(YEAR(B1819),MONTH(B1819),1)&amp;":"&amp;DATE(YEAR(B1819),MONTH(B1819)+1,0))),2)=6,0.5,0)),0))</f>
        <v>24</v>
      </c>
      <c r="K1819" s="22" cm="1">
        <f t="array" ref="K1819">_xlfn.XLOOKUP(1,((Metas_Diarias[[#This Row],[tipo_equipe_id]]=Metas[equipe])*(Metas_Diarias[[#This Row],[data]]&gt;Metas[data_inicio])*(Metas_Diarias[[#This Row],[data]]&lt;Metas[data_fim])),Metas[meta_mensal],0)</f>
        <v>115500</v>
      </c>
      <c r="L1819" s="24">
        <f ca="1">Metas_Diarias[[#This Row],[meta_mensal]]*IF(Metas_Diarias[[#This Row],[semana]]="domingo",0,Metas_Diarias[[#This Row],[semana]])*IF(Metas_Diarias[[#This Row],[feriado]]&lt;&gt;1,0,1)/Metas_Diarias[[#This Row],[dias_úteis_Mês]]</f>
        <v>2406.25</v>
      </c>
    </row>
    <row r="1820" spans="2:12" x14ac:dyDescent="0.3">
      <c r="B1820" s="34">
        <v>46376</v>
      </c>
      <c r="C1820" s="34" t="str">
        <f>TEXT(Metas_Diarias[[#This Row],[data]],"dddd")</f>
        <v>domingo</v>
      </c>
      <c r="D1820" s="33">
        <v>2</v>
      </c>
      <c r="E1820" s="33">
        <v>2</v>
      </c>
      <c r="F1820" s="18"/>
      <c r="G1820" s="35">
        <f>WEEKDAY(Metas_Diarias[[#This Row],[data]])</f>
        <v>1</v>
      </c>
      <c r="H1820" s="35" t="str">
        <f>IF(Metas_Diarias[[#This Row],[dias_da_demana]]=1,"domingo",IF(Metas_Diarias[[#This Row],[dias_da_demana]]=7,0.5,1))</f>
        <v>domingo</v>
      </c>
      <c r="I1820" s="35">
        <f>_xlfn.XLOOKUP(Metas_Diarias[[#This Row],[data]],Feriados[Data],Feriados[Feriado],1)</f>
        <v>1</v>
      </c>
      <c r="J1820" s="33" cm="1">
        <f t="array" aca="1" ref="J1820" ca="1">SUMPRODUCT(IF((NOT(ISERROR(MATCH(ROW(INDIRECT(DATE(YEAR(B1820),MONTH(B1820),1)&amp;":"&amp;DATE(YEAR(B1820),MONTH(B1820)+1,0))),Feriados[Data],0))))=FALSE,
IF(WEEKDAY(ROW(INDIRECT(DATE(YEAR(B1820),MONTH(B1820),1)&amp;":"&amp;DATE(YEAR(B1820),MONTH(B1820)+1,0))),2)&lt;=5,1,IF(WEEKDAY(ROW(INDIRECT(DATE(YEAR(B1820),MONTH(B1820),1)&amp;":"&amp;DATE(YEAR(B1820),MONTH(B1820)+1,0))),2)=6,0.5,0)),0))</f>
        <v>24</v>
      </c>
      <c r="K1820" s="22" cm="1">
        <f t="array" ref="K1820">_xlfn.XLOOKUP(1,((Metas_Diarias[[#This Row],[tipo_equipe_id]]=Metas[equipe])*(Metas_Diarias[[#This Row],[data]]&gt;Metas[data_inicio])*(Metas_Diarias[[#This Row],[data]]&lt;Metas[data_fim])),Metas[meta_mensal],0)</f>
        <v>115500</v>
      </c>
      <c r="L182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21" spans="2:12" x14ac:dyDescent="0.3">
      <c r="B1821" s="34">
        <v>46377</v>
      </c>
      <c r="C1821" s="34" t="str">
        <f>TEXT(Metas_Diarias[[#This Row],[data]],"dddd")</f>
        <v>segunda-feira</v>
      </c>
      <c r="D1821" s="33">
        <v>2</v>
      </c>
      <c r="E1821" s="33">
        <v>2</v>
      </c>
      <c r="F1821" s="18"/>
      <c r="G1821" s="35">
        <f>WEEKDAY(Metas_Diarias[[#This Row],[data]])</f>
        <v>2</v>
      </c>
      <c r="H1821" s="35">
        <f>IF(Metas_Diarias[[#This Row],[dias_da_demana]]=1,"domingo",IF(Metas_Diarias[[#This Row],[dias_da_demana]]=7,0.5,1))</f>
        <v>1</v>
      </c>
      <c r="I1821" s="35">
        <f>_xlfn.XLOOKUP(Metas_Diarias[[#This Row],[data]],Feriados[Data],Feriados[Feriado],1)</f>
        <v>1</v>
      </c>
      <c r="J1821" s="33" cm="1">
        <f t="array" aca="1" ref="J1821" ca="1">SUMPRODUCT(IF((NOT(ISERROR(MATCH(ROW(INDIRECT(DATE(YEAR(B1821),MONTH(B1821),1)&amp;":"&amp;DATE(YEAR(B1821),MONTH(B1821)+1,0))),Feriados[Data],0))))=FALSE,
IF(WEEKDAY(ROW(INDIRECT(DATE(YEAR(B1821),MONTH(B1821),1)&amp;":"&amp;DATE(YEAR(B1821),MONTH(B1821)+1,0))),2)&lt;=5,1,IF(WEEKDAY(ROW(INDIRECT(DATE(YEAR(B1821),MONTH(B1821),1)&amp;":"&amp;DATE(YEAR(B1821),MONTH(B1821)+1,0))),2)=6,0.5,0)),0))</f>
        <v>24</v>
      </c>
      <c r="K1821" s="22" cm="1">
        <f t="array" ref="K1821">_xlfn.XLOOKUP(1,((Metas_Diarias[[#This Row],[tipo_equipe_id]]=Metas[equipe])*(Metas_Diarias[[#This Row],[data]]&gt;Metas[data_inicio])*(Metas_Diarias[[#This Row],[data]]&lt;Metas[data_fim])),Metas[meta_mensal],0)</f>
        <v>115500</v>
      </c>
      <c r="L1821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22" spans="2:12" x14ac:dyDescent="0.3">
      <c r="B1822" s="34">
        <v>46378</v>
      </c>
      <c r="C1822" s="34" t="str">
        <f>TEXT(Metas_Diarias[[#This Row],[data]],"dddd")</f>
        <v>terça-feira</v>
      </c>
      <c r="D1822" s="33">
        <v>2</v>
      </c>
      <c r="E1822" s="33">
        <v>2</v>
      </c>
      <c r="F1822" s="18"/>
      <c r="G1822" s="35">
        <f>WEEKDAY(Metas_Diarias[[#This Row],[data]])</f>
        <v>3</v>
      </c>
      <c r="H1822" s="35">
        <f>IF(Metas_Diarias[[#This Row],[dias_da_demana]]=1,"domingo",IF(Metas_Diarias[[#This Row],[dias_da_demana]]=7,0.5,1))</f>
        <v>1</v>
      </c>
      <c r="I1822" s="35">
        <f>_xlfn.XLOOKUP(Metas_Diarias[[#This Row],[data]],Feriados[Data],Feriados[Feriado],1)</f>
        <v>1</v>
      </c>
      <c r="J1822" s="33" cm="1">
        <f t="array" aca="1" ref="J1822" ca="1">SUMPRODUCT(IF((NOT(ISERROR(MATCH(ROW(INDIRECT(DATE(YEAR(B1822),MONTH(B1822),1)&amp;":"&amp;DATE(YEAR(B1822),MONTH(B1822)+1,0))),Feriados[Data],0))))=FALSE,
IF(WEEKDAY(ROW(INDIRECT(DATE(YEAR(B1822),MONTH(B1822),1)&amp;":"&amp;DATE(YEAR(B1822),MONTH(B1822)+1,0))),2)&lt;=5,1,IF(WEEKDAY(ROW(INDIRECT(DATE(YEAR(B1822),MONTH(B1822),1)&amp;":"&amp;DATE(YEAR(B1822),MONTH(B1822)+1,0))),2)=6,0.5,0)),0))</f>
        <v>24</v>
      </c>
      <c r="K1822" s="22" cm="1">
        <f t="array" ref="K1822">_xlfn.XLOOKUP(1,((Metas_Diarias[[#This Row],[tipo_equipe_id]]=Metas[equipe])*(Metas_Diarias[[#This Row],[data]]&gt;Metas[data_inicio])*(Metas_Diarias[[#This Row],[data]]&lt;Metas[data_fim])),Metas[meta_mensal],0)</f>
        <v>115500</v>
      </c>
      <c r="L1822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23" spans="2:12" x14ac:dyDescent="0.3">
      <c r="B1823" s="34">
        <v>46379</v>
      </c>
      <c r="C1823" s="34" t="str">
        <f>TEXT(Metas_Diarias[[#This Row],[data]],"dddd")</f>
        <v>quarta-feira</v>
      </c>
      <c r="D1823" s="33">
        <v>2</v>
      </c>
      <c r="E1823" s="33">
        <v>2</v>
      </c>
      <c r="F1823" s="18"/>
      <c r="G1823" s="35">
        <f>WEEKDAY(Metas_Diarias[[#This Row],[data]])</f>
        <v>4</v>
      </c>
      <c r="H1823" s="35">
        <f>IF(Metas_Diarias[[#This Row],[dias_da_demana]]=1,"domingo",IF(Metas_Diarias[[#This Row],[dias_da_demana]]=7,0.5,1))</f>
        <v>1</v>
      </c>
      <c r="I1823" s="35">
        <f>_xlfn.XLOOKUP(Metas_Diarias[[#This Row],[data]],Feriados[Data],Feriados[Feriado],1)</f>
        <v>1</v>
      </c>
      <c r="J1823" s="33" cm="1">
        <f t="array" aca="1" ref="J1823" ca="1">SUMPRODUCT(IF((NOT(ISERROR(MATCH(ROW(INDIRECT(DATE(YEAR(B1823),MONTH(B1823),1)&amp;":"&amp;DATE(YEAR(B1823),MONTH(B1823)+1,0))),Feriados[Data],0))))=FALSE,
IF(WEEKDAY(ROW(INDIRECT(DATE(YEAR(B1823),MONTH(B1823),1)&amp;":"&amp;DATE(YEAR(B1823),MONTH(B1823)+1,0))),2)&lt;=5,1,IF(WEEKDAY(ROW(INDIRECT(DATE(YEAR(B1823),MONTH(B1823),1)&amp;":"&amp;DATE(YEAR(B1823),MONTH(B1823)+1,0))),2)=6,0.5,0)),0))</f>
        <v>24</v>
      </c>
      <c r="K1823" s="22" cm="1">
        <f t="array" ref="K1823">_xlfn.XLOOKUP(1,((Metas_Diarias[[#This Row],[tipo_equipe_id]]=Metas[equipe])*(Metas_Diarias[[#This Row],[data]]&gt;Metas[data_inicio])*(Metas_Diarias[[#This Row],[data]]&lt;Metas[data_fim])),Metas[meta_mensal],0)</f>
        <v>115500</v>
      </c>
      <c r="L1823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24" spans="2:12" x14ac:dyDescent="0.3">
      <c r="B1824" s="34">
        <v>46380</v>
      </c>
      <c r="C1824" s="34" t="str">
        <f>TEXT(Metas_Diarias[[#This Row],[data]],"dddd")</f>
        <v>quinta-feira</v>
      </c>
      <c r="D1824" s="33">
        <v>2</v>
      </c>
      <c r="E1824" s="33">
        <v>2</v>
      </c>
      <c r="F1824" s="18"/>
      <c r="G1824" s="35">
        <f>WEEKDAY(Metas_Diarias[[#This Row],[data]])</f>
        <v>5</v>
      </c>
      <c r="H1824" s="35">
        <f>IF(Metas_Diarias[[#This Row],[dias_da_demana]]=1,"domingo",IF(Metas_Diarias[[#This Row],[dias_da_demana]]=7,0.5,1))</f>
        <v>1</v>
      </c>
      <c r="I1824" s="35">
        <f>_xlfn.XLOOKUP(Metas_Diarias[[#This Row],[data]],Feriados[Data],Feriados[Feriado],1)</f>
        <v>1</v>
      </c>
      <c r="J1824" s="33" cm="1">
        <f t="array" aca="1" ref="J1824" ca="1">SUMPRODUCT(IF((NOT(ISERROR(MATCH(ROW(INDIRECT(DATE(YEAR(B1824),MONTH(B1824),1)&amp;":"&amp;DATE(YEAR(B1824),MONTH(B1824)+1,0))),Feriados[Data],0))))=FALSE,
IF(WEEKDAY(ROW(INDIRECT(DATE(YEAR(B1824),MONTH(B1824),1)&amp;":"&amp;DATE(YEAR(B1824),MONTH(B1824)+1,0))),2)&lt;=5,1,IF(WEEKDAY(ROW(INDIRECT(DATE(YEAR(B1824),MONTH(B1824),1)&amp;":"&amp;DATE(YEAR(B1824),MONTH(B1824)+1,0))),2)=6,0.5,0)),0))</f>
        <v>24</v>
      </c>
      <c r="K1824" s="22" cm="1">
        <f t="array" ref="K1824">_xlfn.XLOOKUP(1,((Metas_Diarias[[#This Row],[tipo_equipe_id]]=Metas[equipe])*(Metas_Diarias[[#This Row],[data]]&gt;Metas[data_inicio])*(Metas_Diarias[[#This Row],[data]]&lt;Metas[data_fim])),Metas[meta_mensal],0)</f>
        <v>115500</v>
      </c>
      <c r="L1824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25" spans="2:12" x14ac:dyDescent="0.3">
      <c r="B1825" s="34">
        <v>46381</v>
      </c>
      <c r="C1825" s="34" t="str">
        <f>TEXT(Metas_Diarias[[#This Row],[data]],"dddd")</f>
        <v>sexta-feira</v>
      </c>
      <c r="D1825" s="33">
        <v>2</v>
      </c>
      <c r="E1825" s="33">
        <v>2</v>
      </c>
      <c r="F1825" s="18"/>
      <c r="G1825" s="35">
        <f>WEEKDAY(Metas_Diarias[[#This Row],[data]])</f>
        <v>6</v>
      </c>
      <c r="H1825" s="35">
        <f>IF(Metas_Diarias[[#This Row],[dias_da_demana]]=1,"domingo",IF(Metas_Diarias[[#This Row],[dias_da_demana]]=7,0.5,1))</f>
        <v>1</v>
      </c>
      <c r="I1825" s="35" t="str">
        <f>_xlfn.XLOOKUP(Metas_Diarias[[#This Row],[data]],Feriados[Data],Feriados[Feriado],1)</f>
        <v>Natal</v>
      </c>
      <c r="J1825" s="33" cm="1">
        <f t="array" aca="1" ref="J1825" ca="1">SUMPRODUCT(IF((NOT(ISERROR(MATCH(ROW(INDIRECT(DATE(YEAR(B1825),MONTH(B1825),1)&amp;":"&amp;DATE(YEAR(B1825),MONTH(B1825)+1,0))),Feriados[Data],0))))=FALSE,
IF(WEEKDAY(ROW(INDIRECT(DATE(YEAR(B1825),MONTH(B1825),1)&amp;":"&amp;DATE(YEAR(B1825),MONTH(B1825)+1,0))),2)&lt;=5,1,IF(WEEKDAY(ROW(INDIRECT(DATE(YEAR(B1825),MONTH(B1825),1)&amp;":"&amp;DATE(YEAR(B1825),MONTH(B1825)+1,0))),2)=6,0.5,0)),0))</f>
        <v>24</v>
      </c>
      <c r="K1825" s="22" cm="1">
        <f t="array" ref="K1825">_xlfn.XLOOKUP(1,((Metas_Diarias[[#This Row],[tipo_equipe_id]]=Metas[equipe])*(Metas_Diarias[[#This Row],[data]]&gt;Metas[data_inicio])*(Metas_Diarias[[#This Row],[data]]&lt;Metas[data_fim])),Metas[meta_mensal],0)</f>
        <v>115500</v>
      </c>
      <c r="L182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26" spans="2:12" x14ac:dyDescent="0.3">
      <c r="B1826" s="34">
        <v>46382</v>
      </c>
      <c r="C1826" s="34" t="str">
        <f>TEXT(Metas_Diarias[[#This Row],[data]],"dddd")</f>
        <v>sábado</v>
      </c>
      <c r="D1826" s="33">
        <v>2</v>
      </c>
      <c r="E1826" s="33">
        <v>2</v>
      </c>
      <c r="F1826" s="18"/>
      <c r="G1826" s="35">
        <f>WEEKDAY(Metas_Diarias[[#This Row],[data]])</f>
        <v>7</v>
      </c>
      <c r="H1826" s="35">
        <f>IF(Metas_Diarias[[#This Row],[dias_da_demana]]=1,"domingo",IF(Metas_Diarias[[#This Row],[dias_da_demana]]=7,0.5,1))</f>
        <v>0.5</v>
      </c>
      <c r="I1826" s="35">
        <f>_xlfn.XLOOKUP(Metas_Diarias[[#This Row],[data]],Feriados[Data],Feriados[Feriado],1)</f>
        <v>1</v>
      </c>
      <c r="J1826" s="33" cm="1">
        <f t="array" aca="1" ref="J1826" ca="1">SUMPRODUCT(IF((NOT(ISERROR(MATCH(ROW(INDIRECT(DATE(YEAR(B1826),MONTH(B1826),1)&amp;":"&amp;DATE(YEAR(B1826),MONTH(B1826)+1,0))),Feriados[Data],0))))=FALSE,
IF(WEEKDAY(ROW(INDIRECT(DATE(YEAR(B1826),MONTH(B1826),1)&amp;":"&amp;DATE(YEAR(B1826),MONTH(B1826)+1,0))),2)&lt;=5,1,IF(WEEKDAY(ROW(INDIRECT(DATE(YEAR(B1826),MONTH(B1826),1)&amp;":"&amp;DATE(YEAR(B1826),MONTH(B1826)+1,0))),2)=6,0.5,0)),0))</f>
        <v>24</v>
      </c>
      <c r="K1826" s="22" cm="1">
        <f t="array" ref="K1826">_xlfn.XLOOKUP(1,((Metas_Diarias[[#This Row],[tipo_equipe_id]]=Metas[equipe])*(Metas_Diarias[[#This Row],[data]]&gt;Metas[data_inicio])*(Metas_Diarias[[#This Row],[data]]&lt;Metas[data_fim])),Metas[meta_mensal],0)</f>
        <v>115500</v>
      </c>
      <c r="L1826" s="24">
        <f ca="1">Metas_Diarias[[#This Row],[meta_mensal]]*IF(Metas_Diarias[[#This Row],[semana]]="domingo",0,Metas_Diarias[[#This Row],[semana]])*IF(Metas_Diarias[[#This Row],[feriado]]&lt;&gt;1,0,1)/Metas_Diarias[[#This Row],[dias_úteis_Mês]]</f>
        <v>2406.25</v>
      </c>
    </row>
    <row r="1827" spans="2:12" x14ac:dyDescent="0.3">
      <c r="B1827" s="34">
        <v>46383</v>
      </c>
      <c r="C1827" s="34" t="str">
        <f>TEXT(Metas_Diarias[[#This Row],[data]],"dddd")</f>
        <v>domingo</v>
      </c>
      <c r="D1827" s="33">
        <v>2</v>
      </c>
      <c r="E1827" s="33">
        <v>2</v>
      </c>
      <c r="F1827" s="18"/>
      <c r="G1827" s="35">
        <f>WEEKDAY(Metas_Diarias[[#This Row],[data]])</f>
        <v>1</v>
      </c>
      <c r="H1827" s="35" t="str">
        <f>IF(Metas_Diarias[[#This Row],[dias_da_demana]]=1,"domingo",IF(Metas_Diarias[[#This Row],[dias_da_demana]]=7,0.5,1))</f>
        <v>domingo</v>
      </c>
      <c r="I1827" s="35">
        <f>_xlfn.XLOOKUP(Metas_Diarias[[#This Row],[data]],Feriados[Data],Feriados[Feriado],1)</f>
        <v>1</v>
      </c>
      <c r="J1827" s="33" cm="1">
        <f t="array" aca="1" ref="J1827" ca="1">SUMPRODUCT(IF((NOT(ISERROR(MATCH(ROW(INDIRECT(DATE(YEAR(B1827),MONTH(B1827),1)&amp;":"&amp;DATE(YEAR(B1827),MONTH(B1827)+1,0))),Feriados[Data],0))))=FALSE,
IF(WEEKDAY(ROW(INDIRECT(DATE(YEAR(B1827),MONTH(B1827),1)&amp;":"&amp;DATE(YEAR(B1827),MONTH(B1827)+1,0))),2)&lt;=5,1,IF(WEEKDAY(ROW(INDIRECT(DATE(YEAR(B1827),MONTH(B1827),1)&amp;":"&amp;DATE(YEAR(B1827),MONTH(B1827)+1,0))),2)=6,0.5,0)),0))</f>
        <v>24</v>
      </c>
      <c r="K1827" s="22" cm="1">
        <f t="array" ref="K1827">_xlfn.XLOOKUP(1,((Metas_Diarias[[#This Row],[tipo_equipe_id]]=Metas[equipe])*(Metas_Diarias[[#This Row],[data]]&gt;Metas[data_inicio])*(Metas_Diarias[[#This Row],[data]]&lt;Metas[data_fim])),Metas[meta_mensal],0)</f>
        <v>115500</v>
      </c>
      <c r="L182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28" spans="2:12" x14ac:dyDescent="0.3">
      <c r="B1828" s="34">
        <v>46384</v>
      </c>
      <c r="C1828" s="34" t="str">
        <f>TEXT(Metas_Diarias[[#This Row],[data]],"dddd")</f>
        <v>segunda-feira</v>
      </c>
      <c r="D1828" s="33">
        <v>2</v>
      </c>
      <c r="E1828" s="33">
        <v>2</v>
      </c>
      <c r="F1828" s="18"/>
      <c r="G1828" s="35">
        <f>WEEKDAY(Metas_Diarias[[#This Row],[data]])</f>
        <v>2</v>
      </c>
      <c r="H1828" s="35">
        <f>IF(Metas_Diarias[[#This Row],[dias_da_demana]]=1,"domingo",IF(Metas_Diarias[[#This Row],[dias_da_demana]]=7,0.5,1))</f>
        <v>1</v>
      </c>
      <c r="I1828" s="35">
        <f>_xlfn.XLOOKUP(Metas_Diarias[[#This Row],[data]],Feriados[Data],Feriados[Feriado],1)</f>
        <v>1</v>
      </c>
      <c r="J1828" s="33" cm="1">
        <f t="array" aca="1" ref="J1828" ca="1">SUMPRODUCT(IF((NOT(ISERROR(MATCH(ROW(INDIRECT(DATE(YEAR(B1828),MONTH(B1828),1)&amp;":"&amp;DATE(YEAR(B1828),MONTH(B1828)+1,0))),Feriados[Data],0))))=FALSE,
IF(WEEKDAY(ROW(INDIRECT(DATE(YEAR(B1828),MONTH(B1828),1)&amp;":"&amp;DATE(YEAR(B1828),MONTH(B1828)+1,0))),2)&lt;=5,1,IF(WEEKDAY(ROW(INDIRECT(DATE(YEAR(B1828),MONTH(B1828),1)&amp;":"&amp;DATE(YEAR(B1828),MONTH(B1828)+1,0))),2)=6,0.5,0)),0))</f>
        <v>24</v>
      </c>
      <c r="K1828" s="22" cm="1">
        <f t="array" ref="K1828">_xlfn.XLOOKUP(1,((Metas_Diarias[[#This Row],[tipo_equipe_id]]=Metas[equipe])*(Metas_Diarias[[#This Row],[data]]&gt;Metas[data_inicio])*(Metas_Diarias[[#This Row],[data]]&lt;Metas[data_fim])),Metas[meta_mensal],0)</f>
        <v>115500</v>
      </c>
      <c r="L1828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29" spans="2:12" x14ac:dyDescent="0.3">
      <c r="B1829" s="34">
        <v>46385</v>
      </c>
      <c r="C1829" s="34" t="str">
        <f>TEXT(Metas_Diarias[[#This Row],[data]],"dddd")</f>
        <v>terça-feira</v>
      </c>
      <c r="D1829" s="33">
        <v>2</v>
      </c>
      <c r="E1829" s="33">
        <v>2</v>
      </c>
      <c r="F1829" s="18"/>
      <c r="G1829" s="35">
        <f>WEEKDAY(Metas_Diarias[[#This Row],[data]])</f>
        <v>3</v>
      </c>
      <c r="H1829" s="35">
        <f>IF(Metas_Diarias[[#This Row],[dias_da_demana]]=1,"domingo",IF(Metas_Diarias[[#This Row],[dias_da_demana]]=7,0.5,1))</f>
        <v>1</v>
      </c>
      <c r="I1829" s="35">
        <f>_xlfn.XLOOKUP(Metas_Diarias[[#This Row],[data]],Feriados[Data],Feriados[Feriado],1)</f>
        <v>1</v>
      </c>
      <c r="J1829" s="33" cm="1">
        <f t="array" aca="1" ref="J1829" ca="1">SUMPRODUCT(IF((NOT(ISERROR(MATCH(ROW(INDIRECT(DATE(YEAR(B1829),MONTH(B1829),1)&amp;":"&amp;DATE(YEAR(B1829),MONTH(B1829)+1,0))),Feriados[Data],0))))=FALSE,
IF(WEEKDAY(ROW(INDIRECT(DATE(YEAR(B1829),MONTH(B1829),1)&amp;":"&amp;DATE(YEAR(B1829),MONTH(B1829)+1,0))),2)&lt;=5,1,IF(WEEKDAY(ROW(INDIRECT(DATE(YEAR(B1829),MONTH(B1829),1)&amp;":"&amp;DATE(YEAR(B1829),MONTH(B1829)+1,0))),2)=6,0.5,0)),0))</f>
        <v>24</v>
      </c>
      <c r="K1829" s="22" cm="1">
        <f t="array" ref="K1829">_xlfn.XLOOKUP(1,((Metas_Diarias[[#This Row],[tipo_equipe_id]]=Metas[equipe])*(Metas_Diarias[[#This Row],[data]]&gt;Metas[data_inicio])*(Metas_Diarias[[#This Row],[data]]&lt;Metas[data_fim])),Metas[meta_mensal],0)</f>
        <v>115500</v>
      </c>
      <c r="L1829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30" spans="2:12" x14ac:dyDescent="0.3">
      <c r="B1830" s="34">
        <v>46386</v>
      </c>
      <c r="C1830" s="34" t="str">
        <f>TEXT(Metas_Diarias[[#This Row],[data]],"dddd")</f>
        <v>quarta-feira</v>
      </c>
      <c r="D1830" s="33">
        <v>2</v>
      </c>
      <c r="E1830" s="33">
        <v>2</v>
      </c>
      <c r="F1830" s="18"/>
      <c r="G1830" s="35">
        <f>WEEKDAY(Metas_Diarias[[#This Row],[data]])</f>
        <v>4</v>
      </c>
      <c r="H1830" s="35">
        <f>IF(Metas_Diarias[[#This Row],[dias_da_demana]]=1,"domingo",IF(Metas_Diarias[[#This Row],[dias_da_demana]]=7,0.5,1))</f>
        <v>1</v>
      </c>
      <c r="I1830" s="35">
        <f>_xlfn.XLOOKUP(Metas_Diarias[[#This Row],[data]],Feriados[Data],Feriados[Feriado],1)</f>
        <v>1</v>
      </c>
      <c r="J1830" s="33" cm="1">
        <f t="array" aca="1" ref="J1830" ca="1">SUMPRODUCT(IF((NOT(ISERROR(MATCH(ROW(INDIRECT(DATE(YEAR(B1830),MONTH(B1830),1)&amp;":"&amp;DATE(YEAR(B1830),MONTH(B1830)+1,0))),Feriados[Data],0))))=FALSE,
IF(WEEKDAY(ROW(INDIRECT(DATE(YEAR(B1830),MONTH(B1830),1)&amp;":"&amp;DATE(YEAR(B1830),MONTH(B1830)+1,0))),2)&lt;=5,1,IF(WEEKDAY(ROW(INDIRECT(DATE(YEAR(B1830),MONTH(B1830),1)&amp;":"&amp;DATE(YEAR(B1830),MONTH(B1830)+1,0))),2)=6,0.5,0)),0))</f>
        <v>24</v>
      </c>
      <c r="K1830" s="22" cm="1">
        <f t="array" ref="K1830">_xlfn.XLOOKUP(1,((Metas_Diarias[[#This Row],[tipo_equipe_id]]=Metas[equipe])*(Metas_Diarias[[#This Row],[data]]&gt;Metas[data_inicio])*(Metas_Diarias[[#This Row],[data]]&lt;Metas[data_fim])),Metas[meta_mensal],0)</f>
        <v>115500</v>
      </c>
      <c r="L1830" s="24">
        <f ca="1">Metas_Diarias[[#This Row],[meta_mensal]]*IF(Metas_Diarias[[#This Row],[semana]]="domingo",0,Metas_Diarias[[#This Row],[semana]])*IF(Metas_Diarias[[#This Row],[feriado]]&lt;&gt;1,0,1)/Metas_Diarias[[#This Row],[dias_úteis_Mês]]</f>
        <v>4812.5</v>
      </c>
    </row>
    <row r="1831" spans="2:12" x14ac:dyDescent="0.3">
      <c r="B1831" s="34">
        <v>46387</v>
      </c>
      <c r="C1831" s="34" t="str">
        <f>TEXT(Metas_Diarias[[#This Row],[data]],"dddd")</f>
        <v>quinta-feira</v>
      </c>
      <c r="D1831" s="33">
        <v>2</v>
      </c>
      <c r="E1831" s="33">
        <v>2</v>
      </c>
      <c r="F1831" s="18"/>
      <c r="G1831" s="35">
        <f>WEEKDAY(Metas_Diarias[[#This Row],[data]])</f>
        <v>5</v>
      </c>
      <c r="H1831" s="35">
        <f>IF(Metas_Diarias[[#This Row],[dias_da_demana]]=1,"domingo",IF(Metas_Diarias[[#This Row],[dias_da_demana]]=7,0.5,1))</f>
        <v>1</v>
      </c>
      <c r="I1831" s="35">
        <f>_xlfn.XLOOKUP(Metas_Diarias[[#This Row],[data]],Feriados[Data],Feriados[Feriado],1)</f>
        <v>1</v>
      </c>
      <c r="J1831" s="33" cm="1">
        <f t="array" aca="1" ref="J1831" ca="1">SUMPRODUCT(IF((NOT(ISERROR(MATCH(ROW(INDIRECT(DATE(YEAR(B1831),MONTH(B1831),1)&amp;":"&amp;DATE(YEAR(B1831),MONTH(B1831)+1,0))),Feriados[Data],0))))=FALSE,
IF(WEEKDAY(ROW(INDIRECT(DATE(YEAR(B1831),MONTH(B1831),1)&amp;":"&amp;DATE(YEAR(B1831),MONTH(B1831)+1,0))),2)&lt;=5,1,IF(WEEKDAY(ROW(INDIRECT(DATE(YEAR(B1831),MONTH(B1831),1)&amp;":"&amp;DATE(YEAR(B1831),MONTH(B1831)+1,0))),2)=6,0.5,0)),0))</f>
        <v>24</v>
      </c>
      <c r="K1831" s="22" cm="1">
        <f t="array" ref="K1831">_xlfn.XLOOKUP(1,((Metas_Diarias[[#This Row],[tipo_equipe_id]]=Metas[equipe])*(Metas_Diarias[[#This Row],[data]]&gt;Metas[data_inicio])*(Metas_Diarias[[#This Row],[data]]&lt;Metas[data_fim])),Metas[meta_mensal],0)</f>
        <v>0</v>
      </c>
      <c r="L18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32" spans="2:12" x14ac:dyDescent="0.3">
      <c r="B1832" s="34">
        <v>46023</v>
      </c>
      <c r="C1832" s="34" t="str">
        <f>TEXT(Metas_Diarias[[#This Row],[data]],"dddd")</f>
        <v>quinta-feira</v>
      </c>
      <c r="D1832" s="33">
        <v>5</v>
      </c>
      <c r="E1832" s="33">
        <v>5</v>
      </c>
      <c r="F1832" s="18"/>
      <c r="G1832" s="35">
        <f>WEEKDAY(Metas_Diarias[[#This Row],[data]])</f>
        <v>5</v>
      </c>
      <c r="H1832" s="35">
        <f>IF(Metas_Diarias[[#This Row],[dias_da_demana]]=1,"domingo",IF(Metas_Diarias[[#This Row],[dias_da_demana]]=7,0.5,1))</f>
        <v>1</v>
      </c>
      <c r="I1832" s="35" t="str">
        <f>_xlfn.XLOOKUP(Metas_Diarias[[#This Row],[data]],Feriados[Data],Feriados[Feriado],1)</f>
        <v>Confraternização Universal</v>
      </c>
      <c r="J1832" s="33" cm="1">
        <f t="array" aca="1" ref="J1832" ca="1">SUMPRODUCT(IF((NOT(ISERROR(MATCH(ROW(INDIRECT(DATE(YEAR(B1832),MONTH(B1832),1)&amp;":"&amp;DATE(YEAR(B1832),MONTH(B1832)+1,0))),Feriados[Data],0))))=FALSE,
IF(WEEKDAY(ROW(INDIRECT(DATE(YEAR(B1832),MONTH(B1832),1)&amp;":"&amp;DATE(YEAR(B1832),MONTH(B1832)+1,0))),2)&lt;=5,1,IF(WEEKDAY(ROW(INDIRECT(DATE(YEAR(B1832),MONTH(B1832),1)&amp;":"&amp;DATE(YEAR(B1832),MONTH(B1832)+1,0))),2)=6,0.5,0)),0))</f>
        <v>23.5</v>
      </c>
      <c r="K1832" s="22" cm="1">
        <f t="array" ref="K1832">_xlfn.XLOOKUP(1,((Metas_Diarias[[#This Row],[tipo_equipe_id]]=Metas[equipe])*(Metas_Diarias[[#This Row],[data]]&gt;Metas[data_inicio])*(Metas_Diarias[[#This Row],[data]]&lt;Metas[data_fim])),Metas[meta_mensal],0)</f>
        <v>0</v>
      </c>
      <c r="L183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33" spans="2:12" x14ac:dyDescent="0.3">
      <c r="B1833" s="34">
        <v>46024</v>
      </c>
      <c r="C1833" s="34" t="str">
        <f>TEXT(Metas_Diarias[[#This Row],[data]],"dddd")</f>
        <v>sexta-feira</v>
      </c>
      <c r="D1833" s="33">
        <v>5</v>
      </c>
      <c r="E1833" s="33">
        <v>5</v>
      </c>
      <c r="F1833" s="18"/>
      <c r="G1833" s="35">
        <f>WEEKDAY(Metas_Diarias[[#This Row],[data]])</f>
        <v>6</v>
      </c>
      <c r="H1833" s="35">
        <f>IF(Metas_Diarias[[#This Row],[dias_da_demana]]=1,"domingo",IF(Metas_Diarias[[#This Row],[dias_da_demana]]=7,0.5,1))</f>
        <v>1</v>
      </c>
      <c r="I1833" s="35">
        <f>_xlfn.XLOOKUP(Metas_Diarias[[#This Row],[data]],Feriados[Data],Feriados[Feriado],1)</f>
        <v>1</v>
      </c>
      <c r="J1833" s="33" cm="1">
        <f t="array" aca="1" ref="J1833" ca="1">SUMPRODUCT(IF((NOT(ISERROR(MATCH(ROW(INDIRECT(DATE(YEAR(B1833),MONTH(B1833),1)&amp;":"&amp;DATE(YEAR(B1833),MONTH(B1833)+1,0))),Feriados[Data],0))))=FALSE,
IF(WEEKDAY(ROW(INDIRECT(DATE(YEAR(B1833),MONTH(B1833),1)&amp;":"&amp;DATE(YEAR(B1833),MONTH(B1833)+1,0))),2)&lt;=5,1,IF(WEEKDAY(ROW(INDIRECT(DATE(YEAR(B1833),MONTH(B1833),1)&amp;":"&amp;DATE(YEAR(B1833),MONTH(B1833)+1,0))),2)=6,0.5,0)),0))</f>
        <v>23.5</v>
      </c>
      <c r="K1833" s="22" cm="1">
        <f t="array" ref="K1833">_xlfn.XLOOKUP(1,((Metas_Diarias[[#This Row],[tipo_equipe_id]]=Metas[equipe])*(Metas_Diarias[[#This Row],[data]]&gt;Metas[data_inicio])*(Metas_Diarias[[#This Row],[data]]&lt;Metas[data_fim])),Metas[meta_mensal],0)</f>
        <v>68250</v>
      </c>
      <c r="L1833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34" spans="2:12" x14ac:dyDescent="0.3">
      <c r="B1834" s="34">
        <v>46025</v>
      </c>
      <c r="C1834" s="34" t="str">
        <f>TEXT(Metas_Diarias[[#This Row],[data]],"dddd")</f>
        <v>sábado</v>
      </c>
      <c r="D1834" s="33">
        <v>5</v>
      </c>
      <c r="E1834" s="33">
        <v>5</v>
      </c>
      <c r="F1834" s="18"/>
      <c r="G1834" s="35">
        <f>WEEKDAY(Metas_Diarias[[#This Row],[data]])</f>
        <v>7</v>
      </c>
      <c r="H1834" s="35">
        <f>IF(Metas_Diarias[[#This Row],[dias_da_demana]]=1,"domingo",IF(Metas_Diarias[[#This Row],[dias_da_demana]]=7,0.5,1))</f>
        <v>0.5</v>
      </c>
      <c r="I1834" s="35">
        <f>_xlfn.XLOOKUP(Metas_Diarias[[#This Row],[data]],Feriados[Data],Feriados[Feriado],1)</f>
        <v>1</v>
      </c>
      <c r="J1834" s="33" cm="1">
        <f t="array" aca="1" ref="J1834" ca="1">SUMPRODUCT(IF((NOT(ISERROR(MATCH(ROW(INDIRECT(DATE(YEAR(B1834),MONTH(B1834),1)&amp;":"&amp;DATE(YEAR(B1834),MONTH(B1834)+1,0))),Feriados[Data],0))))=FALSE,
IF(WEEKDAY(ROW(INDIRECT(DATE(YEAR(B1834),MONTH(B1834),1)&amp;":"&amp;DATE(YEAR(B1834),MONTH(B1834)+1,0))),2)&lt;=5,1,IF(WEEKDAY(ROW(INDIRECT(DATE(YEAR(B1834),MONTH(B1834),1)&amp;":"&amp;DATE(YEAR(B1834),MONTH(B1834)+1,0))),2)=6,0.5,0)),0))</f>
        <v>23.5</v>
      </c>
      <c r="K1834" s="22" cm="1">
        <f t="array" ref="K1834">_xlfn.XLOOKUP(1,((Metas_Diarias[[#This Row],[tipo_equipe_id]]=Metas[equipe])*(Metas_Diarias[[#This Row],[data]]&gt;Metas[data_inicio])*(Metas_Diarias[[#This Row],[data]]&lt;Metas[data_fim])),Metas[meta_mensal],0)</f>
        <v>68250</v>
      </c>
      <c r="L1834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1835" spans="2:12" x14ac:dyDescent="0.3">
      <c r="B1835" s="34">
        <v>46026</v>
      </c>
      <c r="C1835" s="34" t="str">
        <f>TEXT(Metas_Diarias[[#This Row],[data]],"dddd")</f>
        <v>domingo</v>
      </c>
      <c r="D1835" s="33">
        <v>5</v>
      </c>
      <c r="E1835" s="33">
        <v>5</v>
      </c>
      <c r="F1835" s="18"/>
      <c r="G1835" s="35">
        <f>WEEKDAY(Metas_Diarias[[#This Row],[data]])</f>
        <v>1</v>
      </c>
      <c r="H1835" s="35" t="str">
        <f>IF(Metas_Diarias[[#This Row],[dias_da_demana]]=1,"domingo",IF(Metas_Diarias[[#This Row],[dias_da_demana]]=7,0.5,1))</f>
        <v>domingo</v>
      </c>
      <c r="I1835" s="35">
        <f>_xlfn.XLOOKUP(Metas_Diarias[[#This Row],[data]],Feriados[Data],Feriados[Feriado],1)</f>
        <v>1</v>
      </c>
      <c r="J1835" s="33" cm="1">
        <f t="array" aca="1" ref="J1835" ca="1">SUMPRODUCT(IF((NOT(ISERROR(MATCH(ROW(INDIRECT(DATE(YEAR(B1835),MONTH(B1835),1)&amp;":"&amp;DATE(YEAR(B1835),MONTH(B1835)+1,0))),Feriados[Data],0))))=FALSE,
IF(WEEKDAY(ROW(INDIRECT(DATE(YEAR(B1835),MONTH(B1835),1)&amp;":"&amp;DATE(YEAR(B1835),MONTH(B1835)+1,0))),2)&lt;=5,1,IF(WEEKDAY(ROW(INDIRECT(DATE(YEAR(B1835),MONTH(B1835),1)&amp;":"&amp;DATE(YEAR(B1835),MONTH(B1835)+1,0))),2)=6,0.5,0)),0))</f>
        <v>23.5</v>
      </c>
      <c r="K1835" s="22" cm="1">
        <f t="array" ref="K1835">_xlfn.XLOOKUP(1,((Metas_Diarias[[#This Row],[tipo_equipe_id]]=Metas[equipe])*(Metas_Diarias[[#This Row],[data]]&gt;Metas[data_inicio])*(Metas_Diarias[[#This Row],[data]]&lt;Metas[data_fim])),Metas[meta_mensal],0)</f>
        <v>68250</v>
      </c>
      <c r="L183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36" spans="2:12" x14ac:dyDescent="0.3">
      <c r="B1836" s="34">
        <v>46027</v>
      </c>
      <c r="C1836" s="34" t="str">
        <f>TEXT(Metas_Diarias[[#This Row],[data]],"dddd")</f>
        <v>segunda-feira</v>
      </c>
      <c r="D1836" s="33">
        <v>5</v>
      </c>
      <c r="E1836" s="33">
        <v>5</v>
      </c>
      <c r="F1836" s="18"/>
      <c r="G1836" s="35">
        <f>WEEKDAY(Metas_Diarias[[#This Row],[data]])</f>
        <v>2</v>
      </c>
      <c r="H1836" s="35">
        <f>IF(Metas_Diarias[[#This Row],[dias_da_demana]]=1,"domingo",IF(Metas_Diarias[[#This Row],[dias_da_demana]]=7,0.5,1))</f>
        <v>1</v>
      </c>
      <c r="I1836" s="35">
        <f>_xlfn.XLOOKUP(Metas_Diarias[[#This Row],[data]],Feriados[Data],Feriados[Feriado],1)</f>
        <v>1</v>
      </c>
      <c r="J1836" s="33" cm="1">
        <f t="array" aca="1" ref="J1836" ca="1">SUMPRODUCT(IF((NOT(ISERROR(MATCH(ROW(INDIRECT(DATE(YEAR(B1836),MONTH(B1836),1)&amp;":"&amp;DATE(YEAR(B1836),MONTH(B1836)+1,0))),Feriados[Data],0))))=FALSE,
IF(WEEKDAY(ROW(INDIRECT(DATE(YEAR(B1836),MONTH(B1836),1)&amp;":"&amp;DATE(YEAR(B1836),MONTH(B1836)+1,0))),2)&lt;=5,1,IF(WEEKDAY(ROW(INDIRECT(DATE(YEAR(B1836),MONTH(B1836),1)&amp;":"&amp;DATE(YEAR(B1836),MONTH(B1836)+1,0))),2)=6,0.5,0)),0))</f>
        <v>23.5</v>
      </c>
      <c r="K1836" s="22" cm="1">
        <f t="array" ref="K1836">_xlfn.XLOOKUP(1,((Metas_Diarias[[#This Row],[tipo_equipe_id]]=Metas[equipe])*(Metas_Diarias[[#This Row],[data]]&gt;Metas[data_inicio])*(Metas_Diarias[[#This Row],[data]]&lt;Metas[data_fim])),Metas[meta_mensal],0)</f>
        <v>68250</v>
      </c>
      <c r="L1836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37" spans="2:12" x14ac:dyDescent="0.3">
      <c r="B1837" s="34">
        <v>46028</v>
      </c>
      <c r="C1837" s="34" t="str">
        <f>TEXT(Metas_Diarias[[#This Row],[data]],"dddd")</f>
        <v>terça-feira</v>
      </c>
      <c r="D1837" s="33">
        <v>5</v>
      </c>
      <c r="E1837" s="33">
        <v>5</v>
      </c>
      <c r="F1837" s="18"/>
      <c r="G1837" s="35">
        <f>WEEKDAY(Metas_Diarias[[#This Row],[data]])</f>
        <v>3</v>
      </c>
      <c r="H1837" s="35">
        <f>IF(Metas_Diarias[[#This Row],[dias_da_demana]]=1,"domingo",IF(Metas_Diarias[[#This Row],[dias_da_demana]]=7,0.5,1))</f>
        <v>1</v>
      </c>
      <c r="I1837" s="35">
        <f>_xlfn.XLOOKUP(Metas_Diarias[[#This Row],[data]],Feriados[Data],Feriados[Feriado],1)</f>
        <v>1</v>
      </c>
      <c r="J1837" s="33" cm="1">
        <f t="array" aca="1" ref="J1837" ca="1">SUMPRODUCT(IF((NOT(ISERROR(MATCH(ROW(INDIRECT(DATE(YEAR(B1837),MONTH(B1837),1)&amp;":"&amp;DATE(YEAR(B1837),MONTH(B1837)+1,0))),Feriados[Data],0))))=FALSE,
IF(WEEKDAY(ROW(INDIRECT(DATE(YEAR(B1837),MONTH(B1837),1)&amp;":"&amp;DATE(YEAR(B1837),MONTH(B1837)+1,0))),2)&lt;=5,1,IF(WEEKDAY(ROW(INDIRECT(DATE(YEAR(B1837),MONTH(B1837),1)&amp;":"&amp;DATE(YEAR(B1837),MONTH(B1837)+1,0))),2)=6,0.5,0)),0))</f>
        <v>23.5</v>
      </c>
      <c r="K1837" s="22" cm="1">
        <f t="array" ref="K1837">_xlfn.XLOOKUP(1,((Metas_Diarias[[#This Row],[tipo_equipe_id]]=Metas[equipe])*(Metas_Diarias[[#This Row],[data]]&gt;Metas[data_inicio])*(Metas_Diarias[[#This Row],[data]]&lt;Metas[data_fim])),Metas[meta_mensal],0)</f>
        <v>68250</v>
      </c>
      <c r="L1837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38" spans="2:12" x14ac:dyDescent="0.3">
      <c r="B1838" s="34">
        <v>46029</v>
      </c>
      <c r="C1838" s="34" t="str">
        <f>TEXT(Metas_Diarias[[#This Row],[data]],"dddd")</f>
        <v>quarta-feira</v>
      </c>
      <c r="D1838" s="33">
        <v>5</v>
      </c>
      <c r="E1838" s="33">
        <v>5</v>
      </c>
      <c r="F1838" s="18"/>
      <c r="G1838" s="35">
        <f>WEEKDAY(Metas_Diarias[[#This Row],[data]])</f>
        <v>4</v>
      </c>
      <c r="H1838" s="35">
        <f>IF(Metas_Diarias[[#This Row],[dias_da_demana]]=1,"domingo",IF(Metas_Diarias[[#This Row],[dias_da_demana]]=7,0.5,1))</f>
        <v>1</v>
      </c>
      <c r="I1838" s="35">
        <f>_xlfn.XLOOKUP(Metas_Diarias[[#This Row],[data]],Feriados[Data],Feriados[Feriado],1)</f>
        <v>1</v>
      </c>
      <c r="J1838" s="33" cm="1">
        <f t="array" aca="1" ref="J1838" ca="1">SUMPRODUCT(IF((NOT(ISERROR(MATCH(ROW(INDIRECT(DATE(YEAR(B1838),MONTH(B1838),1)&amp;":"&amp;DATE(YEAR(B1838),MONTH(B1838)+1,0))),Feriados[Data],0))))=FALSE,
IF(WEEKDAY(ROW(INDIRECT(DATE(YEAR(B1838),MONTH(B1838),1)&amp;":"&amp;DATE(YEAR(B1838),MONTH(B1838)+1,0))),2)&lt;=5,1,IF(WEEKDAY(ROW(INDIRECT(DATE(YEAR(B1838),MONTH(B1838),1)&amp;":"&amp;DATE(YEAR(B1838),MONTH(B1838)+1,0))),2)=6,0.5,0)),0))</f>
        <v>23.5</v>
      </c>
      <c r="K1838" s="22" cm="1">
        <f t="array" ref="K1838">_xlfn.XLOOKUP(1,((Metas_Diarias[[#This Row],[tipo_equipe_id]]=Metas[equipe])*(Metas_Diarias[[#This Row],[data]]&gt;Metas[data_inicio])*(Metas_Diarias[[#This Row],[data]]&lt;Metas[data_fim])),Metas[meta_mensal],0)</f>
        <v>68250</v>
      </c>
      <c r="L1838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39" spans="2:12" x14ac:dyDescent="0.3">
      <c r="B1839" s="34">
        <v>46030</v>
      </c>
      <c r="C1839" s="34" t="str">
        <f>TEXT(Metas_Diarias[[#This Row],[data]],"dddd")</f>
        <v>quinta-feira</v>
      </c>
      <c r="D1839" s="33">
        <v>5</v>
      </c>
      <c r="E1839" s="33">
        <v>5</v>
      </c>
      <c r="F1839" s="18"/>
      <c r="G1839" s="35">
        <f>WEEKDAY(Metas_Diarias[[#This Row],[data]])</f>
        <v>5</v>
      </c>
      <c r="H1839" s="35">
        <f>IF(Metas_Diarias[[#This Row],[dias_da_demana]]=1,"domingo",IF(Metas_Diarias[[#This Row],[dias_da_demana]]=7,0.5,1))</f>
        <v>1</v>
      </c>
      <c r="I1839" s="35">
        <f>_xlfn.XLOOKUP(Metas_Diarias[[#This Row],[data]],Feriados[Data],Feriados[Feriado],1)</f>
        <v>1</v>
      </c>
      <c r="J1839" s="33" cm="1">
        <f t="array" aca="1" ref="J1839" ca="1">SUMPRODUCT(IF((NOT(ISERROR(MATCH(ROW(INDIRECT(DATE(YEAR(B1839),MONTH(B1839),1)&amp;":"&amp;DATE(YEAR(B1839),MONTH(B1839)+1,0))),Feriados[Data],0))))=FALSE,
IF(WEEKDAY(ROW(INDIRECT(DATE(YEAR(B1839),MONTH(B1839),1)&amp;":"&amp;DATE(YEAR(B1839),MONTH(B1839)+1,0))),2)&lt;=5,1,IF(WEEKDAY(ROW(INDIRECT(DATE(YEAR(B1839),MONTH(B1839),1)&amp;":"&amp;DATE(YEAR(B1839),MONTH(B1839)+1,0))),2)=6,0.5,0)),0))</f>
        <v>23.5</v>
      </c>
      <c r="K1839" s="22" cm="1">
        <f t="array" ref="K1839">_xlfn.XLOOKUP(1,((Metas_Diarias[[#This Row],[tipo_equipe_id]]=Metas[equipe])*(Metas_Diarias[[#This Row],[data]]&gt;Metas[data_inicio])*(Metas_Diarias[[#This Row],[data]]&lt;Metas[data_fim])),Metas[meta_mensal],0)</f>
        <v>68250</v>
      </c>
      <c r="L1839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40" spans="2:12" x14ac:dyDescent="0.3">
      <c r="B1840" s="34">
        <v>46031</v>
      </c>
      <c r="C1840" s="34" t="str">
        <f>TEXT(Metas_Diarias[[#This Row],[data]],"dddd")</f>
        <v>sexta-feira</v>
      </c>
      <c r="D1840" s="33">
        <v>5</v>
      </c>
      <c r="E1840" s="33">
        <v>5</v>
      </c>
      <c r="F1840" s="18"/>
      <c r="G1840" s="35">
        <f>WEEKDAY(Metas_Diarias[[#This Row],[data]])</f>
        <v>6</v>
      </c>
      <c r="H1840" s="35">
        <f>IF(Metas_Diarias[[#This Row],[dias_da_demana]]=1,"domingo",IF(Metas_Diarias[[#This Row],[dias_da_demana]]=7,0.5,1))</f>
        <v>1</v>
      </c>
      <c r="I1840" s="35">
        <f>_xlfn.XLOOKUP(Metas_Diarias[[#This Row],[data]],Feriados[Data],Feriados[Feriado],1)</f>
        <v>1</v>
      </c>
      <c r="J1840" s="33" cm="1">
        <f t="array" aca="1" ref="J1840" ca="1">SUMPRODUCT(IF((NOT(ISERROR(MATCH(ROW(INDIRECT(DATE(YEAR(B1840),MONTH(B1840),1)&amp;":"&amp;DATE(YEAR(B1840),MONTH(B1840)+1,0))),Feriados[Data],0))))=FALSE,
IF(WEEKDAY(ROW(INDIRECT(DATE(YEAR(B1840),MONTH(B1840),1)&amp;":"&amp;DATE(YEAR(B1840),MONTH(B1840)+1,0))),2)&lt;=5,1,IF(WEEKDAY(ROW(INDIRECT(DATE(YEAR(B1840),MONTH(B1840),1)&amp;":"&amp;DATE(YEAR(B1840),MONTH(B1840)+1,0))),2)=6,0.5,0)),0))</f>
        <v>23.5</v>
      </c>
      <c r="K1840" s="22" cm="1">
        <f t="array" ref="K1840">_xlfn.XLOOKUP(1,((Metas_Diarias[[#This Row],[tipo_equipe_id]]=Metas[equipe])*(Metas_Diarias[[#This Row],[data]]&gt;Metas[data_inicio])*(Metas_Diarias[[#This Row],[data]]&lt;Metas[data_fim])),Metas[meta_mensal],0)</f>
        <v>68250</v>
      </c>
      <c r="L184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41" spans="2:12" x14ac:dyDescent="0.3">
      <c r="B1841" s="34">
        <v>46032</v>
      </c>
      <c r="C1841" s="34" t="str">
        <f>TEXT(Metas_Diarias[[#This Row],[data]],"dddd")</f>
        <v>sábado</v>
      </c>
      <c r="D1841" s="33">
        <v>5</v>
      </c>
      <c r="E1841" s="33">
        <v>5</v>
      </c>
      <c r="F1841" s="18"/>
      <c r="G1841" s="35">
        <f>WEEKDAY(Metas_Diarias[[#This Row],[data]])</f>
        <v>7</v>
      </c>
      <c r="H1841" s="35">
        <f>IF(Metas_Diarias[[#This Row],[dias_da_demana]]=1,"domingo",IF(Metas_Diarias[[#This Row],[dias_da_demana]]=7,0.5,1))</f>
        <v>0.5</v>
      </c>
      <c r="I1841" s="35">
        <f>_xlfn.XLOOKUP(Metas_Diarias[[#This Row],[data]],Feriados[Data],Feriados[Feriado],1)</f>
        <v>1</v>
      </c>
      <c r="J1841" s="33" cm="1">
        <f t="array" aca="1" ref="J1841" ca="1">SUMPRODUCT(IF((NOT(ISERROR(MATCH(ROW(INDIRECT(DATE(YEAR(B1841),MONTH(B1841),1)&amp;":"&amp;DATE(YEAR(B1841),MONTH(B1841)+1,0))),Feriados[Data],0))))=FALSE,
IF(WEEKDAY(ROW(INDIRECT(DATE(YEAR(B1841),MONTH(B1841),1)&amp;":"&amp;DATE(YEAR(B1841),MONTH(B1841)+1,0))),2)&lt;=5,1,IF(WEEKDAY(ROW(INDIRECT(DATE(YEAR(B1841),MONTH(B1841),1)&amp;":"&amp;DATE(YEAR(B1841),MONTH(B1841)+1,0))),2)=6,0.5,0)),0))</f>
        <v>23.5</v>
      </c>
      <c r="K1841" s="22" cm="1">
        <f t="array" ref="K1841">_xlfn.XLOOKUP(1,((Metas_Diarias[[#This Row],[tipo_equipe_id]]=Metas[equipe])*(Metas_Diarias[[#This Row],[data]]&gt;Metas[data_inicio])*(Metas_Diarias[[#This Row],[data]]&lt;Metas[data_fim])),Metas[meta_mensal],0)</f>
        <v>68250</v>
      </c>
      <c r="L1841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1842" spans="2:12" x14ac:dyDescent="0.3">
      <c r="B1842" s="34">
        <v>46033</v>
      </c>
      <c r="C1842" s="34" t="str">
        <f>TEXT(Metas_Diarias[[#This Row],[data]],"dddd")</f>
        <v>domingo</v>
      </c>
      <c r="D1842" s="33">
        <v>5</v>
      </c>
      <c r="E1842" s="33">
        <v>5</v>
      </c>
      <c r="F1842" s="18"/>
      <c r="G1842" s="35">
        <f>WEEKDAY(Metas_Diarias[[#This Row],[data]])</f>
        <v>1</v>
      </c>
      <c r="H1842" s="35" t="str">
        <f>IF(Metas_Diarias[[#This Row],[dias_da_demana]]=1,"domingo",IF(Metas_Diarias[[#This Row],[dias_da_demana]]=7,0.5,1))</f>
        <v>domingo</v>
      </c>
      <c r="I1842" s="35">
        <f>_xlfn.XLOOKUP(Metas_Diarias[[#This Row],[data]],Feriados[Data],Feriados[Feriado],1)</f>
        <v>1</v>
      </c>
      <c r="J1842" s="33" cm="1">
        <f t="array" aca="1" ref="J1842" ca="1">SUMPRODUCT(IF((NOT(ISERROR(MATCH(ROW(INDIRECT(DATE(YEAR(B1842),MONTH(B1842),1)&amp;":"&amp;DATE(YEAR(B1842),MONTH(B1842)+1,0))),Feriados[Data],0))))=FALSE,
IF(WEEKDAY(ROW(INDIRECT(DATE(YEAR(B1842),MONTH(B1842),1)&amp;":"&amp;DATE(YEAR(B1842),MONTH(B1842)+1,0))),2)&lt;=5,1,IF(WEEKDAY(ROW(INDIRECT(DATE(YEAR(B1842),MONTH(B1842),1)&amp;":"&amp;DATE(YEAR(B1842),MONTH(B1842)+1,0))),2)=6,0.5,0)),0))</f>
        <v>23.5</v>
      </c>
      <c r="K1842" s="22" cm="1">
        <f t="array" ref="K1842">_xlfn.XLOOKUP(1,((Metas_Diarias[[#This Row],[tipo_equipe_id]]=Metas[equipe])*(Metas_Diarias[[#This Row],[data]]&gt;Metas[data_inicio])*(Metas_Diarias[[#This Row],[data]]&lt;Metas[data_fim])),Metas[meta_mensal],0)</f>
        <v>68250</v>
      </c>
      <c r="L184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43" spans="2:12" x14ac:dyDescent="0.3">
      <c r="B1843" s="34">
        <v>46034</v>
      </c>
      <c r="C1843" s="34" t="str">
        <f>TEXT(Metas_Diarias[[#This Row],[data]],"dddd")</f>
        <v>segunda-feira</v>
      </c>
      <c r="D1843" s="33">
        <v>5</v>
      </c>
      <c r="E1843" s="33">
        <v>5</v>
      </c>
      <c r="F1843" s="18"/>
      <c r="G1843" s="35">
        <f>WEEKDAY(Metas_Diarias[[#This Row],[data]])</f>
        <v>2</v>
      </c>
      <c r="H1843" s="35">
        <f>IF(Metas_Diarias[[#This Row],[dias_da_demana]]=1,"domingo",IF(Metas_Diarias[[#This Row],[dias_da_demana]]=7,0.5,1))</f>
        <v>1</v>
      </c>
      <c r="I1843" s="35">
        <f>_xlfn.XLOOKUP(Metas_Diarias[[#This Row],[data]],Feriados[Data],Feriados[Feriado],1)</f>
        <v>1</v>
      </c>
      <c r="J1843" s="33" cm="1">
        <f t="array" aca="1" ref="J1843" ca="1">SUMPRODUCT(IF((NOT(ISERROR(MATCH(ROW(INDIRECT(DATE(YEAR(B1843),MONTH(B1843),1)&amp;":"&amp;DATE(YEAR(B1843),MONTH(B1843)+1,0))),Feriados[Data],0))))=FALSE,
IF(WEEKDAY(ROW(INDIRECT(DATE(YEAR(B1843),MONTH(B1843),1)&amp;":"&amp;DATE(YEAR(B1843),MONTH(B1843)+1,0))),2)&lt;=5,1,IF(WEEKDAY(ROW(INDIRECT(DATE(YEAR(B1843),MONTH(B1843),1)&amp;":"&amp;DATE(YEAR(B1843),MONTH(B1843)+1,0))),2)=6,0.5,0)),0))</f>
        <v>23.5</v>
      </c>
      <c r="K1843" s="22" cm="1">
        <f t="array" ref="K1843">_xlfn.XLOOKUP(1,((Metas_Diarias[[#This Row],[tipo_equipe_id]]=Metas[equipe])*(Metas_Diarias[[#This Row],[data]]&gt;Metas[data_inicio])*(Metas_Diarias[[#This Row],[data]]&lt;Metas[data_fim])),Metas[meta_mensal],0)</f>
        <v>68250</v>
      </c>
      <c r="L1843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44" spans="2:12" x14ac:dyDescent="0.3">
      <c r="B1844" s="34">
        <v>46035</v>
      </c>
      <c r="C1844" s="34" t="str">
        <f>TEXT(Metas_Diarias[[#This Row],[data]],"dddd")</f>
        <v>terça-feira</v>
      </c>
      <c r="D1844" s="33">
        <v>5</v>
      </c>
      <c r="E1844" s="33">
        <v>5</v>
      </c>
      <c r="F1844" s="18"/>
      <c r="G1844" s="35">
        <f>WEEKDAY(Metas_Diarias[[#This Row],[data]])</f>
        <v>3</v>
      </c>
      <c r="H1844" s="35">
        <f>IF(Metas_Diarias[[#This Row],[dias_da_demana]]=1,"domingo",IF(Metas_Diarias[[#This Row],[dias_da_demana]]=7,0.5,1))</f>
        <v>1</v>
      </c>
      <c r="I1844" s="35">
        <f>_xlfn.XLOOKUP(Metas_Diarias[[#This Row],[data]],Feriados[Data],Feriados[Feriado],1)</f>
        <v>1</v>
      </c>
      <c r="J1844" s="33" cm="1">
        <f t="array" aca="1" ref="J1844" ca="1">SUMPRODUCT(IF((NOT(ISERROR(MATCH(ROW(INDIRECT(DATE(YEAR(B1844),MONTH(B1844),1)&amp;":"&amp;DATE(YEAR(B1844),MONTH(B1844)+1,0))),Feriados[Data],0))))=FALSE,
IF(WEEKDAY(ROW(INDIRECT(DATE(YEAR(B1844),MONTH(B1844),1)&amp;":"&amp;DATE(YEAR(B1844),MONTH(B1844)+1,0))),2)&lt;=5,1,IF(WEEKDAY(ROW(INDIRECT(DATE(YEAR(B1844),MONTH(B1844),1)&amp;":"&amp;DATE(YEAR(B1844),MONTH(B1844)+1,0))),2)=6,0.5,0)),0))</f>
        <v>23.5</v>
      </c>
      <c r="K1844" s="22" cm="1">
        <f t="array" ref="K1844">_xlfn.XLOOKUP(1,((Metas_Diarias[[#This Row],[tipo_equipe_id]]=Metas[equipe])*(Metas_Diarias[[#This Row],[data]]&gt;Metas[data_inicio])*(Metas_Diarias[[#This Row],[data]]&lt;Metas[data_fim])),Metas[meta_mensal],0)</f>
        <v>68250</v>
      </c>
      <c r="L1844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45" spans="2:12" x14ac:dyDescent="0.3">
      <c r="B1845" s="34">
        <v>46036</v>
      </c>
      <c r="C1845" s="34" t="str">
        <f>TEXT(Metas_Diarias[[#This Row],[data]],"dddd")</f>
        <v>quarta-feira</v>
      </c>
      <c r="D1845" s="33">
        <v>5</v>
      </c>
      <c r="E1845" s="33">
        <v>5</v>
      </c>
      <c r="F1845" s="18"/>
      <c r="G1845" s="35">
        <f>WEEKDAY(Metas_Diarias[[#This Row],[data]])</f>
        <v>4</v>
      </c>
      <c r="H1845" s="35">
        <f>IF(Metas_Diarias[[#This Row],[dias_da_demana]]=1,"domingo",IF(Metas_Diarias[[#This Row],[dias_da_demana]]=7,0.5,1))</f>
        <v>1</v>
      </c>
      <c r="I1845" s="35">
        <f>_xlfn.XLOOKUP(Metas_Diarias[[#This Row],[data]],Feriados[Data],Feriados[Feriado],1)</f>
        <v>1</v>
      </c>
      <c r="J1845" s="33" cm="1">
        <f t="array" aca="1" ref="J1845" ca="1">SUMPRODUCT(IF((NOT(ISERROR(MATCH(ROW(INDIRECT(DATE(YEAR(B1845),MONTH(B1845),1)&amp;":"&amp;DATE(YEAR(B1845),MONTH(B1845)+1,0))),Feriados[Data],0))))=FALSE,
IF(WEEKDAY(ROW(INDIRECT(DATE(YEAR(B1845),MONTH(B1845),1)&amp;":"&amp;DATE(YEAR(B1845),MONTH(B1845)+1,0))),2)&lt;=5,1,IF(WEEKDAY(ROW(INDIRECT(DATE(YEAR(B1845),MONTH(B1845),1)&amp;":"&amp;DATE(YEAR(B1845),MONTH(B1845)+1,0))),2)=6,0.5,0)),0))</f>
        <v>23.5</v>
      </c>
      <c r="K1845" s="22" cm="1">
        <f t="array" ref="K1845">_xlfn.XLOOKUP(1,((Metas_Diarias[[#This Row],[tipo_equipe_id]]=Metas[equipe])*(Metas_Diarias[[#This Row],[data]]&gt;Metas[data_inicio])*(Metas_Diarias[[#This Row],[data]]&lt;Metas[data_fim])),Metas[meta_mensal],0)</f>
        <v>68250</v>
      </c>
      <c r="L1845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46" spans="2:12" x14ac:dyDescent="0.3">
      <c r="B1846" s="34">
        <v>46037</v>
      </c>
      <c r="C1846" s="34" t="str">
        <f>TEXT(Metas_Diarias[[#This Row],[data]],"dddd")</f>
        <v>quinta-feira</v>
      </c>
      <c r="D1846" s="33">
        <v>5</v>
      </c>
      <c r="E1846" s="33">
        <v>5</v>
      </c>
      <c r="F1846" s="18"/>
      <c r="G1846" s="35">
        <f>WEEKDAY(Metas_Diarias[[#This Row],[data]])</f>
        <v>5</v>
      </c>
      <c r="H1846" s="35">
        <f>IF(Metas_Diarias[[#This Row],[dias_da_demana]]=1,"domingo",IF(Metas_Diarias[[#This Row],[dias_da_demana]]=7,0.5,1))</f>
        <v>1</v>
      </c>
      <c r="I1846" s="35">
        <f>_xlfn.XLOOKUP(Metas_Diarias[[#This Row],[data]],Feriados[Data],Feriados[Feriado],1)</f>
        <v>1</v>
      </c>
      <c r="J1846" s="33" cm="1">
        <f t="array" aca="1" ref="J1846" ca="1">SUMPRODUCT(IF((NOT(ISERROR(MATCH(ROW(INDIRECT(DATE(YEAR(B1846),MONTH(B1846),1)&amp;":"&amp;DATE(YEAR(B1846),MONTH(B1846)+1,0))),Feriados[Data],0))))=FALSE,
IF(WEEKDAY(ROW(INDIRECT(DATE(YEAR(B1846),MONTH(B1846),1)&amp;":"&amp;DATE(YEAR(B1846),MONTH(B1846)+1,0))),2)&lt;=5,1,IF(WEEKDAY(ROW(INDIRECT(DATE(YEAR(B1846),MONTH(B1846),1)&amp;":"&amp;DATE(YEAR(B1846),MONTH(B1846)+1,0))),2)=6,0.5,0)),0))</f>
        <v>23.5</v>
      </c>
      <c r="K1846" s="22" cm="1">
        <f t="array" ref="K1846">_xlfn.XLOOKUP(1,((Metas_Diarias[[#This Row],[tipo_equipe_id]]=Metas[equipe])*(Metas_Diarias[[#This Row],[data]]&gt;Metas[data_inicio])*(Metas_Diarias[[#This Row],[data]]&lt;Metas[data_fim])),Metas[meta_mensal],0)</f>
        <v>68250</v>
      </c>
      <c r="L1846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47" spans="2:12" x14ac:dyDescent="0.3">
      <c r="B1847" s="34">
        <v>46038</v>
      </c>
      <c r="C1847" s="34" t="str">
        <f>TEXT(Metas_Diarias[[#This Row],[data]],"dddd")</f>
        <v>sexta-feira</v>
      </c>
      <c r="D1847" s="33">
        <v>5</v>
      </c>
      <c r="E1847" s="33">
        <v>5</v>
      </c>
      <c r="F1847" s="18"/>
      <c r="G1847" s="35">
        <f>WEEKDAY(Metas_Diarias[[#This Row],[data]])</f>
        <v>6</v>
      </c>
      <c r="H1847" s="35">
        <f>IF(Metas_Diarias[[#This Row],[dias_da_demana]]=1,"domingo",IF(Metas_Diarias[[#This Row],[dias_da_demana]]=7,0.5,1))</f>
        <v>1</v>
      </c>
      <c r="I1847" s="35">
        <f>_xlfn.XLOOKUP(Metas_Diarias[[#This Row],[data]],Feriados[Data],Feriados[Feriado],1)</f>
        <v>1</v>
      </c>
      <c r="J1847" s="33" cm="1">
        <f t="array" aca="1" ref="J1847" ca="1">SUMPRODUCT(IF((NOT(ISERROR(MATCH(ROW(INDIRECT(DATE(YEAR(B1847),MONTH(B1847),1)&amp;":"&amp;DATE(YEAR(B1847),MONTH(B1847)+1,0))),Feriados[Data],0))))=FALSE,
IF(WEEKDAY(ROW(INDIRECT(DATE(YEAR(B1847),MONTH(B1847),1)&amp;":"&amp;DATE(YEAR(B1847),MONTH(B1847)+1,0))),2)&lt;=5,1,IF(WEEKDAY(ROW(INDIRECT(DATE(YEAR(B1847),MONTH(B1847),1)&amp;":"&amp;DATE(YEAR(B1847),MONTH(B1847)+1,0))),2)=6,0.5,0)),0))</f>
        <v>23.5</v>
      </c>
      <c r="K1847" s="22" cm="1">
        <f t="array" ref="K1847">_xlfn.XLOOKUP(1,((Metas_Diarias[[#This Row],[tipo_equipe_id]]=Metas[equipe])*(Metas_Diarias[[#This Row],[data]]&gt;Metas[data_inicio])*(Metas_Diarias[[#This Row],[data]]&lt;Metas[data_fim])),Metas[meta_mensal],0)</f>
        <v>68250</v>
      </c>
      <c r="L1847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48" spans="2:12" x14ac:dyDescent="0.3">
      <c r="B1848" s="34">
        <v>46039</v>
      </c>
      <c r="C1848" s="34" t="str">
        <f>TEXT(Metas_Diarias[[#This Row],[data]],"dddd")</f>
        <v>sábado</v>
      </c>
      <c r="D1848" s="33">
        <v>5</v>
      </c>
      <c r="E1848" s="33">
        <v>5</v>
      </c>
      <c r="F1848" s="18"/>
      <c r="G1848" s="35">
        <f>WEEKDAY(Metas_Diarias[[#This Row],[data]])</f>
        <v>7</v>
      </c>
      <c r="H1848" s="35">
        <f>IF(Metas_Diarias[[#This Row],[dias_da_demana]]=1,"domingo",IF(Metas_Diarias[[#This Row],[dias_da_demana]]=7,0.5,1))</f>
        <v>0.5</v>
      </c>
      <c r="I1848" s="35">
        <f>_xlfn.XLOOKUP(Metas_Diarias[[#This Row],[data]],Feriados[Data],Feriados[Feriado],1)</f>
        <v>1</v>
      </c>
      <c r="J1848" s="33" cm="1">
        <f t="array" aca="1" ref="J1848" ca="1">SUMPRODUCT(IF((NOT(ISERROR(MATCH(ROW(INDIRECT(DATE(YEAR(B1848),MONTH(B1848),1)&amp;":"&amp;DATE(YEAR(B1848),MONTH(B1848)+1,0))),Feriados[Data],0))))=FALSE,
IF(WEEKDAY(ROW(INDIRECT(DATE(YEAR(B1848),MONTH(B1848),1)&amp;":"&amp;DATE(YEAR(B1848),MONTH(B1848)+1,0))),2)&lt;=5,1,IF(WEEKDAY(ROW(INDIRECT(DATE(YEAR(B1848),MONTH(B1848),1)&amp;":"&amp;DATE(YEAR(B1848),MONTH(B1848)+1,0))),2)=6,0.5,0)),0))</f>
        <v>23.5</v>
      </c>
      <c r="K1848" s="22" cm="1">
        <f t="array" ref="K1848">_xlfn.XLOOKUP(1,((Metas_Diarias[[#This Row],[tipo_equipe_id]]=Metas[equipe])*(Metas_Diarias[[#This Row],[data]]&gt;Metas[data_inicio])*(Metas_Diarias[[#This Row],[data]]&lt;Metas[data_fim])),Metas[meta_mensal],0)</f>
        <v>68250</v>
      </c>
      <c r="L1848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1849" spans="2:12" x14ac:dyDescent="0.3">
      <c r="B1849" s="34">
        <v>46040</v>
      </c>
      <c r="C1849" s="34" t="str">
        <f>TEXT(Metas_Diarias[[#This Row],[data]],"dddd")</f>
        <v>domingo</v>
      </c>
      <c r="D1849" s="33">
        <v>5</v>
      </c>
      <c r="E1849" s="33">
        <v>5</v>
      </c>
      <c r="F1849" s="18"/>
      <c r="G1849" s="35">
        <f>WEEKDAY(Metas_Diarias[[#This Row],[data]])</f>
        <v>1</v>
      </c>
      <c r="H1849" s="35" t="str">
        <f>IF(Metas_Diarias[[#This Row],[dias_da_demana]]=1,"domingo",IF(Metas_Diarias[[#This Row],[dias_da_demana]]=7,0.5,1))</f>
        <v>domingo</v>
      </c>
      <c r="I1849" s="35">
        <f>_xlfn.XLOOKUP(Metas_Diarias[[#This Row],[data]],Feriados[Data],Feriados[Feriado],1)</f>
        <v>1</v>
      </c>
      <c r="J1849" s="33" cm="1">
        <f t="array" aca="1" ref="J1849" ca="1">SUMPRODUCT(IF((NOT(ISERROR(MATCH(ROW(INDIRECT(DATE(YEAR(B1849),MONTH(B1849),1)&amp;":"&amp;DATE(YEAR(B1849),MONTH(B1849)+1,0))),Feriados[Data],0))))=FALSE,
IF(WEEKDAY(ROW(INDIRECT(DATE(YEAR(B1849),MONTH(B1849),1)&amp;":"&amp;DATE(YEAR(B1849),MONTH(B1849)+1,0))),2)&lt;=5,1,IF(WEEKDAY(ROW(INDIRECT(DATE(YEAR(B1849),MONTH(B1849),1)&amp;":"&amp;DATE(YEAR(B1849),MONTH(B1849)+1,0))),2)=6,0.5,0)),0))</f>
        <v>23.5</v>
      </c>
      <c r="K1849" s="22" cm="1">
        <f t="array" ref="K1849">_xlfn.XLOOKUP(1,((Metas_Diarias[[#This Row],[tipo_equipe_id]]=Metas[equipe])*(Metas_Diarias[[#This Row],[data]]&gt;Metas[data_inicio])*(Metas_Diarias[[#This Row],[data]]&lt;Metas[data_fim])),Metas[meta_mensal],0)</f>
        <v>68250</v>
      </c>
      <c r="L184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50" spans="2:12" x14ac:dyDescent="0.3">
      <c r="B1850" s="34">
        <v>46041</v>
      </c>
      <c r="C1850" s="34" t="str">
        <f>TEXT(Metas_Diarias[[#This Row],[data]],"dddd")</f>
        <v>segunda-feira</v>
      </c>
      <c r="D1850" s="33">
        <v>5</v>
      </c>
      <c r="E1850" s="33">
        <v>5</v>
      </c>
      <c r="F1850" s="18"/>
      <c r="G1850" s="35">
        <f>WEEKDAY(Metas_Diarias[[#This Row],[data]])</f>
        <v>2</v>
      </c>
      <c r="H1850" s="35">
        <f>IF(Metas_Diarias[[#This Row],[dias_da_demana]]=1,"domingo",IF(Metas_Diarias[[#This Row],[dias_da_demana]]=7,0.5,1))</f>
        <v>1</v>
      </c>
      <c r="I1850" s="35">
        <f>_xlfn.XLOOKUP(Metas_Diarias[[#This Row],[data]],Feriados[Data],Feriados[Feriado],1)</f>
        <v>1</v>
      </c>
      <c r="J1850" s="33" cm="1">
        <f t="array" aca="1" ref="J1850" ca="1">SUMPRODUCT(IF((NOT(ISERROR(MATCH(ROW(INDIRECT(DATE(YEAR(B1850),MONTH(B1850),1)&amp;":"&amp;DATE(YEAR(B1850),MONTH(B1850)+1,0))),Feriados[Data],0))))=FALSE,
IF(WEEKDAY(ROW(INDIRECT(DATE(YEAR(B1850),MONTH(B1850),1)&amp;":"&amp;DATE(YEAR(B1850),MONTH(B1850)+1,0))),2)&lt;=5,1,IF(WEEKDAY(ROW(INDIRECT(DATE(YEAR(B1850),MONTH(B1850),1)&amp;":"&amp;DATE(YEAR(B1850),MONTH(B1850)+1,0))),2)=6,0.5,0)),0))</f>
        <v>23.5</v>
      </c>
      <c r="K1850" s="22" cm="1">
        <f t="array" ref="K1850">_xlfn.XLOOKUP(1,((Metas_Diarias[[#This Row],[tipo_equipe_id]]=Metas[equipe])*(Metas_Diarias[[#This Row],[data]]&gt;Metas[data_inicio])*(Metas_Diarias[[#This Row],[data]]&lt;Metas[data_fim])),Metas[meta_mensal],0)</f>
        <v>68250</v>
      </c>
      <c r="L185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51" spans="2:12" x14ac:dyDescent="0.3">
      <c r="B1851" s="34">
        <v>46042</v>
      </c>
      <c r="C1851" s="34" t="str">
        <f>TEXT(Metas_Diarias[[#This Row],[data]],"dddd")</f>
        <v>terça-feira</v>
      </c>
      <c r="D1851" s="33">
        <v>5</v>
      </c>
      <c r="E1851" s="33">
        <v>5</v>
      </c>
      <c r="F1851" s="18"/>
      <c r="G1851" s="35">
        <f>WEEKDAY(Metas_Diarias[[#This Row],[data]])</f>
        <v>3</v>
      </c>
      <c r="H1851" s="35">
        <f>IF(Metas_Diarias[[#This Row],[dias_da_demana]]=1,"domingo",IF(Metas_Diarias[[#This Row],[dias_da_demana]]=7,0.5,1))</f>
        <v>1</v>
      </c>
      <c r="I1851" s="35">
        <f>_xlfn.XLOOKUP(Metas_Diarias[[#This Row],[data]],Feriados[Data],Feriados[Feriado],1)</f>
        <v>1</v>
      </c>
      <c r="J1851" s="33" cm="1">
        <f t="array" aca="1" ref="J1851" ca="1">SUMPRODUCT(IF((NOT(ISERROR(MATCH(ROW(INDIRECT(DATE(YEAR(B1851),MONTH(B1851),1)&amp;":"&amp;DATE(YEAR(B1851),MONTH(B1851)+1,0))),Feriados[Data],0))))=FALSE,
IF(WEEKDAY(ROW(INDIRECT(DATE(YEAR(B1851),MONTH(B1851),1)&amp;":"&amp;DATE(YEAR(B1851),MONTH(B1851)+1,0))),2)&lt;=5,1,IF(WEEKDAY(ROW(INDIRECT(DATE(YEAR(B1851),MONTH(B1851),1)&amp;":"&amp;DATE(YEAR(B1851),MONTH(B1851)+1,0))),2)=6,0.5,0)),0))</f>
        <v>23.5</v>
      </c>
      <c r="K1851" s="22" cm="1">
        <f t="array" ref="K1851">_xlfn.XLOOKUP(1,((Metas_Diarias[[#This Row],[tipo_equipe_id]]=Metas[equipe])*(Metas_Diarias[[#This Row],[data]]&gt;Metas[data_inicio])*(Metas_Diarias[[#This Row],[data]]&lt;Metas[data_fim])),Metas[meta_mensal],0)</f>
        <v>68250</v>
      </c>
      <c r="L1851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52" spans="2:12" x14ac:dyDescent="0.3">
      <c r="B1852" s="34">
        <v>46043</v>
      </c>
      <c r="C1852" s="34" t="str">
        <f>TEXT(Metas_Diarias[[#This Row],[data]],"dddd")</f>
        <v>quarta-feira</v>
      </c>
      <c r="D1852" s="33">
        <v>5</v>
      </c>
      <c r="E1852" s="33">
        <v>5</v>
      </c>
      <c r="F1852" s="18"/>
      <c r="G1852" s="35">
        <f>WEEKDAY(Metas_Diarias[[#This Row],[data]])</f>
        <v>4</v>
      </c>
      <c r="H1852" s="35">
        <f>IF(Metas_Diarias[[#This Row],[dias_da_demana]]=1,"domingo",IF(Metas_Diarias[[#This Row],[dias_da_demana]]=7,0.5,1))</f>
        <v>1</v>
      </c>
      <c r="I1852" s="35">
        <f>_xlfn.XLOOKUP(Metas_Diarias[[#This Row],[data]],Feriados[Data],Feriados[Feriado],1)</f>
        <v>1</v>
      </c>
      <c r="J1852" s="33" cm="1">
        <f t="array" aca="1" ref="J1852" ca="1">SUMPRODUCT(IF((NOT(ISERROR(MATCH(ROW(INDIRECT(DATE(YEAR(B1852),MONTH(B1852),1)&amp;":"&amp;DATE(YEAR(B1852),MONTH(B1852)+1,0))),Feriados[Data],0))))=FALSE,
IF(WEEKDAY(ROW(INDIRECT(DATE(YEAR(B1852),MONTH(B1852),1)&amp;":"&amp;DATE(YEAR(B1852),MONTH(B1852)+1,0))),2)&lt;=5,1,IF(WEEKDAY(ROW(INDIRECT(DATE(YEAR(B1852),MONTH(B1852),1)&amp;":"&amp;DATE(YEAR(B1852),MONTH(B1852)+1,0))),2)=6,0.5,0)),0))</f>
        <v>23.5</v>
      </c>
      <c r="K1852" s="22" cm="1">
        <f t="array" ref="K1852">_xlfn.XLOOKUP(1,((Metas_Diarias[[#This Row],[tipo_equipe_id]]=Metas[equipe])*(Metas_Diarias[[#This Row],[data]]&gt;Metas[data_inicio])*(Metas_Diarias[[#This Row],[data]]&lt;Metas[data_fim])),Metas[meta_mensal],0)</f>
        <v>68250</v>
      </c>
      <c r="L1852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53" spans="2:12" x14ac:dyDescent="0.3">
      <c r="B1853" s="34">
        <v>46044</v>
      </c>
      <c r="C1853" s="34" t="str">
        <f>TEXT(Metas_Diarias[[#This Row],[data]],"dddd")</f>
        <v>quinta-feira</v>
      </c>
      <c r="D1853" s="33">
        <v>5</v>
      </c>
      <c r="E1853" s="33">
        <v>5</v>
      </c>
      <c r="F1853" s="18"/>
      <c r="G1853" s="35">
        <f>WEEKDAY(Metas_Diarias[[#This Row],[data]])</f>
        <v>5</v>
      </c>
      <c r="H1853" s="35">
        <f>IF(Metas_Diarias[[#This Row],[dias_da_demana]]=1,"domingo",IF(Metas_Diarias[[#This Row],[dias_da_demana]]=7,0.5,1))</f>
        <v>1</v>
      </c>
      <c r="I1853" s="35">
        <f>_xlfn.XLOOKUP(Metas_Diarias[[#This Row],[data]],Feriados[Data],Feriados[Feriado],1)</f>
        <v>1</v>
      </c>
      <c r="J1853" s="33" cm="1">
        <f t="array" aca="1" ref="J1853" ca="1">SUMPRODUCT(IF((NOT(ISERROR(MATCH(ROW(INDIRECT(DATE(YEAR(B1853),MONTH(B1853),1)&amp;":"&amp;DATE(YEAR(B1853),MONTH(B1853)+1,0))),Feriados[Data],0))))=FALSE,
IF(WEEKDAY(ROW(INDIRECT(DATE(YEAR(B1853),MONTH(B1853),1)&amp;":"&amp;DATE(YEAR(B1853),MONTH(B1853)+1,0))),2)&lt;=5,1,IF(WEEKDAY(ROW(INDIRECT(DATE(YEAR(B1853),MONTH(B1853),1)&amp;":"&amp;DATE(YEAR(B1853),MONTH(B1853)+1,0))),2)=6,0.5,0)),0))</f>
        <v>23.5</v>
      </c>
      <c r="K1853" s="22" cm="1">
        <f t="array" ref="K1853">_xlfn.XLOOKUP(1,((Metas_Diarias[[#This Row],[tipo_equipe_id]]=Metas[equipe])*(Metas_Diarias[[#This Row],[data]]&gt;Metas[data_inicio])*(Metas_Diarias[[#This Row],[data]]&lt;Metas[data_fim])),Metas[meta_mensal],0)</f>
        <v>68250</v>
      </c>
      <c r="L1853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54" spans="2:12" x14ac:dyDescent="0.3">
      <c r="B1854" s="34">
        <v>46045</v>
      </c>
      <c r="C1854" s="34" t="str">
        <f>TEXT(Metas_Diarias[[#This Row],[data]],"dddd")</f>
        <v>sexta-feira</v>
      </c>
      <c r="D1854" s="33">
        <v>5</v>
      </c>
      <c r="E1854" s="33">
        <v>5</v>
      </c>
      <c r="F1854" s="18"/>
      <c r="G1854" s="35">
        <f>WEEKDAY(Metas_Diarias[[#This Row],[data]])</f>
        <v>6</v>
      </c>
      <c r="H1854" s="35">
        <f>IF(Metas_Diarias[[#This Row],[dias_da_demana]]=1,"domingo",IF(Metas_Diarias[[#This Row],[dias_da_demana]]=7,0.5,1))</f>
        <v>1</v>
      </c>
      <c r="I1854" s="35">
        <f>_xlfn.XLOOKUP(Metas_Diarias[[#This Row],[data]],Feriados[Data],Feriados[Feriado],1)</f>
        <v>1</v>
      </c>
      <c r="J1854" s="33" cm="1">
        <f t="array" aca="1" ref="J1854" ca="1">SUMPRODUCT(IF((NOT(ISERROR(MATCH(ROW(INDIRECT(DATE(YEAR(B1854),MONTH(B1854),1)&amp;":"&amp;DATE(YEAR(B1854),MONTH(B1854)+1,0))),Feriados[Data],0))))=FALSE,
IF(WEEKDAY(ROW(INDIRECT(DATE(YEAR(B1854),MONTH(B1854),1)&amp;":"&amp;DATE(YEAR(B1854),MONTH(B1854)+1,0))),2)&lt;=5,1,IF(WEEKDAY(ROW(INDIRECT(DATE(YEAR(B1854),MONTH(B1854),1)&amp;":"&amp;DATE(YEAR(B1854),MONTH(B1854)+1,0))),2)=6,0.5,0)),0))</f>
        <v>23.5</v>
      </c>
      <c r="K1854" s="22" cm="1">
        <f t="array" ref="K1854">_xlfn.XLOOKUP(1,((Metas_Diarias[[#This Row],[tipo_equipe_id]]=Metas[equipe])*(Metas_Diarias[[#This Row],[data]]&gt;Metas[data_inicio])*(Metas_Diarias[[#This Row],[data]]&lt;Metas[data_fim])),Metas[meta_mensal],0)</f>
        <v>68250</v>
      </c>
      <c r="L1854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55" spans="2:12" x14ac:dyDescent="0.3">
      <c r="B1855" s="34">
        <v>46046</v>
      </c>
      <c r="C1855" s="34" t="str">
        <f>TEXT(Metas_Diarias[[#This Row],[data]],"dddd")</f>
        <v>sábado</v>
      </c>
      <c r="D1855" s="33">
        <v>5</v>
      </c>
      <c r="E1855" s="33">
        <v>5</v>
      </c>
      <c r="F1855" s="18"/>
      <c r="G1855" s="35">
        <f>WEEKDAY(Metas_Diarias[[#This Row],[data]])</f>
        <v>7</v>
      </c>
      <c r="H1855" s="35">
        <f>IF(Metas_Diarias[[#This Row],[dias_da_demana]]=1,"domingo",IF(Metas_Diarias[[#This Row],[dias_da_demana]]=7,0.5,1))</f>
        <v>0.5</v>
      </c>
      <c r="I1855" s="35">
        <f>_xlfn.XLOOKUP(Metas_Diarias[[#This Row],[data]],Feriados[Data],Feriados[Feriado],1)</f>
        <v>1</v>
      </c>
      <c r="J1855" s="33" cm="1">
        <f t="array" aca="1" ref="J1855" ca="1">SUMPRODUCT(IF((NOT(ISERROR(MATCH(ROW(INDIRECT(DATE(YEAR(B1855),MONTH(B1855),1)&amp;":"&amp;DATE(YEAR(B1855),MONTH(B1855)+1,0))),Feriados[Data],0))))=FALSE,
IF(WEEKDAY(ROW(INDIRECT(DATE(YEAR(B1855),MONTH(B1855),1)&amp;":"&amp;DATE(YEAR(B1855),MONTH(B1855)+1,0))),2)&lt;=5,1,IF(WEEKDAY(ROW(INDIRECT(DATE(YEAR(B1855),MONTH(B1855),1)&amp;":"&amp;DATE(YEAR(B1855),MONTH(B1855)+1,0))),2)=6,0.5,0)),0))</f>
        <v>23.5</v>
      </c>
      <c r="K1855" s="22" cm="1">
        <f t="array" ref="K1855">_xlfn.XLOOKUP(1,((Metas_Diarias[[#This Row],[tipo_equipe_id]]=Metas[equipe])*(Metas_Diarias[[#This Row],[data]]&gt;Metas[data_inicio])*(Metas_Diarias[[#This Row],[data]]&lt;Metas[data_fim])),Metas[meta_mensal],0)</f>
        <v>68250</v>
      </c>
      <c r="L1855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1856" spans="2:12" x14ac:dyDescent="0.3">
      <c r="B1856" s="34">
        <v>46047</v>
      </c>
      <c r="C1856" s="34" t="str">
        <f>TEXT(Metas_Diarias[[#This Row],[data]],"dddd")</f>
        <v>domingo</v>
      </c>
      <c r="D1856" s="33">
        <v>5</v>
      </c>
      <c r="E1856" s="33">
        <v>5</v>
      </c>
      <c r="F1856" s="18"/>
      <c r="G1856" s="35">
        <f>WEEKDAY(Metas_Diarias[[#This Row],[data]])</f>
        <v>1</v>
      </c>
      <c r="H1856" s="35" t="str">
        <f>IF(Metas_Diarias[[#This Row],[dias_da_demana]]=1,"domingo",IF(Metas_Diarias[[#This Row],[dias_da_demana]]=7,0.5,1))</f>
        <v>domingo</v>
      </c>
      <c r="I1856" s="35">
        <f>_xlfn.XLOOKUP(Metas_Diarias[[#This Row],[data]],Feriados[Data],Feriados[Feriado],1)</f>
        <v>1</v>
      </c>
      <c r="J1856" s="33" cm="1">
        <f t="array" aca="1" ref="J1856" ca="1">SUMPRODUCT(IF((NOT(ISERROR(MATCH(ROW(INDIRECT(DATE(YEAR(B1856),MONTH(B1856),1)&amp;":"&amp;DATE(YEAR(B1856),MONTH(B1856)+1,0))),Feriados[Data],0))))=FALSE,
IF(WEEKDAY(ROW(INDIRECT(DATE(YEAR(B1856),MONTH(B1856),1)&amp;":"&amp;DATE(YEAR(B1856),MONTH(B1856)+1,0))),2)&lt;=5,1,IF(WEEKDAY(ROW(INDIRECT(DATE(YEAR(B1856),MONTH(B1856),1)&amp;":"&amp;DATE(YEAR(B1856),MONTH(B1856)+1,0))),2)=6,0.5,0)),0))</f>
        <v>23.5</v>
      </c>
      <c r="K1856" s="22" cm="1">
        <f t="array" ref="K1856">_xlfn.XLOOKUP(1,((Metas_Diarias[[#This Row],[tipo_equipe_id]]=Metas[equipe])*(Metas_Diarias[[#This Row],[data]]&gt;Metas[data_inicio])*(Metas_Diarias[[#This Row],[data]]&lt;Metas[data_fim])),Metas[meta_mensal],0)</f>
        <v>68250</v>
      </c>
      <c r="L185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57" spans="2:12" x14ac:dyDescent="0.3">
      <c r="B1857" s="34">
        <v>46048</v>
      </c>
      <c r="C1857" s="34" t="str">
        <f>TEXT(Metas_Diarias[[#This Row],[data]],"dddd")</f>
        <v>segunda-feira</v>
      </c>
      <c r="D1857" s="33">
        <v>5</v>
      </c>
      <c r="E1857" s="33">
        <v>5</v>
      </c>
      <c r="F1857" s="18"/>
      <c r="G1857" s="35">
        <f>WEEKDAY(Metas_Diarias[[#This Row],[data]])</f>
        <v>2</v>
      </c>
      <c r="H1857" s="35">
        <f>IF(Metas_Diarias[[#This Row],[dias_da_demana]]=1,"domingo",IF(Metas_Diarias[[#This Row],[dias_da_demana]]=7,0.5,1))</f>
        <v>1</v>
      </c>
      <c r="I1857" s="35">
        <f>_xlfn.XLOOKUP(Metas_Diarias[[#This Row],[data]],Feriados[Data],Feriados[Feriado],1)</f>
        <v>1</v>
      </c>
      <c r="J1857" s="33" cm="1">
        <f t="array" aca="1" ref="J1857" ca="1">SUMPRODUCT(IF((NOT(ISERROR(MATCH(ROW(INDIRECT(DATE(YEAR(B1857),MONTH(B1857),1)&amp;":"&amp;DATE(YEAR(B1857),MONTH(B1857)+1,0))),Feriados[Data],0))))=FALSE,
IF(WEEKDAY(ROW(INDIRECT(DATE(YEAR(B1857),MONTH(B1857),1)&amp;":"&amp;DATE(YEAR(B1857),MONTH(B1857)+1,0))),2)&lt;=5,1,IF(WEEKDAY(ROW(INDIRECT(DATE(YEAR(B1857),MONTH(B1857),1)&amp;":"&amp;DATE(YEAR(B1857),MONTH(B1857)+1,0))),2)=6,0.5,0)),0))</f>
        <v>23.5</v>
      </c>
      <c r="K1857" s="22" cm="1">
        <f t="array" ref="K1857">_xlfn.XLOOKUP(1,((Metas_Diarias[[#This Row],[tipo_equipe_id]]=Metas[equipe])*(Metas_Diarias[[#This Row],[data]]&gt;Metas[data_inicio])*(Metas_Diarias[[#This Row],[data]]&lt;Metas[data_fim])),Metas[meta_mensal],0)</f>
        <v>68250</v>
      </c>
      <c r="L1857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58" spans="2:12" x14ac:dyDescent="0.3">
      <c r="B1858" s="34">
        <v>46049</v>
      </c>
      <c r="C1858" s="34" t="str">
        <f>TEXT(Metas_Diarias[[#This Row],[data]],"dddd")</f>
        <v>terça-feira</v>
      </c>
      <c r="D1858" s="33">
        <v>5</v>
      </c>
      <c r="E1858" s="33">
        <v>5</v>
      </c>
      <c r="F1858" s="18"/>
      <c r="G1858" s="35">
        <f>WEEKDAY(Metas_Diarias[[#This Row],[data]])</f>
        <v>3</v>
      </c>
      <c r="H1858" s="35">
        <f>IF(Metas_Diarias[[#This Row],[dias_da_demana]]=1,"domingo",IF(Metas_Diarias[[#This Row],[dias_da_demana]]=7,0.5,1))</f>
        <v>1</v>
      </c>
      <c r="I1858" s="35">
        <f>_xlfn.XLOOKUP(Metas_Diarias[[#This Row],[data]],Feriados[Data],Feriados[Feriado],1)</f>
        <v>1</v>
      </c>
      <c r="J1858" s="33" cm="1">
        <f t="array" aca="1" ref="J1858" ca="1">SUMPRODUCT(IF((NOT(ISERROR(MATCH(ROW(INDIRECT(DATE(YEAR(B1858),MONTH(B1858),1)&amp;":"&amp;DATE(YEAR(B1858),MONTH(B1858)+1,0))),Feriados[Data],0))))=FALSE,
IF(WEEKDAY(ROW(INDIRECT(DATE(YEAR(B1858),MONTH(B1858),1)&amp;":"&amp;DATE(YEAR(B1858),MONTH(B1858)+1,0))),2)&lt;=5,1,IF(WEEKDAY(ROW(INDIRECT(DATE(YEAR(B1858),MONTH(B1858),1)&amp;":"&amp;DATE(YEAR(B1858),MONTH(B1858)+1,0))),2)=6,0.5,0)),0))</f>
        <v>23.5</v>
      </c>
      <c r="K1858" s="22" cm="1">
        <f t="array" ref="K1858">_xlfn.XLOOKUP(1,((Metas_Diarias[[#This Row],[tipo_equipe_id]]=Metas[equipe])*(Metas_Diarias[[#This Row],[data]]&gt;Metas[data_inicio])*(Metas_Diarias[[#This Row],[data]]&lt;Metas[data_fim])),Metas[meta_mensal],0)</f>
        <v>68250</v>
      </c>
      <c r="L1858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59" spans="2:12" x14ac:dyDescent="0.3">
      <c r="B1859" s="34">
        <v>46050</v>
      </c>
      <c r="C1859" s="34" t="str">
        <f>TEXT(Metas_Diarias[[#This Row],[data]],"dddd")</f>
        <v>quarta-feira</v>
      </c>
      <c r="D1859" s="33">
        <v>5</v>
      </c>
      <c r="E1859" s="33">
        <v>5</v>
      </c>
      <c r="F1859" s="18"/>
      <c r="G1859" s="35">
        <f>WEEKDAY(Metas_Diarias[[#This Row],[data]])</f>
        <v>4</v>
      </c>
      <c r="H1859" s="35">
        <f>IF(Metas_Diarias[[#This Row],[dias_da_demana]]=1,"domingo",IF(Metas_Diarias[[#This Row],[dias_da_demana]]=7,0.5,1))</f>
        <v>1</v>
      </c>
      <c r="I1859" s="35">
        <f>_xlfn.XLOOKUP(Metas_Diarias[[#This Row],[data]],Feriados[Data],Feriados[Feriado],1)</f>
        <v>1</v>
      </c>
      <c r="J1859" s="33" cm="1">
        <f t="array" aca="1" ref="J1859" ca="1">SUMPRODUCT(IF((NOT(ISERROR(MATCH(ROW(INDIRECT(DATE(YEAR(B1859),MONTH(B1859),1)&amp;":"&amp;DATE(YEAR(B1859),MONTH(B1859)+1,0))),Feriados[Data],0))))=FALSE,
IF(WEEKDAY(ROW(INDIRECT(DATE(YEAR(B1859),MONTH(B1859),1)&amp;":"&amp;DATE(YEAR(B1859),MONTH(B1859)+1,0))),2)&lt;=5,1,IF(WEEKDAY(ROW(INDIRECT(DATE(YEAR(B1859),MONTH(B1859),1)&amp;":"&amp;DATE(YEAR(B1859),MONTH(B1859)+1,0))),2)=6,0.5,0)),0))</f>
        <v>23.5</v>
      </c>
      <c r="K1859" s="22" cm="1">
        <f t="array" ref="K1859">_xlfn.XLOOKUP(1,((Metas_Diarias[[#This Row],[tipo_equipe_id]]=Metas[equipe])*(Metas_Diarias[[#This Row],[data]]&gt;Metas[data_inicio])*(Metas_Diarias[[#This Row],[data]]&lt;Metas[data_fim])),Metas[meta_mensal],0)</f>
        <v>68250</v>
      </c>
      <c r="L1859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60" spans="2:12" x14ac:dyDescent="0.3">
      <c r="B1860" s="34">
        <v>46051</v>
      </c>
      <c r="C1860" s="34" t="str">
        <f>TEXT(Metas_Diarias[[#This Row],[data]],"dddd")</f>
        <v>quinta-feira</v>
      </c>
      <c r="D1860" s="33">
        <v>5</v>
      </c>
      <c r="E1860" s="33">
        <v>5</v>
      </c>
      <c r="F1860" s="18"/>
      <c r="G1860" s="35">
        <f>WEEKDAY(Metas_Diarias[[#This Row],[data]])</f>
        <v>5</v>
      </c>
      <c r="H1860" s="35">
        <f>IF(Metas_Diarias[[#This Row],[dias_da_demana]]=1,"domingo",IF(Metas_Diarias[[#This Row],[dias_da_demana]]=7,0.5,1))</f>
        <v>1</v>
      </c>
      <c r="I1860" s="35">
        <f>_xlfn.XLOOKUP(Metas_Diarias[[#This Row],[data]],Feriados[Data],Feriados[Feriado],1)</f>
        <v>1</v>
      </c>
      <c r="J1860" s="33" cm="1">
        <f t="array" aca="1" ref="J1860" ca="1">SUMPRODUCT(IF((NOT(ISERROR(MATCH(ROW(INDIRECT(DATE(YEAR(B1860),MONTH(B1860),1)&amp;":"&amp;DATE(YEAR(B1860),MONTH(B1860)+1,0))),Feriados[Data],0))))=FALSE,
IF(WEEKDAY(ROW(INDIRECT(DATE(YEAR(B1860),MONTH(B1860),1)&amp;":"&amp;DATE(YEAR(B1860),MONTH(B1860)+1,0))),2)&lt;=5,1,IF(WEEKDAY(ROW(INDIRECT(DATE(YEAR(B1860),MONTH(B1860),1)&amp;":"&amp;DATE(YEAR(B1860),MONTH(B1860)+1,0))),2)=6,0.5,0)),0))</f>
        <v>23.5</v>
      </c>
      <c r="K1860" s="22" cm="1">
        <f t="array" ref="K1860">_xlfn.XLOOKUP(1,((Metas_Diarias[[#This Row],[tipo_equipe_id]]=Metas[equipe])*(Metas_Diarias[[#This Row],[data]]&gt;Metas[data_inicio])*(Metas_Diarias[[#This Row],[data]]&lt;Metas[data_fim])),Metas[meta_mensal],0)</f>
        <v>68250</v>
      </c>
      <c r="L186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61" spans="2:12" x14ac:dyDescent="0.3">
      <c r="B1861" s="34">
        <v>46052</v>
      </c>
      <c r="C1861" s="34" t="str">
        <f>TEXT(Metas_Diarias[[#This Row],[data]],"dddd")</f>
        <v>sexta-feira</v>
      </c>
      <c r="D1861" s="33">
        <v>5</v>
      </c>
      <c r="E1861" s="33">
        <v>5</v>
      </c>
      <c r="F1861" s="18"/>
      <c r="G1861" s="35">
        <f>WEEKDAY(Metas_Diarias[[#This Row],[data]])</f>
        <v>6</v>
      </c>
      <c r="H1861" s="35">
        <f>IF(Metas_Diarias[[#This Row],[dias_da_demana]]=1,"domingo",IF(Metas_Diarias[[#This Row],[dias_da_demana]]=7,0.5,1))</f>
        <v>1</v>
      </c>
      <c r="I1861" s="35">
        <f>_xlfn.XLOOKUP(Metas_Diarias[[#This Row],[data]],Feriados[Data],Feriados[Feriado],1)</f>
        <v>1</v>
      </c>
      <c r="J1861" s="33" cm="1">
        <f t="array" aca="1" ref="J1861" ca="1">SUMPRODUCT(IF((NOT(ISERROR(MATCH(ROW(INDIRECT(DATE(YEAR(B1861),MONTH(B1861),1)&amp;":"&amp;DATE(YEAR(B1861),MONTH(B1861)+1,0))),Feriados[Data],0))))=FALSE,
IF(WEEKDAY(ROW(INDIRECT(DATE(YEAR(B1861),MONTH(B1861),1)&amp;":"&amp;DATE(YEAR(B1861),MONTH(B1861)+1,0))),2)&lt;=5,1,IF(WEEKDAY(ROW(INDIRECT(DATE(YEAR(B1861),MONTH(B1861),1)&amp;":"&amp;DATE(YEAR(B1861),MONTH(B1861)+1,0))),2)=6,0.5,0)),0))</f>
        <v>23.5</v>
      </c>
      <c r="K1861" s="22" cm="1">
        <f t="array" ref="K1861">_xlfn.XLOOKUP(1,((Metas_Diarias[[#This Row],[tipo_equipe_id]]=Metas[equipe])*(Metas_Diarias[[#This Row],[data]]&gt;Metas[data_inicio])*(Metas_Diarias[[#This Row],[data]]&lt;Metas[data_fim])),Metas[meta_mensal],0)</f>
        <v>68250</v>
      </c>
      <c r="L1861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1862" spans="2:12" x14ac:dyDescent="0.3">
      <c r="B1862" s="34">
        <v>46053</v>
      </c>
      <c r="C1862" s="34" t="str">
        <f>TEXT(Metas_Diarias[[#This Row],[data]],"dddd")</f>
        <v>sábado</v>
      </c>
      <c r="D1862" s="33">
        <v>5</v>
      </c>
      <c r="E1862" s="33">
        <v>5</v>
      </c>
      <c r="F1862" s="18"/>
      <c r="G1862" s="35">
        <f>WEEKDAY(Metas_Diarias[[#This Row],[data]])</f>
        <v>7</v>
      </c>
      <c r="H1862" s="35">
        <f>IF(Metas_Diarias[[#This Row],[dias_da_demana]]=1,"domingo",IF(Metas_Diarias[[#This Row],[dias_da_demana]]=7,0.5,1))</f>
        <v>0.5</v>
      </c>
      <c r="I1862" s="35">
        <f>_xlfn.XLOOKUP(Metas_Diarias[[#This Row],[data]],Feriados[Data],Feriados[Feriado],1)</f>
        <v>1</v>
      </c>
      <c r="J1862" s="33" cm="1">
        <f t="array" aca="1" ref="J1862" ca="1">SUMPRODUCT(IF((NOT(ISERROR(MATCH(ROW(INDIRECT(DATE(YEAR(B1862),MONTH(B1862),1)&amp;":"&amp;DATE(YEAR(B1862),MONTH(B1862)+1,0))),Feriados[Data],0))))=FALSE,
IF(WEEKDAY(ROW(INDIRECT(DATE(YEAR(B1862),MONTH(B1862),1)&amp;":"&amp;DATE(YEAR(B1862),MONTH(B1862)+1,0))),2)&lt;=5,1,IF(WEEKDAY(ROW(INDIRECT(DATE(YEAR(B1862),MONTH(B1862),1)&amp;":"&amp;DATE(YEAR(B1862),MONTH(B1862)+1,0))),2)=6,0.5,0)),0))</f>
        <v>23.5</v>
      </c>
      <c r="K1862" s="22" cm="1">
        <f t="array" ref="K1862">_xlfn.XLOOKUP(1,((Metas_Diarias[[#This Row],[tipo_equipe_id]]=Metas[equipe])*(Metas_Diarias[[#This Row],[data]]&gt;Metas[data_inicio])*(Metas_Diarias[[#This Row],[data]]&lt;Metas[data_fim])),Metas[meta_mensal],0)</f>
        <v>68250</v>
      </c>
      <c r="L1862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1863" spans="2:12" x14ac:dyDescent="0.3">
      <c r="B1863" s="34">
        <v>46054</v>
      </c>
      <c r="C1863" s="34" t="str">
        <f>TEXT(Metas_Diarias[[#This Row],[data]],"dddd")</f>
        <v>domingo</v>
      </c>
      <c r="D1863" s="33">
        <v>5</v>
      </c>
      <c r="E1863" s="33">
        <v>5</v>
      </c>
      <c r="F1863" s="18"/>
      <c r="G1863" s="35">
        <f>WEEKDAY(Metas_Diarias[[#This Row],[data]])</f>
        <v>1</v>
      </c>
      <c r="H1863" s="35" t="str">
        <f>IF(Metas_Diarias[[#This Row],[dias_da_demana]]=1,"domingo",IF(Metas_Diarias[[#This Row],[dias_da_demana]]=7,0.5,1))</f>
        <v>domingo</v>
      </c>
      <c r="I1863" s="35">
        <f>_xlfn.XLOOKUP(Metas_Diarias[[#This Row],[data]],Feriados[Data],Feriados[Feriado],1)</f>
        <v>1</v>
      </c>
      <c r="J1863" s="33" cm="1">
        <f t="array" aca="1" ref="J1863" ca="1">SUMPRODUCT(IF((NOT(ISERROR(MATCH(ROW(INDIRECT(DATE(YEAR(B1863),MONTH(B1863),1)&amp;":"&amp;DATE(YEAR(B1863),MONTH(B1863)+1,0))),Feriados[Data],0))))=FALSE,
IF(WEEKDAY(ROW(INDIRECT(DATE(YEAR(B1863),MONTH(B1863),1)&amp;":"&amp;DATE(YEAR(B1863),MONTH(B1863)+1,0))),2)&lt;=5,1,IF(WEEKDAY(ROW(INDIRECT(DATE(YEAR(B1863),MONTH(B1863),1)&amp;":"&amp;DATE(YEAR(B1863),MONTH(B1863)+1,0))),2)=6,0.5,0)),0))</f>
        <v>20</v>
      </c>
      <c r="K1863" s="22" cm="1">
        <f t="array" ref="K1863">_xlfn.XLOOKUP(1,((Metas_Diarias[[#This Row],[tipo_equipe_id]]=Metas[equipe])*(Metas_Diarias[[#This Row],[data]]&gt;Metas[data_inicio])*(Metas_Diarias[[#This Row],[data]]&lt;Metas[data_fim])),Metas[meta_mensal],0)</f>
        <v>68250</v>
      </c>
      <c r="L186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64" spans="2:12" x14ac:dyDescent="0.3">
      <c r="B1864" s="34">
        <v>46055</v>
      </c>
      <c r="C1864" s="34" t="str">
        <f>TEXT(Metas_Diarias[[#This Row],[data]],"dddd")</f>
        <v>segunda-feira</v>
      </c>
      <c r="D1864" s="33">
        <v>5</v>
      </c>
      <c r="E1864" s="33">
        <v>5</v>
      </c>
      <c r="F1864" s="18"/>
      <c r="G1864" s="35">
        <f>WEEKDAY(Metas_Diarias[[#This Row],[data]])</f>
        <v>2</v>
      </c>
      <c r="H1864" s="35">
        <f>IF(Metas_Diarias[[#This Row],[dias_da_demana]]=1,"domingo",IF(Metas_Diarias[[#This Row],[dias_da_demana]]=7,0.5,1))</f>
        <v>1</v>
      </c>
      <c r="I1864" s="35">
        <f>_xlfn.XLOOKUP(Metas_Diarias[[#This Row],[data]],Feriados[Data],Feriados[Feriado],1)</f>
        <v>1</v>
      </c>
      <c r="J1864" s="33" cm="1">
        <f t="array" aca="1" ref="J1864" ca="1">SUMPRODUCT(IF((NOT(ISERROR(MATCH(ROW(INDIRECT(DATE(YEAR(B1864),MONTH(B1864),1)&amp;":"&amp;DATE(YEAR(B1864),MONTH(B1864)+1,0))),Feriados[Data],0))))=FALSE,
IF(WEEKDAY(ROW(INDIRECT(DATE(YEAR(B1864),MONTH(B1864),1)&amp;":"&amp;DATE(YEAR(B1864),MONTH(B1864)+1,0))),2)&lt;=5,1,IF(WEEKDAY(ROW(INDIRECT(DATE(YEAR(B1864),MONTH(B1864),1)&amp;":"&amp;DATE(YEAR(B1864),MONTH(B1864)+1,0))),2)=6,0.5,0)),0))</f>
        <v>20</v>
      </c>
      <c r="K1864" s="22" cm="1">
        <f t="array" ref="K1864">_xlfn.XLOOKUP(1,((Metas_Diarias[[#This Row],[tipo_equipe_id]]=Metas[equipe])*(Metas_Diarias[[#This Row],[data]]&gt;Metas[data_inicio])*(Metas_Diarias[[#This Row],[data]]&lt;Metas[data_fim])),Metas[meta_mensal],0)</f>
        <v>68250</v>
      </c>
      <c r="L1864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65" spans="2:12" x14ac:dyDescent="0.3">
      <c r="B1865" s="34">
        <v>46056</v>
      </c>
      <c r="C1865" s="34" t="str">
        <f>TEXT(Metas_Diarias[[#This Row],[data]],"dddd")</f>
        <v>terça-feira</v>
      </c>
      <c r="D1865" s="33">
        <v>5</v>
      </c>
      <c r="E1865" s="33">
        <v>5</v>
      </c>
      <c r="F1865" s="18"/>
      <c r="G1865" s="35">
        <f>WEEKDAY(Metas_Diarias[[#This Row],[data]])</f>
        <v>3</v>
      </c>
      <c r="H1865" s="35">
        <f>IF(Metas_Diarias[[#This Row],[dias_da_demana]]=1,"domingo",IF(Metas_Diarias[[#This Row],[dias_da_demana]]=7,0.5,1))</f>
        <v>1</v>
      </c>
      <c r="I1865" s="35">
        <f>_xlfn.XLOOKUP(Metas_Diarias[[#This Row],[data]],Feriados[Data],Feriados[Feriado],1)</f>
        <v>1</v>
      </c>
      <c r="J1865" s="33" cm="1">
        <f t="array" aca="1" ref="J1865" ca="1">SUMPRODUCT(IF((NOT(ISERROR(MATCH(ROW(INDIRECT(DATE(YEAR(B1865),MONTH(B1865),1)&amp;":"&amp;DATE(YEAR(B1865),MONTH(B1865)+1,0))),Feriados[Data],0))))=FALSE,
IF(WEEKDAY(ROW(INDIRECT(DATE(YEAR(B1865),MONTH(B1865),1)&amp;":"&amp;DATE(YEAR(B1865),MONTH(B1865)+1,0))),2)&lt;=5,1,IF(WEEKDAY(ROW(INDIRECT(DATE(YEAR(B1865),MONTH(B1865),1)&amp;":"&amp;DATE(YEAR(B1865),MONTH(B1865)+1,0))),2)=6,0.5,0)),0))</f>
        <v>20</v>
      </c>
      <c r="K1865" s="22" cm="1">
        <f t="array" ref="K1865">_xlfn.XLOOKUP(1,((Metas_Diarias[[#This Row],[tipo_equipe_id]]=Metas[equipe])*(Metas_Diarias[[#This Row],[data]]&gt;Metas[data_inicio])*(Metas_Diarias[[#This Row],[data]]&lt;Metas[data_fim])),Metas[meta_mensal],0)</f>
        <v>68250</v>
      </c>
      <c r="L1865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66" spans="2:12" x14ac:dyDescent="0.3">
      <c r="B1866" s="34">
        <v>46057</v>
      </c>
      <c r="C1866" s="34" t="str">
        <f>TEXT(Metas_Diarias[[#This Row],[data]],"dddd")</f>
        <v>quarta-feira</v>
      </c>
      <c r="D1866" s="33">
        <v>5</v>
      </c>
      <c r="E1866" s="33">
        <v>5</v>
      </c>
      <c r="F1866" s="18"/>
      <c r="G1866" s="35">
        <f>WEEKDAY(Metas_Diarias[[#This Row],[data]])</f>
        <v>4</v>
      </c>
      <c r="H1866" s="35">
        <f>IF(Metas_Diarias[[#This Row],[dias_da_demana]]=1,"domingo",IF(Metas_Diarias[[#This Row],[dias_da_demana]]=7,0.5,1))</f>
        <v>1</v>
      </c>
      <c r="I1866" s="35">
        <f>_xlfn.XLOOKUP(Metas_Diarias[[#This Row],[data]],Feriados[Data],Feriados[Feriado],1)</f>
        <v>1</v>
      </c>
      <c r="J1866" s="33" cm="1">
        <f t="array" aca="1" ref="J1866" ca="1">SUMPRODUCT(IF((NOT(ISERROR(MATCH(ROW(INDIRECT(DATE(YEAR(B1866),MONTH(B1866),1)&amp;":"&amp;DATE(YEAR(B1866),MONTH(B1866)+1,0))),Feriados[Data],0))))=FALSE,
IF(WEEKDAY(ROW(INDIRECT(DATE(YEAR(B1866),MONTH(B1866),1)&amp;":"&amp;DATE(YEAR(B1866),MONTH(B1866)+1,0))),2)&lt;=5,1,IF(WEEKDAY(ROW(INDIRECT(DATE(YEAR(B1866),MONTH(B1866),1)&amp;":"&amp;DATE(YEAR(B1866),MONTH(B1866)+1,0))),2)=6,0.5,0)),0))</f>
        <v>20</v>
      </c>
      <c r="K1866" s="22" cm="1">
        <f t="array" ref="K1866">_xlfn.XLOOKUP(1,((Metas_Diarias[[#This Row],[tipo_equipe_id]]=Metas[equipe])*(Metas_Diarias[[#This Row],[data]]&gt;Metas[data_inicio])*(Metas_Diarias[[#This Row],[data]]&lt;Metas[data_fim])),Metas[meta_mensal],0)</f>
        <v>68250</v>
      </c>
      <c r="L1866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67" spans="2:12" x14ac:dyDescent="0.3">
      <c r="B1867" s="34">
        <v>46058</v>
      </c>
      <c r="C1867" s="34" t="str">
        <f>TEXT(Metas_Diarias[[#This Row],[data]],"dddd")</f>
        <v>quinta-feira</v>
      </c>
      <c r="D1867" s="33">
        <v>5</v>
      </c>
      <c r="E1867" s="33">
        <v>5</v>
      </c>
      <c r="F1867" s="18"/>
      <c r="G1867" s="35">
        <f>WEEKDAY(Metas_Diarias[[#This Row],[data]])</f>
        <v>5</v>
      </c>
      <c r="H1867" s="35">
        <f>IF(Metas_Diarias[[#This Row],[dias_da_demana]]=1,"domingo",IF(Metas_Diarias[[#This Row],[dias_da_demana]]=7,0.5,1))</f>
        <v>1</v>
      </c>
      <c r="I1867" s="35">
        <f>_xlfn.XLOOKUP(Metas_Diarias[[#This Row],[data]],Feriados[Data],Feriados[Feriado],1)</f>
        <v>1</v>
      </c>
      <c r="J1867" s="33" cm="1">
        <f t="array" aca="1" ref="J1867" ca="1">SUMPRODUCT(IF((NOT(ISERROR(MATCH(ROW(INDIRECT(DATE(YEAR(B1867),MONTH(B1867),1)&amp;":"&amp;DATE(YEAR(B1867),MONTH(B1867)+1,0))),Feriados[Data],0))))=FALSE,
IF(WEEKDAY(ROW(INDIRECT(DATE(YEAR(B1867),MONTH(B1867),1)&amp;":"&amp;DATE(YEAR(B1867),MONTH(B1867)+1,0))),2)&lt;=5,1,IF(WEEKDAY(ROW(INDIRECT(DATE(YEAR(B1867),MONTH(B1867),1)&amp;":"&amp;DATE(YEAR(B1867),MONTH(B1867)+1,0))),2)=6,0.5,0)),0))</f>
        <v>20</v>
      </c>
      <c r="K1867" s="22" cm="1">
        <f t="array" ref="K1867">_xlfn.XLOOKUP(1,((Metas_Diarias[[#This Row],[tipo_equipe_id]]=Metas[equipe])*(Metas_Diarias[[#This Row],[data]]&gt;Metas[data_inicio])*(Metas_Diarias[[#This Row],[data]]&lt;Metas[data_fim])),Metas[meta_mensal],0)</f>
        <v>68250</v>
      </c>
      <c r="L1867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68" spans="2:12" x14ac:dyDescent="0.3">
      <c r="B1868" s="34">
        <v>46059</v>
      </c>
      <c r="C1868" s="34" t="str">
        <f>TEXT(Metas_Diarias[[#This Row],[data]],"dddd")</f>
        <v>sexta-feira</v>
      </c>
      <c r="D1868" s="33">
        <v>5</v>
      </c>
      <c r="E1868" s="33">
        <v>5</v>
      </c>
      <c r="F1868" s="18"/>
      <c r="G1868" s="35">
        <f>WEEKDAY(Metas_Diarias[[#This Row],[data]])</f>
        <v>6</v>
      </c>
      <c r="H1868" s="35">
        <f>IF(Metas_Diarias[[#This Row],[dias_da_demana]]=1,"domingo",IF(Metas_Diarias[[#This Row],[dias_da_demana]]=7,0.5,1))</f>
        <v>1</v>
      </c>
      <c r="I1868" s="35">
        <f>_xlfn.XLOOKUP(Metas_Diarias[[#This Row],[data]],Feriados[Data],Feriados[Feriado],1)</f>
        <v>1</v>
      </c>
      <c r="J1868" s="33" cm="1">
        <f t="array" aca="1" ref="J1868" ca="1">SUMPRODUCT(IF((NOT(ISERROR(MATCH(ROW(INDIRECT(DATE(YEAR(B1868),MONTH(B1868),1)&amp;":"&amp;DATE(YEAR(B1868),MONTH(B1868)+1,0))),Feriados[Data],0))))=FALSE,
IF(WEEKDAY(ROW(INDIRECT(DATE(YEAR(B1868),MONTH(B1868),1)&amp;":"&amp;DATE(YEAR(B1868),MONTH(B1868)+1,0))),2)&lt;=5,1,IF(WEEKDAY(ROW(INDIRECT(DATE(YEAR(B1868),MONTH(B1868),1)&amp;":"&amp;DATE(YEAR(B1868),MONTH(B1868)+1,0))),2)=6,0.5,0)),0))</f>
        <v>20</v>
      </c>
      <c r="K1868" s="22" cm="1">
        <f t="array" ref="K1868">_xlfn.XLOOKUP(1,((Metas_Diarias[[#This Row],[tipo_equipe_id]]=Metas[equipe])*(Metas_Diarias[[#This Row],[data]]&gt;Metas[data_inicio])*(Metas_Diarias[[#This Row],[data]]&lt;Metas[data_fim])),Metas[meta_mensal],0)</f>
        <v>68250</v>
      </c>
      <c r="L1868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69" spans="2:12" x14ac:dyDescent="0.3">
      <c r="B1869" s="34">
        <v>46060</v>
      </c>
      <c r="C1869" s="34" t="str">
        <f>TEXT(Metas_Diarias[[#This Row],[data]],"dddd")</f>
        <v>sábado</v>
      </c>
      <c r="D1869" s="33">
        <v>5</v>
      </c>
      <c r="E1869" s="33">
        <v>5</v>
      </c>
      <c r="F1869" s="18"/>
      <c r="G1869" s="35">
        <f>WEEKDAY(Metas_Diarias[[#This Row],[data]])</f>
        <v>7</v>
      </c>
      <c r="H1869" s="35">
        <f>IF(Metas_Diarias[[#This Row],[dias_da_demana]]=1,"domingo",IF(Metas_Diarias[[#This Row],[dias_da_demana]]=7,0.5,1))</f>
        <v>0.5</v>
      </c>
      <c r="I1869" s="35">
        <f>_xlfn.XLOOKUP(Metas_Diarias[[#This Row],[data]],Feriados[Data],Feriados[Feriado],1)</f>
        <v>1</v>
      </c>
      <c r="J1869" s="33" cm="1">
        <f t="array" aca="1" ref="J1869" ca="1">SUMPRODUCT(IF((NOT(ISERROR(MATCH(ROW(INDIRECT(DATE(YEAR(B1869),MONTH(B1869),1)&amp;":"&amp;DATE(YEAR(B1869),MONTH(B1869)+1,0))),Feriados[Data],0))))=FALSE,
IF(WEEKDAY(ROW(INDIRECT(DATE(YEAR(B1869),MONTH(B1869),1)&amp;":"&amp;DATE(YEAR(B1869),MONTH(B1869)+1,0))),2)&lt;=5,1,IF(WEEKDAY(ROW(INDIRECT(DATE(YEAR(B1869),MONTH(B1869),1)&amp;":"&amp;DATE(YEAR(B1869),MONTH(B1869)+1,0))),2)=6,0.5,0)),0))</f>
        <v>20</v>
      </c>
      <c r="K1869" s="22" cm="1">
        <f t="array" ref="K1869">_xlfn.XLOOKUP(1,((Metas_Diarias[[#This Row],[tipo_equipe_id]]=Metas[equipe])*(Metas_Diarias[[#This Row],[data]]&gt;Metas[data_inicio])*(Metas_Diarias[[#This Row],[data]]&lt;Metas[data_fim])),Metas[meta_mensal],0)</f>
        <v>68250</v>
      </c>
      <c r="L1869" s="24">
        <f ca="1">Metas_Diarias[[#This Row],[meta_mensal]]*IF(Metas_Diarias[[#This Row],[semana]]="domingo",0,Metas_Diarias[[#This Row],[semana]])*IF(Metas_Diarias[[#This Row],[feriado]]&lt;&gt;1,0,1)/Metas_Diarias[[#This Row],[dias_úteis_Mês]]</f>
        <v>1706.25</v>
      </c>
    </row>
    <row r="1870" spans="2:12" x14ac:dyDescent="0.3">
      <c r="B1870" s="34">
        <v>46061</v>
      </c>
      <c r="C1870" s="34" t="str">
        <f>TEXT(Metas_Diarias[[#This Row],[data]],"dddd")</f>
        <v>domingo</v>
      </c>
      <c r="D1870" s="33">
        <v>5</v>
      </c>
      <c r="E1870" s="33">
        <v>5</v>
      </c>
      <c r="F1870" s="18"/>
      <c r="G1870" s="35">
        <f>WEEKDAY(Metas_Diarias[[#This Row],[data]])</f>
        <v>1</v>
      </c>
      <c r="H1870" s="35" t="str">
        <f>IF(Metas_Diarias[[#This Row],[dias_da_demana]]=1,"domingo",IF(Metas_Diarias[[#This Row],[dias_da_demana]]=7,0.5,1))</f>
        <v>domingo</v>
      </c>
      <c r="I1870" s="35">
        <f>_xlfn.XLOOKUP(Metas_Diarias[[#This Row],[data]],Feriados[Data],Feriados[Feriado],1)</f>
        <v>1</v>
      </c>
      <c r="J1870" s="33" cm="1">
        <f t="array" aca="1" ref="J1870" ca="1">SUMPRODUCT(IF((NOT(ISERROR(MATCH(ROW(INDIRECT(DATE(YEAR(B1870),MONTH(B1870),1)&amp;":"&amp;DATE(YEAR(B1870),MONTH(B1870)+1,0))),Feriados[Data],0))))=FALSE,
IF(WEEKDAY(ROW(INDIRECT(DATE(YEAR(B1870),MONTH(B1870),1)&amp;":"&amp;DATE(YEAR(B1870),MONTH(B1870)+1,0))),2)&lt;=5,1,IF(WEEKDAY(ROW(INDIRECT(DATE(YEAR(B1870),MONTH(B1870),1)&amp;":"&amp;DATE(YEAR(B1870),MONTH(B1870)+1,0))),2)=6,0.5,0)),0))</f>
        <v>20</v>
      </c>
      <c r="K1870" s="22" cm="1">
        <f t="array" ref="K1870">_xlfn.XLOOKUP(1,((Metas_Diarias[[#This Row],[tipo_equipe_id]]=Metas[equipe])*(Metas_Diarias[[#This Row],[data]]&gt;Metas[data_inicio])*(Metas_Diarias[[#This Row],[data]]&lt;Metas[data_fim])),Metas[meta_mensal],0)</f>
        <v>68250</v>
      </c>
      <c r="L18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71" spans="2:12" x14ac:dyDescent="0.3">
      <c r="B1871" s="34">
        <v>46062</v>
      </c>
      <c r="C1871" s="34" t="str">
        <f>TEXT(Metas_Diarias[[#This Row],[data]],"dddd")</f>
        <v>segunda-feira</v>
      </c>
      <c r="D1871" s="33">
        <v>5</v>
      </c>
      <c r="E1871" s="33">
        <v>5</v>
      </c>
      <c r="F1871" s="18"/>
      <c r="G1871" s="35">
        <f>WEEKDAY(Metas_Diarias[[#This Row],[data]])</f>
        <v>2</v>
      </c>
      <c r="H1871" s="35">
        <f>IF(Metas_Diarias[[#This Row],[dias_da_demana]]=1,"domingo",IF(Metas_Diarias[[#This Row],[dias_da_demana]]=7,0.5,1))</f>
        <v>1</v>
      </c>
      <c r="I1871" s="35">
        <f>_xlfn.XLOOKUP(Metas_Diarias[[#This Row],[data]],Feriados[Data],Feriados[Feriado],1)</f>
        <v>1</v>
      </c>
      <c r="J1871" s="33" cm="1">
        <f t="array" aca="1" ref="J1871" ca="1">SUMPRODUCT(IF((NOT(ISERROR(MATCH(ROW(INDIRECT(DATE(YEAR(B1871),MONTH(B1871),1)&amp;":"&amp;DATE(YEAR(B1871),MONTH(B1871)+1,0))),Feriados[Data],0))))=FALSE,
IF(WEEKDAY(ROW(INDIRECT(DATE(YEAR(B1871),MONTH(B1871),1)&amp;":"&amp;DATE(YEAR(B1871),MONTH(B1871)+1,0))),2)&lt;=5,1,IF(WEEKDAY(ROW(INDIRECT(DATE(YEAR(B1871),MONTH(B1871),1)&amp;":"&amp;DATE(YEAR(B1871),MONTH(B1871)+1,0))),2)=6,0.5,0)),0))</f>
        <v>20</v>
      </c>
      <c r="K1871" s="22" cm="1">
        <f t="array" ref="K1871">_xlfn.XLOOKUP(1,((Metas_Diarias[[#This Row],[tipo_equipe_id]]=Metas[equipe])*(Metas_Diarias[[#This Row],[data]]&gt;Metas[data_inicio])*(Metas_Diarias[[#This Row],[data]]&lt;Metas[data_fim])),Metas[meta_mensal],0)</f>
        <v>68250</v>
      </c>
      <c r="L1871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72" spans="2:12" x14ac:dyDescent="0.3">
      <c r="B1872" s="34">
        <v>46063</v>
      </c>
      <c r="C1872" s="34" t="str">
        <f>TEXT(Metas_Diarias[[#This Row],[data]],"dddd")</f>
        <v>terça-feira</v>
      </c>
      <c r="D1872" s="33">
        <v>5</v>
      </c>
      <c r="E1872" s="33">
        <v>5</v>
      </c>
      <c r="F1872" s="18"/>
      <c r="G1872" s="35">
        <f>WEEKDAY(Metas_Diarias[[#This Row],[data]])</f>
        <v>3</v>
      </c>
      <c r="H1872" s="35">
        <f>IF(Metas_Diarias[[#This Row],[dias_da_demana]]=1,"domingo",IF(Metas_Diarias[[#This Row],[dias_da_demana]]=7,0.5,1))</f>
        <v>1</v>
      </c>
      <c r="I1872" s="35">
        <f>_xlfn.XLOOKUP(Metas_Diarias[[#This Row],[data]],Feriados[Data],Feriados[Feriado],1)</f>
        <v>1</v>
      </c>
      <c r="J1872" s="33" cm="1">
        <f t="array" aca="1" ref="J1872" ca="1">SUMPRODUCT(IF((NOT(ISERROR(MATCH(ROW(INDIRECT(DATE(YEAR(B1872),MONTH(B1872),1)&amp;":"&amp;DATE(YEAR(B1872),MONTH(B1872)+1,0))),Feriados[Data],0))))=FALSE,
IF(WEEKDAY(ROW(INDIRECT(DATE(YEAR(B1872),MONTH(B1872),1)&amp;":"&amp;DATE(YEAR(B1872),MONTH(B1872)+1,0))),2)&lt;=5,1,IF(WEEKDAY(ROW(INDIRECT(DATE(YEAR(B1872),MONTH(B1872),1)&amp;":"&amp;DATE(YEAR(B1872),MONTH(B1872)+1,0))),2)=6,0.5,0)),0))</f>
        <v>20</v>
      </c>
      <c r="K1872" s="22" cm="1">
        <f t="array" ref="K1872">_xlfn.XLOOKUP(1,((Metas_Diarias[[#This Row],[tipo_equipe_id]]=Metas[equipe])*(Metas_Diarias[[#This Row],[data]]&gt;Metas[data_inicio])*(Metas_Diarias[[#This Row],[data]]&lt;Metas[data_fim])),Metas[meta_mensal],0)</f>
        <v>68250</v>
      </c>
      <c r="L1872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73" spans="2:12" x14ac:dyDescent="0.3">
      <c r="B1873" s="34">
        <v>46064</v>
      </c>
      <c r="C1873" s="34" t="str">
        <f>TEXT(Metas_Diarias[[#This Row],[data]],"dddd")</f>
        <v>quarta-feira</v>
      </c>
      <c r="D1873" s="33">
        <v>5</v>
      </c>
      <c r="E1873" s="33">
        <v>5</v>
      </c>
      <c r="F1873" s="18"/>
      <c r="G1873" s="35">
        <f>WEEKDAY(Metas_Diarias[[#This Row],[data]])</f>
        <v>4</v>
      </c>
      <c r="H1873" s="35">
        <f>IF(Metas_Diarias[[#This Row],[dias_da_demana]]=1,"domingo",IF(Metas_Diarias[[#This Row],[dias_da_demana]]=7,0.5,1))</f>
        <v>1</v>
      </c>
      <c r="I1873" s="35">
        <f>_xlfn.XLOOKUP(Metas_Diarias[[#This Row],[data]],Feriados[Data],Feriados[Feriado],1)</f>
        <v>1</v>
      </c>
      <c r="J1873" s="33" cm="1">
        <f t="array" aca="1" ref="J1873" ca="1">SUMPRODUCT(IF((NOT(ISERROR(MATCH(ROW(INDIRECT(DATE(YEAR(B1873),MONTH(B1873),1)&amp;":"&amp;DATE(YEAR(B1873),MONTH(B1873)+1,0))),Feriados[Data],0))))=FALSE,
IF(WEEKDAY(ROW(INDIRECT(DATE(YEAR(B1873),MONTH(B1873),1)&amp;":"&amp;DATE(YEAR(B1873),MONTH(B1873)+1,0))),2)&lt;=5,1,IF(WEEKDAY(ROW(INDIRECT(DATE(YEAR(B1873),MONTH(B1873),1)&amp;":"&amp;DATE(YEAR(B1873),MONTH(B1873)+1,0))),2)=6,0.5,0)),0))</f>
        <v>20</v>
      </c>
      <c r="K1873" s="22" cm="1">
        <f t="array" ref="K1873">_xlfn.XLOOKUP(1,((Metas_Diarias[[#This Row],[tipo_equipe_id]]=Metas[equipe])*(Metas_Diarias[[#This Row],[data]]&gt;Metas[data_inicio])*(Metas_Diarias[[#This Row],[data]]&lt;Metas[data_fim])),Metas[meta_mensal],0)</f>
        <v>68250</v>
      </c>
      <c r="L1873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74" spans="2:12" x14ac:dyDescent="0.3">
      <c r="B1874" s="34">
        <v>46065</v>
      </c>
      <c r="C1874" s="34" t="str">
        <f>TEXT(Metas_Diarias[[#This Row],[data]],"dddd")</f>
        <v>quinta-feira</v>
      </c>
      <c r="D1874" s="33">
        <v>5</v>
      </c>
      <c r="E1874" s="33">
        <v>5</v>
      </c>
      <c r="F1874" s="18"/>
      <c r="G1874" s="35">
        <f>WEEKDAY(Metas_Diarias[[#This Row],[data]])</f>
        <v>5</v>
      </c>
      <c r="H1874" s="35">
        <f>IF(Metas_Diarias[[#This Row],[dias_da_demana]]=1,"domingo",IF(Metas_Diarias[[#This Row],[dias_da_demana]]=7,0.5,1))</f>
        <v>1</v>
      </c>
      <c r="I1874" s="35">
        <f>_xlfn.XLOOKUP(Metas_Diarias[[#This Row],[data]],Feriados[Data],Feriados[Feriado],1)</f>
        <v>1</v>
      </c>
      <c r="J1874" s="33" cm="1">
        <f t="array" aca="1" ref="J1874" ca="1">SUMPRODUCT(IF((NOT(ISERROR(MATCH(ROW(INDIRECT(DATE(YEAR(B1874),MONTH(B1874),1)&amp;":"&amp;DATE(YEAR(B1874),MONTH(B1874)+1,0))),Feriados[Data],0))))=FALSE,
IF(WEEKDAY(ROW(INDIRECT(DATE(YEAR(B1874),MONTH(B1874),1)&amp;":"&amp;DATE(YEAR(B1874),MONTH(B1874)+1,0))),2)&lt;=5,1,IF(WEEKDAY(ROW(INDIRECT(DATE(YEAR(B1874),MONTH(B1874),1)&amp;":"&amp;DATE(YEAR(B1874),MONTH(B1874)+1,0))),2)=6,0.5,0)),0))</f>
        <v>20</v>
      </c>
      <c r="K1874" s="22" cm="1">
        <f t="array" ref="K1874">_xlfn.XLOOKUP(1,((Metas_Diarias[[#This Row],[tipo_equipe_id]]=Metas[equipe])*(Metas_Diarias[[#This Row],[data]]&gt;Metas[data_inicio])*(Metas_Diarias[[#This Row],[data]]&lt;Metas[data_fim])),Metas[meta_mensal],0)</f>
        <v>68250</v>
      </c>
      <c r="L1874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75" spans="2:12" x14ac:dyDescent="0.3">
      <c r="B1875" s="34">
        <v>46066</v>
      </c>
      <c r="C1875" s="34" t="str">
        <f>TEXT(Metas_Diarias[[#This Row],[data]],"dddd")</f>
        <v>sexta-feira</v>
      </c>
      <c r="D1875" s="33">
        <v>5</v>
      </c>
      <c r="E1875" s="33">
        <v>5</v>
      </c>
      <c r="F1875" s="18"/>
      <c r="G1875" s="35">
        <f>WEEKDAY(Metas_Diarias[[#This Row],[data]])</f>
        <v>6</v>
      </c>
      <c r="H1875" s="35">
        <f>IF(Metas_Diarias[[#This Row],[dias_da_demana]]=1,"domingo",IF(Metas_Diarias[[#This Row],[dias_da_demana]]=7,0.5,1))</f>
        <v>1</v>
      </c>
      <c r="I1875" s="35">
        <f>_xlfn.XLOOKUP(Metas_Diarias[[#This Row],[data]],Feriados[Data],Feriados[Feriado],1)</f>
        <v>1</v>
      </c>
      <c r="J1875" s="33" cm="1">
        <f t="array" aca="1" ref="J1875" ca="1">SUMPRODUCT(IF((NOT(ISERROR(MATCH(ROW(INDIRECT(DATE(YEAR(B1875),MONTH(B1875),1)&amp;":"&amp;DATE(YEAR(B1875),MONTH(B1875)+1,0))),Feriados[Data],0))))=FALSE,
IF(WEEKDAY(ROW(INDIRECT(DATE(YEAR(B1875),MONTH(B1875),1)&amp;":"&amp;DATE(YEAR(B1875),MONTH(B1875)+1,0))),2)&lt;=5,1,IF(WEEKDAY(ROW(INDIRECT(DATE(YEAR(B1875),MONTH(B1875),1)&amp;":"&amp;DATE(YEAR(B1875),MONTH(B1875)+1,0))),2)=6,0.5,0)),0))</f>
        <v>20</v>
      </c>
      <c r="K1875" s="22" cm="1">
        <f t="array" ref="K1875">_xlfn.XLOOKUP(1,((Metas_Diarias[[#This Row],[tipo_equipe_id]]=Metas[equipe])*(Metas_Diarias[[#This Row],[data]]&gt;Metas[data_inicio])*(Metas_Diarias[[#This Row],[data]]&lt;Metas[data_fim])),Metas[meta_mensal],0)</f>
        <v>68250</v>
      </c>
      <c r="L1875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76" spans="2:12" x14ac:dyDescent="0.3">
      <c r="B1876" s="34">
        <v>46067</v>
      </c>
      <c r="C1876" s="34" t="str">
        <f>TEXT(Metas_Diarias[[#This Row],[data]],"dddd")</f>
        <v>sábado</v>
      </c>
      <c r="D1876" s="33">
        <v>5</v>
      </c>
      <c r="E1876" s="33">
        <v>5</v>
      </c>
      <c r="F1876" s="18"/>
      <c r="G1876" s="35">
        <f>WEEKDAY(Metas_Diarias[[#This Row],[data]])</f>
        <v>7</v>
      </c>
      <c r="H1876" s="35">
        <f>IF(Metas_Diarias[[#This Row],[dias_da_demana]]=1,"domingo",IF(Metas_Diarias[[#This Row],[dias_da_demana]]=7,0.5,1))</f>
        <v>0.5</v>
      </c>
      <c r="I1876" s="35">
        <f>_xlfn.XLOOKUP(Metas_Diarias[[#This Row],[data]],Feriados[Data],Feriados[Feriado],1)</f>
        <v>1</v>
      </c>
      <c r="J1876" s="33" cm="1">
        <f t="array" aca="1" ref="J1876" ca="1">SUMPRODUCT(IF((NOT(ISERROR(MATCH(ROW(INDIRECT(DATE(YEAR(B1876),MONTH(B1876),1)&amp;":"&amp;DATE(YEAR(B1876),MONTH(B1876)+1,0))),Feriados[Data],0))))=FALSE,
IF(WEEKDAY(ROW(INDIRECT(DATE(YEAR(B1876),MONTH(B1876),1)&amp;":"&amp;DATE(YEAR(B1876),MONTH(B1876)+1,0))),2)&lt;=5,1,IF(WEEKDAY(ROW(INDIRECT(DATE(YEAR(B1876),MONTH(B1876),1)&amp;":"&amp;DATE(YEAR(B1876),MONTH(B1876)+1,0))),2)=6,0.5,0)),0))</f>
        <v>20</v>
      </c>
      <c r="K1876" s="22" cm="1">
        <f t="array" ref="K1876">_xlfn.XLOOKUP(1,((Metas_Diarias[[#This Row],[tipo_equipe_id]]=Metas[equipe])*(Metas_Diarias[[#This Row],[data]]&gt;Metas[data_inicio])*(Metas_Diarias[[#This Row],[data]]&lt;Metas[data_fim])),Metas[meta_mensal],0)</f>
        <v>68250</v>
      </c>
      <c r="L1876" s="24">
        <f ca="1">Metas_Diarias[[#This Row],[meta_mensal]]*IF(Metas_Diarias[[#This Row],[semana]]="domingo",0,Metas_Diarias[[#This Row],[semana]])*IF(Metas_Diarias[[#This Row],[feriado]]&lt;&gt;1,0,1)/Metas_Diarias[[#This Row],[dias_úteis_Mês]]</f>
        <v>1706.25</v>
      </c>
    </row>
    <row r="1877" spans="2:12" x14ac:dyDescent="0.3">
      <c r="B1877" s="34">
        <v>46068</v>
      </c>
      <c r="C1877" s="34" t="str">
        <f>TEXT(Metas_Diarias[[#This Row],[data]],"dddd")</f>
        <v>domingo</v>
      </c>
      <c r="D1877" s="33">
        <v>5</v>
      </c>
      <c r="E1877" s="33">
        <v>5</v>
      </c>
      <c r="F1877" s="18"/>
      <c r="G1877" s="35">
        <f>WEEKDAY(Metas_Diarias[[#This Row],[data]])</f>
        <v>1</v>
      </c>
      <c r="H1877" s="35" t="str">
        <f>IF(Metas_Diarias[[#This Row],[dias_da_demana]]=1,"domingo",IF(Metas_Diarias[[#This Row],[dias_da_demana]]=7,0.5,1))</f>
        <v>domingo</v>
      </c>
      <c r="I1877" s="35">
        <f>_xlfn.XLOOKUP(Metas_Diarias[[#This Row],[data]],Feriados[Data],Feriados[Feriado],1)</f>
        <v>1</v>
      </c>
      <c r="J1877" s="33" cm="1">
        <f t="array" aca="1" ref="J1877" ca="1">SUMPRODUCT(IF((NOT(ISERROR(MATCH(ROW(INDIRECT(DATE(YEAR(B1877),MONTH(B1877),1)&amp;":"&amp;DATE(YEAR(B1877),MONTH(B1877)+1,0))),Feriados[Data],0))))=FALSE,
IF(WEEKDAY(ROW(INDIRECT(DATE(YEAR(B1877),MONTH(B1877),1)&amp;":"&amp;DATE(YEAR(B1877),MONTH(B1877)+1,0))),2)&lt;=5,1,IF(WEEKDAY(ROW(INDIRECT(DATE(YEAR(B1877),MONTH(B1877),1)&amp;":"&amp;DATE(YEAR(B1877),MONTH(B1877)+1,0))),2)=6,0.5,0)),0))</f>
        <v>20</v>
      </c>
      <c r="K1877" s="22" cm="1">
        <f t="array" ref="K1877">_xlfn.XLOOKUP(1,((Metas_Diarias[[#This Row],[tipo_equipe_id]]=Metas[equipe])*(Metas_Diarias[[#This Row],[data]]&gt;Metas[data_inicio])*(Metas_Diarias[[#This Row],[data]]&lt;Metas[data_fim])),Metas[meta_mensal],0)</f>
        <v>68250</v>
      </c>
      <c r="L18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78" spans="2:12" x14ac:dyDescent="0.3">
      <c r="B1878" s="34">
        <v>46069</v>
      </c>
      <c r="C1878" s="34" t="str">
        <f>TEXT(Metas_Diarias[[#This Row],[data]],"dddd")</f>
        <v>segunda-feira</v>
      </c>
      <c r="D1878" s="33">
        <v>5</v>
      </c>
      <c r="E1878" s="33">
        <v>5</v>
      </c>
      <c r="F1878" s="18"/>
      <c r="G1878" s="35">
        <f>WEEKDAY(Metas_Diarias[[#This Row],[data]])</f>
        <v>2</v>
      </c>
      <c r="H1878" s="35">
        <f>IF(Metas_Diarias[[#This Row],[dias_da_demana]]=1,"domingo",IF(Metas_Diarias[[#This Row],[dias_da_demana]]=7,0.5,1))</f>
        <v>1</v>
      </c>
      <c r="I1878" s="35" t="str">
        <f>_xlfn.XLOOKUP(Metas_Diarias[[#This Row],[data]],Feriados[Data],Feriados[Feriado],1)</f>
        <v>Carnaval</v>
      </c>
      <c r="J1878" s="33" cm="1">
        <f t="array" aca="1" ref="J1878" ca="1">SUMPRODUCT(IF((NOT(ISERROR(MATCH(ROW(INDIRECT(DATE(YEAR(B1878),MONTH(B1878),1)&amp;":"&amp;DATE(YEAR(B1878),MONTH(B1878)+1,0))),Feriados[Data],0))))=FALSE,
IF(WEEKDAY(ROW(INDIRECT(DATE(YEAR(B1878),MONTH(B1878),1)&amp;":"&amp;DATE(YEAR(B1878),MONTH(B1878)+1,0))),2)&lt;=5,1,IF(WEEKDAY(ROW(INDIRECT(DATE(YEAR(B1878),MONTH(B1878),1)&amp;":"&amp;DATE(YEAR(B1878),MONTH(B1878)+1,0))),2)=6,0.5,0)),0))</f>
        <v>20</v>
      </c>
      <c r="K1878" s="22" cm="1">
        <f t="array" ref="K1878">_xlfn.XLOOKUP(1,((Metas_Diarias[[#This Row],[tipo_equipe_id]]=Metas[equipe])*(Metas_Diarias[[#This Row],[data]]&gt;Metas[data_inicio])*(Metas_Diarias[[#This Row],[data]]&lt;Metas[data_fim])),Metas[meta_mensal],0)</f>
        <v>68250</v>
      </c>
      <c r="L18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79" spans="2:12" x14ac:dyDescent="0.3">
      <c r="B1879" s="34">
        <v>46070</v>
      </c>
      <c r="C1879" s="34" t="str">
        <f>TEXT(Metas_Diarias[[#This Row],[data]],"dddd")</f>
        <v>terça-feira</v>
      </c>
      <c r="D1879" s="33">
        <v>5</v>
      </c>
      <c r="E1879" s="33">
        <v>5</v>
      </c>
      <c r="F1879" s="18"/>
      <c r="G1879" s="35">
        <f>WEEKDAY(Metas_Diarias[[#This Row],[data]])</f>
        <v>3</v>
      </c>
      <c r="H1879" s="35">
        <f>IF(Metas_Diarias[[#This Row],[dias_da_demana]]=1,"domingo",IF(Metas_Diarias[[#This Row],[dias_da_demana]]=7,0.5,1))</f>
        <v>1</v>
      </c>
      <c r="I1879" s="35" t="str">
        <f>_xlfn.XLOOKUP(Metas_Diarias[[#This Row],[data]],Feriados[Data],Feriados[Feriado],1)</f>
        <v>Carnaval</v>
      </c>
      <c r="J1879" s="33" cm="1">
        <f t="array" aca="1" ref="J1879" ca="1">SUMPRODUCT(IF((NOT(ISERROR(MATCH(ROW(INDIRECT(DATE(YEAR(B1879),MONTH(B1879),1)&amp;":"&amp;DATE(YEAR(B1879),MONTH(B1879)+1,0))),Feriados[Data],0))))=FALSE,
IF(WEEKDAY(ROW(INDIRECT(DATE(YEAR(B1879),MONTH(B1879),1)&amp;":"&amp;DATE(YEAR(B1879),MONTH(B1879)+1,0))),2)&lt;=5,1,IF(WEEKDAY(ROW(INDIRECT(DATE(YEAR(B1879),MONTH(B1879),1)&amp;":"&amp;DATE(YEAR(B1879),MONTH(B1879)+1,0))),2)=6,0.5,0)),0))</f>
        <v>20</v>
      </c>
      <c r="K1879" s="22" cm="1">
        <f t="array" ref="K1879">_xlfn.XLOOKUP(1,((Metas_Diarias[[#This Row],[tipo_equipe_id]]=Metas[equipe])*(Metas_Diarias[[#This Row],[data]]&gt;Metas[data_inicio])*(Metas_Diarias[[#This Row],[data]]&lt;Metas[data_fim])),Metas[meta_mensal],0)</f>
        <v>68250</v>
      </c>
      <c r="L18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80" spans="2:12" x14ac:dyDescent="0.3">
      <c r="B1880" s="34">
        <v>46071</v>
      </c>
      <c r="C1880" s="34" t="str">
        <f>TEXT(Metas_Diarias[[#This Row],[data]],"dddd")</f>
        <v>quarta-feira</v>
      </c>
      <c r="D1880" s="33">
        <v>5</v>
      </c>
      <c r="E1880" s="33">
        <v>5</v>
      </c>
      <c r="F1880" s="18"/>
      <c r="G1880" s="35">
        <f>WEEKDAY(Metas_Diarias[[#This Row],[data]])</f>
        <v>4</v>
      </c>
      <c r="H1880" s="35">
        <f>IF(Metas_Diarias[[#This Row],[dias_da_demana]]=1,"domingo",IF(Metas_Diarias[[#This Row],[dias_da_demana]]=7,0.5,1))</f>
        <v>1</v>
      </c>
      <c r="I1880" s="35">
        <f>_xlfn.XLOOKUP(Metas_Diarias[[#This Row],[data]],Feriados[Data],Feriados[Feriado],1)</f>
        <v>1</v>
      </c>
      <c r="J1880" s="33" cm="1">
        <f t="array" aca="1" ref="J1880" ca="1">SUMPRODUCT(IF((NOT(ISERROR(MATCH(ROW(INDIRECT(DATE(YEAR(B1880),MONTH(B1880),1)&amp;":"&amp;DATE(YEAR(B1880),MONTH(B1880)+1,0))),Feriados[Data],0))))=FALSE,
IF(WEEKDAY(ROW(INDIRECT(DATE(YEAR(B1880),MONTH(B1880),1)&amp;":"&amp;DATE(YEAR(B1880),MONTH(B1880)+1,0))),2)&lt;=5,1,IF(WEEKDAY(ROW(INDIRECT(DATE(YEAR(B1880),MONTH(B1880),1)&amp;":"&amp;DATE(YEAR(B1880),MONTH(B1880)+1,0))),2)=6,0.5,0)),0))</f>
        <v>20</v>
      </c>
      <c r="K1880" s="22" cm="1">
        <f t="array" ref="K1880">_xlfn.XLOOKUP(1,((Metas_Diarias[[#This Row],[tipo_equipe_id]]=Metas[equipe])*(Metas_Diarias[[#This Row],[data]]&gt;Metas[data_inicio])*(Metas_Diarias[[#This Row],[data]]&lt;Metas[data_fim])),Metas[meta_mensal],0)</f>
        <v>68250</v>
      </c>
      <c r="L1880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81" spans="2:12" x14ac:dyDescent="0.3">
      <c r="B1881" s="34">
        <v>46072</v>
      </c>
      <c r="C1881" s="34" t="str">
        <f>TEXT(Metas_Diarias[[#This Row],[data]],"dddd")</f>
        <v>quinta-feira</v>
      </c>
      <c r="D1881" s="33">
        <v>5</v>
      </c>
      <c r="E1881" s="33">
        <v>5</v>
      </c>
      <c r="F1881" s="18"/>
      <c r="G1881" s="35">
        <f>WEEKDAY(Metas_Diarias[[#This Row],[data]])</f>
        <v>5</v>
      </c>
      <c r="H1881" s="35">
        <f>IF(Metas_Diarias[[#This Row],[dias_da_demana]]=1,"domingo",IF(Metas_Diarias[[#This Row],[dias_da_demana]]=7,0.5,1))</f>
        <v>1</v>
      </c>
      <c r="I1881" s="35">
        <f>_xlfn.XLOOKUP(Metas_Diarias[[#This Row],[data]],Feriados[Data],Feriados[Feriado],1)</f>
        <v>1</v>
      </c>
      <c r="J1881" s="33" cm="1">
        <f t="array" aca="1" ref="J1881" ca="1">SUMPRODUCT(IF((NOT(ISERROR(MATCH(ROW(INDIRECT(DATE(YEAR(B1881),MONTH(B1881),1)&amp;":"&amp;DATE(YEAR(B1881),MONTH(B1881)+1,0))),Feriados[Data],0))))=FALSE,
IF(WEEKDAY(ROW(INDIRECT(DATE(YEAR(B1881),MONTH(B1881),1)&amp;":"&amp;DATE(YEAR(B1881),MONTH(B1881)+1,0))),2)&lt;=5,1,IF(WEEKDAY(ROW(INDIRECT(DATE(YEAR(B1881),MONTH(B1881),1)&amp;":"&amp;DATE(YEAR(B1881),MONTH(B1881)+1,0))),2)=6,0.5,0)),0))</f>
        <v>20</v>
      </c>
      <c r="K1881" s="22" cm="1">
        <f t="array" ref="K1881">_xlfn.XLOOKUP(1,((Metas_Diarias[[#This Row],[tipo_equipe_id]]=Metas[equipe])*(Metas_Diarias[[#This Row],[data]]&gt;Metas[data_inicio])*(Metas_Diarias[[#This Row],[data]]&lt;Metas[data_fim])),Metas[meta_mensal],0)</f>
        <v>68250</v>
      </c>
      <c r="L1881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82" spans="2:12" x14ac:dyDescent="0.3">
      <c r="B1882" s="34">
        <v>46073</v>
      </c>
      <c r="C1882" s="34" t="str">
        <f>TEXT(Metas_Diarias[[#This Row],[data]],"dddd")</f>
        <v>sexta-feira</v>
      </c>
      <c r="D1882" s="33">
        <v>5</v>
      </c>
      <c r="E1882" s="33">
        <v>5</v>
      </c>
      <c r="F1882" s="18"/>
      <c r="G1882" s="35">
        <f>WEEKDAY(Metas_Diarias[[#This Row],[data]])</f>
        <v>6</v>
      </c>
      <c r="H1882" s="35">
        <f>IF(Metas_Diarias[[#This Row],[dias_da_demana]]=1,"domingo",IF(Metas_Diarias[[#This Row],[dias_da_demana]]=7,0.5,1))</f>
        <v>1</v>
      </c>
      <c r="I1882" s="35">
        <f>_xlfn.XLOOKUP(Metas_Diarias[[#This Row],[data]],Feriados[Data],Feriados[Feriado],1)</f>
        <v>1</v>
      </c>
      <c r="J1882" s="33" cm="1">
        <f t="array" aca="1" ref="J1882" ca="1">SUMPRODUCT(IF((NOT(ISERROR(MATCH(ROW(INDIRECT(DATE(YEAR(B1882),MONTH(B1882),1)&amp;":"&amp;DATE(YEAR(B1882),MONTH(B1882)+1,0))),Feriados[Data],0))))=FALSE,
IF(WEEKDAY(ROW(INDIRECT(DATE(YEAR(B1882),MONTH(B1882),1)&amp;":"&amp;DATE(YEAR(B1882),MONTH(B1882)+1,0))),2)&lt;=5,1,IF(WEEKDAY(ROW(INDIRECT(DATE(YEAR(B1882),MONTH(B1882),1)&amp;":"&amp;DATE(YEAR(B1882),MONTH(B1882)+1,0))),2)=6,0.5,0)),0))</f>
        <v>20</v>
      </c>
      <c r="K1882" s="22" cm="1">
        <f t="array" ref="K1882">_xlfn.XLOOKUP(1,((Metas_Diarias[[#This Row],[tipo_equipe_id]]=Metas[equipe])*(Metas_Diarias[[#This Row],[data]]&gt;Metas[data_inicio])*(Metas_Diarias[[#This Row],[data]]&lt;Metas[data_fim])),Metas[meta_mensal],0)</f>
        <v>68250</v>
      </c>
      <c r="L1882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83" spans="2:12" x14ac:dyDescent="0.3">
      <c r="B1883" s="34">
        <v>46074</v>
      </c>
      <c r="C1883" s="34" t="str">
        <f>TEXT(Metas_Diarias[[#This Row],[data]],"dddd")</f>
        <v>sábado</v>
      </c>
      <c r="D1883" s="33">
        <v>5</v>
      </c>
      <c r="E1883" s="33">
        <v>5</v>
      </c>
      <c r="F1883" s="18"/>
      <c r="G1883" s="35">
        <f>WEEKDAY(Metas_Diarias[[#This Row],[data]])</f>
        <v>7</v>
      </c>
      <c r="H1883" s="35">
        <f>IF(Metas_Diarias[[#This Row],[dias_da_demana]]=1,"domingo",IF(Metas_Diarias[[#This Row],[dias_da_demana]]=7,0.5,1))</f>
        <v>0.5</v>
      </c>
      <c r="I1883" s="35">
        <f>_xlfn.XLOOKUP(Metas_Diarias[[#This Row],[data]],Feriados[Data],Feriados[Feriado],1)</f>
        <v>1</v>
      </c>
      <c r="J1883" s="33" cm="1">
        <f t="array" aca="1" ref="J1883" ca="1">SUMPRODUCT(IF((NOT(ISERROR(MATCH(ROW(INDIRECT(DATE(YEAR(B1883),MONTH(B1883),1)&amp;":"&amp;DATE(YEAR(B1883),MONTH(B1883)+1,0))),Feriados[Data],0))))=FALSE,
IF(WEEKDAY(ROW(INDIRECT(DATE(YEAR(B1883),MONTH(B1883),1)&amp;":"&amp;DATE(YEAR(B1883),MONTH(B1883)+1,0))),2)&lt;=5,1,IF(WEEKDAY(ROW(INDIRECT(DATE(YEAR(B1883),MONTH(B1883),1)&amp;":"&amp;DATE(YEAR(B1883),MONTH(B1883)+1,0))),2)=6,0.5,0)),0))</f>
        <v>20</v>
      </c>
      <c r="K1883" s="22" cm="1">
        <f t="array" ref="K1883">_xlfn.XLOOKUP(1,((Metas_Diarias[[#This Row],[tipo_equipe_id]]=Metas[equipe])*(Metas_Diarias[[#This Row],[data]]&gt;Metas[data_inicio])*(Metas_Diarias[[#This Row],[data]]&lt;Metas[data_fim])),Metas[meta_mensal],0)</f>
        <v>68250</v>
      </c>
      <c r="L1883" s="24">
        <f ca="1">Metas_Diarias[[#This Row],[meta_mensal]]*IF(Metas_Diarias[[#This Row],[semana]]="domingo",0,Metas_Diarias[[#This Row],[semana]])*IF(Metas_Diarias[[#This Row],[feriado]]&lt;&gt;1,0,1)/Metas_Diarias[[#This Row],[dias_úteis_Mês]]</f>
        <v>1706.25</v>
      </c>
    </row>
    <row r="1884" spans="2:12" x14ac:dyDescent="0.3">
      <c r="B1884" s="34">
        <v>46075</v>
      </c>
      <c r="C1884" s="34" t="str">
        <f>TEXT(Metas_Diarias[[#This Row],[data]],"dddd")</f>
        <v>domingo</v>
      </c>
      <c r="D1884" s="33">
        <v>5</v>
      </c>
      <c r="E1884" s="33">
        <v>5</v>
      </c>
      <c r="F1884" s="18"/>
      <c r="G1884" s="35">
        <f>WEEKDAY(Metas_Diarias[[#This Row],[data]])</f>
        <v>1</v>
      </c>
      <c r="H1884" s="35" t="str">
        <f>IF(Metas_Diarias[[#This Row],[dias_da_demana]]=1,"domingo",IF(Metas_Diarias[[#This Row],[dias_da_demana]]=7,0.5,1))</f>
        <v>domingo</v>
      </c>
      <c r="I1884" s="35">
        <f>_xlfn.XLOOKUP(Metas_Diarias[[#This Row],[data]],Feriados[Data],Feriados[Feriado],1)</f>
        <v>1</v>
      </c>
      <c r="J1884" s="33" cm="1">
        <f t="array" aca="1" ref="J1884" ca="1">SUMPRODUCT(IF((NOT(ISERROR(MATCH(ROW(INDIRECT(DATE(YEAR(B1884),MONTH(B1884),1)&amp;":"&amp;DATE(YEAR(B1884),MONTH(B1884)+1,0))),Feriados[Data],0))))=FALSE,
IF(WEEKDAY(ROW(INDIRECT(DATE(YEAR(B1884),MONTH(B1884),1)&amp;":"&amp;DATE(YEAR(B1884),MONTH(B1884)+1,0))),2)&lt;=5,1,IF(WEEKDAY(ROW(INDIRECT(DATE(YEAR(B1884),MONTH(B1884),1)&amp;":"&amp;DATE(YEAR(B1884),MONTH(B1884)+1,0))),2)=6,0.5,0)),0))</f>
        <v>20</v>
      </c>
      <c r="K1884" s="22" cm="1">
        <f t="array" ref="K1884">_xlfn.XLOOKUP(1,((Metas_Diarias[[#This Row],[tipo_equipe_id]]=Metas[equipe])*(Metas_Diarias[[#This Row],[data]]&gt;Metas[data_inicio])*(Metas_Diarias[[#This Row],[data]]&lt;Metas[data_fim])),Metas[meta_mensal],0)</f>
        <v>68250</v>
      </c>
      <c r="L18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85" spans="2:12" x14ac:dyDescent="0.3">
      <c r="B1885" s="34">
        <v>46076</v>
      </c>
      <c r="C1885" s="34" t="str">
        <f>TEXT(Metas_Diarias[[#This Row],[data]],"dddd")</f>
        <v>segunda-feira</v>
      </c>
      <c r="D1885" s="33">
        <v>5</v>
      </c>
      <c r="E1885" s="33">
        <v>5</v>
      </c>
      <c r="F1885" s="18"/>
      <c r="G1885" s="35">
        <f>WEEKDAY(Metas_Diarias[[#This Row],[data]])</f>
        <v>2</v>
      </c>
      <c r="H1885" s="35">
        <f>IF(Metas_Diarias[[#This Row],[dias_da_demana]]=1,"domingo",IF(Metas_Diarias[[#This Row],[dias_da_demana]]=7,0.5,1))</f>
        <v>1</v>
      </c>
      <c r="I1885" s="35">
        <f>_xlfn.XLOOKUP(Metas_Diarias[[#This Row],[data]],Feriados[Data],Feriados[Feriado],1)</f>
        <v>1</v>
      </c>
      <c r="J1885" s="33" cm="1">
        <f t="array" aca="1" ref="J1885" ca="1">SUMPRODUCT(IF((NOT(ISERROR(MATCH(ROW(INDIRECT(DATE(YEAR(B1885),MONTH(B1885),1)&amp;":"&amp;DATE(YEAR(B1885),MONTH(B1885)+1,0))),Feriados[Data],0))))=FALSE,
IF(WEEKDAY(ROW(INDIRECT(DATE(YEAR(B1885),MONTH(B1885),1)&amp;":"&amp;DATE(YEAR(B1885),MONTH(B1885)+1,0))),2)&lt;=5,1,IF(WEEKDAY(ROW(INDIRECT(DATE(YEAR(B1885),MONTH(B1885),1)&amp;":"&amp;DATE(YEAR(B1885),MONTH(B1885)+1,0))),2)=6,0.5,0)),0))</f>
        <v>20</v>
      </c>
      <c r="K1885" s="22" cm="1">
        <f t="array" ref="K1885">_xlfn.XLOOKUP(1,((Metas_Diarias[[#This Row],[tipo_equipe_id]]=Metas[equipe])*(Metas_Diarias[[#This Row],[data]]&gt;Metas[data_inicio])*(Metas_Diarias[[#This Row],[data]]&lt;Metas[data_fim])),Metas[meta_mensal],0)</f>
        <v>68250</v>
      </c>
      <c r="L1885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86" spans="2:12" x14ac:dyDescent="0.3">
      <c r="B1886" s="34">
        <v>46077</v>
      </c>
      <c r="C1886" s="34" t="str">
        <f>TEXT(Metas_Diarias[[#This Row],[data]],"dddd")</f>
        <v>terça-feira</v>
      </c>
      <c r="D1886" s="33">
        <v>5</v>
      </c>
      <c r="E1886" s="33">
        <v>5</v>
      </c>
      <c r="F1886" s="18"/>
      <c r="G1886" s="35">
        <f>WEEKDAY(Metas_Diarias[[#This Row],[data]])</f>
        <v>3</v>
      </c>
      <c r="H1886" s="35">
        <f>IF(Metas_Diarias[[#This Row],[dias_da_demana]]=1,"domingo",IF(Metas_Diarias[[#This Row],[dias_da_demana]]=7,0.5,1))</f>
        <v>1</v>
      </c>
      <c r="I1886" s="35">
        <f>_xlfn.XLOOKUP(Metas_Diarias[[#This Row],[data]],Feriados[Data],Feriados[Feriado],1)</f>
        <v>1</v>
      </c>
      <c r="J1886" s="33" cm="1">
        <f t="array" aca="1" ref="J1886" ca="1">SUMPRODUCT(IF((NOT(ISERROR(MATCH(ROW(INDIRECT(DATE(YEAR(B1886),MONTH(B1886),1)&amp;":"&amp;DATE(YEAR(B1886),MONTH(B1886)+1,0))),Feriados[Data],0))))=FALSE,
IF(WEEKDAY(ROW(INDIRECT(DATE(YEAR(B1886),MONTH(B1886),1)&amp;":"&amp;DATE(YEAR(B1886),MONTH(B1886)+1,0))),2)&lt;=5,1,IF(WEEKDAY(ROW(INDIRECT(DATE(YEAR(B1886),MONTH(B1886),1)&amp;":"&amp;DATE(YEAR(B1886),MONTH(B1886)+1,0))),2)=6,0.5,0)),0))</f>
        <v>20</v>
      </c>
      <c r="K1886" s="22" cm="1">
        <f t="array" ref="K1886">_xlfn.XLOOKUP(1,((Metas_Diarias[[#This Row],[tipo_equipe_id]]=Metas[equipe])*(Metas_Diarias[[#This Row],[data]]&gt;Metas[data_inicio])*(Metas_Diarias[[#This Row],[data]]&lt;Metas[data_fim])),Metas[meta_mensal],0)</f>
        <v>68250</v>
      </c>
      <c r="L1886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87" spans="2:12" x14ac:dyDescent="0.3">
      <c r="B1887" s="34">
        <v>46078</v>
      </c>
      <c r="C1887" s="34" t="str">
        <f>TEXT(Metas_Diarias[[#This Row],[data]],"dddd")</f>
        <v>quarta-feira</v>
      </c>
      <c r="D1887" s="33">
        <v>5</v>
      </c>
      <c r="E1887" s="33">
        <v>5</v>
      </c>
      <c r="F1887" s="18"/>
      <c r="G1887" s="35">
        <f>WEEKDAY(Metas_Diarias[[#This Row],[data]])</f>
        <v>4</v>
      </c>
      <c r="H1887" s="35">
        <f>IF(Metas_Diarias[[#This Row],[dias_da_demana]]=1,"domingo",IF(Metas_Diarias[[#This Row],[dias_da_demana]]=7,0.5,1))</f>
        <v>1</v>
      </c>
      <c r="I1887" s="35">
        <f>_xlfn.XLOOKUP(Metas_Diarias[[#This Row],[data]],Feriados[Data],Feriados[Feriado],1)</f>
        <v>1</v>
      </c>
      <c r="J1887" s="33" cm="1">
        <f t="array" aca="1" ref="J1887" ca="1">SUMPRODUCT(IF((NOT(ISERROR(MATCH(ROW(INDIRECT(DATE(YEAR(B1887),MONTH(B1887),1)&amp;":"&amp;DATE(YEAR(B1887),MONTH(B1887)+1,0))),Feriados[Data],0))))=FALSE,
IF(WEEKDAY(ROW(INDIRECT(DATE(YEAR(B1887),MONTH(B1887),1)&amp;":"&amp;DATE(YEAR(B1887),MONTH(B1887)+1,0))),2)&lt;=5,1,IF(WEEKDAY(ROW(INDIRECT(DATE(YEAR(B1887),MONTH(B1887),1)&amp;":"&amp;DATE(YEAR(B1887),MONTH(B1887)+1,0))),2)=6,0.5,0)),0))</f>
        <v>20</v>
      </c>
      <c r="K1887" s="22" cm="1">
        <f t="array" ref="K1887">_xlfn.XLOOKUP(1,((Metas_Diarias[[#This Row],[tipo_equipe_id]]=Metas[equipe])*(Metas_Diarias[[#This Row],[data]]&gt;Metas[data_inicio])*(Metas_Diarias[[#This Row],[data]]&lt;Metas[data_fim])),Metas[meta_mensal],0)</f>
        <v>68250</v>
      </c>
      <c r="L1887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88" spans="2:12" x14ac:dyDescent="0.3">
      <c r="B1888" s="34">
        <v>46079</v>
      </c>
      <c r="C1888" s="34" t="str">
        <f>TEXT(Metas_Diarias[[#This Row],[data]],"dddd")</f>
        <v>quinta-feira</v>
      </c>
      <c r="D1888" s="33">
        <v>5</v>
      </c>
      <c r="E1888" s="33">
        <v>5</v>
      </c>
      <c r="F1888" s="18"/>
      <c r="G1888" s="35">
        <f>WEEKDAY(Metas_Diarias[[#This Row],[data]])</f>
        <v>5</v>
      </c>
      <c r="H1888" s="35">
        <f>IF(Metas_Diarias[[#This Row],[dias_da_demana]]=1,"domingo",IF(Metas_Diarias[[#This Row],[dias_da_demana]]=7,0.5,1))</f>
        <v>1</v>
      </c>
      <c r="I1888" s="35">
        <f>_xlfn.XLOOKUP(Metas_Diarias[[#This Row],[data]],Feriados[Data],Feriados[Feriado],1)</f>
        <v>1</v>
      </c>
      <c r="J1888" s="33" cm="1">
        <f t="array" aca="1" ref="J1888" ca="1">SUMPRODUCT(IF((NOT(ISERROR(MATCH(ROW(INDIRECT(DATE(YEAR(B1888),MONTH(B1888),1)&amp;":"&amp;DATE(YEAR(B1888),MONTH(B1888)+1,0))),Feriados[Data],0))))=FALSE,
IF(WEEKDAY(ROW(INDIRECT(DATE(YEAR(B1888),MONTH(B1888),1)&amp;":"&amp;DATE(YEAR(B1888),MONTH(B1888)+1,0))),2)&lt;=5,1,IF(WEEKDAY(ROW(INDIRECT(DATE(YEAR(B1888),MONTH(B1888),1)&amp;":"&amp;DATE(YEAR(B1888),MONTH(B1888)+1,0))),2)=6,0.5,0)),0))</f>
        <v>20</v>
      </c>
      <c r="K1888" s="22" cm="1">
        <f t="array" ref="K1888">_xlfn.XLOOKUP(1,((Metas_Diarias[[#This Row],[tipo_equipe_id]]=Metas[equipe])*(Metas_Diarias[[#This Row],[data]]&gt;Metas[data_inicio])*(Metas_Diarias[[#This Row],[data]]&lt;Metas[data_fim])),Metas[meta_mensal],0)</f>
        <v>68250</v>
      </c>
      <c r="L1888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89" spans="2:12" x14ac:dyDescent="0.3">
      <c r="B1889" s="34">
        <v>46080</v>
      </c>
      <c r="C1889" s="34" t="str">
        <f>TEXT(Metas_Diarias[[#This Row],[data]],"dddd")</f>
        <v>sexta-feira</v>
      </c>
      <c r="D1889" s="33">
        <v>5</v>
      </c>
      <c r="E1889" s="33">
        <v>5</v>
      </c>
      <c r="F1889" s="18"/>
      <c r="G1889" s="35">
        <f>WEEKDAY(Metas_Diarias[[#This Row],[data]])</f>
        <v>6</v>
      </c>
      <c r="H1889" s="35">
        <f>IF(Metas_Diarias[[#This Row],[dias_da_demana]]=1,"domingo",IF(Metas_Diarias[[#This Row],[dias_da_demana]]=7,0.5,1))</f>
        <v>1</v>
      </c>
      <c r="I1889" s="35">
        <f>_xlfn.XLOOKUP(Metas_Diarias[[#This Row],[data]],Feriados[Data],Feriados[Feriado],1)</f>
        <v>1</v>
      </c>
      <c r="J1889" s="33" cm="1">
        <f t="array" aca="1" ref="J1889" ca="1">SUMPRODUCT(IF((NOT(ISERROR(MATCH(ROW(INDIRECT(DATE(YEAR(B1889),MONTH(B1889),1)&amp;":"&amp;DATE(YEAR(B1889),MONTH(B1889)+1,0))),Feriados[Data],0))))=FALSE,
IF(WEEKDAY(ROW(INDIRECT(DATE(YEAR(B1889),MONTH(B1889),1)&amp;":"&amp;DATE(YEAR(B1889),MONTH(B1889)+1,0))),2)&lt;=5,1,IF(WEEKDAY(ROW(INDIRECT(DATE(YEAR(B1889),MONTH(B1889),1)&amp;":"&amp;DATE(YEAR(B1889),MONTH(B1889)+1,0))),2)=6,0.5,0)),0))</f>
        <v>20</v>
      </c>
      <c r="K1889" s="22" cm="1">
        <f t="array" ref="K1889">_xlfn.XLOOKUP(1,((Metas_Diarias[[#This Row],[tipo_equipe_id]]=Metas[equipe])*(Metas_Diarias[[#This Row],[data]]&gt;Metas[data_inicio])*(Metas_Diarias[[#This Row],[data]]&lt;Metas[data_fim])),Metas[meta_mensal],0)</f>
        <v>68250</v>
      </c>
      <c r="L1889" s="24">
        <f ca="1">Metas_Diarias[[#This Row],[meta_mensal]]*IF(Metas_Diarias[[#This Row],[semana]]="domingo",0,Metas_Diarias[[#This Row],[semana]])*IF(Metas_Diarias[[#This Row],[feriado]]&lt;&gt;1,0,1)/Metas_Diarias[[#This Row],[dias_úteis_Mês]]</f>
        <v>3412.5</v>
      </c>
    </row>
    <row r="1890" spans="2:12" x14ac:dyDescent="0.3">
      <c r="B1890" s="34">
        <v>46081</v>
      </c>
      <c r="C1890" s="34" t="str">
        <f>TEXT(Metas_Diarias[[#This Row],[data]],"dddd")</f>
        <v>sábado</v>
      </c>
      <c r="D1890" s="33">
        <v>5</v>
      </c>
      <c r="E1890" s="33">
        <v>5</v>
      </c>
      <c r="F1890" s="18"/>
      <c r="G1890" s="35">
        <f>WEEKDAY(Metas_Diarias[[#This Row],[data]])</f>
        <v>7</v>
      </c>
      <c r="H1890" s="35">
        <f>IF(Metas_Diarias[[#This Row],[dias_da_demana]]=1,"domingo",IF(Metas_Diarias[[#This Row],[dias_da_demana]]=7,0.5,1))</f>
        <v>0.5</v>
      </c>
      <c r="I1890" s="35">
        <f>_xlfn.XLOOKUP(Metas_Diarias[[#This Row],[data]],Feriados[Data],Feriados[Feriado],1)</f>
        <v>1</v>
      </c>
      <c r="J1890" s="33" cm="1">
        <f t="array" aca="1" ref="J1890" ca="1">SUMPRODUCT(IF((NOT(ISERROR(MATCH(ROW(INDIRECT(DATE(YEAR(B1890),MONTH(B1890),1)&amp;":"&amp;DATE(YEAR(B1890),MONTH(B1890)+1,0))),Feriados[Data],0))))=FALSE,
IF(WEEKDAY(ROW(INDIRECT(DATE(YEAR(B1890),MONTH(B1890),1)&amp;":"&amp;DATE(YEAR(B1890),MONTH(B1890)+1,0))),2)&lt;=5,1,IF(WEEKDAY(ROW(INDIRECT(DATE(YEAR(B1890),MONTH(B1890),1)&amp;":"&amp;DATE(YEAR(B1890),MONTH(B1890)+1,0))),2)=6,0.5,0)),0))</f>
        <v>20</v>
      </c>
      <c r="K1890" s="22" cm="1">
        <f t="array" ref="K1890">_xlfn.XLOOKUP(1,((Metas_Diarias[[#This Row],[tipo_equipe_id]]=Metas[equipe])*(Metas_Diarias[[#This Row],[data]]&gt;Metas[data_inicio])*(Metas_Diarias[[#This Row],[data]]&lt;Metas[data_fim])),Metas[meta_mensal],0)</f>
        <v>68250</v>
      </c>
      <c r="L1890" s="24">
        <f ca="1">Metas_Diarias[[#This Row],[meta_mensal]]*IF(Metas_Diarias[[#This Row],[semana]]="domingo",0,Metas_Diarias[[#This Row],[semana]])*IF(Metas_Diarias[[#This Row],[feriado]]&lt;&gt;1,0,1)/Metas_Diarias[[#This Row],[dias_úteis_Mês]]</f>
        <v>1706.25</v>
      </c>
    </row>
    <row r="1891" spans="2:12" x14ac:dyDescent="0.3">
      <c r="B1891" s="34">
        <v>46082</v>
      </c>
      <c r="C1891" s="34" t="str">
        <f>TEXT(Metas_Diarias[[#This Row],[data]],"dddd")</f>
        <v>domingo</v>
      </c>
      <c r="D1891" s="33">
        <v>5</v>
      </c>
      <c r="E1891" s="33">
        <v>5</v>
      </c>
      <c r="F1891" s="18"/>
      <c r="G1891" s="35">
        <f>WEEKDAY(Metas_Diarias[[#This Row],[data]])</f>
        <v>1</v>
      </c>
      <c r="H1891" s="35" t="str">
        <f>IF(Metas_Diarias[[#This Row],[dias_da_demana]]=1,"domingo",IF(Metas_Diarias[[#This Row],[dias_da_demana]]=7,0.5,1))</f>
        <v>domingo</v>
      </c>
      <c r="I1891" s="35">
        <f>_xlfn.XLOOKUP(Metas_Diarias[[#This Row],[data]],Feriados[Data],Feriados[Feriado],1)</f>
        <v>1</v>
      </c>
      <c r="J1891" s="33" cm="1">
        <f t="array" aca="1" ref="J1891" ca="1">SUMPRODUCT(IF((NOT(ISERROR(MATCH(ROW(INDIRECT(DATE(YEAR(B1891),MONTH(B1891),1)&amp;":"&amp;DATE(YEAR(B1891),MONTH(B1891)+1,0))),Feriados[Data],0))))=FALSE,
IF(WEEKDAY(ROW(INDIRECT(DATE(YEAR(B1891),MONTH(B1891),1)&amp;":"&amp;DATE(YEAR(B1891),MONTH(B1891)+1,0))),2)&lt;=5,1,IF(WEEKDAY(ROW(INDIRECT(DATE(YEAR(B1891),MONTH(B1891),1)&amp;":"&amp;DATE(YEAR(B1891),MONTH(B1891)+1,0))),2)=6,0.5,0)),0))</f>
        <v>24</v>
      </c>
      <c r="K1891" s="22" cm="1">
        <f t="array" ref="K1891">_xlfn.XLOOKUP(1,((Metas_Diarias[[#This Row],[tipo_equipe_id]]=Metas[equipe])*(Metas_Diarias[[#This Row],[data]]&gt;Metas[data_inicio])*(Metas_Diarias[[#This Row],[data]]&lt;Metas[data_fim])),Metas[meta_mensal],0)</f>
        <v>68250</v>
      </c>
      <c r="L18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92" spans="2:12" x14ac:dyDescent="0.3">
      <c r="B1892" s="34">
        <v>46083</v>
      </c>
      <c r="C1892" s="34" t="str">
        <f>TEXT(Metas_Diarias[[#This Row],[data]],"dddd")</f>
        <v>segunda-feira</v>
      </c>
      <c r="D1892" s="33">
        <v>5</v>
      </c>
      <c r="E1892" s="33">
        <v>5</v>
      </c>
      <c r="F1892" s="18"/>
      <c r="G1892" s="35">
        <f>WEEKDAY(Metas_Diarias[[#This Row],[data]])</f>
        <v>2</v>
      </c>
      <c r="H1892" s="35">
        <f>IF(Metas_Diarias[[#This Row],[dias_da_demana]]=1,"domingo",IF(Metas_Diarias[[#This Row],[dias_da_demana]]=7,0.5,1))</f>
        <v>1</v>
      </c>
      <c r="I1892" s="35">
        <f>_xlfn.XLOOKUP(Metas_Diarias[[#This Row],[data]],Feriados[Data],Feriados[Feriado],1)</f>
        <v>1</v>
      </c>
      <c r="J1892" s="33" cm="1">
        <f t="array" aca="1" ref="J1892" ca="1">SUMPRODUCT(IF((NOT(ISERROR(MATCH(ROW(INDIRECT(DATE(YEAR(B1892),MONTH(B1892),1)&amp;":"&amp;DATE(YEAR(B1892),MONTH(B1892)+1,0))),Feriados[Data],0))))=FALSE,
IF(WEEKDAY(ROW(INDIRECT(DATE(YEAR(B1892),MONTH(B1892),1)&amp;":"&amp;DATE(YEAR(B1892),MONTH(B1892)+1,0))),2)&lt;=5,1,IF(WEEKDAY(ROW(INDIRECT(DATE(YEAR(B1892),MONTH(B1892),1)&amp;":"&amp;DATE(YEAR(B1892),MONTH(B1892)+1,0))),2)=6,0.5,0)),0))</f>
        <v>24</v>
      </c>
      <c r="K1892" s="22" cm="1">
        <f t="array" ref="K1892">_xlfn.XLOOKUP(1,((Metas_Diarias[[#This Row],[tipo_equipe_id]]=Metas[equipe])*(Metas_Diarias[[#This Row],[data]]&gt;Metas[data_inicio])*(Metas_Diarias[[#This Row],[data]]&lt;Metas[data_fim])),Metas[meta_mensal],0)</f>
        <v>68250</v>
      </c>
      <c r="L1892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893" spans="2:12" x14ac:dyDescent="0.3">
      <c r="B1893" s="34">
        <v>46084</v>
      </c>
      <c r="C1893" s="34" t="str">
        <f>TEXT(Metas_Diarias[[#This Row],[data]],"dddd")</f>
        <v>terça-feira</v>
      </c>
      <c r="D1893" s="33">
        <v>5</v>
      </c>
      <c r="E1893" s="33">
        <v>5</v>
      </c>
      <c r="F1893" s="18"/>
      <c r="G1893" s="35">
        <f>WEEKDAY(Metas_Diarias[[#This Row],[data]])</f>
        <v>3</v>
      </c>
      <c r="H1893" s="35">
        <f>IF(Metas_Diarias[[#This Row],[dias_da_demana]]=1,"domingo",IF(Metas_Diarias[[#This Row],[dias_da_demana]]=7,0.5,1))</f>
        <v>1</v>
      </c>
      <c r="I1893" s="35">
        <f>_xlfn.XLOOKUP(Metas_Diarias[[#This Row],[data]],Feriados[Data],Feriados[Feriado],1)</f>
        <v>1</v>
      </c>
      <c r="J1893" s="33" cm="1">
        <f t="array" aca="1" ref="J1893" ca="1">SUMPRODUCT(IF((NOT(ISERROR(MATCH(ROW(INDIRECT(DATE(YEAR(B1893),MONTH(B1893),1)&amp;":"&amp;DATE(YEAR(B1893),MONTH(B1893)+1,0))),Feriados[Data],0))))=FALSE,
IF(WEEKDAY(ROW(INDIRECT(DATE(YEAR(B1893),MONTH(B1893),1)&amp;":"&amp;DATE(YEAR(B1893),MONTH(B1893)+1,0))),2)&lt;=5,1,IF(WEEKDAY(ROW(INDIRECT(DATE(YEAR(B1893),MONTH(B1893),1)&amp;":"&amp;DATE(YEAR(B1893),MONTH(B1893)+1,0))),2)=6,0.5,0)),0))</f>
        <v>24</v>
      </c>
      <c r="K1893" s="22" cm="1">
        <f t="array" ref="K1893">_xlfn.XLOOKUP(1,((Metas_Diarias[[#This Row],[tipo_equipe_id]]=Metas[equipe])*(Metas_Diarias[[#This Row],[data]]&gt;Metas[data_inicio])*(Metas_Diarias[[#This Row],[data]]&lt;Metas[data_fim])),Metas[meta_mensal],0)</f>
        <v>68250</v>
      </c>
      <c r="L1893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894" spans="2:12" x14ac:dyDescent="0.3">
      <c r="B1894" s="34">
        <v>46085</v>
      </c>
      <c r="C1894" s="34" t="str">
        <f>TEXT(Metas_Diarias[[#This Row],[data]],"dddd")</f>
        <v>quarta-feira</v>
      </c>
      <c r="D1894" s="33">
        <v>5</v>
      </c>
      <c r="E1894" s="33">
        <v>5</v>
      </c>
      <c r="F1894" s="18"/>
      <c r="G1894" s="35">
        <f>WEEKDAY(Metas_Diarias[[#This Row],[data]])</f>
        <v>4</v>
      </c>
      <c r="H1894" s="35">
        <f>IF(Metas_Diarias[[#This Row],[dias_da_demana]]=1,"domingo",IF(Metas_Diarias[[#This Row],[dias_da_demana]]=7,0.5,1))</f>
        <v>1</v>
      </c>
      <c r="I1894" s="35">
        <f>_xlfn.XLOOKUP(Metas_Diarias[[#This Row],[data]],Feriados[Data],Feriados[Feriado],1)</f>
        <v>1</v>
      </c>
      <c r="J1894" s="33" cm="1">
        <f t="array" aca="1" ref="J1894" ca="1">SUMPRODUCT(IF((NOT(ISERROR(MATCH(ROW(INDIRECT(DATE(YEAR(B1894),MONTH(B1894),1)&amp;":"&amp;DATE(YEAR(B1894),MONTH(B1894)+1,0))),Feriados[Data],0))))=FALSE,
IF(WEEKDAY(ROW(INDIRECT(DATE(YEAR(B1894),MONTH(B1894),1)&amp;":"&amp;DATE(YEAR(B1894),MONTH(B1894)+1,0))),2)&lt;=5,1,IF(WEEKDAY(ROW(INDIRECT(DATE(YEAR(B1894),MONTH(B1894),1)&amp;":"&amp;DATE(YEAR(B1894),MONTH(B1894)+1,0))),2)=6,0.5,0)),0))</f>
        <v>24</v>
      </c>
      <c r="K1894" s="22" cm="1">
        <f t="array" ref="K1894">_xlfn.XLOOKUP(1,((Metas_Diarias[[#This Row],[tipo_equipe_id]]=Metas[equipe])*(Metas_Diarias[[#This Row],[data]]&gt;Metas[data_inicio])*(Metas_Diarias[[#This Row],[data]]&lt;Metas[data_fim])),Metas[meta_mensal],0)</f>
        <v>68250</v>
      </c>
      <c r="L1894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895" spans="2:12" x14ac:dyDescent="0.3">
      <c r="B1895" s="34">
        <v>46086</v>
      </c>
      <c r="C1895" s="34" t="str">
        <f>TEXT(Metas_Diarias[[#This Row],[data]],"dddd")</f>
        <v>quinta-feira</v>
      </c>
      <c r="D1895" s="33">
        <v>5</v>
      </c>
      <c r="E1895" s="33">
        <v>5</v>
      </c>
      <c r="F1895" s="18"/>
      <c r="G1895" s="35">
        <f>WEEKDAY(Metas_Diarias[[#This Row],[data]])</f>
        <v>5</v>
      </c>
      <c r="H1895" s="35">
        <f>IF(Metas_Diarias[[#This Row],[dias_da_demana]]=1,"domingo",IF(Metas_Diarias[[#This Row],[dias_da_demana]]=7,0.5,1))</f>
        <v>1</v>
      </c>
      <c r="I1895" s="35">
        <f>_xlfn.XLOOKUP(Metas_Diarias[[#This Row],[data]],Feriados[Data],Feriados[Feriado],1)</f>
        <v>1</v>
      </c>
      <c r="J1895" s="33" cm="1">
        <f t="array" aca="1" ref="J1895" ca="1">SUMPRODUCT(IF((NOT(ISERROR(MATCH(ROW(INDIRECT(DATE(YEAR(B1895),MONTH(B1895),1)&amp;":"&amp;DATE(YEAR(B1895),MONTH(B1895)+1,0))),Feriados[Data],0))))=FALSE,
IF(WEEKDAY(ROW(INDIRECT(DATE(YEAR(B1895),MONTH(B1895),1)&amp;":"&amp;DATE(YEAR(B1895),MONTH(B1895)+1,0))),2)&lt;=5,1,IF(WEEKDAY(ROW(INDIRECT(DATE(YEAR(B1895),MONTH(B1895),1)&amp;":"&amp;DATE(YEAR(B1895),MONTH(B1895)+1,0))),2)=6,0.5,0)),0))</f>
        <v>24</v>
      </c>
      <c r="K1895" s="22" cm="1">
        <f t="array" ref="K1895">_xlfn.XLOOKUP(1,((Metas_Diarias[[#This Row],[tipo_equipe_id]]=Metas[equipe])*(Metas_Diarias[[#This Row],[data]]&gt;Metas[data_inicio])*(Metas_Diarias[[#This Row],[data]]&lt;Metas[data_fim])),Metas[meta_mensal],0)</f>
        <v>68250</v>
      </c>
      <c r="L1895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896" spans="2:12" x14ac:dyDescent="0.3">
      <c r="B1896" s="34">
        <v>46087</v>
      </c>
      <c r="C1896" s="34" t="str">
        <f>TEXT(Metas_Diarias[[#This Row],[data]],"dddd")</f>
        <v>sexta-feira</v>
      </c>
      <c r="D1896" s="33">
        <v>5</v>
      </c>
      <c r="E1896" s="33">
        <v>5</v>
      </c>
      <c r="F1896" s="18"/>
      <c r="G1896" s="35">
        <f>WEEKDAY(Metas_Diarias[[#This Row],[data]])</f>
        <v>6</v>
      </c>
      <c r="H1896" s="35">
        <f>IF(Metas_Diarias[[#This Row],[dias_da_demana]]=1,"domingo",IF(Metas_Diarias[[#This Row],[dias_da_demana]]=7,0.5,1))</f>
        <v>1</v>
      </c>
      <c r="I1896" s="35">
        <f>_xlfn.XLOOKUP(Metas_Diarias[[#This Row],[data]],Feriados[Data],Feriados[Feriado],1)</f>
        <v>1</v>
      </c>
      <c r="J1896" s="33" cm="1">
        <f t="array" aca="1" ref="J1896" ca="1">SUMPRODUCT(IF((NOT(ISERROR(MATCH(ROW(INDIRECT(DATE(YEAR(B1896),MONTH(B1896),1)&amp;":"&amp;DATE(YEAR(B1896),MONTH(B1896)+1,0))),Feriados[Data],0))))=FALSE,
IF(WEEKDAY(ROW(INDIRECT(DATE(YEAR(B1896),MONTH(B1896),1)&amp;":"&amp;DATE(YEAR(B1896),MONTH(B1896)+1,0))),2)&lt;=5,1,IF(WEEKDAY(ROW(INDIRECT(DATE(YEAR(B1896),MONTH(B1896),1)&amp;":"&amp;DATE(YEAR(B1896),MONTH(B1896)+1,0))),2)=6,0.5,0)),0))</f>
        <v>24</v>
      </c>
      <c r="K1896" s="22" cm="1">
        <f t="array" ref="K1896">_xlfn.XLOOKUP(1,((Metas_Diarias[[#This Row],[tipo_equipe_id]]=Metas[equipe])*(Metas_Diarias[[#This Row],[data]]&gt;Metas[data_inicio])*(Metas_Diarias[[#This Row],[data]]&lt;Metas[data_fim])),Metas[meta_mensal],0)</f>
        <v>68250</v>
      </c>
      <c r="L1896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897" spans="2:12" x14ac:dyDescent="0.3">
      <c r="B1897" s="34">
        <v>46088</v>
      </c>
      <c r="C1897" s="34" t="str">
        <f>TEXT(Metas_Diarias[[#This Row],[data]],"dddd")</f>
        <v>sábado</v>
      </c>
      <c r="D1897" s="33">
        <v>5</v>
      </c>
      <c r="E1897" s="33">
        <v>5</v>
      </c>
      <c r="F1897" s="18"/>
      <c r="G1897" s="35">
        <f>WEEKDAY(Metas_Diarias[[#This Row],[data]])</f>
        <v>7</v>
      </c>
      <c r="H1897" s="35">
        <f>IF(Metas_Diarias[[#This Row],[dias_da_demana]]=1,"domingo",IF(Metas_Diarias[[#This Row],[dias_da_demana]]=7,0.5,1))</f>
        <v>0.5</v>
      </c>
      <c r="I1897" s="35">
        <f>_xlfn.XLOOKUP(Metas_Diarias[[#This Row],[data]],Feriados[Data],Feriados[Feriado],1)</f>
        <v>1</v>
      </c>
      <c r="J1897" s="33" cm="1">
        <f t="array" aca="1" ref="J1897" ca="1">SUMPRODUCT(IF((NOT(ISERROR(MATCH(ROW(INDIRECT(DATE(YEAR(B1897),MONTH(B1897),1)&amp;":"&amp;DATE(YEAR(B1897),MONTH(B1897)+1,0))),Feriados[Data],0))))=FALSE,
IF(WEEKDAY(ROW(INDIRECT(DATE(YEAR(B1897),MONTH(B1897),1)&amp;":"&amp;DATE(YEAR(B1897),MONTH(B1897)+1,0))),2)&lt;=5,1,IF(WEEKDAY(ROW(INDIRECT(DATE(YEAR(B1897),MONTH(B1897),1)&amp;":"&amp;DATE(YEAR(B1897),MONTH(B1897)+1,0))),2)=6,0.5,0)),0))</f>
        <v>24</v>
      </c>
      <c r="K1897" s="22" cm="1">
        <f t="array" ref="K1897">_xlfn.XLOOKUP(1,((Metas_Diarias[[#This Row],[tipo_equipe_id]]=Metas[equipe])*(Metas_Diarias[[#This Row],[data]]&gt;Metas[data_inicio])*(Metas_Diarias[[#This Row],[data]]&lt;Metas[data_fim])),Metas[meta_mensal],0)</f>
        <v>68250</v>
      </c>
      <c r="L1897" s="24">
        <f ca="1">Metas_Diarias[[#This Row],[meta_mensal]]*IF(Metas_Diarias[[#This Row],[semana]]="domingo",0,Metas_Diarias[[#This Row],[semana]])*IF(Metas_Diarias[[#This Row],[feriado]]&lt;&gt;1,0,1)/Metas_Diarias[[#This Row],[dias_úteis_Mês]]</f>
        <v>1421.875</v>
      </c>
    </row>
    <row r="1898" spans="2:12" x14ac:dyDescent="0.3">
      <c r="B1898" s="34">
        <v>46089</v>
      </c>
      <c r="C1898" s="34" t="str">
        <f>TEXT(Metas_Diarias[[#This Row],[data]],"dddd")</f>
        <v>domingo</v>
      </c>
      <c r="D1898" s="33">
        <v>5</v>
      </c>
      <c r="E1898" s="33">
        <v>5</v>
      </c>
      <c r="F1898" s="18"/>
      <c r="G1898" s="35">
        <f>WEEKDAY(Metas_Diarias[[#This Row],[data]])</f>
        <v>1</v>
      </c>
      <c r="H1898" s="35" t="str">
        <f>IF(Metas_Diarias[[#This Row],[dias_da_demana]]=1,"domingo",IF(Metas_Diarias[[#This Row],[dias_da_demana]]=7,0.5,1))</f>
        <v>domingo</v>
      </c>
      <c r="I1898" s="35">
        <f>_xlfn.XLOOKUP(Metas_Diarias[[#This Row],[data]],Feriados[Data],Feriados[Feriado],1)</f>
        <v>1</v>
      </c>
      <c r="J1898" s="33" cm="1">
        <f t="array" aca="1" ref="J1898" ca="1">SUMPRODUCT(IF((NOT(ISERROR(MATCH(ROW(INDIRECT(DATE(YEAR(B1898),MONTH(B1898),1)&amp;":"&amp;DATE(YEAR(B1898),MONTH(B1898)+1,0))),Feriados[Data],0))))=FALSE,
IF(WEEKDAY(ROW(INDIRECT(DATE(YEAR(B1898),MONTH(B1898),1)&amp;":"&amp;DATE(YEAR(B1898),MONTH(B1898)+1,0))),2)&lt;=5,1,IF(WEEKDAY(ROW(INDIRECT(DATE(YEAR(B1898),MONTH(B1898),1)&amp;":"&amp;DATE(YEAR(B1898),MONTH(B1898)+1,0))),2)=6,0.5,0)),0))</f>
        <v>24</v>
      </c>
      <c r="K1898" s="22" cm="1">
        <f t="array" ref="K1898">_xlfn.XLOOKUP(1,((Metas_Diarias[[#This Row],[tipo_equipe_id]]=Metas[equipe])*(Metas_Diarias[[#This Row],[data]]&gt;Metas[data_inicio])*(Metas_Diarias[[#This Row],[data]]&lt;Metas[data_fim])),Metas[meta_mensal],0)</f>
        <v>68250</v>
      </c>
      <c r="L18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899" spans="2:12" x14ac:dyDescent="0.3">
      <c r="B1899" s="34">
        <v>46090</v>
      </c>
      <c r="C1899" s="34" t="str">
        <f>TEXT(Metas_Diarias[[#This Row],[data]],"dddd")</f>
        <v>segunda-feira</v>
      </c>
      <c r="D1899" s="33">
        <v>5</v>
      </c>
      <c r="E1899" s="33">
        <v>5</v>
      </c>
      <c r="F1899" s="18"/>
      <c r="G1899" s="35">
        <f>WEEKDAY(Metas_Diarias[[#This Row],[data]])</f>
        <v>2</v>
      </c>
      <c r="H1899" s="35">
        <f>IF(Metas_Diarias[[#This Row],[dias_da_demana]]=1,"domingo",IF(Metas_Diarias[[#This Row],[dias_da_demana]]=7,0.5,1))</f>
        <v>1</v>
      </c>
      <c r="I1899" s="35">
        <f>_xlfn.XLOOKUP(Metas_Diarias[[#This Row],[data]],Feriados[Data],Feriados[Feriado],1)</f>
        <v>1</v>
      </c>
      <c r="J1899" s="33" cm="1">
        <f t="array" aca="1" ref="J1899" ca="1">SUMPRODUCT(IF((NOT(ISERROR(MATCH(ROW(INDIRECT(DATE(YEAR(B1899),MONTH(B1899),1)&amp;":"&amp;DATE(YEAR(B1899),MONTH(B1899)+1,0))),Feriados[Data],0))))=FALSE,
IF(WEEKDAY(ROW(INDIRECT(DATE(YEAR(B1899),MONTH(B1899),1)&amp;":"&amp;DATE(YEAR(B1899),MONTH(B1899)+1,0))),2)&lt;=5,1,IF(WEEKDAY(ROW(INDIRECT(DATE(YEAR(B1899),MONTH(B1899),1)&amp;":"&amp;DATE(YEAR(B1899),MONTH(B1899)+1,0))),2)=6,0.5,0)),0))</f>
        <v>24</v>
      </c>
      <c r="K1899" s="22" cm="1">
        <f t="array" ref="K1899">_xlfn.XLOOKUP(1,((Metas_Diarias[[#This Row],[tipo_equipe_id]]=Metas[equipe])*(Metas_Diarias[[#This Row],[data]]&gt;Metas[data_inicio])*(Metas_Diarias[[#This Row],[data]]&lt;Metas[data_fim])),Metas[meta_mensal],0)</f>
        <v>68250</v>
      </c>
      <c r="L1899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00" spans="2:12" x14ac:dyDescent="0.3">
      <c r="B1900" s="34">
        <v>46091</v>
      </c>
      <c r="C1900" s="34" t="str">
        <f>TEXT(Metas_Diarias[[#This Row],[data]],"dddd")</f>
        <v>terça-feira</v>
      </c>
      <c r="D1900" s="33">
        <v>5</v>
      </c>
      <c r="E1900" s="33">
        <v>5</v>
      </c>
      <c r="F1900" s="18"/>
      <c r="G1900" s="35">
        <f>WEEKDAY(Metas_Diarias[[#This Row],[data]])</f>
        <v>3</v>
      </c>
      <c r="H1900" s="35">
        <f>IF(Metas_Diarias[[#This Row],[dias_da_demana]]=1,"domingo",IF(Metas_Diarias[[#This Row],[dias_da_demana]]=7,0.5,1))</f>
        <v>1</v>
      </c>
      <c r="I1900" s="35">
        <f>_xlfn.XLOOKUP(Metas_Diarias[[#This Row],[data]],Feriados[Data],Feriados[Feriado],1)</f>
        <v>1</v>
      </c>
      <c r="J1900" s="33" cm="1">
        <f t="array" aca="1" ref="J1900" ca="1">SUMPRODUCT(IF((NOT(ISERROR(MATCH(ROW(INDIRECT(DATE(YEAR(B1900),MONTH(B1900),1)&amp;":"&amp;DATE(YEAR(B1900),MONTH(B1900)+1,0))),Feriados[Data],0))))=FALSE,
IF(WEEKDAY(ROW(INDIRECT(DATE(YEAR(B1900),MONTH(B1900),1)&amp;":"&amp;DATE(YEAR(B1900),MONTH(B1900)+1,0))),2)&lt;=5,1,IF(WEEKDAY(ROW(INDIRECT(DATE(YEAR(B1900),MONTH(B1900),1)&amp;":"&amp;DATE(YEAR(B1900),MONTH(B1900)+1,0))),2)=6,0.5,0)),0))</f>
        <v>24</v>
      </c>
      <c r="K1900" s="22" cm="1">
        <f t="array" ref="K1900">_xlfn.XLOOKUP(1,((Metas_Diarias[[#This Row],[tipo_equipe_id]]=Metas[equipe])*(Metas_Diarias[[#This Row],[data]]&gt;Metas[data_inicio])*(Metas_Diarias[[#This Row],[data]]&lt;Metas[data_fim])),Metas[meta_mensal],0)</f>
        <v>68250</v>
      </c>
      <c r="L1900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01" spans="2:12" x14ac:dyDescent="0.3">
      <c r="B1901" s="34">
        <v>46092</v>
      </c>
      <c r="C1901" s="34" t="str">
        <f>TEXT(Metas_Diarias[[#This Row],[data]],"dddd")</f>
        <v>quarta-feira</v>
      </c>
      <c r="D1901" s="33">
        <v>5</v>
      </c>
      <c r="E1901" s="33">
        <v>5</v>
      </c>
      <c r="F1901" s="18"/>
      <c r="G1901" s="35">
        <f>WEEKDAY(Metas_Diarias[[#This Row],[data]])</f>
        <v>4</v>
      </c>
      <c r="H1901" s="35">
        <f>IF(Metas_Diarias[[#This Row],[dias_da_demana]]=1,"domingo",IF(Metas_Diarias[[#This Row],[dias_da_demana]]=7,0.5,1))</f>
        <v>1</v>
      </c>
      <c r="I1901" s="35">
        <f>_xlfn.XLOOKUP(Metas_Diarias[[#This Row],[data]],Feriados[Data],Feriados[Feriado],1)</f>
        <v>1</v>
      </c>
      <c r="J1901" s="33" cm="1">
        <f t="array" aca="1" ref="J1901" ca="1">SUMPRODUCT(IF((NOT(ISERROR(MATCH(ROW(INDIRECT(DATE(YEAR(B1901),MONTH(B1901),1)&amp;":"&amp;DATE(YEAR(B1901),MONTH(B1901)+1,0))),Feriados[Data],0))))=FALSE,
IF(WEEKDAY(ROW(INDIRECT(DATE(YEAR(B1901),MONTH(B1901),1)&amp;":"&amp;DATE(YEAR(B1901),MONTH(B1901)+1,0))),2)&lt;=5,1,IF(WEEKDAY(ROW(INDIRECT(DATE(YEAR(B1901),MONTH(B1901),1)&amp;":"&amp;DATE(YEAR(B1901),MONTH(B1901)+1,0))),2)=6,0.5,0)),0))</f>
        <v>24</v>
      </c>
      <c r="K1901" s="22" cm="1">
        <f t="array" ref="K1901">_xlfn.XLOOKUP(1,((Metas_Diarias[[#This Row],[tipo_equipe_id]]=Metas[equipe])*(Metas_Diarias[[#This Row],[data]]&gt;Metas[data_inicio])*(Metas_Diarias[[#This Row],[data]]&lt;Metas[data_fim])),Metas[meta_mensal],0)</f>
        <v>68250</v>
      </c>
      <c r="L1901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02" spans="2:12" x14ac:dyDescent="0.3">
      <c r="B1902" s="34">
        <v>46093</v>
      </c>
      <c r="C1902" s="34" t="str">
        <f>TEXT(Metas_Diarias[[#This Row],[data]],"dddd")</f>
        <v>quinta-feira</v>
      </c>
      <c r="D1902" s="33">
        <v>5</v>
      </c>
      <c r="E1902" s="33">
        <v>5</v>
      </c>
      <c r="F1902" s="18"/>
      <c r="G1902" s="35">
        <f>WEEKDAY(Metas_Diarias[[#This Row],[data]])</f>
        <v>5</v>
      </c>
      <c r="H1902" s="35">
        <f>IF(Metas_Diarias[[#This Row],[dias_da_demana]]=1,"domingo",IF(Metas_Diarias[[#This Row],[dias_da_demana]]=7,0.5,1))</f>
        <v>1</v>
      </c>
      <c r="I1902" s="35">
        <f>_xlfn.XLOOKUP(Metas_Diarias[[#This Row],[data]],Feriados[Data],Feriados[Feriado],1)</f>
        <v>1</v>
      </c>
      <c r="J1902" s="33" cm="1">
        <f t="array" aca="1" ref="J1902" ca="1">SUMPRODUCT(IF((NOT(ISERROR(MATCH(ROW(INDIRECT(DATE(YEAR(B1902),MONTH(B1902),1)&amp;":"&amp;DATE(YEAR(B1902),MONTH(B1902)+1,0))),Feriados[Data],0))))=FALSE,
IF(WEEKDAY(ROW(INDIRECT(DATE(YEAR(B1902),MONTH(B1902),1)&amp;":"&amp;DATE(YEAR(B1902),MONTH(B1902)+1,0))),2)&lt;=5,1,IF(WEEKDAY(ROW(INDIRECT(DATE(YEAR(B1902),MONTH(B1902),1)&amp;":"&amp;DATE(YEAR(B1902),MONTH(B1902)+1,0))),2)=6,0.5,0)),0))</f>
        <v>24</v>
      </c>
      <c r="K1902" s="22" cm="1">
        <f t="array" ref="K1902">_xlfn.XLOOKUP(1,((Metas_Diarias[[#This Row],[tipo_equipe_id]]=Metas[equipe])*(Metas_Diarias[[#This Row],[data]]&gt;Metas[data_inicio])*(Metas_Diarias[[#This Row],[data]]&lt;Metas[data_fim])),Metas[meta_mensal],0)</f>
        <v>68250</v>
      </c>
      <c r="L1902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03" spans="2:12" x14ac:dyDescent="0.3">
      <c r="B1903" s="34">
        <v>46094</v>
      </c>
      <c r="C1903" s="34" t="str">
        <f>TEXT(Metas_Diarias[[#This Row],[data]],"dddd")</f>
        <v>sexta-feira</v>
      </c>
      <c r="D1903" s="33">
        <v>5</v>
      </c>
      <c r="E1903" s="33">
        <v>5</v>
      </c>
      <c r="F1903" s="18"/>
      <c r="G1903" s="35">
        <f>WEEKDAY(Metas_Diarias[[#This Row],[data]])</f>
        <v>6</v>
      </c>
      <c r="H1903" s="35">
        <f>IF(Metas_Diarias[[#This Row],[dias_da_demana]]=1,"domingo",IF(Metas_Diarias[[#This Row],[dias_da_demana]]=7,0.5,1))</f>
        <v>1</v>
      </c>
      <c r="I1903" s="35">
        <f>_xlfn.XLOOKUP(Metas_Diarias[[#This Row],[data]],Feriados[Data],Feriados[Feriado],1)</f>
        <v>1</v>
      </c>
      <c r="J1903" s="33" cm="1">
        <f t="array" aca="1" ref="J1903" ca="1">SUMPRODUCT(IF((NOT(ISERROR(MATCH(ROW(INDIRECT(DATE(YEAR(B1903),MONTH(B1903),1)&amp;":"&amp;DATE(YEAR(B1903),MONTH(B1903)+1,0))),Feriados[Data],0))))=FALSE,
IF(WEEKDAY(ROW(INDIRECT(DATE(YEAR(B1903),MONTH(B1903),1)&amp;":"&amp;DATE(YEAR(B1903),MONTH(B1903)+1,0))),2)&lt;=5,1,IF(WEEKDAY(ROW(INDIRECT(DATE(YEAR(B1903),MONTH(B1903),1)&amp;":"&amp;DATE(YEAR(B1903),MONTH(B1903)+1,0))),2)=6,0.5,0)),0))</f>
        <v>24</v>
      </c>
      <c r="K1903" s="22" cm="1">
        <f t="array" ref="K1903">_xlfn.XLOOKUP(1,((Metas_Diarias[[#This Row],[tipo_equipe_id]]=Metas[equipe])*(Metas_Diarias[[#This Row],[data]]&gt;Metas[data_inicio])*(Metas_Diarias[[#This Row],[data]]&lt;Metas[data_fim])),Metas[meta_mensal],0)</f>
        <v>68250</v>
      </c>
      <c r="L1903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04" spans="2:12" x14ac:dyDescent="0.3">
      <c r="B1904" s="34">
        <v>46095</v>
      </c>
      <c r="C1904" s="34" t="str">
        <f>TEXT(Metas_Diarias[[#This Row],[data]],"dddd")</f>
        <v>sábado</v>
      </c>
      <c r="D1904" s="33">
        <v>5</v>
      </c>
      <c r="E1904" s="33">
        <v>5</v>
      </c>
      <c r="F1904" s="18"/>
      <c r="G1904" s="35">
        <f>WEEKDAY(Metas_Diarias[[#This Row],[data]])</f>
        <v>7</v>
      </c>
      <c r="H1904" s="35">
        <f>IF(Metas_Diarias[[#This Row],[dias_da_demana]]=1,"domingo",IF(Metas_Diarias[[#This Row],[dias_da_demana]]=7,0.5,1))</f>
        <v>0.5</v>
      </c>
      <c r="I1904" s="35">
        <f>_xlfn.XLOOKUP(Metas_Diarias[[#This Row],[data]],Feriados[Data],Feriados[Feriado],1)</f>
        <v>1</v>
      </c>
      <c r="J1904" s="33" cm="1">
        <f t="array" aca="1" ref="J1904" ca="1">SUMPRODUCT(IF((NOT(ISERROR(MATCH(ROW(INDIRECT(DATE(YEAR(B1904),MONTH(B1904),1)&amp;":"&amp;DATE(YEAR(B1904),MONTH(B1904)+1,0))),Feriados[Data],0))))=FALSE,
IF(WEEKDAY(ROW(INDIRECT(DATE(YEAR(B1904),MONTH(B1904),1)&amp;":"&amp;DATE(YEAR(B1904),MONTH(B1904)+1,0))),2)&lt;=5,1,IF(WEEKDAY(ROW(INDIRECT(DATE(YEAR(B1904),MONTH(B1904),1)&amp;":"&amp;DATE(YEAR(B1904),MONTH(B1904)+1,0))),2)=6,0.5,0)),0))</f>
        <v>24</v>
      </c>
      <c r="K1904" s="22" cm="1">
        <f t="array" ref="K1904">_xlfn.XLOOKUP(1,((Metas_Diarias[[#This Row],[tipo_equipe_id]]=Metas[equipe])*(Metas_Diarias[[#This Row],[data]]&gt;Metas[data_inicio])*(Metas_Diarias[[#This Row],[data]]&lt;Metas[data_fim])),Metas[meta_mensal],0)</f>
        <v>68250</v>
      </c>
      <c r="L1904" s="24">
        <f ca="1">Metas_Diarias[[#This Row],[meta_mensal]]*IF(Metas_Diarias[[#This Row],[semana]]="domingo",0,Metas_Diarias[[#This Row],[semana]])*IF(Metas_Diarias[[#This Row],[feriado]]&lt;&gt;1,0,1)/Metas_Diarias[[#This Row],[dias_úteis_Mês]]</f>
        <v>1421.875</v>
      </c>
    </row>
    <row r="1905" spans="2:12" x14ac:dyDescent="0.3">
      <c r="B1905" s="34">
        <v>46096</v>
      </c>
      <c r="C1905" s="34" t="str">
        <f>TEXT(Metas_Diarias[[#This Row],[data]],"dddd")</f>
        <v>domingo</v>
      </c>
      <c r="D1905" s="33">
        <v>5</v>
      </c>
      <c r="E1905" s="33">
        <v>5</v>
      </c>
      <c r="F1905" s="18"/>
      <c r="G1905" s="35">
        <f>WEEKDAY(Metas_Diarias[[#This Row],[data]])</f>
        <v>1</v>
      </c>
      <c r="H1905" s="35" t="str">
        <f>IF(Metas_Diarias[[#This Row],[dias_da_demana]]=1,"domingo",IF(Metas_Diarias[[#This Row],[dias_da_demana]]=7,0.5,1))</f>
        <v>domingo</v>
      </c>
      <c r="I1905" s="35">
        <f>_xlfn.XLOOKUP(Metas_Diarias[[#This Row],[data]],Feriados[Data],Feriados[Feriado],1)</f>
        <v>1</v>
      </c>
      <c r="J1905" s="33" cm="1">
        <f t="array" aca="1" ref="J1905" ca="1">SUMPRODUCT(IF((NOT(ISERROR(MATCH(ROW(INDIRECT(DATE(YEAR(B1905),MONTH(B1905),1)&amp;":"&amp;DATE(YEAR(B1905),MONTH(B1905)+1,0))),Feriados[Data],0))))=FALSE,
IF(WEEKDAY(ROW(INDIRECT(DATE(YEAR(B1905),MONTH(B1905),1)&amp;":"&amp;DATE(YEAR(B1905),MONTH(B1905)+1,0))),2)&lt;=5,1,IF(WEEKDAY(ROW(INDIRECT(DATE(YEAR(B1905),MONTH(B1905),1)&amp;":"&amp;DATE(YEAR(B1905),MONTH(B1905)+1,0))),2)=6,0.5,0)),0))</f>
        <v>24</v>
      </c>
      <c r="K1905" s="22" cm="1">
        <f t="array" ref="K1905">_xlfn.XLOOKUP(1,((Metas_Diarias[[#This Row],[tipo_equipe_id]]=Metas[equipe])*(Metas_Diarias[[#This Row],[data]]&gt;Metas[data_inicio])*(Metas_Diarias[[#This Row],[data]]&lt;Metas[data_fim])),Metas[meta_mensal],0)</f>
        <v>68250</v>
      </c>
      <c r="L19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06" spans="2:12" x14ac:dyDescent="0.3">
      <c r="B1906" s="34">
        <v>46097</v>
      </c>
      <c r="C1906" s="34" t="str">
        <f>TEXT(Metas_Diarias[[#This Row],[data]],"dddd")</f>
        <v>segunda-feira</v>
      </c>
      <c r="D1906" s="33">
        <v>5</v>
      </c>
      <c r="E1906" s="33">
        <v>5</v>
      </c>
      <c r="F1906" s="18"/>
      <c r="G1906" s="35">
        <f>WEEKDAY(Metas_Diarias[[#This Row],[data]])</f>
        <v>2</v>
      </c>
      <c r="H1906" s="35">
        <f>IF(Metas_Diarias[[#This Row],[dias_da_demana]]=1,"domingo",IF(Metas_Diarias[[#This Row],[dias_da_demana]]=7,0.5,1))</f>
        <v>1</v>
      </c>
      <c r="I1906" s="35">
        <f>_xlfn.XLOOKUP(Metas_Diarias[[#This Row],[data]],Feriados[Data],Feriados[Feriado],1)</f>
        <v>1</v>
      </c>
      <c r="J1906" s="33" cm="1">
        <f t="array" aca="1" ref="J1906" ca="1">SUMPRODUCT(IF((NOT(ISERROR(MATCH(ROW(INDIRECT(DATE(YEAR(B1906),MONTH(B1906),1)&amp;":"&amp;DATE(YEAR(B1906),MONTH(B1906)+1,0))),Feriados[Data],0))))=FALSE,
IF(WEEKDAY(ROW(INDIRECT(DATE(YEAR(B1906),MONTH(B1906),1)&amp;":"&amp;DATE(YEAR(B1906),MONTH(B1906)+1,0))),2)&lt;=5,1,IF(WEEKDAY(ROW(INDIRECT(DATE(YEAR(B1906),MONTH(B1906),1)&amp;":"&amp;DATE(YEAR(B1906),MONTH(B1906)+1,0))),2)=6,0.5,0)),0))</f>
        <v>24</v>
      </c>
      <c r="K1906" s="22" cm="1">
        <f t="array" ref="K1906">_xlfn.XLOOKUP(1,((Metas_Diarias[[#This Row],[tipo_equipe_id]]=Metas[equipe])*(Metas_Diarias[[#This Row],[data]]&gt;Metas[data_inicio])*(Metas_Diarias[[#This Row],[data]]&lt;Metas[data_fim])),Metas[meta_mensal],0)</f>
        <v>68250</v>
      </c>
      <c r="L1906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07" spans="2:12" x14ac:dyDescent="0.3">
      <c r="B1907" s="34">
        <v>46098</v>
      </c>
      <c r="C1907" s="34" t="str">
        <f>TEXT(Metas_Diarias[[#This Row],[data]],"dddd")</f>
        <v>terça-feira</v>
      </c>
      <c r="D1907" s="33">
        <v>5</v>
      </c>
      <c r="E1907" s="33">
        <v>5</v>
      </c>
      <c r="F1907" s="18"/>
      <c r="G1907" s="35">
        <f>WEEKDAY(Metas_Diarias[[#This Row],[data]])</f>
        <v>3</v>
      </c>
      <c r="H1907" s="35">
        <f>IF(Metas_Diarias[[#This Row],[dias_da_demana]]=1,"domingo",IF(Metas_Diarias[[#This Row],[dias_da_demana]]=7,0.5,1))</f>
        <v>1</v>
      </c>
      <c r="I1907" s="35">
        <f>_xlfn.XLOOKUP(Metas_Diarias[[#This Row],[data]],Feriados[Data],Feriados[Feriado],1)</f>
        <v>1</v>
      </c>
      <c r="J1907" s="33" cm="1">
        <f t="array" aca="1" ref="J1907" ca="1">SUMPRODUCT(IF((NOT(ISERROR(MATCH(ROW(INDIRECT(DATE(YEAR(B1907),MONTH(B1907),1)&amp;":"&amp;DATE(YEAR(B1907),MONTH(B1907)+1,0))),Feriados[Data],0))))=FALSE,
IF(WEEKDAY(ROW(INDIRECT(DATE(YEAR(B1907),MONTH(B1907),1)&amp;":"&amp;DATE(YEAR(B1907),MONTH(B1907)+1,0))),2)&lt;=5,1,IF(WEEKDAY(ROW(INDIRECT(DATE(YEAR(B1907),MONTH(B1907),1)&amp;":"&amp;DATE(YEAR(B1907),MONTH(B1907)+1,0))),2)=6,0.5,0)),0))</f>
        <v>24</v>
      </c>
      <c r="K1907" s="22" cm="1">
        <f t="array" ref="K1907">_xlfn.XLOOKUP(1,((Metas_Diarias[[#This Row],[tipo_equipe_id]]=Metas[equipe])*(Metas_Diarias[[#This Row],[data]]&gt;Metas[data_inicio])*(Metas_Diarias[[#This Row],[data]]&lt;Metas[data_fim])),Metas[meta_mensal],0)</f>
        <v>68250</v>
      </c>
      <c r="L1907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08" spans="2:12" x14ac:dyDescent="0.3">
      <c r="B1908" s="34">
        <v>46099</v>
      </c>
      <c r="C1908" s="34" t="str">
        <f>TEXT(Metas_Diarias[[#This Row],[data]],"dddd")</f>
        <v>quarta-feira</v>
      </c>
      <c r="D1908" s="33">
        <v>5</v>
      </c>
      <c r="E1908" s="33">
        <v>5</v>
      </c>
      <c r="F1908" s="18"/>
      <c r="G1908" s="35">
        <f>WEEKDAY(Metas_Diarias[[#This Row],[data]])</f>
        <v>4</v>
      </c>
      <c r="H1908" s="35">
        <f>IF(Metas_Diarias[[#This Row],[dias_da_demana]]=1,"domingo",IF(Metas_Diarias[[#This Row],[dias_da_demana]]=7,0.5,1))</f>
        <v>1</v>
      </c>
      <c r="I1908" s="35">
        <f>_xlfn.XLOOKUP(Metas_Diarias[[#This Row],[data]],Feriados[Data],Feriados[Feriado],1)</f>
        <v>1</v>
      </c>
      <c r="J1908" s="33" cm="1">
        <f t="array" aca="1" ref="J1908" ca="1">SUMPRODUCT(IF((NOT(ISERROR(MATCH(ROW(INDIRECT(DATE(YEAR(B1908),MONTH(B1908),1)&amp;":"&amp;DATE(YEAR(B1908),MONTH(B1908)+1,0))),Feriados[Data],0))))=FALSE,
IF(WEEKDAY(ROW(INDIRECT(DATE(YEAR(B1908),MONTH(B1908),1)&amp;":"&amp;DATE(YEAR(B1908),MONTH(B1908)+1,0))),2)&lt;=5,1,IF(WEEKDAY(ROW(INDIRECT(DATE(YEAR(B1908),MONTH(B1908),1)&amp;":"&amp;DATE(YEAR(B1908),MONTH(B1908)+1,0))),2)=6,0.5,0)),0))</f>
        <v>24</v>
      </c>
      <c r="K1908" s="22" cm="1">
        <f t="array" ref="K1908">_xlfn.XLOOKUP(1,((Metas_Diarias[[#This Row],[tipo_equipe_id]]=Metas[equipe])*(Metas_Diarias[[#This Row],[data]]&gt;Metas[data_inicio])*(Metas_Diarias[[#This Row],[data]]&lt;Metas[data_fim])),Metas[meta_mensal],0)</f>
        <v>68250</v>
      </c>
      <c r="L1908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09" spans="2:12" x14ac:dyDescent="0.3">
      <c r="B1909" s="34">
        <v>46100</v>
      </c>
      <c r="C1909" s="34" t="str">
        <f>TEXT(Metas_Diarias[[#This Row],[data]],"dddd")</f>
        <v>quinta-feira</v>
      </c>
      <c r="D1909" s="33">
        <v>5</v>
      </c>
      <c r="E1909" s="33">
        <v>5</v>
      </c>
      <c r="F1909" s="18"/>
      <c r="G1909" s="35">
        <f>WEEKDAY(Metas_Diarias[[#This Row],[data]])</f>
        <v>5</v>
      </c>
      <c r="H1909" s="35">
        <f>IF(Metas_Diarias[[#This Row],[dias_da_demana]]=1,"domingo",IF(Metas_Diarias[[#This Row],[dias_da_demana]]=7,0.5,1))</f>
        <v>1</v>
      </c>
      <c r="I1909" s="35">
        <f>_xlfn.XLOOKUP(Metas_Diarias[[#This Row],[data]],Feriados[Data],Feriados[Feriado],1)</f>
        <v>1</v>
      </c>
      <c r="J1909" s="33" cm="1">
        <f t="array" aca="1" ref="J1909" ca="1">SUMPRODUCT(IF((NOT(ISERROR(MATCH(ROW(INDIRECT(DATE(YEAR(B1909),MONTH(B1909),1)&amp;":"&amp;DATE(YEAR(B1909),MONTH(B1909)+1,0))),Feriados[Data],0))))=FALSE,
IF(WEEKDAY(ROW(INDIRECT(DATE(YEAR(B1909),MONTH(B1909),1)&amp;":"&amp;DATE(YEAR(B1909),MONTH(B1909)+1,0))),2)&lt;=5,1,IF(WEEKDAY(ROW(INDIRECT(DATE(YEAR(B1909),MONTH(B1909),1)&amp;":"&amp;DATE(YEAR(B1909),MONTH(B1909)+1,0))),2)=6,0.5,0)),0))</f>
        <v>24</v>
      </c>
      <c r="K1909" s="22" cm="1">
        <f t="array" ref="K1909">_xlfn.XLOOKUP(1,((Metas_Diarias[[#This Row],[tipo_equipe_id]]=Metas[equipe])*(Metas_Diarias[[#This Row],[data]]&gt;Metas[data_inicio])*(Metas_Diarias[[#This Row],[data]]&lt;Metas[data_fim])),Metas[meta_mensal],0)</f>
        <v>68250</v>
      </c>
      <c r="L1909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10" spans="2:12" x14ac:dyDescent="0.3">
      <c r="B1910" s="34">
        <v>46101</v>
      </c>
      <c r="C1910" s="34" t="str">
        <f>TEXT(Metas_Diarias[[#This Row],[data]],"dddd")</f>
        <v>sexta-feira</v>
      </c>
      <c r="D1910" s="33">
        <v>5</v>
      </c>
      <c r="E1910" s="33">
        <v>5</v>
      </c>
      <c r="F1910" s="18"/>
      <c r="G1910" s="35">
        <f>WEEKDAY(Metas_Diarias[[#This Row],[data]])</f>
        <v>6</v>
      </c>
      <c r="H1910" s="35">
        <f>IF(Metas_Diarias[[#This Row],[dias_da_demana]]=1,"domingo",IF(Metas_Diarias[[#This Row],[dias_da_demana]]=7,0.5,1))</f>
        <v>1</v>
      </c>
      <c r="I1910" s="35">
        <f>_xlfn.XLOOKUP(Metas_Diarias[[#This Row],[data]],Feriados[Data],Feriados[Feriado],1)</f>
        <v>1</v>
      </c>
      <c r="J1910" s="33" cm="1">
        <f t="array" aca="1" ref="J1910" ca="1">SUMPRODUCT(IF((NOT(ISERROR(MATCH(ROW(INDIRECT(DATE(YEAR(B1910),MONTH(B1910),1)&amp;":"&amp;DATE(YEAR(B1910),MONTH(B1910)+1,0))),Feriados[Data],0))))=FALSE,
IF(WEEKDAY(ROW(INDIRECT(DATE(YEAR(B1910),MONTH(B1910),1)&amp;":"&amp;DATE(YEAR(B1910),MONTH(B1910)+1,0))),2)&lt;=5,1,IF(WEEKDAY(ROW(INDIRECT(DATE(YEAR(B1910),MONTH(B1910),1)&amp;":"&amp;DATE(YEAR(B1910),MONTH(B1910)+1,0))),2)=6,0.5,0)),0))</f>
        <v>24</v>
      </c>
      <c r="K1910" s="22" cm="1">
        <f t="array" ref="K1910">_xlfn.XLOOKUP(1,((Metas_Diarias[[#This Row],[tipo_equipe_id]]=Metas[equipe])*(Metas_Diarias[[#This Row],[data]]&gt;Metas[data_inicio])*(Metas_Diarias[[#This Row],[data]]&lt;Metas[data_fim])),Metas[meta_mensal],0)</f>
        <v>68250</v>
      </c>
      <c r="L1910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11" spans="2:12" x14ac:dyDescent="0.3">
      <c r="B1911" s="34">
        <v>46102</v>
      </c>
      <c r="C1911" s="34" t="str">
        <f>TEXT(Metas_Diarias[[#This Row],[data]],"dddd")</f>
        <v>sábado</v>
      </c>
      <c r="D1911" s="33">
        <v>5</v>
      </c>
      <c r="E1911" s="33">
        <v>5</v>
      </c>
      <c r="F1911" s="18"/>
      <c r="G1911" s="35">
        <f>WEEKDAY(Metas_Diarias[[#This Row],[data]])</f>
        <v>7</v>
      </c>
      <c r="H1911" s="35">
        <f>IF(Metas_Diarias[[#This Row],[dias_da_demana]]=1,"domingo",IF(Metas_Diarias[[#This Row],[dias_da_demana]]=7,0.5,1))</f>
        <v>0.5</v>
      </c>
      <c r="I1911" s="35">
        <f>_xlfn.XLOOKUP(Metas_Diarias[[#This Row],[data]],Feriados[Data],Feriados[Feriado],1)</f>
        <v>1</v>
      </c>
      <c r="J1911" s="33" cm="1">
        <f t="array" aca="1" ref="J1911" ca="1">SUMPRODUCT(IF((NOT(ISERROR(MATCH(ROW(INDIRECT(DATE(YEAR(B1911),MONTH(B1911),1)&amp;":"&amp;DATE(YEAR(B1911),MONTH(B1911)+1,0))),Feriados[Data],0))))=FALSE,
IF(WEEKDAY(ROW(INDIRECT(DATE(YEAR(B1911),MONTH(B1911),1)&amp;":"&amp;DATE(YEAR(B1911),MONTH(B1911)+1,0))),2)&lt;=5,1,IF(WEEKDAY(ROW(INDIRECT(DATE(YEAR(B1911),MONTH(B1911),1)&amp;":"&amp;DATE(YEAR(B1911),MONTH(B1911)+1,0))),2)=6,0.5,0)),0))</f>
        <v>24</v>
      </c>
      <c r="K1911" s="22" cm="1">
        <f t="array" ref="K1911">_xlfn.XLOOKUP(1,((Metas_Diarias[[#This Row],[tipo_equipe_id]]=Metas[equipe])*(Metas_Diarias[[#This Row],[data]]&gt;Metas[data_inicio])*(Metas_Diarias[[#This Row],[data]]&lt;Metas[data_fim])),Metas[meta_mensal],0)</f>
        <v>68250</v>
      </c>
      <c r="L1911" s="24">
        <f ca="1">Metas_Diarias[[#This Row],[meta_mensal]]*IF(Metas_Diarias[[#This Row],[semana]]="domingo",0,Metas_Diarias[[#This Row],[semana]])*IF(Metas_Diarias[[#This Row],[feriado]]&lt;&gt;1,0,1)/Metas_Diarias[[#This Row],[dias_úteis_Mês]]</f>
        <v>1421.875</v>
      </c>
    </row>
    <row r="1912" spans="2:12" x14ac:dyDescent="0.3">
      <c r="B1912" s="34">
        <v>46103</v>
      </c>
      <c r="C1912" s="34" t="str">
        <f>TEXT(Metas_Diarias[[#This Row],[data]],"dddd")</f>
        <v>domingo</v>
      </c>
      <c r="D1912" s="33">
        <v>5</v>
      </c>
      <c r="E1912" s="33">
        <v>5</v>
      </c>
      <c r="F1912" s="18"/>
      <c r="G1912" s="35">
        <f>WEEKDAY(Metas_Diarias[[#This Row],[data]])</f>
        <v>1</v>
      </c>
      <c r="H1912" s="35" t="str">
        <f>IF(Metas_Diarias[[#This Row],[dias_da_demana]]=1,"domingo",IF(Metas_Diarias[[#This Row],[dias_da_demana]]=7,0.5,1))</f>
        <v>domingo</v>
      </c>
      <c r="I1912" s="35">
        <f>_xlfn.XLOOKUP(Metas_Diarias[[#This Row],[data]],Feriados[Data],Feriados[Feriado],1)</f>
        <v>1</v>
      </c>
      <c r="J1912" s="33" cm="1">
        <f t="array" aca="1" ref="J1912" ca="1">SUMPRODUCT(IF((NOT(ISERROR(MATCH(ROW(INDIRECT(DATE(YEAR(B1912),MONTH(B1912),1)&amp;":"&amp;DATE(YEAR(B1912),MONTH(B1912)+1,0))),Feriados[Data],0))))=FALSE,
IF(WEEKDAY(ROW(INDIRECT(DATE(YEAR(B1912),MONTH(B1912),1)&amp;":"&amp;DATE(YEAR(B1912),MONTH(B1912)+1,0))),2)&lt;=5,1,IF(WEEKDAY(ROW(INDIRECT(DATE(YEAR(B1912),MONTH(B1912),1)&amp;":"&amp;DATE(YEAR(B1912),MONTH(B1912)+1,0))),2)=6,0.5,0)),0))</f>
        <v>24</v>
      </c>
      <c r="K1912" s="22" cm="1">
        <f t="array" ref="K1912">_xlfn.XLOOKUP(1,((Metas_Diarias[[#This Row],[tipo_equipe_id]]=Metas[equipe])*(Metas_Diarias[[#This Row],[data]]&gt;Metas[data_inicio])*(Metas_Diarias[[#This Row],[data]]&lt;Metas[data_fim])),Metas[meta_mensal],0)</f>
        <v>68250</v>
      </c>
      <c r="L19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13" spans="2:12" x14ac:dyDescent="0.3">
      <c r="B1913" s="34">
        <v>46104</v>
      </c>
      <c r="C1913" s="34" t="str">
        <f>TEXT(Metas_Diarias[[#This Row],[data]],"dddd")</f>
        <v>segunda-feira</v>
      </c>
      <c r="D1913" s="33">
        <v>5</v>
      </c>
      <c r="E1913" s="33">
        <v>5</v>
      </c>
      <c r="F1913" s="18"/>
      <c r="G1913" s="35">
        <f>WEEKDAY(Metas_Diarias[[#This Row],[data]])</f>
        <v>2</v>
      </c>
      <c r="H1913" s="35">
        <f>IF(Metas_Diarias[[#This Row],[dias_da_demana]]=1,"domingo",IF(Metas_Diarias[[#This Row],[dias_da_demana]]=7,0.5,1))</f>
        <v>1</v>
      </c>
      <c r="I1913" s="35">
        <f>_xlfn.XLOOKUP(Metas_Diarias[[#This Row],[data]],Feriados[Data],Feriados[Feriado],1)</f>
        <v>1</v>
      </c>
      <c r="J1913" s="33" cm="1">
        <f t="array" aca="1" ref="J1913" ca="1">SUMPRODUCT(IF((NOT(ISERROR(MATCH(ROW(INDIRECT(DATE(YEAR(B1913),MONTH(B1913),1)&amp;":"&amp;DATE(YEAR(B1913),MONTH(B1913)+1,0))),Feriados[Data],0))))=FALSE,
IF(WEEKDAY(ROW(INDIRECT(DATE(YEAR(B1913),MONTH(B1913),1)&amp;":"&amp;DATE(YEAR(B1913),MONTH(B1913)+1,0))),2)&lt;=5,1,IF(WEEKDAY(ROW(INDIRECT(DATE(YEAR(B1913),MONTH(B1913),1)&amp;":"&amp;DATE(YEAR(B1913),MONTH(B1913)+1,0))),2)=6,0.5,0)),0))</f>
        <v>24</v>
      </c>
      <c r="K1913" s="22" cm="1">
        <f t="array" ref="K1913">_xlfn.XLOOKUP(1,((Metas_Diarias[[#This Row],[tipo_equipe_id]]=Metas[equipe])*(Metas_Diarias[[#This Row],[data]]&gt;Metas[data_inicio])*(Metas_Diarias[[#This Row],[data]]&lt;Metas[data_fim])),Metas[meta_mensal],0)</f>
        <v>68250</v>
      </c>
      <c r="L1913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14" spans="2:12" x14ac:dyDescent="0.3">
      <c r="B1914" s="34">
        <v>46105</v>
      </c>
      <c r="C1914" s="34" t="str">
        <f>TEXT(Metas_Diarias[[#This Row],[data]],"dddd")</f>
        <v>terça-feira</v>
      </c>
      <c r="D1914" s="33">
        <v>5</v>
      </c>
      <c r="E1914" s="33">
        <v>5</v>
      </c>
      <c r="F1914" s="18"/>
      <c r="G1914" s="35">
        <f>WEEKDAY(Metas_Diarias[[#This Row],[data]])</f>
        <v>3</v>
      </c>
      <c r="H1914" s="35">
        <f>IF(Metas_Diarias[[#This Row],[dias_da_demana]]=1,"domingo",IF(Metas_Diarias[[#This Row],[dias_da_demana]]=7,0.5,1))</f>
        <v>1</v>
      </c>
      <c r="I1914" s="35">
        <f>_xlfn.XLOOKUP(Metas_Diarias[[#This Row],[data]],Feriados[Data],Feriados[Feriado],1)</f>
        <v>1</v>
      </c>
      <c r="J1914" s="33" cm="1">
        <f t="array" aca="1" ref="J1914" ca="1">SUMPRODUCT(IF((NOT(ISERROR(MATCH(ROW(INDIRECT(DATE(YEAR(B1914),MONTH(B1914),1)&amp;":"&amp;DATE(YEAR(B1914),MONTH(B1914)+1,0))),Feriados[Data],0))))=FALSE,
IF(WEEKDAY(ROW(INDIRECT(DATE(YEAR(B1914),MONTH(B1914),1)&amp;":"&amp;DATE(YEAR(B1914),MONTH(B1914)+1,0))),2)&lt;=5,1,IF(WEEKDAY(ROW(INDIRECT(DATE(YEAR(B1914),MONTH(B1914),1)&amp;":"&amp;DATE(YEAR(B1914),MONTH(B1914)+1,0))),2)=6,0.5,0)),0))</f>
        <v>24</v>
      </c>
      <c r="K1914" s="22" cm="1">
        <f t="array" ref="K1914">_xlfn.XLOOKUP(1,((Metas_Diarias[[#This Row],[tipo_equipe_id]]=Metas[equipe])*(Metas_Diarias[[#This Row],[data]]&gt;Metas[data_inicio])*(Metas_Diarias[[#This Row],[data]]&lt;Metas[data_fim])),Metas[meta_mensal],0)</f>
        <v>68250</v>
      </c>
      <c r="L1914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15" spans="2:12" x14ac:dyDescent="0.3">
      <c r="B1915" s="34">
        <v>46106</v>
      </c>
      <c r="C1915" s="34" t="str">
        <f>TEXT(Metas_Diarias[[#This Row],[data]],"dddd")</f>
        <v>quarta-feira</v>
      </c>
      <c r="D1915" s="33">
        <v>5</v>
      </c>
      <c r="E1915" s="33">
        <v>5</v>
      </c>
      <c r="F1915" s="18"/>
      <c r="G1915" s="35">
        <f>WEEKDAY(Metas_Diarias[[#This Row],[data]])</f>
        <v>4</v>
      </c>
      <c r="H1915" s="35">
        <f>IF(Metas_Diarias[[#This Row],[dias_da_demana]]=1,"domingo",IF(Metas_Diarias[[#This Row],[dias_da_demana]]=7,0.5,1))</f>
        <v>1</v>
      </c>
      <c r="I1915" s="35">
        <f>_xlfn.XLOOKUP(Metas_Diarias[[#This Row],[data]],Feriados[Data],Feriados[Feriado],1)</f>
        <v>1</v>
      </c>
      <c r="J1915" s="33" cm="1">
        <f t="array" aca="1" ref="J1915" ca="1">SUMPRODUCT(IF((NOT(ISERROR(MATCH(ROW(INDIRECT(DATE(YEAR(B1915),MONTH(B1915),1)&amp;":"&amp;DATE(YEAR(B1915),MONTH(B1915)+1,0))),Feriados[Data],0))))=FALSE,
IF(WEEKDAY(ROW(INDIRECT(DATE(YEAR(B1915),MONTH(B1915),1)&amp;":"&amp;DATE(YEAR(B1915),MONTH(B1915)+1,0))),2)&lt;=5,1,IF(WEEKDAY(ROW(INDIRECT(DATE(YEAR(B1915),MONTH(B1915),1)&amp;":"&amp;DATE(YEAR(B1915),MONTH(B1915)+1,0))),2)=6,0.5,0)),0))</f>
        <v>24</v>
      </c>
      <c r="K1915" s="22" cm="1">
        <f t="array" ref="K1915">_xlfn.XLOOKUP(1,((Metas_Diarias[[#This Row],[tipo_equipe_id]]=Metas[equipe])*(Metas_Diarias[[#This Row],[data]]&gt;Metas[data_inicio])*(Metas_Diarias[[#This Row],[data]]&lt;Metas[data_fim])),Metas[meta_mensal],0)</f>
        <v>68250</v>
      </c>
      <c r="L1915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16" spans="2:12" x14ac:dyDescent="0.3">
      <c r="B1916" s="34">
        <v>46107</v>
      </c>
      <c r="C1916" s="34" t="str">
        <f>TEXT(Metas_Diarias[[#This Row],[data]],"dddd")</f>
        <v>quinta-feira</v>
      </c>
      <c r="D1916" s="33">
        <v>5</v>
      </c>
      <c r="E1916" s="33">
        <v>5</v>
      </c>
      <c r="F1916" s="18"/>
      <c r="G1916" s="35">
        <f>WEEKDAY(Metas_Diarias[[#This Row],[data]])</f>
        <v>5</v>
      </c>
      <c r="H1916" s="35">
        <f>IF(Metas_Diarias[[#This Row],[dias_da_demana]]=1,"domingo",IF(Metas_Diarias[[#This Row],[dias_da_demana]]=7,0.5,1))</f>
        <v>1</v>
      </c>
      <c r="I1916" s="35">
        <f>_xlfn.XLOOKUP(Metas_Diarias[[#This Row],[data]],Feriados[Data],Feriados[Feriado],1)</f>
        <v>1</v>
      </c>
      <c r="J1916" s="33" cm="1">
        <f t="array" aca="1" ref="J1916" ca="1">SUMPRODUCT(IF((NOT(ISERROR(MATCH(ROW(INDIRECT(DATE(YEAR(B1916),MONTH(B1916),1)&amp;":"&amp;DATE(YEAR(B1916),MONTH(B1916)+1,0))),Feriados[Data],0))))=FALSE,
IF(WEEKDAY(ROW(INDIRECT(DATE(YEAR(B1916),MONTH(B1916),1)&amp;":"&amp;DATE(YEAR(B1916),MONTH(B1916)+1,0))),2)&lt;=5,1,IF(WEEKDAY(ROW(INDIRECT(DATE(YEAR(B1916),MONTH(B1916),1)&amp;":"&amp;DATE(YEAR(B1916),MONTH(B1916)+1,0))),2)=6,0.5,0)),0))</f>
        <v>24</v>
      </c>
      <c r="K1916" s="22" cm="1">
        <f t="array" ref="K1916">_xlfn.XLOOKUP(1,((Metas_Diarias[[#This Row],[tipo_equipe_id]]=Metas[equipe])*(Metas_Diarias[[#This Row],[data]]&gt;Metas[data_inicio])*(Metas_Diarias[[#This Row],[data]]&lt;Metas[data_fim])),Metas[meta_mensal],0)</f>
        <v>68250</v>
      </c>
      <c r="L1916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17" spans="2:12" x14ac:dyDescent="0.3">
      <c r="B1917" s="34">
        <v>46108</v>
      </c>
      <c r="C1917" s="34" t="str">
        <f>TEXT(Metas_Diarias[[#This Row],[data]],"dddd")</f>
        <v>sexta-feira</v>
      </c>
      <c r="D1917" s="33">
        <v>5</v>
      </c>
      <c r="E1917" s="33">
        <v>5</v>
      </c>
      <c r="F1917" s="18"/>
      <c r="G1917" s="35">
        <f>WEEKDAY(Metas_Diarias[[#This Row],[data]])</f>
        <v>6</v>
      </c>
      <c r="H1917" s="35">
        <f>IF(Metas_Diarias[[#This Row],[dias_da_demana]]=1,"domingo",IF(Metas_Diarias[[#This Row],[dias_da_demana]]=7,0.5,1))</f>
        <v>1</v>
      </c>
      <c r="I1917" s="35">
        <f>_xlfn.XLOOKUP(Metas_Diarias[[#This Row],[data]],Feriados[Data],Feriados[Feriado],1)</f>
        <v>1</v>
      </c>
      <c r="J1917" s="33" cm="1">
        <f t="array" aca="1" ref="J1917" ca="1">SUMPRODUCT(IF((NOT(ISERROR(MATCH(ROW(INDIRECT(DATE(YEAR(B1917),MONTH(B1917),1)&amp;":"&amp;DATE(YEAR(B1917),MONTH(B1917)+1,0))),Feriados[Data],0))))=FALSE,
IF(WEEKDAY(ROW(INDIRECT(DATE(YEAR(B1917),MONTH(B1917),1)&amp;":"&amp;DATE(YEAR(B1917),MONTH(B1917)+1,0))),2)&lt;=5,1,IF(WEEKDAY(ROW(INDIRECT(DATE(YEAR(B1917),MONTH(B1917),1)&amp;":"&amp;DATE(YEAR(B1917),MONTH(B1917)+1,0))),2)=6,0.5,0)),0))</f>
        <v>24</v>
      </c>
      <c r="K1917" s="22" cm="1">
        <f t="array" ref="K1917">_xlfn.XLOOKUP(1,((Metas_Diarias[[#This Row],[tipo_equipe_id]]=Metas[equipe])*(Metas_Diarias[[#This Row],[data]]&gt;Metas[data_inicio])*(Metas_Diarias[[#This Row],[data]]&lt;Metas[data_fim])),Metas[meta_mensal],0)</f>
        <v>68250</v>
      </c>
      <c r="L1917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18" spans="2:12" x14ac:dyDescent="0.3">
      <c r="B1918" s="34">
        <v>46109</v>
      </c>
      <c r="C1918" s="34" t="str">
        <f>TEXT(Metas_Diarias[[#This Row],[data]],"dddd")</f>
        <v>sábado</v>
      </c>
      <c r="D1918" s="33">
        <v>5</v>
      </c>
      <c r="E1918" s="33">
        <v>5</v>
      </c>
      <c r="F1918" s="18"/>
      <c r="G1918" s="35">
        <f>WEEKDAY(Metas_Diarias[[#This Row],[data]])</f>
        <v>7</v>
      </c>
      <c r="H1918" s="35">
        <f>IF(Metas_Diarias[[#This Row],[dias_da_demana]]=1,"domingo",IF(Metas_Diarias[[#This Row],[dias_da_demana]]=7,0.5,1))</f>
        <v>0.5</v>
      </c>
      <c r="I1918" s="35">
        <f>_xlfn.XLOOKUP(Metas_Diarias[[#This Row],[data]],Feriados[Data],Feriados[Feriado],1)</f>
        <v>1</v>
      </c>
      <c r="J1918" s="33" cm="1">
        <f t="array" aca="1" ref="J1918" ca="1">SUMPRODUCT(IF((NOT(ISERROR(MATCH(ROW(INDIRECT(DATE(YEAR(B1918),MONTH(B1918),1)&amp;":"&amp;DATE(YEAR(B1918),MONTH(B1918)+1,0))),Feriados[Data],0))))=FALSE,
IF(WEEKDAY(ROW(INDIRECT(DATE(YEAR(B1918),MONTH(B1918),1)&amp;":"&amp;DATE(YEAR(B1918),MONTH(B1918)+1,0))),2)&lt;=5,1,IF(WEEKDAY(ROW(INDIRECT(DATE(YEAR(B1918),MONTH(B1918),1)&amp;":"&amp;DATE(YEAR(B1918),MONTH(B1918)+1,0))),2)=6,0.5,0)),0))</f>
        <v>24</v>
      </c>
      <c r="K1918" s="22" cm="1">
        <f t="array" ref="K1918">_xlfn.XLOOKUP(1,((Metas_Diarias[[#This Row],[tipo_equipe_id]]=Metas[equipe])*(Metas_Diarias[[#This Row],[data]]&gt;Metas[data_inicio])*(Metas_Diarias[[#This Row],[data]]&lt;Metas[data_fim])),Metas[meta_mensal],0)</f>
        <v>68250</v>
      </c>
      <c r="L1918" s="24">
        <f ca="1">Metas_Diarias[[#This Row],[meta_mensal]]*IF(Metas_Diarias[[#This Row],[semana]]="domingo",0,Metas_Diarias[[#This Row],[semana]])*IF(Metas_Diarias[[#This Row],[feriado]]&lt;&gt;1,0,1)/Metas_Diarias[[#This Row],[dias_úteis_Mês]]</f>
        <v>1421.875</v>
      </c>
    </row>
    <row r="1919" spans="2:12" x14ac:dyDescent="0.3">
      <c r="B1919" s="34">
        <v>46110</v>
      </c>
      <c r="C1919" s="34" t="str">
        <f>TEXT(Metas_Diarias[[#This Row],[data]],"dddd")</f>
        <v>domingo</v>
      </c>
      <c r="D1919" s="33">
        <v>5</v>
      </c>
      <c r="E1919" s="33">
        <v>5</v>
      </c>
      <c r="F1919" s="18"/>
      <c r="G1919" s="35">
        <f>WEEKDAY(Metas_Diarias[[#This Row],[data]])</f>
        <v>1</v>
      </c>
      <c r="H1919" s="35" t="str">
        <f>IF(Metas_Diarias[[#This Row],[dias_da_demana]]=1,"domingo",IF(Metas_Diarias[[#This Row],[dias_da_demana]]=7,0.5,1))</f>
        <v>domingo</v>
      </c>
      <c r="I1919" s="35">
        <f>_xlfn.XLOOKUP(Metas_Diarias[[#This Row],[data]],Feriados[Data],Feriados[Feriado],1)</f>
        <v>1</v>
      </c>
      <c r="J1919" s="33" cm="1">
        <f t="array" aca="1" ref="J1919" ca="1">SUMPRODUCT(IF((NOT(ISERROR(MATCH(ROW(INDIRECT(DATE(YEAR(B1919),MONTH(B1919),1)&amp;":"&amp;DATE(YEAR(B1919),MONTH(B1919)+1,0))),Feriados[Data],0))))=FALSE,
IF(WEEKDAY(ROW(INDIRECT(DATE(YEAR(B1919),MONTH(B1919),1)&amp;":"&amp;DATE(YEAR(B1919),MONTH(B1919)+1,0))),2)&lt;=5,1,IF(WEEKDAY(ROW(INDIRECT(DATE(YEAR(B1919),MONTH(B1919),1)&amp;":"&amp;DATE(YEAR(B1919),MONTH(B1919)+1,0))),2)=6,0.5,0)),0))</f>
        <v>24</v>
      </c>
      <c r="K1919" s="22" cm="1">
        <f t="array" ref="K1919">_xlfn.XLOOKUP(1,((Metas_Diarias[[#This Row],[tipo_equipe_id]]=Metas[equipe])*(Metas_Diarias[[#This Row],[data]]&gt;Metas[data_inicio])*(Metas_Diarias[[#This Row],[data]]&lt;Metas[data_fim])),Metas[meta_mensal],0)</f>
        <v>68250</v>
      </c>
      <c r="L19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20" spans="2:12" x14ac:dyDescent="0.3">
      <c r="B1920" s="34">
        <v>46111</v>
      </c>
      <c r="C1920" s="34" t="str">
        <f>TEXT(Metas_Diarias[[#This Row],[data]],"dddd")</f>
        <v>segunda-feira</v>
      </c>
      <c r="D1920" s="33">
        <v>5</v>
      </c>
      <c r="E1920" s="33">
        <v>5</v>
      </c>
      <c r="F1920" s="18"/>
      <c r="G1920" s="35">
        <f>WEEKDAY(Metas_Diarias[[#This Row],[data]])</f>
        <v>2</v>
      </c>
      <c r="H1920" s="35">
        <f>IF(Metas_Diarias[[#This Row],[dias_da_demana]]=1,"domingo",IF(Metas_Diarias[[#This Row],[dias_da_demana]]=7,0.5,1))</f>
        <v>1</v>
      </c>
      <c r="I1920" s="35">
        <f>_xlfn.XLOOKUP(Metas_Diarias[[#This Row],[data]],Feriados[Data],Feriados[Feriado],1)</f>
        <v>1</v>
      </c>
      <c r="J1920" s="33" cm="1">
        <f t="array" aca="1" ref="J1920" ca="1">SUMPRODUCT(IF((NOT(ISERROR(MATCH(ROW(INDIRECT(DATE(YEAR(B1920),MONTH(B1920),1)&amp;":"&amp;DATE(YEAR(B1920),MONTH(B1920)+1,0))),Feriados[Data],0))))=FALSE,
IF(WEEKDAY(ROW(INDIRECT(DATE(YEAR(B1920),MONTH(B1920),1)&amp;":"&amp;DATE(YEAR(B1920),MONTH(B1920)+1,0))),2)&lt;=5,1,IF(WEEKDAY(ROW(INDIRECT(DATE(YEAR(B1920),MONTH(B1920),1)&amp;":"&amp;DATE(YEAR(B1920),MONTH(B1920)+1,0))),2)=6,0.5,0)),0))</f>
        <v>24</v>
      </c>
      <c r="K1920" s="22" cm="1">
        <f t="array" ref="K1920">_xlfn.XLOOKUP(1,((Metas_Diarias[[#This Row],[tipo_equipe_id]]=Metas[equipe])*(Metas_Diarias[[#This Row],[data]]&gt;Metas[data_inicio])*(Metas_Diarias[[#This Row],[data]]&lt;Metas[data_fim])),Metas[meta_mensal],0)</f>
        <v>68250</v>
      </c>
      <c r="L1920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21" spans="2:12" x14ac:dyDescent="0.3">
      <c r="B1921" s="34">
        <v>46112</v>
      </c>
      <c r="C1921" s="34" t="str">
        <f>TEXT(Metas_Diarias[[#This Row],[data]],"dddd")</f>
        <v>terça-feira</v>
      </c>
      <c r="D1921" s="33">
        <v>5</v>
      </c>
      <c r="E1921" s="33">
        <v>5</v>
      </c>
      <c r="F1921" s="18"/>
      <c r="G1921" s="35">
        <f>WEEKDAY(Metas_Diarias[[#This Row],[data]])</f>
        <v>3</v>
      </c>
      <c r="H1921" s="35">
        <f>IF(Metas_Diarias[[#This Row],[dias_da_demana]]=1,"domingo",IF(Metas_Diarias[[#This Row],[dias_da_demana]]=7,0.5,1))</f>
        <v>1</v>
      </c>
      <c r="I1921" s="35">
        <f>_xlfn.XLOOKUP(Metas_Diarias[[#This Row],[data]],Feriados[Data],Feriados[Feriado],1)</f>
        <v>1</v>
      </c>
      <c r="J1921" s="33" cm="1">
        <f t="array" aca="1" ref="J1921" ca="1">SUMPRODUCT(IF((NOT(ISERROR(MATCH(ROW(INDIRECT(DATE(YEAR(B1921),MONTH(B1921),1)&amp;":"&amp;DATE(YEAR(B1921),MONTH(B1921)+1,0))),Feriados[Data],0))))=FALSE,
IF(WEEKDAY(ROW(INDIRECT(DATE(YEAR(B1921),MONTH(B1921),1)&amp;":"&amp;DATE(YEAR(B1921),MONTH(B1921)+1,0))),2)&lt;=5,1,IF(WEEKDAY(ROW(INDIRECT(DATE(YEAR(B1921),MONTH(B1921),1)&amp;":"&amp;DATE(YEAR(B1921),MONTH(B1921)+1,0))),2)=6,0.5,0)),0))</f>
        <v>24</v>
      </c>
      <c r="K1921" s="22" cm="1">
        <f t="array" ref="K1921">_xlfn.XLOOKUP(1,((Metas_Diarias[[#This Row],[tipo_equipe_id]]=Metas[equipe])*(Metas_Diarias[[#This Row],[data]]&gt;Metas[data_inicio])*(Metas_Diarias[[#This Row],[data]]&lt;Metas[data_fim])),Metas[meta_mensal],0)</f>
        <v>68250</v>
      </c>
      <c r="L1921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1922" spans="2:12" x14ac:dyDescent="0.3">
      <c r="B1922" s="34">
        <v>46113</v>
      </c>
      <c r="C1922" s="34" t="str">
        <f>TEXT(Metas_Diarias[[#This Row],[data]],"dddd")</f>
        <v>quarta-feira</v>
      </c>
      <c r="D1922" s="33">
        <v>5</v>
      </c>
      <c r="E1922" s="33">
        <v>5</v>
      </c>
      <c r="F1922" s="18"/>
      <c r="G1922" s="35">
        <f>WEEKDAY(Metas_Diarias[[#This Row],[data]])</f>
        <v>4</v>
      </c>
      <c r="H1922" s="35">
        <f>IF(Metas_Diarias[[#This Row],[dias_da_demana]]=1,"domingo",IF(Metas_Diarias[[#This Row],[dias_da_demana]]=7,0.5,1))</f>
        <v>1</v>
      </c>
      <c r="I1922" s="35">
        <f>_xlfn.XLOOKUP(Metas_Diarias[[#This Row],[data]],Feriados[Data],Feriados[Feriado],1)</f>
        <v>1</v>
      </c>
      <c r="J1922" s="33" cm="1">
        <f t="array" aca="1" ref="J1922" ca="1">SUMPRODUCT(IF((NOT(ISERROR(MATCH(ROW(INDIRECT(DATE(YEAR(B1922),MONTH(B1922),1)&amp;":"&amp;DATE(YEAR(B1922),MONTH(B1922)+1,0))),Feriados[Data],0))))=FALSE,
IF(WEEKDAY(ROW(INDIRECT(DATE(YEAR(B1922),MONTH(B1922),1)&amp;":"&amp;DATE(YEAR(B1922),MONTH(B1922)+1,0))),2)&lt;=5,1,IF(WEEKDAY(ROW(INDIRECT(DATE(YEAR(B1922),MONTH(B1922),1)&amp;":"&amp;DATE(YEAR(B1922),MONTH(B1922)+1,0))),2)=6,0.5,0)),0))</f>
        <v>22</v>
      </c>
      <c r="K1922" s="22" cm="1">
        <f t="array" ref="K1922">_xlfn.XLOOKUP(1,((Metas_Diarias[[#This Row],[tipo_equipe_id]]=Metas[equipe])*(Metas_Diarias[[#This Row],[data]]&gt;Metas[data_inicio])*(Metas_Diarias[[#This Row],[data]]&lt;Metas[data_fim])),Metas[meta_mensal],0)</f>
        <v>68250</v>
      </c>
      <c r="L1922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23" spans="2:12" x14ac:dyDescent="0.3">
      <c r="B1923" s="34">
        <v>46114</v>
      </c>
      <c r="C1923" s="34" t="str">
        <f>TEXT(Metas_Diarias[[#This Row],[data]],"dddd")</f>
        <v>quinta-feira</v>
      </c>
      <c r="D1923" s="33">
        <v>5</v>
      </c>
      <c r="E1923" s="33">
        <v>5</v>
      </c>
      <c r="F1923" s="18"/>
      <c r="G1923" s="35">
        <f>WEEKDAY(Metas_Diarias[[#This Row],[data]])</f>
        <v>5</v>
      </c>
      <c r="H1923" s="35">
        <f>IF(Metas_Diarias[[#This Row],[dias_da_demana]]=1,"domingo",IF(Metas_Diarias[[#This Row],[dias_da_demana]]=7,0.5,1))</f>
        <v>1</v>
      </c>
      <c r="I1923" s="35">
        <f>_xlfn.XLOOKUP(Metas_Diarias[[#This Row],[data]],Feriados[Data],Feriados[Feriado],1)</f>
        <v>1</v>
      </c>
      <c r="J1923" s="33" cm="1">
        <f t="array" aca="1" ref="J1923" ca="1">SUMPRODUCT(IF((NOT(ISERROR(MATCH(ROW(INDIRECT(DATE(YEAR(B1923),MONTH(B1923),1)&amp;":"&amp;DATE(YEAR(B1923),MONTH(B1923)+1,0))),Feriados[Data],0))))=FALSE,
IF(WEEKDAY(ROW(INDIRECT(DATE(YEAR(B1923),MONTH(B1923),1)&amp;":"&amp;DATE(YEAR(B1923),MONTH(B1923)+1,0))),2)&lt;=5,1,IF(WEEKDAY(ROW(INDIRECT(DATE(YEAR(B1923),MONTH(B1923),1)&amp;":"&amp;DATE(YEAR(B1923),MONTH(B1923)+1,0))),2)=6,0.5,0)),0))</f>
        <v>22</v>
      </c>
      <c r="K1923" s="22" cm="1">
        <f t="array" ref="K1923">_xlfn.XLOOKUP(1,((Metas_Diarias[[#This Row],[tipo_equipe_id]]=Metas[equipe])*(Metas_Diarias[[#This Row],[data]]&gt;Metas[data_inicio])*(Metas_Diarias[[#This Row],[data]]&lt;Metas[data_fim])),Metas[meta_mensal],0)</f>
        <v>68250</v>
      </c>
      <c r="L1923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24" spans="2:12" x14ac:dyDescent="0.3">
      <c r="B1924" s="34">
        <v>46115</v>
      </c>
      <c r="C1924" s="34" t="str">
        <f>TEXT(Metas_Diarias[[#This Row],[data]],"dddd")</f>
        <v>sexta-feira</v>
      </c>
      <c r="D1924" s="33">
        <v>5</v>
      </c>
      <c r="E1924" s="33">
        <v>5</v>
      </c>
      <c r="F1924" s="18"/>
      <c r="G1924" s="35">
        <f>WEEKDAY(Metas_Diarias[[#This Row],[data]])</f>
        <v>6</v>
      </c>
      <c r="H1924" s="35">
        <f>IF(Metas_Diarias[[#This Row],[dias_da_demana]]=1,"domingo",IF(Metas_Diarias[[#This Row],[dias_da_demana]]=7,0.5,1))</f>
        <v>1</v>
      </c>
      <c r="I1924" s="35" t="str">
        <f>_xlfn.XLOOKUP(Metas_Diarias[[#This Row],[data]],Feriados[Data],Feriados[Feriado],1)</f>
        <v>Paixão de Cristo</v>
      </c>
      <c r="J1924" s="33" cm="1">
        <f t="array" aca="1" ref="J1924" ca="1">SUMPRODUCT(IF((NOT(ISERROR(MATCH(ROW(INDIRECT(DATE(YEAR(B1924),MONTH(B1924),1)&amp;":"&amp;DATE(YEAR(B1924),MONTH(B1924)+1,0))),Feriados[Data],0))))=FALSE,
IF(WEEKDAY(ROW(INDIRECT(DATE(YEAR(B1924),MONTH(B1924),1)&amp;":"&amp;DATE(YEAR(B1924),MONTH(B1924)+1,0))),2)&lt;=5,1,IF(WEEKDAY(ROW(INDIRECT(DATE(YEAR(B1924),MONTH(B1924),1)&amp;":"&amp;DATE(YEAR(B1924),MONTH(B1924)+1,0))),2)=6,0.5,0)),0))</f>
        <v>22</v>
      </c>
      <c r="K1924" s="22" cm="1">
        <f t="array" ref="K1924">_xlfn.XLOOKUP(1,((Metas_Diarias[[#This Row],[tipo_equipe_id]]=Metas[equipe])*(Metas_Diarias[[#This Row],[data]]&gt;Metas[data_inicio])*(Metas_Diarias[[#This Row],[data]]&lt;Metas[data_fim])),Metas[meta_mensal],0)</f>
        <v>68250</v>
      </c>
      <c r="L19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25" spans="2:12" x14ac:dyDescent="0.3">
      <c r="B1925" s="34">
        <v>46116</v>
      </c>
      <c r="C1925" s="34" t="str">
        <f>TEXT(Metas_Diarias[[#This Row],[data]],"dddd")</f>
        <v>sábado</v>
      </c>
      <c r="D1925" s="33">
        <v>5</v>
      </c>
      <c r="E1925" s="33">
        <v>5</v>
      </c>
      <c r="F1925" s="18"/>
      <c r="G1925" s="35">
        <f>WEEKDAY(Metas_Diarias[[#This Row],[data]])</f>
        <v>7</v>
      </c>
      <c r="H1925" s="35">
        <f>IF(Metas_Diarias[[#This Row],[dias_da_demana]]=1,"domingo",IF(Metas_Diarias[[#This Row],[dias_da_demana]]=7,0.5,1))</f>
        <v>0.5</v>
      </c>
      <c r="I1925" s="35">
        <f>_xlfn.XLOOKUP(Metas_Diarias[[#This Row],[data]],Feriados[Data],Feriados[Feriado],1)</f>
        <v>1</v>
      </c>
      <c r="J1925" s="33" cm="1">
        <f t="array" aca="1" ref="J1925" ca="1">SUMPRODUCT(IF((NOT(ISERROR(MATCH(ROW(INDIRECT(DATE(YEAR(B1925),MONTH(B1925),1)&amp;":"&amp;DATE(YEAR(B1925),MONTH(B1925)+1,0))),Feriados[Data],0))))=FALSE,
IF(WEEKDAY(ROW(INDIRECT(DATE(YEAR(B1925),MONTH(B1925),1)&amp;":"&amp;DATE(YEAR(B1925),MONTH(B1925)+1,0))),2)&lt;=5,1,IF(WEEKDAY(ROW(INDIRECT(DATE(YEAR(B1925),MONTH(B1925),1)&amp;":"&amp;DATE(YEAR(B1925),MONTH(B1925)+1,0))),2)=6,0.5,0)),0))</f>
        <v>22</v>
      </c>
      <c r="K1925" s="22" cm="1">
        <f t="array" ref="K1925">_xlfn.XLOOKUP(1,((Metas_Diarias[[#This Row],[tipo_equipe_id]]=Metas[equipe])*(Metas_Diarias[[#This Row],[data]]&gt;Metas[data_inicio])*(Metas_Diarias[[#This Row],[data]]&lt;Metas[data_fim])),Metas[meta_mensal],0)</f>
        <v>68250</v>
      </c>
      <c r="L1925" s="24">
        <f ca="1">Metas_Diarias[[#This Row],[meta_mensal]]*IF(Metas_Diarias[[#This Row],[semana]]="domingo",0,Metas_Diarias[[#This Row],[semana]])*IF(Metas_Diarias[[#This Row],[feriado]]&lt;&gt;1,0,1)/Metas_Diarias[[#This Row],[dias_úteis_Mês]]</f>
        <v>1551.1363636363637</v>
      </c>
    </row>
    <row r="1926" spans="2:12" x14ac:dyDescent="0.3">
      <c r="B1926" s="34">
        <v>46117</v>
      </c>
      <c r="C1926" s="34" t="str">
        <f>TEXT(Metas_Diarias[[#This Row],[data]],"dddd")</f>
        <v>domingo</v>
      </c>
      <c r="D1926" s="33">
        <v>5</v>
      </c>
      <c r="E1926" s="33">
        <v>5</v>
      </c>
      <c r="F1926" s="18"/>
      <c r="G1926" s="35">
        <f>WEEKDAY(Metas_Diarias[[#This Row],[data]])</f>
        <v>1</v>
      </c>
      <c r="H1926" s="35" t="str">
        <f>IF(Metas_Diarias[[#This Row],[dias_da_demana]]=1,"domingo",IF(Metas_Diarias[[#This Row],[dias_da_demana]]=7,0.5,1))</f>
        <v>domingo</v>
      </c>
      <c r="I1926" s="35">
        <f>_xlfn.XLOOKUP(Metas_Diarias[[#This Row],[data]],Feriados[Data],Feriados[Feriado],1)</f>
        <v>1</v>
      </c>
      <c r="J1926" s="33" cm="1">
        <f t="array" aca="1" ref="J1926" ca="1">SUMPRODUCT(IF((NOT(ISERROR(MATCH(ROW(INDIRECT(DATE(YEAR(B1926),MONTH(B1926),1)&amp;":"&amp;DATE(YEAR(B1926),MONTH(B1926)+1,0))),Feriados[Data],0))))=FALSE,
IF(WEEKDAY(ROW(INDIRECT(DATE(YEAR(B1926),MONTH(B1926),1)&amp;":"&amp;DATE(YEAR(B1926),MONTH(B1926)+1,0))),2)&lt;=5,1,IF(WEEKDAY(ROW(INDIRECT(DATE(YEAR(B1926),MONTH(B1926),1)&amp;":"&amp;DATE(YEAR(B1926),MONTH(B1926)+1,0))),2)=6,0.5,0)),0))</f>
        <v>22</v>
      </c>
      <c r="K1926" s="22" cm="1">
        <f t="array" ref="K1926">_xlfn.XLOOKUP(1,((Metas_Diarias[[#This Row],[tipo_equipe_id]]=Metas[equipe])*(Metas_Diarias[[#This Row],[data]]&gt;Metas[data_inicio])*(Metas_Diarias[[#This Row],[data]]&lt;Metas[data_fim])),Metas[meta_mensal],0)</f>
        <v>68250</v>
      </c>
      <c r="L19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27" spans="2:12" x14ac:dyDescent="0.3">
      <c r="B1927" s="34">
        <v>46118</v>
      </c>
      <c r="C1927" s="34" t="str">
        <f>TEXT(Metas_Diarias[[#This Row],[data]],"dddd")</f>
        <v>segunda-feira</v>
      </c>
      <c r="D1927" s="33">
        <v>5</v>
      </c>
      <c r="E1927" s="33">
        <v>5</v>
      </c>
      <c r="F1927" s="18"/>
      <c r="G1927" s="35">
        <f>WEEKDAY(Metas_Diarias[[#This Row],[data]])</f>
        <v>2</v>
      </c>
      <c r="H1927" s="35">
        <f>IF(Metas_Diarias[[#This Row],[dias_da_demana]]=1,"domingo",IF(Metas_Diarias[[#This Row],[dias_da_demana]]=7,0.5,1))</f>
        <v>1</v>
      </c>
      <c r="I1927" s="35">
        <f>_xlfn.XLOOKUP(Metas_Diarias[[#This Row],[data]],Feriados[Data],Feriados[Feriado],1)</f>
        <v>1</v>
      </c>
      <c r="J1927" s="33" cm="1">
        <f t="array" aca="1" ref="J1927" ca="1">SUMPRODUCT(IF((NOT(ISERROR(MATCH(ROW(INDIRECT(DATE(YEAR(B1927),MONTH(B1927),1)&amp;":"&amp;DATE(YEAR(B1927),MONTH(B1927)+1,0))),Feriados[Data],0))))=FALSE,
IF(WEEKDAY(ROW(INDIRECT(DATE(YEAR(B1927),MONTH(B1927),1)&amp;":"&amp;DATE(YEAR(B1927),MONTH(B1927)+1,0))),2)&lt;=5,1,IF(WEEKDAY(ROW(INDIRECT(DATE(YEAR(B1927),MONTH(B1927),1)&amp;":"&amp;DATE(YEAR(B1927),MONTH(B1927)+1,0))),2)=6,0.5,0)),0))</f>
        <v>22</v>
      </c>
      <c r="K1927" s="22" cm="1">
        <f t="array" ref="K1927">_xlfn.XLOOKUP(1,((Metas_Diarias[[#This Row],[tipo_equipe_id]]=Metas[equipe])*(Metas_Diarias[[#This Row],[data]]&gt;Metas[data_inicio])*(Metas_Diarias[[#This Row],[data]]&lt;Metas[data_fim])),Metas[meta_mensal],0)</f>
        <v>68250</v>
      </c>
      <c r="L1927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28" spans="2:12" x14ac:dyDescent="0.3">
      <c r="B1928" s="34">
        <v>46119</v>
      </c>
      <c r="C1928" s="34" t="str">
        <f>TEXT(Metas_Diarias[[#This Row],[data]],"dddd")</f>
        <v>terça-feira</v>
      </c>
      <c r="D1928" s="33">
        <v>5</v>
      </c>
      <c r="E1928" s="33">
        <v>5</v>
      </c>
      <c r="F1928" s="18"/>
      <c r="G1928" s="35">
        <f>WEEKDAY(Metas_Diarias[[#This Row],[data]])</f>
        <v>3</v>
      </c>
      <c r="H1928" s="35">
        <f>IF(Metas_Diarias[[#This Row],[dias_da_demana]]=1,"domingo",IF(Metas_Diarias[[#This Row],[dias_da_demana]]=7,0.5,1))</f>
        <v>1</v>
      </c>
      <c r="I1928" s="35">
        <f>_xlfn.XLOOKUP(Metas_Diarias[[#This Row],[data]],Feriados[Data],Feriados[Feriado],1)</f>
        <v>1</v>
      </c>
      <c r="J1928" s="33" cm="1">
        <f t="array" aca="1" ref="J1928" ca="1">SUMPRODUCT(IF((NOT(ISERROR(MATCH(ROW(INDIRECT(DATE(YEAR(B1928),MONTH(B1928),1)&amp;":"&amp;DATE(YEAR(B1928),MONTH(B1928)+1,0))),Feriados[Data],0))))=FALSE,
IF(WEEKDAY(ROW(INDIRECT(DATE(YEAR(B1928),MONTH(B1928),1)&amp;":"&amp;DATE(YEAR(B1928),MONTH(B1928)+1,0))),2)&lt;=5,1,IF(WEEKDAY(ROW(INDIRECT(DATE(YEAR(B1928),MONTH(B1928),1)&amp;":"&amp;DATE(YEAR(B1928),MONTH(B1928)+1,0))),2)=6,0.5,0)),0))</f>
        <v>22</v>
      </c>
      <c r="K1928" s="22" cm="1">
        <f t="array" ref="K1928">_xlfn.XLOOKUP(1,((Metas_Diarias[[#This Row],[tipo_equipe_id]]=Metas[equipe])*(Metas_Diarias[[#This Row],[data]]&gt;Metas[data_inicio])*(Metas_Diarias[[#This Row],[data]]&lt;Metas[data_fim])),Metas[meta_mensal],0)</f>
        <v>68250</v>
      </c>
      <c r="L1928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29" spans="2:12" x14ac:dyDescent="0.3">
      <c r="B1929" s="34">
        <v>46120</v>
      </c>
      <c r="C1929" s="34" t="str">
        <f>TEXT(Metas_Diarias[[#This Row],[data]],"dddd")</f>
        <v>quarta-feira</v>
      </c>
      <c r="D1929" s="33">
        <v>5</v>
      </c>
      <c r="E1929" s="33">
        <v>5</v>
      </c>
      <c r="F1929" s="18"/>
      <c r="G1929" s="35">
        <f>WEEKDAY(Metas_Diarias[[#This Row],[data]])</f>
        <v>4</v>
      </c>
      <c r="H1929" s="35">
        <f>IF(Metas_Diarias[[#This Row],[dias_da_demana]]=1,"domingo",IF(Metas_Diarias[[#This Row],[dias_da_demana]]=7,0.5,1))</f>
        <v>1</v>
      </c>
      <c r="I1929" s="35">
        <f>_xlfn.XLOOKUP(Metas_Diarias[[#This Row],[data]],Feriados[Data],Feriados[Feriado],1)</f>
        <v>1</v>
      </c>
      <c r="J1929" s="33" cm="1">
        <f t="array" aca="1" ref="J1929" ca="1">SUMPRODUCT(IF((NOT(ISERROR(MATCH(ROW(INDIRECT(DATE(YEAR(B1929),MONTH(B1929),1)&amp;":"&amp;DATE(YEAR(B1929),MONTH(B1929)+1,0))),Feriados[Data],0))))=FALSE,
IF(WEEKDAY(ROW(INDIRECT(DATE(YEAR(B1929),MONTH(B1929),1)&amp;":"&amp;DATE(YEAR(B1929),MONTH(B1929)+1,0))),2)&lt;=5,1,IF(WEEKDAY(ROW(INDIRECT(DATE(YEAR(B1929),MONTH(B1929),1)&amp;":"&amp;DATE(YEAR(B1929),MONTH(B1929)+1,0))),2)=6,0.5,0)),0))</f>
        <v>22</v>
      </c>
      <c r="K1929" s="22" cm="1">
        <f t="array" ref="K1929">_xlfn.XLOOKUP(1,((Metas_Diarias[[#This Row],[tipo_equipe_id]]=Metas[equipe])*(Metas_Diarias[[#This Row],[data]]&gt;Metas[data_inicio])*(Metas_Diarias[[#This Row],[data]]&lt;Metas[data_fim])),Metas[meta_mensal],0)</f>
        <v>68250</v>
      </c>
      <c r="L1929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30" spans="2:12" x14ac:dyDescent="0.3">
      <c r="B1930" s="34">
        <v>46121</v>
      </c>
      <c r="C1930" s="34" t="str">
        <f>TEXT(Metas_Diarias[[#This Row],[data]],"dddd")</f>
        <v>quinta-feira</v>
      </c>
      <c r="D1930" s="33">
        <v>5</v>
      </c>
      <c r="E1930" s="33">
        <v>5</v>
      </c>
      <c r="F1930" s="18"/>
      <c r="G1930" s="35">
        <f>WEEKDAY(Metas_Diarias[[#This Row],[data]])</f>
        <v>5</v>
      </c>
      <c r="H1930" s="35">
        <f>IF(Metas_Diarias[[#This Row],[dias_da_demana]]=1,"domingo",IF(Metas_Diarias[[#This Row],[dias_da_demana]]=7,0.5,1))</f>
        <v>1</v>
      </c>
      <c r="I1930" s="35">
        <f>_xlfn.XLOOKUP(Metas_Diarias[[#This Row],[data]],Feriados[Data],Feriados[Feriado],1)</f>
        <v>1</v>
      </c>
      <c r="J1930" s="33" cm="1">
        <f t="array" aca="1" ref="J1930" ca="1">SUMPRODUCT(IF((NOT(ISERROR(MATCH(ROW(INDIRECT(DATE(YEAR(B1930),MONTH(B1930),1)&amp;":"&amp;DATE(YEAR(B1930),MONTH(B1930)+1,0))),Feriados[Data],0))))=FALSE,
IF(WEEKDAY(ROW(INDIRECT(DATE(YEAR(B1930),MONTH(B1930),1)&amp;":"&amp;DATE(YEAR(B1930),MONTH(B1930)+1,0))),2)&lt;=5,1,IF(WEEKDAY(ROW(INDIRECT(DATE(YEAR(B1930),MONTH(B1930),1)&amp;":"&amp;DATE(YEAR(B1930),MONTH(B1930)+1,0))),2)=6,0.5,0)),0))</f>
        <v>22</v>
      </c>
      <c r="K1930" s="22" cm="1">
        <f t="array" ref="K1930">_xlfn.XLOOKUP(1,((Metas_Diarias[[#This Row],[tipo_equipe_id]]=Metas[equipe])*(Metas_Diarias[[#This Row],[data]]&gt;Metas[data_inicio])*(Metas_Diarias[[#This Row],[data]]&lt;Metas[data_fim])),Metas[meta_mensal],0)</f>
        <v>68250</v>
      </c>
      <c r="L1930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31" spans="2:12" x14ac:dyDescent="0.3">
      <c r="B1931" s="34">
        <v>46122</v>
      </c>
      <c r="C1931" s="34" t="str">
        <f>TEXT(Metas_Diarias[[#This Row],[data]],"dddd")</f>
        <v>sexta-feira</v>
      </c>
      <c r="D1931" s="33">
        <v>5</v>
      </c>
      <c r="E1931" s="33">
        <v>5</v>
      </c>
      <c r="F1931" s="18"/>
      <c r="G1931" s="35">
        <f>WEEKDAY(Metas_Diarias[[#This Row],[data]])</f>
        <v>6</v>
      </c>
      <c r="H1931" s="35">
        <f>IF(Metas_Diarias[[#This Row],[dias_da_demana]]=1,"domingo",IF(Metas_Diarias[[#This Row],[dias_da_demana]]=7,0.5,1))</f>
        <v>1</v>
      </c>
      <c r="I1931" s="35">
        <f>_xlfn.XLOOKUP(Metas_Diarias[[#This Row],[data]],Feriados[Data],Feriados[Feriado],1)</f>
        <v>1</v>
      </c>
      <c r="J1931" s="33" cm="1">
        <f t="array" aca="1" ref="J1931" ca="1">SUMPRODUCT(IF((NOT(ISERROR(MATCH(ROW(INDIRECT(DATE(YEAR(B1931),MONTH(B1931),1)&amp;":"&amp;DATE(YEAR(B1931),MONTH(B1931)+1,0))),Feriados[Data],0))))=FALSE,
IF(WEEKDAY(ROW(INDIRECT(DATE(YEAR(B1931),MONTH(B1931),1)&amp;":"&amp;DATE(YEAR(B1931),MONTH(B1931)+1,0))),2)&lt;=5,1,IF(WEEKDAY(ROW(INDIRECT(DATE(YEAR(B1931),MONTH(B1931),1)&amp;":"&amp;DATE(YEAR(B1931),MONTH(B1931)+1,0))),2)=6,0.5,0)),0))</f>
        <v>22</v>
      </c>
      <c r="K1931" s="22" cm="1">
        <f t="array" ref="K1931">_xlfn.XLOOKUP(1,((Metas_Diarias[[#This Row],[tipo_equipe_id]]=Metas[equipe])*(Metas_Diarias[[#This Row],[data]]&gt;Metas[data_inicio])*(Metas_Diarias[[#This Row],[data]]&lt;Metas[data_fim])),Metas[meta_mensal],0)</f>
        <v>68250</v>
      </c>
      <c r="L1931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32" spans="2:12" x14ac:dyDescent="0.3">
      <c r="B1932" s="34">
        <v>46123</v>
      </c>
      <c r="C1932" s="34" t="str">
        <f>TEXT(Metas_Diarias[[#This Row],[data]],"dddd")</f>
        <v>sábado</v>
      </c>
      <c r="D1932" s="33">
        <v>5</v>
      </c>
      <c r="E1932" s="33">
        <v>5</v>
      </c>
      <c r="F1932" s="18"/>
      <c r="G1932" s="35">
        <f>WEEKDAY(Metas_Diarias[[#This Row],[data]])</f>
        <v>7</v>
      </c>
      <c r="H1932" s="35">
        <f>IF(Metas_Diarias[[#This Row],[dias_da_demana]]=1,"domingo",IF(Metas_Diarias[[#This Row],[dias_da_demana]]=7,0.5,1))</f>
        <v>0.5</v>
      </c>
      <c r="I1932" s="35">
        <f>_xlfn.XLOOKUP(Metas_Diarias[[#This Row],[data]],Feriados[Data],Feriados[Feriado],1)</f>
        <v>1</v>
      </c>
      <c r="J1932" s="33" cm="1">
        <f t="array" aca="1" ref="J1932" ca="1">SUMPRODUCT(IF((NOT(ISERROR(MATCH(ROW(INDIRECT(DATE(YEAR(B1932),MONTH(B1932),1)&amp;":"&amp;DATE(YEAR(B1932),MONTH(B1932)+1,0))),Feriados[Data],0))))=FALSE,
IF(WEEKDAY(ROW(INDIRECT(DATE(YEAR(B1932),MONTH(B1932),1)&amp;":"&amp;DATE(YEAR(B1932),MONTH(B1932)+1,0))),2)&lt;=5,1,IF(WEEKDAY(ROW(INDIRECT(DATE(YEAR(B1932),MONTH(B1932),1)&amp;":"&amp;DATE(YEAR(B1932),MONTH(B1932)+1,0))),2)=6,0.5,0)),0))</f>
        <v>22</v>
      </c>
      <c r="K1932" s="22" cm="1">
        <f t="array" ref="K1932">_xlfn.XLOOKUP(1,((Metas_Diarias[[#This Row],[tipo_equipe_id]]=Metas[equipe])*(Metas_Diarias[[#This Row],[data]]&gt;Metas[data_inicio])*(Metas_Diarias[[#This Row],[data]]&lt;Metas[data_fim])),Metas[meta_mensal],0)</f>
        <v>68250</v>
      </c>
      <c r="L1932" s="24">
        <f ca="1">Metas_Diarias[[#This Row],[meta_mensal]]*IF(Metas_Diarias[[#This Row],[semana]]="domingo",0,Metas_Diarias[[#This Row],[semana]])*IF(Metas_Diarias[[#This Row],[feriado]]&lt;&gt;1,0,1)/Metas_Diarias[[#This Row],[dias_úteis_Mês]]</f>
        <v>1551.1363636363637</v>
      </c>
    </row>
    <row r="1933" spans="2:12" x14ac:dyDescent="0.3">
      <c r="B1933" s="34">
        <v>46124</v>
      </c>
      <c r="C1933" s="34" t="str">
        <f>TEXT(Metas_Diarias[[#This Row],[data]],"dddd")</f>
        <v>domingo</v>
      </c>
      <c r="D1933" s="33">
        <v>5</v>
      </c>
      <c r="E1933" s="33">
        <v>5</v>
      </c>
      <c r="F1933" s="18"/>
      <c r="G1933" s="35">
        <f>WEEKDAY(Metas_Diarias[[#This Row],[data]])</f>
        <v>1</v>
      </c>
      <c r="H1933" s="35" t="str">
        <f>IF(Metas_Diarias[[#This Row],[dias_da_demana]]=1,"domingo",IF(Metas_Diarias[[#This Row],[dias_da_demana]]=7,0.5,1))</f>
        <v>domingo</v>
      </c>
      <c r="I1933" s="35">
        <f>_xlfn.XLOOKUP(Metas_Diarias[[#This Row],[data]],Feriados[Data],Feriados[Feriado],1)</f>
        <v>1</v>
      </c>
      <c r="J1933" s="33" cm="1">
        <f t="array" aca="1" ref="J1933" ca="1">SUMPRODUCT(IF((NOT(ISERROR(MATCH(ROW(INDIRECT(DATE(YEAR(B1933),MONTH(B1933),1)&amp;":"&amp;DATE(YEAR(B1933),MONTH(B1933)+1,0))),Feriados[Data],0))))=FALSE,
IF(WEEKDAY(ROW(INDIRECT(DATE(YEAR(B1933),MONTH(B1933),1)&amp;":"&amp;DATE(YEAR(B1933),MONTH(B1933)+1,0))),2)&lt;=5,1,IF(WEEKDAY(ROW(INDIRECT(DATE(YEAR(B1933),MONTH(B1933),1)&amp;":"&amp;DATE(YEAR(B1933),MONTH(B1933)+1,0))),2)=6,0.5,0)),0))</f>
        <v>22</v>
      </c>
      <c r="K1933" s="22" cm="1">
        <f t="array" ref="K1933">_xlfn.XLOOKUP(1,((Metas_Diarias[[#This Row],[tipo_equipe_id]]=Metas[equipe])*(Metas_Diarias[[#This Row],[data]]&gt;Metas[data_inicio])*(Metas_Diarias[[#This Row],[data]]&lt;Metas[data_fim])),Metas[meta_mensal],0)</f>
        <v>68250</v>
      </c>
      <c r="L19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34" spans="2:12" x14ac:dyDescent="0.3">
      <c r="B1934" s="34">
        <v>46125</v>
      </c>
      <c r="C1934" s="34" t="str">
        <f>TEXT(Metas_Diarias[[#This Row],[data]],"dddd")</f>
        <v>segunda-feira</v>
      </c>
      <c r="D1934" s="33">
        <v>5</v>
      </c>
      <c r="E1934" s="33">
        <v>5</v>
      </c>
      <c r="F1934" s="18"/>
      <c r="G1934" s="35">
        <f>WEEKDAY(Metas_Diarias[[#This Row],[data]])</f>
        <v>2</v>
      </c>
      <c r="H1934" s="35">
        <f>IF(Metas_Diarias[[#This Row],[dias_da_demana]]=1,"domingo",IF(Metas_Diarias[[#This Row],[dias_da_demana]]=7,0.5,1))</f>
        <v>1</v>
      </c>
      <c r="I1934" s="35">
        <f>_xlfn.XLOOKUP(Metas_Diarias[[#This Row],[data]],Feriados[Data],Feriados[Feriado],1)</f>
        <v>1</v>
      </c>
      <c r="J1934" s="33" cm="1">
        <f t="array" aca="1" ref="J1934" ca="1">SUMPRODUCT(IF((NOT(ISERROR(MATCH(ROW(INDIRECT(DATE(YEAR(B1934),MONTH(B1934),1)&amp;":"&amp;DATE(YEAR(B1934),MONTH(B1934)+1,0))),Feriados[Data],0))))=FALSE,
IF(WEEKDAY(ROW(INDIRECT(DATE(YEAR(B1934),MONTH(B1934),1)&amp;":"&amp;DATE(YEAR(B1934),MONTH(B1934)+1,0))),2)&lt;=5,1,IF(WEEKDAY(ROW(INDIRECT(DATE(YEAR(B1934),MONTH(B1934),1)&amp;":"&amp;DATE(YEAR(B1934),MONTH(B1934)+1,0))),2)=6,0.5,0)),0))</f>
        <v>22</v>
      </c>
      <c r="K1934" s="22" cm="1">
        <f t="array" ref="K1934">_xlfn.XLOOKUP(1,((Metas_Diarias[[#This Row],[tipo_equipe_id]]=Metas[equipe])*(Metas_Diarias[[#This Row],[data]]&gt;Metas[data_inicio])*(Metas_Diarias[[#This Row],[data]]&lt;Metas[data_fim])),Metas[meta_mensal],0)</f>
        <v>68250</v>
      </c>
      <c r="L1934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35" spans="2:12" x14ac:dyDescent="0.3">
      <c r="B1935" s="34">
        <v>46126</v>
      </c>
      <c r="C1935" s="34" t="str">
        <f>TEXT(Metas_Diarias[[#This Row],[data]],"dddd")</f>
        <v>terça-feira</v>
      </c>
      <c r="D1935" s="33">
        <v>5</v>
      </c>
      <c r="E1935" s="33">
        <v>5</v>
      </c>
      <c r="F1935" s="18"/>
      <c r="G1935" s="35">
        <f>WEEKDAY(Metas_Diarias[[#This Row],[data]])</f>
        <v>3</v>
      </c>
      <c r="H1935" s="35">
        <f>IF(Metas_Diarias[[#This Row],[dias_da_demana]]=1,"domingo",IF(Metas_Diarias[[#This Row],[dias_da_demana]]=7,0.5,1))</f>
        <v>1</v>
      </c>
      <c r="I1935" s="35">
        <f>_xlfn.XLOOKUP(Metas_Diarias[[#This Row],[data]],Feriados[Data],Feriados[Feriado],1)</f>
        <v>1</v>
      </c>
      <c r="J1935" s="33" cm="1">
        <f t="array" aca="1" ref="J1935" ca="1">SUMPRODUCT(IF((NOT(ISERROR(MATCH(ROW(INDIRECT(DATE(YEAR(B1935),MONTH(B1935),1)&amp;":"&amp;DATE(YEAR(B1935),MONTH(B1935)+1,0))),Feriados[Data],0))))=FALSE,
IF(WEEKDAY(ROW(INDIRECT(DATE(YEAR(B1935),MONTH(B1935),1)&amp;":"&amp;DATE(YEAR(B1935),MONTH(B1935)+1,0))),2)&lt;=5,1,IF(WEEKDAY(ROW(INDIRECT(DATE(YEAR(B1935),MONTH(B1935),1)&amp;":"&amp;DATE(YEAR(B1935),MONTH(B1935)+1,0))),2)=6,0.5,0)),0))</f>
        <v>22</v>
      </c>
      <c r="K1935" s="22" cm="1">
        <f t="array" ref="K1935">_xlfn.XLOOKUP(1,((Metas_Diarias[[#This Row],[tipo_equipe_id]]=Metas[equipe])*(Metas_Diarias[[#This Row],[data]]&gt;Metas[data_inicio])*(Metas_Diarias[[#This Row],[data]]&lt;Metas[data_fim])),Metas[meta_mensal],0)</f>
        <v>68250</v>
      </c>
      <c r="L1935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36" spans="2:12" x14ac:dyDescent="0.3">
      <c r="B1936" s="34">
        <v>46127</v>
      </c>
      <c r="C1936" s="34" t="str">
        <f>TEXT(Metas_Diarias[[#This Row],[data]],"dddd")</f>
        <v>quarta-feira</v>
      </c>
      <c r="D1936" s="33">
        <v>5</v>
      </c>
      <c r="E1936" s="33">
        <v>5</v>
      </c>
      <c r="F1936" s="18"/>
      <c r="G1936" s="35">
        <f>WEEKDAY(Metas_Diarias[[#This Row],[data]])</f>
        <v>4</v>
      </c>
      <c r="H1936" s="35">
        <f>IF(Metas_Diarias[[#This Row],[dias_da_demana]]=1,"domingo",IF(Metas_Diarias[[#This Row],[dias_da_demana]]=7,0.5,1))</f>
        <v>1</v>
      </c>
      <c r="I1936" s="35">
        <f>_xlfn.XLOOKUP(Metas_Diarias[[#This Row],[data]],Feriados[Data],Feriados[Feriado],1)</f>
        <v>1</v>
      </c>
      <c r="J1936" s="33" cm="1">
        <f t="array" aca="1" ref="J1936" ca="1">SUMPRODUCT(IF((NOT(ISERROR(MATCH(ROW(INDIRECT(DATE(YEAR(B1936),MONTH(B1936),1)&amp;":"&amp;DATE(YEAR(B1936),MONTH(B1936)+1,0))),Feriados[Data],0))))=FALSE,
IF(WEEKDAY(ROW(INDIRECT(DATE(YEAR(B1936),MONTH(B1936),1)&amp;":"&amp;DATE(YEAR(B1936),MONTH(B1936)+1,0))),2)&lt;=5,1,IF(WEEKDAY(ROW(INDIRECT(DATE(YEAR(B1936),MONTH(B1936),1)&amp;":"&amp;DATE(YEAR(B1936),MONTH(B1936)+1,0))),2)=6,0.5,0)),0))</f>
        <v>22</v>
      </c>
      <c r="K1936" s="22" cm="1">
        <f t="array" ref="K1936">_xlfn.XLOOKUP(1,((Metas_Diarias[[#This Row],[tipo_equipe_id]]=Metas[equipe])*(Metas_Diarias[[#This Row],[data]]&gt;Metas[data_inicio])*(Metas_Diarias[[#This Row],[data]]&lt;Metas[data_fim])),Metas[meta_mensal],0)</f>
        <v>68250</v>
      </c>
      <c r="L1936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37" spans="2:12" x14ac:dyDescent="0.3">
      <c r="B1937" s="34">
        <v>46128</v>
      </c>
      <c r="C1937" s="34" t="str">
        <f>TEXT(Metas_Diarias[[#This Row],[data]],"dddd")</f>
        <v>quinta-feira</v>
      </c>
      <c r="D1937" s="33">
        <v>5</v>
      </c>
      <c r="E1937" s="33">
        <v>5</v>
      </c>
      <c r="F1937" s="18"/>
      <c r="G1937" s="35">
        <f>WEEKDAY(Metas_Diarias[[#This Row],[data]])</f>
        <v>5</v>
      </c>
      <c r="H1937" s="35">
        <f>IF(Metas_Diarias[[#This Row],[dias_da_demana]]=1,"domingo",IF(Metas_Diarias[[#This Row],[dias_da_demana]]=7,0.5,1))</f>
        <v>1</v>
      </c>
      <c r="I1937" s="35">
        <f>_xlfn.XLOOKUP(Metas_Diarias[[#This Row],[data]],Feriados[Data],Feriados[Feriado],1)</f>
        <v>1</v>
      </c>
      <c r="J1937" s="33" cm="1">
        <f t="array" aca="1" ref="J1937" ca="1">SUMPRODUCT(IF((NOT(ISERROR(MATCH(ROW(INDIRECT(DATE(YEAR(B1937),MONTH(B1937),1)&amp;":"&amp;DATE(YEAR(B1937),MONTH(B1937)+1,0))),Feriados[Data],0))))=FALSE,
IF(WEEKDAY(ROW(INDIRECT(DATE(YEAR(B1937),MONTH(B1937),1)&amp;":"&amp;DATE(YEAR(B1937),MONTH(B1937)+1,0))),2)&lt;=5,1,IF(WEEKDAY(ROW(INDIRECT(DATE(YEAR(B1937),MONTH(B1937),1)&amp;":"&amp;DATE(YEAR(B1937),MONTH(B1937)+1,0))),2)=6,0.5,0)),0))</f>
        <v>22</v>
      </c>
      <c r="K1937" s="22" cm="1">
        <f t="array" ref="K1937">_xlfn.XLOOKUP(1,((Metas_Diarias[[#This Row],[tipo_equipe_id]]=Metas[equipe])*(Metas_Diarias[[#This Row],[data]]&gt;Metas[data_inicio])*(Metas_Diarias[[#This Row],[data]]&lt;Metas[data_fim])),Metas[meta_mensal],0)</f>
        <v>68250</v>
      </c>
      <c r="L1937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38" spans="2:12" x14ac:dyDescent="0.3">
      <c r="B1938" s="34">
        <v>46129</v>
      </c>
      <c r="C1938" s="34" t="str">
        <f>TEXT(Metas_Diarias[[#This Row],[data]],"dddd")</f>
        <v>sexta-feira</v>
      </c>
      <c r="D1938" s="33">
        <v>5</v>
      </c>
      <c r="E1938" s="33">
        <v>5</v>
      </c>
      <c r="F1938" s="18"/>
      <c r="G1938" s="35">
        <f>WEEKDAY(Metas_Diarias[[#This Row],[data]])</f>
        <v>6</v>
      </c>
      <c r="H1938" s="35">
        <f>IF(Metas_Diarias[[#This Row],[dias_da_demana]]=1,"domingo",IF(Metas_Diarias[[#This Row],[dias_da_demana]]=7,0.5,1))</f>
        <v>1</v>
      </c>
      <c r="I1938" s="35">
        <f>_xlfn.XLOOKUP(Metas_Diarias[[#This Row],[data]],Feriados[Data],Feriados[Feriado],1)</f>
        <v>1</v>
      </c>
      <c r="J1938" s="33" cm="1">
        <f t="array" aca="1" ref="J1938" ca="1">SUMPRODUCT(IF((NOT(ISERROR(MATCH(ROW(INDIRECT(DATE(YEAR(B1938),MONTH(B1938),1)&amp;":"&amp;DATE(YEAR(B1938),MONTH(B1938)+1,0))),Feriados[Data],0))))=FALSE,
IF(WEEKDAY(ROW(INDIRECT(DATE(YEAR(B1938),MONTH(B1938),1)&amp;":"&amp;DATE(YEAR(B1938),MONTH(B1938)+1,0))),2)&lt;=5,1,IF(WEEKDAY(ROW(INDIRECT(DATE(YEAR(B1938),MONTH(B1938),1)&amp;":"&amp;DATE(YEAR(B1938),MONTH(B1938)+1,0))),2)=6,0.5,0)),0))</f>
        <v>22</v>
      </c>
      <c r="K1938" s="22" cm="1">
        <f t="array" ref="K1938">_xlfn.XLOOKUP(1,((Metas_Diarias[[#This Row],[tipo_equipe_id]]=Metas[equipe])*(Metas_Diarias[[#This Row],[data]]&gt;Metas[data_inicio])*(Metas_Diarias[[#This Row],[data]]&lt;Metas[data_fim])),Metas[meta_mensal],0)</f>
        <v>68250</v>
      </c>
      <c r="L1938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39" spans="2:12" x14ac:dyDescent="0.3">
      <c r="B1939" s="34">
        <v>46130</v>
      </c>
      <c r="C1939" s="34" t="str">
        <f>TEXT(Metas_Diarias[[#This Row],[data]],"dddd")</f>
        <v>sábado</v>
      </c>
      <c r="D1939" s="33">
        <v>5</v>
      </c>
      <c r="E1939" s="33">
        <v>5</v>
      </c>
      <c r="F1939" s="18"/>
      <c r="G1939" s="35">
        <f>WEEKDAY(Metas_Diarias[[#This Row],[data]])</f>
        <v>7</v>
      </c>
      <c r="H1939" s="35">
        <f>IF(Metas_Diarias[[#This Row],[dias_da_demana]]=1,"domingo",IF(Metas_Diarias[[#This Row],[dias_da_demana]]=7,0.5,1))</f>
        <v>0.5</v>
      </c>
      <c r="I1939" s="35">
        <f>_xlfn.XLOOKUP(Metas_Diarias[[#This Row],[data]],Feriados[Data],Feriados[Feriado],1)</f>
        <v>1</v>
      </c>
      <c r="J1939" s="33" cm="1">
        <f t="array" aca="1" ref="J1939" ca="1">SUMPRODUCT(IF((NOT(ISERROR(MATCH(ROW(INDIRECT(DATE(YEAR(B1939),MONTH(B1939),1)&amp;":"&amp;DATE(YEAR(B1939),MONTH(B1939)+1,0))),Feriados[Data],0))))=FALSE,
IF(WEEKDAY(ROW(INDIRECT(DATE(YEAR(B1939),MONTH(B1939),1)&amp;":"&amp;DATE(YEAR(B1939),MONTH(B1939)+1,0))),2)&lt;=5,1,IF(WEEKDAY(ROW(INDIRECT(DATE(YEAR(B1939),MONTH(B1939),1)&amp;":"&amp;DATE(YEAR(B1939),MONTH(B1939)+1,0))),2)=6,0.5,0)),0))</f>
        <v>22</v>
      </c>
      <c r="K1939" s="22" cm="1">
        <f t="array" ref="K1939">_xlfn.XLOOKUP(1,((Metas_Diarias[[#This Row],[tipo_equipe_id]]=Metas[equipe])*(Metas_Diarias[[#This Row],[data]]&gt;Metas[data_inicio])*(Metas_Diarias[[#This Row],[data]]&lt;Metas[data_fim])),Metas[meta_mensal],0)</f>
        <v>68250</v>
      </c>
      <c r="L1939" s="24">
        <f ca="1">Metas_Diarias[[#This Row],[meta_mensal]]*IF(Metas_Diarias[[#This Row],[semana]]="domingo",0,Metas_Diarias[[#This Row],[semana]])*IF(Metas_Diarias[[#This Row],[feriado]]&lt;&gt;1,0,1)/Metas_Diarias[[#This Row],[dias_úteis_Mês]]</f>
        <v>1551.1363636363637</v>
      </c>
    </row>
    <row r="1940" spans="2:12" x14ac:dyDescent="0.3">
      <c r="B1940" s="34">
        <v>46131</v>
      </c>
      <c r="C1940" s="34" t="str">
        <f>TEXT(Metas_Diarias[[#This Row],[data]],"dddd")</f>
        <v>domingo</v>
      </c>
      <c r="D1940" s="33">
        <v>5</v>
      </c>
      <c r="E1940" s="33">
        <v>5</v>
      </c>
      <c r="F1940" s="18"/>
      <c r="G1940" s="35">
        <f>WEEKDAY(Metas_Diarias[[#This Row],[data]])</f>
        <v>1</v>
      </c>
      <c r="H1940" s="35" t="str">
        <f>IF(Metas_Diarias[[#This Row],[dias_da_demana]]=1,"domingo",IF(Metas_Diarias[[#This Row],[dias_da_demana]]=7,0.5,1))</f>
        <v>domingo</v>
      </c>
      <c r="I1940" s="35">
        <f>_xlfn.XLOOKUP(Metas_Diarias[[#This Row],[data]],Feriados[Data],Feriados[Feriado],1)</f>
        <v>1</v>
      </c>
      <c r="J1940" s="33" cm="1">
        <f t="array" aca="1" ref="J1940" ca="1">SUMPRODUCT(IF((NOT(ISERROR(MATCH(ROW(INDIRECT(DATE(YEAR(B1940),MONTH(B1940),1)&amp;":"&amp;DATE(YEAR(B1940),MONTH(B1940)+1,0))),Feriados[Data],0))))=FALSE,
IF(WEEKDAY(ROW(INDIRECT(DATE(YEAR(B1940),MONTH(B1940),1)&amp;":"&amp;DATE(YEAR(B1940),MONTH(B1940)+1,0))),2)&lt;=5,1,IF(WEEKDAY(ROW(INDIRECT(DATE(YEAR(B1940),MONTH(B1940),1)&amp;":"&amp;DATE(YEAR(B1940),MONTH(B1940)+1,0))),2)=6,0.5,0)),0))</f>
        <v>22</v>
      </c>
      <c r="K1940" s="22" cm="1">
        <f t="array" ref="K1940">_xlfn.XLOOKUP(1,((Metas_Diarias[[#This Row],[tipo_equipe_id]]=Metas[equipe])*(Metas_Diarias[[#This Row],[data]]&gt;Metas[data_inicio])*(Metas_Diarias[[#This Row],[data]]&lt;Metas[data_fim])),Metas[meta_mensal],0)</f>
        <v>68250</v>
      </c>
      <c r="L194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41" spans="2:12" x14ac:dyDescent="0.3">
      <c r="B1941" s="34">
        <v>46132</v>
      </c>
      <c r="C1941" s="34" t="str">
        <f>TEXT(Metas_Diarias[[#This Row],[data]],"dddd")</f>
        <v>segunda-feira</v>
      </c>
      <c r="D1941" s="33">
        <v>5</v>
      </c>
      <c r="E1941" s="33">
        <v>5</v>
      </c>
      <c r="F1941" s="18"/>
      <c r="G1941" s="35">
        <f>WEEKDAY(Metas_Diarias[[#This Row],[data]])</f>
        <v>2</v>
      </c>
      <c r="H1941" s="35">
        <f>IF(Metas_Diarias[[#This Row],[dias_da_demana]]=1,"domingo",IF(Metas_Diarias[[#This Row],[dias_da_demana]]=7,0.5,1))</f>
        <v>1</v>
      </c>
      <c r="I1941" s="35">
        <f>_xlfn.XLOOKUP(Metas_Diarias[[#This Row],[data]],Feriados[Data],Feriados[Feriado],1)</f>
        <v>1</v>
      </c>
      <c r="J1941" s="33" cm="1">
        <f t="array" aca="1" ref="J1941" ca="1">SUMPRODUCT(IF((NOT(ISERROR(MATCH(ROW(INDIRECT(DATE(YEAR(B1941),MONTH(B1941),1)&amp;":"&amp;DATE(YEAR(B1941),MONTH(B1941)+1,0))),Feriados[Data],0))))=FALSE,
IF(WEEKDAY(ROW(INDIRECT(DATE(YEAR(B1941),MONTH(B1941),1)&amp;":"&amp;DATE(YEAR(B1941),MONTH(B1941)+1,0))),2)&lt;=5,1,IF(WEEKDAY(ROW(INDIRECT(DATE(YEAR(B1941),MONTH(B1941),1)&amp;":"&amp;DATE(YEAR(B1941),MONTH(B1941)+1,0))),2)=6,0.5,0)),0))</f>
        <v>22</v>
      </c>
      <c r="K1941" s="22" cm="1">
        <f t="array" ref="K1941">_xlfn.XLOOKUP(1,((Metas_Diarias[[#This Row],[tipo_equipe_id]]=Metas[equipe])*(Metas_Diarias[[#This Row],[data]]&gt;Metas[data_inicio])*(Metas_Diarias[[#This Row],[data]]&lt;Metas[data_fim])),Metas[meta_mensal],0)</f>
        <v>68250</v>
      </c>
      <c r="L1941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42" spans="2:12" x14ac:dyDescent="0.3">
      <c r="B1942" s="34">
        <v>46133</v>
      </c>
      <c r="C1942" s="34" t="str">
        <f>TEXT(Metas_Diarias[[#This Row],[data]],"dddd")</f>
        <v>terça-feira</v>
      </c>
      <c r="D1942" s="33">
        <v>5</v>
      </c>
      <c r="E1942" s="33">
        <v>5</v>
      </c>
      <c r="F1942" s="18"/>
      <c r="G1942" s="35">
        <f>WEEKDAY(Metas_Diarias[[#This Row],[data]])</f>
        <v>3</v>
      </c>
      <c r="H1942" s="35">
        <f>IF(Metas_Diarias[[#This Row],[dias_da_demana]]=1,"domingo",IF(Metas_Diarias[[#This Row],[dias_da_demana]]=7,0.5,1))</f>
        <v>1</v>
      </c>
      <c r="I1942" s="35" t="str">
        <f>_xlfn.XLOOKUP(Metas_Diarias[[#This Row],[data]],Feriados[Data],Feriados[Feriado],1)</f>
        <v>Tiradentes</v>
      </c>
      <c r="J1942" s="33" cm="1">
        <f t="array" aca="1" ref="J1942" ca="1">SUMPRODUCT(IF((NOT(ISERROR(MATCH(ROW(INDIRECT(DATE(YEAR(B1942),MONTH(B1942),1)&amp;":"&amp;DATE(YEAR(B1942),MONTH(B1942)+1,0))),Feriados[Data],0))))=FALSE,
IF(WEEKDAY(ROW(INDIRECT(DATE(YEAR(B1942),MONTH(B1942),1)&amp;":"&amp;DATE(YEAR(B1942),MONTH(B1942)+1,0))),2)&lt;=5,1,IF(WEEKDAY(ROW(INDIRECT(DATE(YEAR(B1942),MONTH(B1942),1)&amp;":"&amp;DATE(YEAR(B1942),MONTH(B1942)+1,0))),2)=6,0.5,0)),0))</f>
        <v>22</v>
      </c>
      <c r="K1942" s="22" cm="1">
        <f t="array" ref="K1942">_xlfn.XLOOKUP(1,((Metas_Diarias[[#This Row],[tipo_equipe_id]]=Metas[equipe])*(Metas_Diarias[[#This Row],[data]]&gt;Metas[data_inicio])*(Metas_Diarias[[#This Row],[data]]&lt;Metas[data_fim])),Metas[meta_mensal],0)</f>
        <v>68250</v>
      </c>
      <c r="L194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43" spans="2:12" x14ac:dyDescent="0.3">
      <c r="B1943" s="34">
        <v>46134</v>
      </c>
      <c r="C1943" s="34" t="str">
        <f>TEXT(Metas_Diarias[[#This Row],[data]],"dddd")</f>
        <v>quarta-feira</v>
      </c>
      <c r="D1943" s="33">
        <v>5</v>
      </c>
      <c r="E1943" s="33">
        <v>5</v>
      </c>
      <c r="F1943" s="18"/>
      <c r="G1943" s="35">
        <f>WEEKDAY(Metas_Diarias[[#This Row],[data]])</f>
        <v>4</v>
      </c>
      <c r="H1943" s="35">
        <f>IF(Metas_Diarias[[#This Row],[dias_da_demana]]=1,"domingo",IF(Metas_Diarias[[#This Row],[dias_da_demana]]=7,0.5,1))</f>
        <v>1</v>
      </c>
      <c r="I1943" s="35">
        <f>_xlfn.XLOOKUP(Metas_Diarias[[#This Row],[data]],Feriados[Data],Feriados[Feriado],1)</f>
        <v>1</v>
      </c>
      <c r="J1943" s="33" cm="1">
        <f t="array" aca="1" ref="J1943" ca="1">SUMPRODUCT(IF((NOT(ISERROR(MATCH(ROW(INDIRECT(DATE(YEAR(B1943),MONTH(B1943),1)&amp;":"&amp;DATE(YEAR(B1943),MONTH(B1943)+1,0))),Feriados[Data],0))))=FALSE,
IF(WEEKDAY(ROW(INDIRECT(DATE(YEAR(B1943),MONTH(B1943),1)&amp;":"&amp;DATE(YEAR(B1943),MONTH(B1943)+1,0))),2)&lt;=5,1,IF(WEEKDAY(ROW(INDIRECT(DATE(YEAR(B1943),MONTH(B1943),1)&amp;":"&amp;DATE(YEAR(B1943),MONTH(B1943)+1,0))),2)=6,0.5,0)),0))</f>
        <v>22</v>
      </c>
      <c r="K1943" s="22" cm="1">
        <f t="array" ref="K1943">_xlfn.XLOOKUP(1,((Metas_Diarias[[#This Row],[tipo_equipe_id]]=Metas[equipe])*(Metas_Diarias[[#This Row],[data]]&gt;Metas[data_inicio])*(Metas_Diarias[[#This Row],[data]]&lt;Metas[data_fim])),Metas[meta_mensal],0)</f>
        <v>68250</v>
      </c>
      <c r="L1943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44" spans="2:12" x14ac:dyDescent="0.3">
      <c r="B1944" s="34">
        <v>46135</v>
      </c>
      <c r="C1944" s="34" t="str">
        <f>TEXT(Metas_Diarias[[#This Row],[data]],"dddd")</f>
        <v>quinta-feira</v>
      </c>
      <c r="D1944" s="33">
        <v>5</v>
      </c>
      <c r="E1944" s="33">
        <v>5</v>
      </c>
      <c r="F1944" s="18"/>
      <c r="G1944" s="35">
        <f>WEEKDAY(Metas_Diarias[[#This Row],[data]])</f>
        <v>5</v>
      </c>
      <c r="H1944" s="35">
        <f>IF(Metas_Diarias[[#This Row],[dias_da_demana]]=1,"domingo",IF(Metas_Diarias[[#This Row],[dias_da_demana]]=7,0.5,1))</f>
        <v>1</v>
      </c>
      <c r="I1944" s="35">
        <f>_xlfn.XLOOKUP(Metas_Diarias[[#This Row],[data]],Feriados[Data],Feriados[Feriado],1)</f>
        <v>1</v>
      </c>
      <c r="J1944" s="33" cm="1">
        <f t="array" aca="1" ref="J1944" ca="1">SUMPRODUCT(IF((NOT(ISERROR(MATCH(ROW(INDIRECT(DATE(YEAR(B1944),MONTH(B1944),1)&amp;":"&amp;DATE(YEAR(B1944),MONTH(B1944)+1,0))),Feriados[Data],0))))=FALSE,
IF(WEEKDAY(ROW(INDIRECT(DATE(YEAR(B1944),MONTH(B1944),1)&amp;":"&amp;DATE(YEAR(B1944),MONTH(B1944)+1,0))),2)&lt;=5,1,IF(WEEKDAY(ROW(INDIRECT(DATE(YEAR(B1944),MONTH(B1944),1)&amp;":"&amp;DATE(YEAR(B1944),MONTH(B1944)+1,0))),2)=6,0.5,0)),0))</f>
        <v>22</v>
      </c>
      <c r="K1944" s="22" cm="1">
        <f t="array" ref="K1944">_xlfn.XLOOKUP(1,((Metas_Diarias[[#This Row],[tipo_equipe_id]]=Metas[equipe])*(Metas_Diarias[[#This Row],[data]]&gt;Metas[data_inicio])*(Metas_Diarias[[#This Row],[data]]&lt;Metas[data_fim])),Metas[meta_mensal],0)</f>
        <v>68250</v>
      </c>
      <c r="L1944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45" spans="2:12" x14ac:dyDescent="0.3">
      <c r="B1945" s="34">
        <v>46136</v>
      </c>
      <c r="C1945" s="34" t="str">
        <f>TEXT(Metas_Diarias[[#This Row],[data]],"dddd")</f>
        <v>sexta-feira</v>
      </c>
      <c r="D1945" s="33">
        <v>5</v>
      </c>
      <c r="E1945" s="33">
        <v>5</v>
      </c>
      <c r="F1945" s="18"/>
      <c r="G1945" s="35">
        <f>WEEKDAY(Metas_Diarias[[#This Row],[data]])</f>
        <v>6</v>
      </c>
      <c r="H1945" s="35">
        <f>IF(Metas_Diarias[[#This Row],[dias_da_demana]]=1,"domingo",IF(Metas_Diarias[[#This Row],[dias_da_demana]]=7,0.5,1))</f>
        <v>1</v>
      </c>
      <c r="I1945" s="35">
        <f>_xlfn.XLOOKUP(Metas_Diarias[[#This Row],[data]],Feriados[Data],Feriados[Feriado],1)</f>
        <v>1</v>
      </c>
      <c r="J1945" s="33" cm="1">
        <f t="array" aca="1" ref="J1945" ca="1">SUMPRODUCT(IF((NOT(ISERROR(MATCH(ROW(INDIRECT(DATE(YEAR(B1945),MONTH(B1945),1)&amp;":"&amp;DATE(YEAR(B1945),MONTH(B1945)+1,0))),Feriados[Data],0))))=FALSE,
IF(WEEKDAY(ROW(INDIRECT(DATE(YEAR(B1945),MONTH(B1945),1)&amp;":"&amp;DATE(YEAR(B1945),MONTH(B1945)+1,0))),2)&lt;=5,1,IF(WEEKDAY(ROW(INDIRECT(DATE(YEAR(B1945),MONTH(B1945),1)&amp;":"&amp;DATE(YEAR(B1945),MONTH(B1945)+1,0))),2)=6,0.5,0)),0))</f>
        <v>22</v>
      </c>
      <c r="K1945" s="22" cm="1">
        <f t="array" ref="K1945">_xlfn.XLOOKUP(1,((Metas_Diarias[[#This Row],[tipo_equipe_id]]=Metas[equipe])*(Metas_Diarias[[#This Row],[data]]&gt;Metas[data_inicio])*(Metas_Diarias[[#This Row],[data]]&lt;Metas[data_fim])),Metas[meta_mensal],0)</f>
        <v>68250</v>
      </c>
      <c r="L1945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46" spans="2:12" x14ac:dyDescent="0.3">
      <c r="B1946" s="34">
        <v>46137</v>
      </c>
      <c r="C1946" s="34" t="str">
        <f>TEXT(Metas_Diarias[[#This Row],[data]],"dddd")</f>
        <v>sábado</v>
      </c>
      <c r="D1946" s="33">
        <v>5</v>
      </c>
      <c r="E1946" s="33">
        <v>5</v>
      </c>
      <c r="F1946" s="18"/>
      <c r="G1946" s="35">
        <f>WEEKDAY(Metas_Diarias[[#This Row],[data]])</f>
        <v>7</v>
      </c>
      <c r="H1946" s="35">
        <f>IF(Metas_Diarias[[#This Row],[dias_da_demana]]=1,"domingo",IF(Metas_Diarias[[#This Row],[dias_da_demana]]=7,0.5,1))</f>
        <v>0.5</v>
      </c>
      <c r="I1946" s="35">
        <f>_xlfn.XLOOKUP(Metas_Diarias[[#This Row],[data]],Feriados[Data],Feriados[Feriado],1)</f>
        <v>1</v>
      </c>
      <c r="J1946" s="33" cm="1">
        <f t="array" aca="1" ref="J1946" ca="1">SUMPRODUCT(IF((NOT(ISERROR(MATCH(ROW(INDIRECT(DATE(YEAR(B1946),MONTH(B1946),1)&amp;":"&amp;DATE(YEAR(B1946),MONTH(B1946)+1,0))),Feriados[Data],0))))=FALSE,
IF(WEEKDAY(ROW(INDIRECT(DATE(YEAR(B1946),MONTH(B1946),1)&amp;":"&amp;DATE(YEAR(B1946),MONTH(B1946)+1,0))),2)&lt;=5,1,IF(WEEKDAY(ROW(INDIRECT(DATE(YEAR(B1946),MONTH(B1946),1)&amp;":"&amp;DATE(YEAR(B1946),MONTH(B1946)+1,0))),2)=6,0.5,0)),0))</f>
        <v>22</v>
      </c>
      <c r="K1946" s="22" cm="1">
        <f t="array" ref="K1946">_xlfn.XLOOKUP(1,((Metas_Diarias[[#This Row],[tipo_equipe_id]]=Metas[equipe])*(Metas_Diarias[[#This Row],[data]]&gt;Metas[data_inicio])*(Metas_Diarias[[#This Row],[data]]&lt;Metas[data_fim])),Metas[meta_mensal],0)</f>
        <v>68250</v>
      </c>
      <c r="L1946" s="24">
        <f ca="1">Metas_Diarias[[#This Row],[meta_mensal]]*IF(Metas_Diarias[[#This Row],[semana]]="domingo",0,Metas_Diarias[[#This Row],[semana]])*IF(Metas_Diarias[[#This Row],[feriado]]&lt;&gt;1,0,1)/Metas_Diarias[[#This Row],[dias_úteis_Mês]]</f>
        <v>1551.1363636363637</v>
      </c>
    </row>
    <row r="1947" spans="2:12" x14ac:dyDescent="0.3">
      <c r="B1947" s="34">
        <v>46138</v>
      </c>
      <c r="C1947" s="34" t="str">
        <f>TEXT(Metas_Diarias[[#This Row],[data]],"dddd")</f>
        <v>domingo</v>
      </c>
      <c r="D1947" s="33">
        <v>5</v>
      </c>
      <c r="E1947" s="33">
        <v>5</v>
      </c>
      <c r="F1947" s="18"/>
      <c r="G1947" s="35">
        <f>WEEKDAY(Metas_Diarias[[#This Row],[data]])</f>
        <v>1</v>
      </c>
      <c r="H1947" s="35" t="str">
        <f>IF(Metas_Diarias[[#This Row],[dias_da_demana]]=1,"domingo",IF(Metas_Diarias[[#This Row],[dias_da_demana]]=7,0.5,1))</f>
        <v>domingo</v>
      </c>
      <c r="I1947" s="35">
        <f>_xlfn.XLOOKUP(Metas_Diarias[[#This Row],[data]],Feriados[Data],Feriados[Feriado],1)</f>
        <v>1</v>
      </c>
      <c r="J1947" s="33" cm="1">
        <f t="array" aca="1" ref="J1947" ca="1">SUMPRODUCT(IF((NOT(ISERROR(MATCH(ROW(INDIRECT(DATE(YEAR(B1947),MONTH(B1947),1)&amp;":"&amp;DATE(YEAR(B1947),MONTH(B1947)+1,0))),Feriados[Data],0))))=FALSE,
IF(WEEKDAY(ROW(INDIRECT(DATE(YEAR(B1947),MONTH(B1947),1)&amp;":"&amp;DATE(YEAR(B1947),MONTH(B1947)+1,0))),2)&lt;=5,1,IF(WEEKDAY(ROW(INDIRECT(DATE(YEAR(B1947),MONTH(B1947),1)&amp;":"&amp;DATE(YEAR(B1947),MONTH(B1947)+1,0))),2)=6,0.5,0)),0))</f>
        <v>22</v>
      </c>
      <c r="K1947" s="22" cm="1">
        <f t="array" ref="K1947">_xlfn.XLOOKUP(1,((Metas_Diarias[[#This Row],[tipo_equipe_id]]=Metas[equipe])*(Metas_Diarias[[#This Row],[data]]&gt;Metas[data_inicio])*(Metas_Diarias[[#This Row],[data]]&lt;Metas[data_fim])),Metas[meta_mensal],0)</f>
        <v>68250</v>
      </c>
      <c r="L194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48" spans="2:12" x14ac:dyDescent="0.3">
      <c r="B1948" s="34">
        <v>46139</v>
      </c>
      <c r="C1948" s="34" t="str">
        <f>TEXT(Metas_Diarias[[#This Row],[data]],"dddd")</f>
        <v>segunda-feira</v>
      </c>
      <c r="D1948" s="33">
        <v>5</v>
      </c>
      <c r="E1948" s="33">
        <v>5</v>
      </c>
      <c r="F1948" s="18"/>
      <c r="G1948" s="35">
        <f>WEEKDAY(Metas_Diarias[[#This Row],[data]])</f>
        <v>2</v>
      </c>
      <c r="H1948" s="35">
        <f>IF(Metas_Diarias[[#This Row],[dias_da_demana]]=1,"domingo",IF(Metas_Diarias[[#This Row],[dias_da_demana]]=7,0.5,1))</f>
        <v>1</v>
      </c>
      <c r="I1948" s="35">
        <f>_xlfn.XLOOKUP(Metas_Diarias[[#This Row],[data]],Feriados[Data],Feriados[Feriado],1)</f>
        <v>1</v>
      </c>
      <c r="J1948" s="33" cm="1">
        <f t="array" aca="1" ref="J1948" ca="1">SUMPRODUCT(IF((NOT(ISERROR(MATCH(ROW(INDIRECT(DATE(YEAR(B1948),MONTH(B1948),1)&amp;":"&amp;DATE(YEAR(B1948),MONTH(B1948)+1,0))),Feriados[Data],0))))=FALSE,
IF(WEEKDAY(ROW(INDIRECT(DATE(YEAR(B1948),MONTH(B1948),1)&amp;":"&amp;DATE(YEAR(B1948),MONTH(B1948)+1,0))),2)&lt;=5,1,IF(WEEKDAY(ROW(INDIRECT(DATE(YEAR(B1948),MONTH(B1948),1)&amp;":"&amp;DATE(YEAR(B1948),MONTH(B1948)+1,0))),2)=6,0.5,0)),0))</f>
        <v>22</v>
      </c>
      <c r="K1948" s="22" cm="1">
        <f t="array" ref="K1948">_xlfn.XLOOKUP(1,((Metas_Diarias[[#This Row],[tipo_equipe_id]]=Metas[equipe])*(Metas_Diarias[[#This Row],[data]]&gt;Metas[data_inicio])*(Metas_Diarias[[#This Row],[data]]&lt;Metas[data_fim])),Metas[meta_mensal],0)</f>
        <v>68250</v>
      </c>
      <c r="L1948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49" spans="2:12" x14ac:dyDescent="0.3">
      <c r="B1949" s="34">
        <v>46140</v>
      </c>
      <c r="C1949" s="34" t="str">
        <f>TEXT(Metas_Diarias[[#This Row],[data]],"dddd")</f>
        <v>terça-feira</v>
      </c>
      <c r="D1949" s="33">
        <v>5</v>
      </c>
      <c r="E1949" s="33">
        <v>5</v>
      </c>
      <c r="F1949" s="18"/>
      <c r="G1949" s="35">
        <f>WEEKDAY(Metas_Diarias[[#This Row],[data]])</f>
        <v>3</v>
      </c>
      <c r="H1949" s="35">
        <f>IF(Metas_Diarias[[#This Row],[dias_da_demana]]=1,"domingo",IF(Metas_Diarias[[#This Row],[dias_da_demana]]=7,0.5,1))</f>
        <v>1</v>
      </c>
      <c r="I1949" s="35">
        <f>_xlfn.XLOOKUP(Metas_Diarias[[#This Row],[data]],Feriados[Data],Feriados[Feriado],1)</f>
        <v>1</v>
      </c>
      <c r="J1949" s="33" cm="1">
        <f t="array" aca="1" ref="J1949" ca="1">SUMPRODUCT(IF((NOT(ISERROR(MATCH(ROW(INDIRECT(DATE(YEAR(B1949),MONTH(B1949),1)&amp;":"&amp;DATE(YEAR(B1949),MONTH(B1949)+1,0))),Feriados[Data],0))))=FALSE,
IF(WEEKDAY(ROW(INDIRECT(DATE(YEAR(B1949),MONTH(B1949),1)&amp;":"&amp;DATE(YEAR(B1949),MONTH(B1949)+1,0))),2)&lt;=5,1,IF(WEEKDAY(ROW(INDIRECT(DATE(YEAR(B1949),MONTH(B1949),1)&amp;":"&amp;DATE(YEAR(B1949),MONTH(B1949)+1,0))),2)=6,0.5,0)),0))</f>
        <v>22</v>
      </c>
      <c r="K1949" s="22" cm="1">
        <f t="array" ref="K1949">_xlfn.XLOOKUP(1,((Metas_Diarias[[#This Row],[tipo_equipe_id]]=Metas[equipe])*(Metas_Diarias[[#This Row],[data]]&gt;Metas[data_inicio])*(Metas_Diarias[[#This Row],[data]]&lt;Metas[data_fim])),Metas[meta_mensal],0)</f>
        <v>68250</v>
      </c>
      <c r="L1949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50" spans="2:12" x14ac:dyDescent="0.3">
      <c r="B1950" s="34">
        <v>46141</v>
      </c>
      <c r="C1950" s="34" t="str">
        <f>TEXT(Metas_Diarias[[#This Row],[data]],"dddd")</f>
        <v>quarta-feira</v>
      </c>
      <c r="D1950" s="33">
        <v>5</v>
      </c>
      <c r="E1950" s="33">
        <v>5</v>
      </c>
      <c r="F1950" s="18"/>
      <c r="G1950" s="35">
        <f>WEEKDAY(Metas_Diarias[[#This Row],[data]])</f>
        <v>4</v>
      </c>
      <c r="H1950" s="35">
        <f>IF(Metas_Diarias[[#This Row],[dias_da_demana]]=1,"domingo",IF(Metas_Diarias[[#This Row],[dias_da_demana]]=7,0.5,1))</f>
        <v>1</v>
      </c>
      <c r="I1950" s="35">
        <f>_xlfn.XLOOKUP(Metas_Diarias[[#This Row],[data]],Feriados[Data],Feriados[Feriado],1)</f>
        <v>1</v>
      </c>
      <c r="J1950" s="33" cm="1">
        <f t="array" aca="1" ref="J1950" ca="1">SUMPRODUCT(IF((NOT(ISERROR(MATCH(ROW(INDIRECT(DATE(YEAR(B1950),MONTH(B1950),1)&amp;":"&amp;DATE(YEAR(B1950),MONTH(B1950)+1,0))),Feriados[Data],0))))=FALSE,
IF(WEEKDAY(ROW(INDIRECT(DATE(YEAR(B1950),MONTH(B1950),1)&amp;":"&amp;DATE(YEAR(B1950),MONTH(B1950)+1,0))),2)&lt;=5,1,IF(WEEKDAY(ROW(INDIRECT(DATE(YEAR(B1950),MONTH(B1950),1)&amp;":"&amp;DATE(YEAR(B1950),MONTH(B1950)+1,0))),2)=6,0.5,0)),0))</f>
        <v>22</v>
      </c>
      <c r="K1950" s="22" cm="1">
        <f t="array" ref="K1950">_xlfn.XLOOKUP(1,((Metas_Diarias[[#This Row],[tipo_equipe_id]]=Metas[equipe])*(Metas_Diarias[[#This Row],[data]]&gt;Metas[data_inicio])*(Metas_Diarias[[#This Row],[data]]&lt;Metas[data_fim])),Metas[meta_mensal],0)</f>
        <v>68250</v>
      </c>
      <c r="L1950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51" spans="2:12" x14ac:dyDescent="0.3">
      <c r="B1951" s="34">
        <v>46142</v>
      </c>
      <c r="C1951" s="34" t="str">
        <f>TEXT(Metas_Diarias[[#This Row],[data]],"dddd")</f>
        <v>quinta-feira</v>
      </c>
      <c r="D1951" s="33">
        <v>5</v>
      </c>
      <c r="E1951" s="33">
        <v>5</v>
      </c>
      <c r="F1951" s="18"/>
      <c r="G1951" s="35">
        <f>WEEKDAY(Metas_Diarias[[#This Row],[data]])</f>
        <v>5</v>
      </c>
      <c r="H1951" s="35">
        <f>IF(Metas_Diarias[[#This Row],[dias_da_demana]]=1,"domingo",IF(Metas_Diarias[[#This Row],[dias_da_demana]]=7,0.5,1))</f>
        <v>1</v>
      </c>
      <c r="I1951" s="35">
        <f>_xlfn.XLOOKUP(Metas_Diarias[[#This Row],[data]],Feriados[Data],Feriados[Feriado],1)</f>
        <v>1</v>
      </c>
      <c r="J1951" s="33" cm="1">
        <f t="array" aca="1" ref="J1951" ca="1">SUMPRODUCT(IF((NOT(ISERROR(MATCH(ROW(INDIRECT(DATE(YEAR(B1951),MONTH(B1951),1)&amp;":"&amp;DATE(YEAR(B1951),MONTH(B1951)+1,0))),Feriados[Data],0))))=FALSE,
IF(WEEKDAY(ROW(INDIRECT(DATE(YEAR(B1951),MONTH(B1951),1)&amp;":"&amp;DATE(YEAR(B1951),MONTH(B1951)+1,0))),2)&lt;=5,1,IF(WEEKDAY(ROW(INDIRECT(DATE(YEAR(B1951),MONTH(B1951),1)&amp;":"&amp;DATE(YEAR(B1951),MONTH(B1951)+1,0))),2)=6,0.5,0)),0))</f>
        <v>22</v>
      </c>
      <c r="K1951" s="22" cm="1">
        <f t="array" ref="K1951">_xlfn.XLOOKUP(1,((Metas_Diarias[[#This Row],[tipo_equipe_id]]=Metas[equipe])*(Metas_Diarias[[#This Row],[data]]&gt;Metas[data_inicio])*(Metas_Diarias[[#This Row],[data]]&lt;Metas[data_fim])),Metas[meta_mensal],0)</f>
        <v>68250</v>
      </c>
      <c r="L1951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1952" spans="2:12" x14ac:dyDescent="0.3">
      <c r="B1952" s="34">
        <v>46143</v>
      </c>
      <c r="C1952" s="34" t="str">
        <f>TEXT(Metas_Diarias[[#This Row],[data]],"dddd")</f>
        <v>sexta-feira</v>
      </c>
      <c r="D1952" s="33">
        <v>5</v>
      </c>
      <c r="E1952" s="33">
        <v>5</v>
      </c>
      <c r="F1952" s="18"/>
      <c r="G1952" s="35">
        <f>WEEKDAY(Metas_Diarias[[#This Row],[data]])</f>
        <v>6</v>
      </c>
      <c r="H1952" s="35">
        <f>IF(Metas_Diarias[[#This Row],[dias_da_demana]]=1,"domingo",IF(Metas_Diarias[[#This Row],[dias_da_demana]]=7,0.5,1))</f>
        <v>1</v>
      </c>
      <c r="I1952" s="35" t="str">
        <f>_xlfn.XLOOKUP(Metas_Diarias[[#This Row],[data]],Feriados[Data],Feriados[Feriado],1)</f>
        <v>Dia do Trabalho</v>
      </c>
      <c r="J1952" s="33" cm="1">
        <f t="array" aca="1" ref="J1952" ca="1">SUMPRODUCT(IF((NOT(ISERROR(MATCH(ROW(INDIRECT(DATE(YEAR(B1952),MONTH(B1952),1)&amp;":"&amp;DATE(YEAR(B1952),MONTH(B1952)+1,0))),Feriados[Data],0))))=FALSE,
IF(WEEKDAY(ROW(INDIRECT(DATE(YEAR(B1952),MONTH(B1952),1)&amp;":"&amp;DATE(YEAR(B1952),MONTH(B1952)+1,0))),2)&lt;=5,1,IF(WEEKDAY(ROW(INDIRECT(DATE(YEAR(B1952),MONTH(B1952),1)&amp;":"&amp;DATE(YEAR(B1952),MONTH(B1952)+1,0))),2)=6,0.5,0)),0))</f>
        <v>22.5</v>
      </c>
      <c r="K1952" s="22" cm="1">
        <f t="array" ref="K1952">_xlfn.XLOOKUP(1,((Metas_Diarias[[#This Row],[tipo_equipe_id]]=Metas[equipe])*(Metas_Diarias[[#This Row],[data]]&gt;Metas[data_inicio])*(Metas_Diarias[[#This Row],[data]]&lt;Metas[data_fim])),Metas[meta_mensal],0)</f>
        <v>68250</v>
      </c>
      <c r="L19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53" spans="2:12" x14ac:dyDescent="0.3">
      <c r="B1953" s="34">
        <v>46144</v>
      </c>
      <c r="C1953" s="34" t="str">
        <f>TEXT(Metas_Diarias[[#This Row],[data]],"dddd")</f>
        <v>sábado</v>
      </c>
      <c r="D1953" s="33">
        <v>5</v>
      </c>
      <c r="E1953" s="33">
        <v>5</v>
      </c>
      <c r="F1953" s="18"/>
      <c r="G1953" s="35">
        <f>WEEKDAY(Metas_Diarias[[#This Row],[data]])</f>
        <v>7</v>
      </c>
      <c r="H1953" s="35">
        <f>IF(Metas_Diarias[[#This Row],[dias_da_demana]]=1,"domingo",IF(Metas_Diarias[[#This Row],[dias_da_demana]]=7,0.5,1))</f>
        <v>0.5</v>
      </c>
      <c r="I1953" s="35">
        <f>_xlfn.XLOOKUP(Metas_Diarias[[#This Row],[data]],Feriados[Data],Feriados[Feriado],1)</f>
        <v>1</v>
      </c>
      <c r="J1953" s="33" cm="1">
        <f t="array" aca="1" ref="J1953" ca="1">SUMPRODUCT(IF((NOT(ISERROR(MATCH(ROW(INDIRECT(DATE(YEAR(B1953),MONTH(B1953),1)&amp;":"&amp;DATE(YEAR(B1953),MONTH(B1953)+1,0))),Feriados[Data],0))))=FALSE,
IF(WEEKDAY(ROW(INDIRECT(DATE(YEAR(B1953),MONTH(B1953),1)&amp;":"&amp;DATE(YEAR(B1953),MONTH(B1953)+1,0))),2)&lt;=5,1,IF(WEEKDAY(ROW(INDIRECT(DATE(YEAR(B1953),MONTH(B1953),1)&amp;":"&amp;DATE(YEAR(B1953),MONTH(B1953)+1,0))),2)=6,0.5,0)),0))</f>
        <v>22.5</v>
      </c>
      <c r="K1953" s="22" cm="1">
        <f t="array" ref="K1953">_xlfn.XLOOKUP(1,((Metas_Diarias[[#This Row],[tipo_equipe_id]]=Metas[equipe])*(Metas_Diarias[[#This Row],[data]]&gt;Metas[data_inicio])*(Metas_Diarias[[#This Row],[data]]&lt;Metas[data_fim])),Metas[meta_mensal],0)</f>
        <v>68250</v>
      </c>
      <c r="L1953" s="24">
        <f ca="1">Metas_Diarias[[#This Row],[meta_mensal]]*IF(Metas_Diarias[[#This Row],[semana]]="domingo",0,Metas_Diarias[[#This Row],[semana]])*IF(Metas_Diarias[[#This Row],[feriado]]&lt;&gt;1,0,1)/Metas_Diarias[[#This Row],[dias_úteis_Mês]]</f>
        <v>1516.6666666666667</v>
      </c>
    </row>
    <row r="1954" spans="2:12" x14ac:dyDescent="0.3">
      <c r="B1954" s="34">
        <v>46145</v>
      </c>
      <c r="C1954" s="34" t="str">
        <f>TEXT(Metas_Diarias[[#This Row],[data]],"dddd")</f>
        <v>domingo</v>
      </c>
      <c r="D1954" s="33">
        <v>5</v>
      </c>
      <c r="E1954" s="33">
        <v>5</v>
      </c>
      <c r="F1954" s="18"/>
      <c r="G1954" s="35">
        <f>WEEKDAY(Metas_Diarias[[#This Row],[data]])</f>
        <v>1</v>
      </c>
      <c r="H1954" s="35" t="str">
        <f>IF(Metas_Diarias[[#This Row],[dias_da_demana]]=1,"domingo",IF(Metas_Diarias[[#This Row],[dias_da_demana]]=7,0.5,1))</f>
        <v>domingo</v>
      </c>
      <c r="I1954" s="35">
        <f>_xlfn.XLOOKUP(Metas_Diarias[[#This Row],[data]],Feriados[Data],Feriados[Feriado],1)</f>
        <v>1</v>
      </c>
      <c r="J1954" s="33" cm="1">
        <f t="array" aca="1" ref="J1954" ca="1">SUMPRODUCT(IF((NOT(ISERROR(MATCH(ROW(INDIRECT(DATE(YEAR(B1954),MONTH(B1954),1)&amp;":"&amp;DATE(YEAR(B1954),MONTH(B1954)+1,0))),Feriados[Data],0))))=FALSE,
IF(WEEKDAY(ROW(INDIRECT(DATE(YEAR(B1954),MONTH(B1954),1)&amp;":"&amp;DATE(YEAR(B1954),MONTH(B1954)+1,0))),2)&lt;=5,1,IF(WEEKDAY(ROW(INDIRECT(DATE(YEAR(B1954),MONTH(B1954),1)&amp;":"&amp;DATE(YEAR(B1954),MONTH(B1954)+1,0))),2)=6,0.5,0)),0))</f>
        <v>22.5</v>
      </c>
      <c r="K1954" s="22" cm="1">
        <f t="array" ref="K1954">_xlfn.XLOOKUP(1,((Metas_Diarias[[#This Row],[tipo_equipe_id]]=Metas[equipe])*(Metas_Diarias[[#This Row],[data]]&gt;Metas[data_inicio])*(Metas_Diarias[[#This Row],[data]]&lt;Metas[data_fim])),Metas[meta_mensal],0)</f>
        <v>68250</v>
      </c>
      <c r="L195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55" spans="2:12" x14ac:dyDescent="0.3">
      <c r="B1955" s="34">
        <v>46146</v>
      </c>
      <c r="C1955" s="34" t="str">
        <f>TEXT(Metas_Diarias[[#This Row],[data]],"dddd")</f>
        <v>segunda-feira</v>
      </c>
      <c r="D1955" s="33">
        <v>5</v>
      </c>
      <c r="E1955" s="33">
        <v>5</v>
      </c>
      <c r="F1955" s="18"/>
      <c r="G1955" s="35">
        <f>WEEKDAY(Metas_Diarias[[#This Row],[data]])</f>
        <v>2</v>
      </c>
      <c r="H1955" s="35">
        <f>IF(Metas_Diarias[[#This Row],[dias_da_demana]]=1,"domingo",IF(Metas_Diarias[[#This Row],[dias_da_demana]]=7,0.5,1))</f>
        <v>1</v>
      </c>
      <c r="I1955" s="35">
        <f>_xlfn.XLOOKUP(Metas_Diarias[[#This Row],[data]],Feriados[Data],Feriados[Feriado],1)</f>
        <v>1</v>
      </c>
      <c r="J1955" s="33" cm="1">
        <f t="array" aca="1" ref="J1955" ca="1">SUMPRODUCT(IF((NOT(ISERROR(MATCH(ROW(INDIRECT(DATE(YEAR(B1955),MONTH(B1955),1)&amp;":"&amp;DATE(YEAR(B1955),MONTH(B1955)+1,0))),Feriados[Data],0))))=FALSE,
IF(WEEKDAY(ROW(INDIRECT(DATE(YEAR(B1955),MONTH(B1955),1)&amp;":"&amp;DATE(YEAR(B1955),MONTH(B1955)+1,0))),2)&lt;=5,1,IF(WEEKDAY(ROW(INDIRECT(DATE(YEAR(B1955),MONTH(B1955),1)&amp;":"&amp;DATE(YEAR(B1955),MONTH(B1955)+1,0))),2)=6,0.5,0)),0))</f>
        <v>22.5</v>
      </c>
      <c r="K1955" s="22" cm="1">
        <f t="array" ref="K1955">_xlfn.XLOOKUP(1,((Metas_Diarias[[#This Row],[tipo_equipe_id]]=Metas[equipe])*(Metas_Diarias[[#This Row],[data]]&gt;Metas[data_inicio])*(Metas_Diarias[[#This Row],[data]]&lt;Metas[data_fim])),Metas[meta_mensal],0)</f>
        <v>68250</v>
      </c>
      <c r="L1955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56" spans="2:12" x14ac:dyDescent="0.3">
      <c r="B1956" s="34">
        <v>46147</v>
      </c>
      <c r="C1956" s="34" t="str">
        <f>TEXT(Metas_Diarias[[#This Row],[data]],"dddd")</f>
        <v>terça-feira</v>
      </c>
      <c r="D1956" s="33">
        <v>5</v>
      </c>
      <c r="E1956" s="33">
        <v>5</v>
      </c>
      <c r="F1956" s="18"/>
      <c r="G1956" s="35">
        <f>WEEKDAY(Metas_Diarias[[#This Row],[data]])</f>
        <v>3</v>
      </c>
      <c r="H1956" s="35">
        <f>IF(Metas_Diarias[[#This Row],[dias_da_demana]]=1,"domingo",IF(Metas_Diarias[[#This Row],[dias_da_demana]]=7,0.5,1))</f>
        <v>1</v>
      </c>
      <c r="I1956" s="35">
        <f>_xlfn.XLOOKUP(Metas_Diarias[[#This Row],[data]],Feriados[Data],Feriados[Feriado],1)</f>
        <v>1</v>
      </c>
      <c r="J1956" s="33" cm="1">
        <f t="array" aca="1" ref="J1956" ca="1">SUMPRODUCT(IF((NOT(ISERROR(MATCH(ROW(INDIRECT(DATE(YEAR(B1956),MONTH(B1956),1)&amp;":"&amp;DATE(YEAR(B1956),MONTH(B1956)+1,0))),Feriados[Data],0))))=FALSE,
IF(WEEKDAY(ROW(INDIRECT(DATE(YEAR(B1956),MONTH(B1956),1)&amp;":"&amp;DATE(YEAR(B1956),MONTH(B1956)+1,0))),2)&lt;=5,1,IF(WEEKDAY(ROW(INDIRECT(DATE(YEAR(B1956),MONTH(B1956),1)&amp;":"&amp;DATE(YEAR(B1956),MONTH(B1956)+1,0))),2)=6,0.5,0)),0))</f>
        <v>22.5</v>
      </c>
      <c r="K1956" s="22" cm="1">
        <f t="array" ref="K1956">_xlfn.XLOOKUP(1,((Metas_Diarias[[#This Row],[tipo_equipe_id]]=Metas[equipe])*(Metas_Diarias[[#This Row],[data]]&gt;Metas[data_inicio])*(Metas_Diarias[[#This Row],[data]]&lt;Metas[data_fim])),Metas[meta_mensal],0)</f>
        <v>68250</v>
      </c>
      <c r="L1956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57" spans="2:12" x14ac:dyDescent="0.3">
      <c r="B1957" s="34">
        <v>46148</v>
      </c>
      <c r="C1957" s="34" t="str">
        <f>TEXT(Metas_Diarias[[#This Row],[data]],"dddd")</f>
        <v>quarta-feira</v>
      </c>
      <c r="D1957" s="33">
        <v>5</v>
      </c>
      <c r="E1957" s="33">
        <v>5</v>
      </c>
      <c r="F1957" s="18"/>
      <c r="G1957" s="35">
        <f>WEEKDAY(Metas_Diarias[[#This Row],[data]])</f>
        <v>4</v>
      </c>
      <c r="H1957" s="35">
        <f>IF(Metas_Diarias[[#This Row],[dias_da_demana]]=1,"domingo",IF(Metas_Diarias[[#This Row],[dias_da_demana]]=7,0.5,1))</f>
        <v>1</v>
      </c>
      <c r="I1957" s="35">
        <f>_xlfn.XLOOKUP(Metas_Diarias[[#This Row],[data]],Feriados[Data],Feriados[Feriado],1)</f>
        <v>1</v>
      </c>
      <c r="J1957" s="33" cm="1">
        <f t="array" aca="1" ref="J1957" ca="1">SUMPRODUCT(IF((NOT(ISERROR(MATCH(ROW(INDIRECT(DATE(YEAR(B1957),MONTH(B1957),1)&amp;":"&amp;DATE(YEAR(B1957),MONTH(B1957)+1,0))),Feriados[Data],0))))=FALSE,
IF(WEEKDAY(ROW(INDIRECT(DATE(YEAR(B1957),MONTH(B1957),1)&amp;":"&amp;DATE(YEAR(B1957),MONTH(B1957)+1,0))),2)&lt;=5,1,IF(WEEKDAY(ROW(INDIRECT(DATE(YEAR(B1957),MONTH(B1957),1)&amp;":"&amp;DATE(YEAR(B1957),MONTH(B1957)+1,0))),2)=6,0.5,0)),0))</f>
        <v>22.5</v>
      </c>
      <c r="K1957" s="22" cm="1">
        <f t="array" ref="K1957">_xlfn.XLOOKUP(1,((Metas_Diarias[[#This Row],[tipo_equipe_id]]=Metas[equipe])*(Metas_Diarias[[#This Row],[data]]&gt;Metas[data_inicio])*(Metas_Diarias[[#This Row],[data]]&lt;Metas[data_fim])),Metas[meta_mensal],0)</f>
        <v>68250</v>
      </c>
      <c r="L1957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58" spans="2:12" x14ac:dyDescent="0.3">
      <c r="B1958" s="34">
        <v>46149</v>
      </c>
      <c r="C1958" s="34" t="str">
        <f>TEXT(Metas_Diarias[[#This Row],[data]],"dddd")</f>
        <v>quinta-feira</v>
      </c>
      <c r="D1958" s="33">
        <v>5</v>
      </c>
      <c r="E1958" s="33">
        <v>5</v>
      </c>
      <c r="F1958" s="18"/>
      <c r="G1958" s="35">
        <f>WEEKDAY(Metas_Diarias[[#This Row],[data]])</f>
        <v>5</v>
      </c>
      <c r="H1958" s="35">
        <f>IF(Metas_Diarias[[#This Row],[dias_da_demana]]=1,"domingo",IF(Metas_Diarias[[#This Row],[dias_da_demana]]=7,0.5,1))</f>
        <v>1</v>
      </c>
      <c r="I1958" s="35">
        <f>_xlfn.XLOOKUP(Metas_Diarias[[#This Row],[data]],Feriados[Data],Feriados[Feriado],1)</f>
        <v>1</v>
      </c>
      <c r="J1958" s="33" cm="1">
        <f t="array" aca="1" ref="J1958" ca="1">SUMPRODUCT(IF((NOT(ISERROR(MATCH(ROW(INDIRECT(DATE(YEAR(B1958),MONTH(B1958),1)&amp;":"&amp;DATE(YEAR(B1958),MONTH(B1958)+1,0))),Feriados[Data],0))))=FALSE,
IF(WEEKDAY(ROW(INDIRECT(DATE(YEAR(B1958),MONTH(B1958),1)&amp;":"&amp;DATE(YEAR(B1958),MONTH(B1958)+1,0))),2)&lt;=5,1,IF(WEEKDAY(ROW(INDIRECT(DATE(YEAR(B1958),MONTH(B1958),1)&amp;":"&amp;DATE(YEAR(B1958),MONTH(B1958)+1,0))),2)=6,0.5,0)),0))</f>
        <v>22.5</v>
      </c>
      <c r="K1958" s="22" cm="1">
        <f t="array" ref="K1958">_xlfn.XLOOKUP(1,((Metas_Diarias[[#This Row],[tipo_equipe_id]]=Metas[equipe])*(Metas_Diarias[[#This Row],[data]]&gt;Metas[data_inicio])*(Metas_Diarias[[#This Row],[data]]&lt;Metas[data_fim])),Metas[meta_mensal],0)</f>
        <v>68250</v>
      </c>
      <c r="L1958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59" spans="2:12" x14ac:dyDescent="0.3">
      <c r="B1959" s="34">
        <v>46150</v>
      </c>
      <c r="C1959" s="34" t="str">
        <f>TEXT(Metas_Diarias[[#This Row],[data]],"dddd")</f>
        <v>sexta-feira</v>
      </c>
      <c r="D1959" s="33">
        <v>5</v>
      </c>
      <c r="E1959" s="33">
        <v>5</v>
      </c>
      <c r="F1959" s="18"/>
      <c r="G1959" s="35">
        <f>WEEKDAY(Metas_Diarias[[#This Row],[data]])</f>
        <v>6</v>
      </c>
      <c r="H1959" s="35">
        <f>IF(Metas_Diarias[[#This Row],[dias_da_demana]]=1,"domingo",IF(Metas_Diarias[[#This Row],[dias_da_demana]]=7,0.5,1))</f>
        <v>1</v>
      </c>
      <c r="I1959" s="35">
        <f>_xlfn.XLOOKUP(Metas_Diarias[[#This Row],[data]],Feriados[Data],Feriados[Feriado],1)</f>
        <v>1</v>
      </c>
      <c r="J1959" s="33" cm="1">
        <f t="array" aca="1" ref="J1959" ca="1">SUMPRODUCT(IF((NOT(ISERROR(MATCH(ROW(INDIRECT(DATE(YEAR(B1959),MONTH(B1959),1)&amp;":"&amp;DATE(YEAR(B1959),MONTH(B1959)+1,0))),Feriados[Data],0))))=FALSE,
IF(WEEKDAY(ROW(INDIRECT(DATE(YEAR(B1959),MONTH(B1959),1)&amp;":"&amp;DATE(YEAR(B1959),MONTH(B1959)+1,0))),2)&lt;=5,1,IF(WEEKDAY(ROW(INDIRECT(DATE(YEAR(B1959),MONTH(B1959),1)&amp;":"&amp;DATE(YEAR(B1959),MONTH(B1959)+1,0))),2)=6,0.5,0)),0))</f>
        <v>22.5</v>
      </c>
      <c r="K1959" s="22" cm="1">
        <f t="array" ref="K1959">_xlfn.XLOOKUP(1,((Metas_Diarias[[#This Row],[tipo_equipe_id]]=Metas[equipe])*(Metas_Diarias[[#This Row],[data]]&gt;Metas[data_inicio])*(Metas_Diarias[[#This Row],[data]]&lt;Metas[data_fim])),Metas[meta_mensal],0)</f>
        <v>68250</v>
      </c>
      <c r="L1959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60" spans="2:12" x14ac:dyDescent="0.3">
      <c r="B1960" s="34">
        <v>46151</v>
      </c>
      <c r="C1960" s="34" t="str">
        <f>TEXT(Metas_Diarias[[#This Row],[data]],"dddd")</f>
        <v>sábado</v>
      </c>
      <c r="D1960" s="33">
        <v>5</v>
      </c>
      <c r="E1960" s="33">
        <v>5</v>
      </c>
      <c r="F1960" s="18"/>
      <c r="G1960" s="35">
        <f>WEEKDAY(Metas_Diarias[[#This Row],[data]])</f>
        <v>7</v>
      </c>
      <c r="H1960" s="35">
        <f>IF(Metas_Diarias[[#This Row],[dias_da_demana]]=1,"domingo",IF(Metas_Diarias[[#This Row],[dias_da_demana]]=7,0.5,1))</f>
        <v>0.5</v>
      </c>
      <c r="I1960" s="35">
        <f>_xlfn.XLOOKUP(Metas_Diarias[[#This Row],[data]],Feriados[Data],Feriados[Feriado],1)</f>
        <v>1</v>
      </c>
      <c r="J1960" s="33" cm="1">
        <f t="array" aca="1" ref="J1960" ca="1">SUMPRODUCT(IF((NOT(ISERROR(MATCH(ROW(INDIRECT(DATE(YEAR(B1960),MONTH(B1960),1)&amp;":"&amp;DATE(YEAR(B1960),MONTH(B1960)+1,0))),Feriados[Data],0))))=FALSE,
IF(WEEKDAY(ROW(INDIRECT(DATE(YEAR(B1960),MONTH(B1960),1)&amp;":"&amp;DATE(YEAR(B1960),MONTH(B1960)+1,0))),2)&lt;=5,1,IF(WEEKDAY(ROW(INDIRECT(DATE(YEAR(B1960),MONTH(B1960),1)&amp;":"&amp;DATE(YEAR(B1960),MONTH(B1960)+1,0))),2)=6,0.5,0)),0))</f>
        <v>22.5</v>
      </c>
      <c r="K1960" s="22" cm="1">
        <f t="array" ref="K1960">_xlfn.XLOOKUP(1,((Metas_Diarias[[#This Row],[tipo_equipe_id]]=Metas[equipe])*(Metas_Diarias[[#This Row],[data]]&gt;Metas[data_inicio])*(Metas_Diarias[[#This Row],[data]]&lt;Metas[data_fim])),Metas[meta_mensal],0)</f>
        <v>68250</v>
      </c>
      <c r="L1960" s="24">
        <f ca="1">Metas_Diarias[[#This Row],[meta_mensal]]*IF(Metas_Diarias[[#This Row],[semana]]="domingo",0,Metas_Diarias[[#This Row],[semana]])*IF(Metas_Diarias[[#This Row],[feriado]]&lt;&gt;1,0,1)/Metas_Diarias[[#This Row],[dias_úteis_Mês]]</f>
        <v>1516.6666666666667</v>
      </c>
    </row>
    <row r="1961" spans="2:12" x14ac:dyDescent="0.3">
      <c r="B1961" s="34">
        <v>46152</v>
      </c>
      <c r="C1961" s="34" t="str">
        <f>TEXT(Metas_Diarias[[#This Row],[data]],"dddd")</f>
        <v>domingo</v>
      </c>
      <c r="D1961" s="33">
        <v>5</v>
      </c>
      <c r="E1961" s="33">
        <v>5</v>
      </c>
      <c r="F1961" s="18"/>
      <c r="G1961" s="35">
        <f>WEEKDAY(Metas_Diarias[[#This Row],[data]])</f>
        <v>1</v>
      </c>
      <c r="H1961" s="35" t="str">
        <f>IF(Metas_Diarias[[#This Row],[dias_da_demana]]=1,"domingo",IF(Metas_Diarias[[#This Row],[dias_da_demana]]=7,0.5,1))</f>
        <v>domingo</v>
      </c>
      <c r="I1961" s="35">
        <f>_xlfn.XLOOKUP(Metas_Diarias[[#This Row],[data]],Feriados[Data],Feriados[Feriado],1)</f>
        <v>1</v>
      </c>
      <c r="J1961" s="33" cm="1">
        <f t="array" aca="1" ref="J1961" ca="1">SUMPRODUCT(IF((NOT(ISERROR(MATCH(ROW(INDIRECT(DATE(YEAR(B1961),MONTH(B1961),1)&amp;":"&amp;DATE(YEAR(B1961),MONTH(B1961)+1,0))),Feriados[Data],0))))=FALSE,
IF(WEEKDAY(ROW(INDIRECT(DATE(YEAR(B1961),MONTH(B1961),1)&amp;":"&amp;DATE(YEAR(B1961),MONTH(B1961)+1,0))),2)&lt;=5,1,IF(WEEKDAY(ROW(INDIRECT(DATE(YEAR(B1961),MONTH(B1961),1)&amp;":"&amp;DATE(YEAR(B1961),MONTH(B1961)+1,0))),2)=6,0.5,0)),0))</f>
        <v>22.5</v>
      </c>
      <c r="K1961" s="22" cm="1">
        <f t="array" ref="K1961">_xlfn.XLOOKUP(1,((Metas_Diarias[[#This Row],[tipo_equipe_id]]=Metas[equipe])*(Metas_Diarias[[#This Row],[data]]&gt;Metas[data_inicio])*(Metas_Diarias[[#This Row],[data]]&lt;Metas[data_fim])),Metas[meta_mensal],0)</f>
        <v>68250</v>
      </c>
      <c r="L19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62" spans="2:12" x14ac:dyDescent="0.3">
      <c r="B1962" s="34">
        <v>46153</v>
      </c>
      <c r="C1962" s="34" t="str">
        <f>TEXT(Metas_Diarias[[#This Row],[data]],"dddd")</f>
        <v>segunda-feira</v>
      </c>
      <c r="D1962" s="33">
        <v>5</v>
      </c>
      <c r="E1962" s="33">
        <v>5</v>
      </c>
      <c r="F1962" s="18"/>
      <c r="G1962" s="35">
        <f>WEEKDAY(Metas_Diarias[[#This Row],[data]])</f>
        <v>2</v>
      </c>
      <c r="H1962" s="35">
        <f>IF(Metas_Diarias[[#This Row],[dias_da_demana]]=1,"domingo",IF(Metas_Diarias[[#This Row],[dias_da_demana]]=7,0.5,1))</f>
        <v>1</v>
      </c>
      <c r="I1962" s="35">
        <f>_xlfn.XLOOKUP(Metas_Diarias[[#This Row],[data]],Feriados[Data],Feriados[Feriado],1)</f>
        <v>1</v>
      </c>
      <c r="J1962" s="33" cm="1">
        <f t="array" aca="1" ref="J1962" ca="1">SUMPRODUCT(IF((NOT(ISERROR(MATCH(ROW(INDIRECT(DATE(YEAR(B1962),MONTH(B1962),1)&amp;":"&amp;DATE(YEAR(B1962),MONTH(B1962)+1,0))),Feriados[Data],0))))=FALSE,
IF(WEEKDAY(ROW(INDIRECT(DATE(YEAR(B1962),MONTH(B1962),1)&amp;":"&amp;DATE(YEAR(B1962),MONTH(B1962)+1,0))),2)&lt;=5,1,IF(WEEKDAY(ROW(INDIRECT(DATE(YEAR(B1962),MONTH(B1962),1)&amp;":"&amp;DATE(YEAR(B1962),MONTH(B1962)+1,0))),2)=6,0.5,0)),0))</f>
        <v>22.5</v>
      </c>
      <c r="K1962" s="22" cm="1">
        <f t="array" ref="K1962">_xlfn.XLOOKUP(1,((Metas_Diarias[[#This Row],[tipo_equipe_id]]=Metas[equipe])*(Metas_Diarias[[#This Row],[data]]&gt;Metas[data_inicio])*(Metas_Diarias[[#This Row],[data]]&lt;Metas[data_fim])),Metas[meta_mensal],0)</f>
        <v>68250</v>
      </c>
      <c r="L1962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63" spans="2:12" x14ac:dyDescent="0.3">
      <c r="B1963" s="34">
        <v>46154</v>
      </c>
      <c r="C1963" s="34" t="str">
        <f>TEXT(Metas_Diarias[[#This Row],[data]],"dddd")</f>
        <v>terça-feira</v>
      </c>
      <c r="D1963" s="33">
        <v>5</v>
      </c>
      <c r="E1963" s="33">
        <v>5</v>
      </c>
      <c r="F1963" s="18"/>
      <c r="G1963" s="35">
        <f>WEEKDAY(Metas_Diarias[[#This Row],[data]])</f>
        <v>3</v>
      </c>
      <c r="H1963" s="35">
        <f>IF(Metas_Diarias[[#This Row],[dias_da_demana]]=1,"domingo",IF(Metas_Diarias[[#This Row],[dias_da_demana]]=7,0.5,1))</f>
        <v>1</v>
      </c>
      <c r="I1963" s="35">
        <f>_xlfn.XLOOKUP(Metas_Diarias[[#This Row],[data]],Feriados[Data],Feriados[Feriado],1)</f>
        <v>1</v>
      </c>
      <c r="J1963" s="33" cm="1">
        <f t="array" aca="1" ref="J1963" ca="1">SUMPRODUCT(IF((NOT(ISERROR(MATCH(ROW(INDIRECT(DATE(YEAR(B1963),MONTH(B1963),1)&amp;":"&amp;DATE(YEAR(B1963),MONTH(B1963)+1,0))),Feriados[Data],0))))=FALSE,
IF(WEEKDAY(ROW(INDIRECT(DATE(YEAR(B1963),MONTH(B1963),1)&amp;":"&amp;DATE(YEAR(B1963),MONTH(B1963)+1,0))),2)&lt;=5,1,IF(WEEKDAY(ROW(INDIRECT(DATE(YEAR(B1963),MONTH(B1963),1)&amp;":"&amp;DATE(YEAR(B1963),MONTH(B1963)+1,0))),2)=6,0.5,0)),0))</f>
        <v>22.5</v>
      </c>
      <c r="K1963" s="22" cm="1">
        <f t="array" ref="K1963">_xlfn.XLOOKUP(1,((Metas_Diarias[[#This Row],[tipo_equipe_id]]=Metas[equipe])*(Metas_Diarias[[#This Row],[data]]&gt;Metas[data_inicio])*(Metas_Diarias[[#This Row],[data]]&lt;Metas[data_fim])),Metas[meta_mensal],0)</f>
        <v>68250</v>
      </c>
      <c r="L1963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64" spans="2:12" x14ac:dyDescent="0.3">
      <c r="B1964" s="34">
        <v>46155</v>
      </c>
      <c r="C1964" s="34" t="str">
        <f>TEXT(Metas_Diarias[[#This Row],[data]],"dddd")</f>
        <v>quarta-feira</v>
      </c>
      <c r="D1964" s="33">
        <v>5</v>
      </c>
      <c r="E1964" s="33">
        <v>5</v>
      </c>
      <c r="F1964" s="18"/>
      <c r="G1964" s="35">
        <f>WEEKDAY(Metas_Diarias[[#This Row],[data]])</f>
        <v>4</v>
      </c>
      <c r="H1964" s="35">
        <f>IF(Metas_Diarias[[#This Row],[dias_da_demana]]=1,"domingo",IF(Metas_Diarias[[#This Row],[dias_da_demana]]=7,0.5,1))</f>
        <v>1</v>
      </c>
      <c r="I1964" s="35">
        <f>_xlfn.XLOOKUP(Metas_Diarias[[#This Row],[data]],Feriados[Data],Feriados[Feriado],1)</f>
        <v>1</v>
      </c>
      <c r="J1964" s="33" cm="1">
        <f t="array" aca="1" ref="J1964" ca="1">SUMPRODUCT(IF((NOT(ISERROR(MATCH(ROW(INDIRECT(DATE(YEAR(B1964),MONTH(B1964),1)&amp;":"&amp;DATE(YEAR(B1964),MONTH(B1964)+1,0))),Feriados[Data],0))))=FALSE,
IF(WEEKDAY(ROW(INDIRECT(DATE(YEAR(B1964),MONTH(B1964),1)&amp;":"&amp;DATE(YEAR(B1964),MONTH(B1964)+1,0))),2)&lt;=5,1,IF(WEEKDAY(ROW(INDIRECT(DATE(YEAR(B1964),MONTH(B1964),1)&amp;":"&amp;DATE(YEAR(B1964),MONTH(B1964)+1,0))),2)=6,0.5,0)),0))</f>
        <v>22.5</v>
      </c>
      <c r="K1964" s="22" cm="1">
        <f t="array" ref="K1964">_xlfn.XLOOKUP(1,((Metas_Diarias[[#This Row],[tipo_equipe_id]]=Metas[equipe])*(Metas_Diarias[[#This Row],[data]]&gt;Metas[data_inicio])*(Metas_Diarias[[#This Row],[data]]&lt;Metas[data_fim])),Metas[meta_mensal],0)</f>
        <v>68250</v>
      </c>
      <c r="L1964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65" spans="2:12" x14ac:dyDescent="0.3">
      <c r="B1965" s="34">
        <v>46156</v>
      </c>
      <c r="C1965" s="34" t="str">
        <f>TEXT(Metas_Diarias[[#This Row],[data]],"dddd")</f>
        <v>quinta-feira</v>
      </c>
      <c r="D1965" s="33">
        <v>5</v>
      </c>
      <c r="E1965" s="33">
        <v>5</v>
      </c>
      <c r="F1965" s="18"/>
      <c r="G1965" s="35">
        <f>WEEKDAY(Metas_Diarias[[#This Row],[data]])</f>
        <v>5</v>
      </c>
      <c r="H1965" s="35">
        <f>IF(Metas_Diarias[[#This Row],[dias_da_demana]]=1,"domingo",IF(Metas_Diarias[[#This Row],[dias_da_demana]]=7,0.5,1))</f>
        <v>1</v>
      </c>
      <c r="I1965" s="35">
        <f>_xlfn.XLOOKUP(Metas_Diarias[[#This Row],[data]],Feriados[Data],Feriados[Feriado],1)</f>
        <v>1</v>
      </c>
      <c r="J1965" s="33" cm="1">
        <f t="array" aca="1" ref="J1965" ca="1">SUMPRODUCT(IF((NOT(ISERROR(MATCH(ROW(INDIRECT(DATE(YEAR(B1965),MONTH(B1965),1)&amp;":"&amp;DATE(YEAR(B1965),MONTH(B1965)+1,0))),Feriados[Data],0))))=FALSE,
IF(WEEKDAY(ROW(INDIRECT(DATE(YEAR(B1965),MONTH(B1965),1)&amp;":"&amp;DATE(YEAR(B1965),MONTH(B1965)+1,0))),2)&lt;=5,1,IF(WEEKDAY(ROW(INDIRECT(DATE(YEAR(B1965),MONTH(B1965),1)&amp;":"&amp;DATE(YEAR(B1965),MONTH(B1965)+1,0))),2)=6,0.5,0)),0))</f>
        <v>22.5</v>
      </c>
      <c r="K1965" s="22" cm="1">
        <f t="array" ref="K1965">_xlfn.XLOOKUP(1,((Metas_Diarias[[#This Row],[tipo_equipe_id]]=Metas[equipe])*(Metas_Diarias[[#This Row],[data]]&gt;Metas[data_inicio])*(Metas_Diarias[[#This Row],[data]]&lt;Metas[data_fim])),Metas[meta_mensal],0)</f>
        <v>68250</v>
      </c>
      <c r="L1965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66" spans="2:12" x14ac:dyDescent="0.3">
      <c r="B1966" s="34">
        <v>46157</v>
      </c>
      <c r="C1966" s="34" t="str">
        <f>TEXT(Metas_Diarias[[#This Row],[data]],"dddd")</f>
        <v>sexta-feira</v>
      </c>
      <c r="D1966" s="33">
        <v>5</v>
      </c>
      <c r="E1966" s="33">
        <v>5</v>
      </c>
      <c r="F1966" s="18"/>
      <c r="G1966" s="35">
        <f>WEEKDAY(Metas_Diarias[[#This Row],[data]])</f>
        <v>6</v>
      </c>
      <c r="H1966" s="35">
        <f>IF(Metas_Diarias[[#This Row],[dias_da_demana]]=1,"domingo",IF(Metas_Diarias[[#This Row],[dias_da_demana]]=7,0.5,1))</f>
        <v>1</v>
      </c>
      <c r="I1966" s="35">
        <f>_xlfn.XLOOKUP(Metas_Diarias[[#This Row],[data]],Feriados[Data],Feriados[Feriado],1)</f>
        <v>1</v>
      </c>
      <c r="J1966" s="33" cm="1">
        <f t="array" aca="1" ref="J1966" ca="1">SUMPRODUCT(IF((NOT(ISERROR(MATCH(ROW(INDIRECT(DATE(YEAR(B1966),MONTH(B1966),1)&amp;":"&amp;DATE(YEAR(B1966),MONTH(B1966)+1,0))),Feriados[Data],0))))=FALSE,
IF(WEEKDAY(ROW(INDIRECT(DATE(YEAR(B1966),MONTH(B1966),1)&amp;":"&amp;DATE(YEAR(B1966),MONTH(B1966)+1,0))),2)&lt;=5,1,IF(WEEKDAY(ROW(INDIRECT(DATE(YEAR(B1966),MONTH(B1966),1)&amp;":"&amp;DATE(YEAR(B1966),MONTH(B1966)+1,0))),2)=6,0.5,0)),0))</f>
        <v>22.5</v>
      </c>
      <c r="K1966" s="22" cm="1">
        <f t="array" ref="K1966">_xlfn.XLOOKUP(1,((Metas_Diarias[[#This Row],[tipo_equipe_id]]=Metas[equipe])*(Metas_Diarias[[#This Row],[data]]&gt;Metas[data_inicio])*(Metas_Diarias[[#This Row],[data]]&lt;Metas[data_fim])),Metas[meta_mensal],0)</f>
        <v>68250</v>
      </c>
      <c r="L1966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67" spans="2:12" x14ac:dyDescent="0.3">
      <c r="B1967" s="34">
        <v>46158</v>
      </c>
      <c r="C1967" s="34" t="str">
        <f>TEXT(Metas_Diarias[[#This Row],[data]],"dddd")</f>
        <v>sábado</v>
      </c>
      <c r="D1967" s="33">
        <v>5</v>
      </c>
      <c r="E1967" s="33">
        <v>5</v>
      </c>
      <c r="F1967" s="18"/>
      <c r="G1967" s="35">
        <f>WEEKDAY(Metas_Diarias[[#This Row],[data]])</f>
        <v>7</v>
      </c>
      <c r="H1967" s="35">
        <f>IF(Metas_Diarias[[#This Row],[dias_da_demana]]=1,"domingo",IF(Metas_Diarias[[#This Row],[dias_da_demana]]=7,0.5,1))</f>
        <v>0.5</v>
      </c>
      <c r="I1967" s="35">
        <f>_xlfn.XLOOKUP(Metas_Diarias[[#This Row],[data]],Feriados[Data],Feriados[Feriado],1)</f>
        <v>1</v>
      </c>
      <c r="J1967" s="33" cm="1">
        <f t="array" aca="1" ref="J1967" ca="1">SUMPRODUCT(IF((NOT(ISERROR(MATCH(ROW(INDIRECT(DATE(YEAR(B1967),MONTH(B1967),1)&amp;":"&amp;DATE(YEAR(B1967),MONTH(B1967)+1,0))),Feriados[Data],0))))=FALSE,
IF(WEEKDAY(ROW(INDIRECT(DATE(YEAR(B1967),MONTH(B1967),1)&amp;":"&amp;DATE(YEAR(B1967),MONTH(B1967)+1,0))),2)&lt;=5,1,IF(WEEKDAY(ROW(INDIRECT(DATE(YEAR(B1967),MONTH(B1967),1)&amp;":"&amp;DATE(YEAR(B1967),MONTH(B1967)+1,0))),2)=6,0.5,0)),0))</f>
        <v>22.5</v>
      </c>
      <c r="K1967" s="22" cm="1">
        <f t="array" ref="K1967">_xlfn.XLOOKUP(1,((Metas_Diarias[[#This Row],[tipo_equipe_id]]=Metas[equipe])*(Metas_Diarias[[#This Row],[data]]&gt;Metas[data_inicio])*(Metas_Diarias[[#This Row],[data]]&lt;Metas[data_fim])),Metas[meta_mensal],0)</f>
        <v>68250</v>
      </c>
      <c r="L1967" s="24">
        <f ca="1">Metas_Diarias[[#This Row],[meta_mensal]]*IF(Metas_Diarias[[#This Row],[semana]]="domingo",0,Metas_Diarias[[#This Row],[semana]])*IF(Metas_Diarias[[#This Row],[feriado]]&lt;&gt;1,0,1)/Metas_Diarias[[#This Row],[dias_úteis_Mês]]</f>
        <v>1516.6666666666667</v>
      </c>
    </row>
    <row r="1968" spans="2:12" x14ac:dyDescent="0.3">
      <c r="B1968" s="34">
        <v>46159</v>
      </c>
      <c r="C1968" s="34" t="str">
        <f>TEXT(Metas_Diarias[[#This Row],[data]],"dddd")</f>
        <v>domingo</v>
      </c>
      <c r="D1968" s="33">
        <v>5</v>
      </c>
      <c r="E1968" s="33">
        <v>5</v>
      </c>
      <c r="F1968" s="18"/>
      <c r="G1968" s="35">
        <f>WEEKDAY(Metas_Diarias[[#This Row],[data]])</f>
        <v>1</v>
      </c>
      <c r="H1968" s="35" t="str">
        <f>IF(Metas_Diarias[[#This Row],[dias_da_demana]]=1,"domingo",IF(Metas_Diarias[[#This Row],[dias_da_demana]]=7,0.5,1))</f>
        <v>domingo</v>
      </c>
      <c r="I1968" s="35">
        <f>_xlfn.XLOOKUP(Metas_Diarias[[#This Row],[data]],Feriados[Data],Feriados[Feriado],1)</f>
        <v>1</v>
      </c>
      <c r="J1968" s="33" cm="1">
        <f t="array" aca="1" ref="J1968" ca="1">SUMPRODUCT(IF((NOT(ISERROR(MATCH(ROW(INDIRECT(DATE(YEAR(B1968),MONTH(B1968),1)&amp;":"&amp;DATE(YEAR(B1968),MONTH(B1968)+1,0))),Feriados[Data],0))))=FALSE,
IF(WEEKDAY(ROW(INDIRECT(DATE(YEAR(B1968),MONTH(B1968),1)&amp;":"&amp;DATE(YEAR(B1968),MONTH(B1968)+1,0))),2)&lt;=5,1,IF(WEEKDAY(ROW(INDIRECT(DATE(YEAR(B1968),MONTH(B1968),1)&amp;":"&amp;DATE(YEAR(B1968),MONTH(B1968)+1,0))),2)=6,0.5,0)),0))</f>
        <v>22.5</v>
      </c>
      <c r="K1968" s="22" cm="1">
        <f t="array" ref="K1968">_xlfn.XLOOKUP(1,((Metas_Diarias[[#This Row],[tipo_equipe_id]]=Metas[equipe])*(Metas_Diarias[[#This Row],[data]]&gt;Metas[data_inicio])*(Metas_Diarias[[#This Row],[data]]&lt;Metas[data_fim])),Metas[meta_mensal],0)</f>
        <v>68250</v>
      </c>
      <c r="L19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69" spans="2:12" x14ac:dyDescent="0.3">
      <c r="B1969" s="34">
        <v>46160</v>
      </c>
      <c r="C1969" s="34" t="str">
        <f>TEXT(Metas_Diarias[[#This Row],[data]],"dddd")</f>
        <v>segunda-feira</v>
      </c>
      <c r="D1969" s="33">
        <v>5</v>
      </c>
      <c r="E1969" s="33">
        <v>5</v>
      </c>
      <c r="F1969" s="18"/>
      <c r="G1969" s="35">
        <f>WEEKDAY(Metas_Diarias[[#This Row],[data]])</f>
        <v>2</v>
      </c>
      <c r="H1969" s="35">
        <f>IF(Metas_Diarias[[#This Row],[dias_da_demana]]=1,"domingo",IF(Metas_Diarias[[#This Row],[dias_da_demana]]=7,0.5,1))</f>
        <v>1</v>
      </c>
      <c r="I1969" s="35">
        <f>_xlfn.XLOOKUP(Metas_Diarias[[#This Row],[data]],Feriados[Data],Feriados[Feriado],1)</f>
        <v>1</v>
      </c>
      <c r="J1969" s="33" cm="1">
        <f t="array" aca="1" ref="J1969" ca="1">SUMPRODUCT(IF((NOT(ISERROR(MATCH(ROW(INDIRECT(DATE(YEAR(B1969),MONTH(B1969),1)&amp;":"&amp;DATE(YEAR(B1969),MONTH(B1969)+1,0))),Feriados[Data],0))))=FALSE,
IF(WEEKDAY(ROW(INDIRECT(DATE(YEAR(B1969),MONTH(B1969),1)&amp;":"&amp;DATE(YEAR(B1969),MONTH(B1969)+1,0))),2)&lt;=5,1,IF(WEEKDAY(ROW(INDIRECT(DATE(YEAR(B1969),MONTH(B1969),1)&amp;":"&amp;DATE(YEAR(B1969),MONTH(B1969)+1,0))),2)=6,0.5,0)),0))</f>
        <v>22.5</v>
      </c>
      <c r="K1969" s="22" cm="1">
        <f t="array" ref="K1969">_xlfn.XLOOKUP(1,((Metas_Diarias[[#This Row],[tipo_equipe_id]]=Metas[equipe])*(Metas_Diarias[[#This Row],[data]]&gt;Metas[data_inicio])*(Metas_Diarias[[#This Row],[data]]&lt;Metas[data_fim])),Metas[meta_mensal],0)</f>
        <v>68250</v>
      </c>
      <c r="L1969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70" spans="2:12" x14ac:dyDescent="0.3">
      <c r="B1970" s="34">
        <v>46161</v>
      </c>
      <c r="C1970" s="34" t="str">
        <f>TEXT(Metas_Diarias[[#This Row],[data]],"dddd")</f>
        <v>terça-feira</v>
      </c>
      <c r="D1970" s="33">
        <v>5</v>
      </c>
      <c r="E1970" s="33">
        <v>5</v>
      </c>
      <c r="F1970" s="18"/>
      <c r="G1970" s="35">
        <f>WEEKDAY(Metas_Diarias[[#This Row],[data]])</f>
        <v>3</v>
      </c>
      <c r="H1970" s="35">
        <f>IF(Metas_Diarias[[#This Row],[dias_da_demana]]=1,"domingo",IF(Metas_Diarias[[#This Row],[dias_da_demana]]=7,0.5,1))</f>
        <v>1</v>
      </c>
      <c r="I1970" s="35">
        <f>_xlfn.XLOOKUP(Metas_Diarias[[#This Row],[data]],Feriados[Data],Feriados[Feriado],1)</f>
        <v>1</v>
      </c>
      <c r="J1970" s="33" cm="1">
        <f t="array" aca="1" ref="J1970" ca="1">SUMPRODUCT(IF((NOT(ISERROR(MATCH(ROW(INDIRECT(DATE(YEAR(B1970),MONTH(B1970),1)&amp;":"&amp;DATE(YEAR(B1970),MONTH(B1970)+1,0))),Feriados[Data],0))))=FALSE,
IF(WEEKDAY(ROW(INDIRECT(DATE(YEAR(B1970),MONTH(B1970),1)&amp;":"&amp;DATE(YEAR(B1970),MONTH(B1970)+1,0))),2)&lt;=5,1,IF(WEEKDAY(ROW(INDIRECT(DATE(YEAR(B1970),MONTH(B1970),1)&amp;":"&amp;DATE(YEAR(B1970),MONTH(B1970)+1,0))),2)=6,0.5,0)),0))</f>
        <v>22.5</v>
      </c>
      <c r="K1970" s="22" cm="1">
        <f t="array" ref="K1970">_xlfn.XLOOKUP(1,((Metas_Diarias[[#This Row],[tipo_equipe_id]]=Metas[equipe])*(Metas_Diarias[[#This Row],[data]]&gt;Metas[data_inicio])*(Metas_Diarias[[#This Row],[data]]&lt;Metas[data_fim])),Metas[meta_mensal],0)</f>
        <v>68250</v>
      </c>
      <c r="L1970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71" spans="2:12" x14ac:dyDescent="0.3">
      <c r="B1971" s="34">
        <v>46162</v>
      </c>
      <c r="C1971" s="34" t="str">
        <f>TEXT(Metas_Diarias[[#This Row],[data]],"dddd")</f>
        <v>quarta-feira</v>
      </c>
      <c r="D1971" s="33">
        <v>5</v>
      </c>
      <c r="E1971" s="33">
        <v>5</v>
      </c>
      <c r="F1971" s="18"/>
      <c r="G1971" s="35">
        <f>WEEKDAY(Metas_Diarias[[#This Row],[data]])</f>
        <v>4</v>
      </c>
      <c r="H1971" s="35">
        <f>IF(Metas_Diarias[[#This Row],[dias_da_demana]]=1,"domingo",IF(Metas_Diarias[[#This Row],[dias_da_demana]]=7,0.5,1))</f>
        <v>1</v>
      </c>
      <c r="I1971" s="35">
        <f>_xlfn.XLOOKUP(Metas_Diarias[[#This Row],[data]],Feriados[Data],Feriados[Feriado],1)</f>
        <v>1</v>
      </c>
      <c r="J1971" s="33" cm="1">
        <f t="array" aca="1" ref="J1971" ca="1">SUMPRODUCT(IF((NOT(ISERROR(MATCH(ROW(INDIRECT(DATE(YEAR(B1971),MONTH(B1971),1)&amp;":"&amp;DATE(YEAR(B1971),MONTH(B1971)+1,0))),Feriados[Data],0))))=FALSE,
IF(WEEKDAY(ROW(INDIRECT(DATE(YEAR(B1971),MONTH(B1971),1)&amp;":"&amp;DATE(YEAR(B1971),MONTH(B1971)+1,0))),2)&lt;=5,1,IF(WEEKDAY(ROW(INDIRECT(DATE(YEAR(B1971),MONTH(B1971),1)&amp;":"&amp;DATE(YEAR(B1971),MONTH(B1971)+1,0))),2)=6,0.5,0)),0))</f>
        <v>22.5</v>
      </c>
      <c r="K1971" s="22" cm="1">
        <f t="array" ref="K1971">_xlfn.XLOOKUP(1,((Metas_Diarias[[#This Row],[tipo_equipe_id]]=Metas[equipe])*(Metas_Diarias[[#This Row],[data]]&gt;Metas[data_inicio])*(Metas_Diarias[[#This Row],[data]]&lt;Metas[data_fim])),Metas[meta_mensal],0)</f>
        <v>68250</v>
      </c>
      <c r="L1971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72" spans="2:12" x14ac:dyDescent="0.3">
      <c r="B1972" s="34">
        <v>46163</v>
      </c>
      <c r="C1972" s="34" t="str">
        <f>TEXT(Metas_Diarias[[#This Row],[data]],"dddd")</f>
        <v>quinta-feira</v>
      </c>
      <c r="D1972" s="33">
        <v>5</v>
      </c>
      <c r="E1972" s="33">
        <v>5</v>
      </c>
      <c r="F1972" s="18"/>
      <c r="G1972" s="35">
        <f>WEEKDAY(Metas_Diarias[[#This Row],[data]])</f>
        <v>5</v>
      </c>
      <c r="H1972" s="35">
        <f>IF(Metas_Diarias[[#This Row],[dias_da_demana]]=1,"domingo",IF(Metas_Diarias[[#This Row],[dias_da_demana]]=7,0.5,1))</f>
        <v>1</v>
      </c>
      <c r="I1972" s="35">
        <f>_xlfn.XLOOKUP(Metas_Diarias[[#This Row],[data]],Feriados[Data],Feriados[Feriado],1)</f>
        <v>1</v>
      </c>
      <c r="J1972" s="33" cm="1">
        <f t="array" aca="1" ref="J1972" ca="1">SUMPRODUCT(IF((NOT(ISERROR(MATCH(ROW(INDIRECT(DATE(YEAR(B1972),MONTH(B1972),1)&amp;":"&amp;DATE(YEAR(B1972),MONTH(B1972)+1,0))),Feriados[Data],0))))=FALSE,
IF(WEEKDAY(ROW(INDIRECT(DATE(YEAR(B1972),MONTH(B1972),1)&amp;":"&amp;DATE(YEAR(B1972),MONTH(B1972)+1,0))),2)&lt;=5,1,IF(WEEKDAY(ROW(INDIRECT(DATE(YEAR(B1972),MONTH(B1972),1)&amp;":"&amp;DATE(YEAR(B1972),MONTH(B1972)+1,0))),2)=6,0.5,0)),0))</f>
        <v>22.5</v>
      </c>
      <c r="K1972" s="22" cm="1">
        <f t="array" ref="K1972">_xlfn.XLOOKUP(1,((Metas_Diarias[[#This Row],[tipo_equipe_id]]=Metas[equipe])*(Metas_Diarias[[#This Row],[data]]&gt;Metas[data_inicio])*(Metas_Diarias[[#This Row],[data]]&lt;Metas[data_fim])),Metas[meta_mensal],0)</f>
        <v>68250</v>
      </c>
      <c r="L1972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73" spans="2:12" x14ac:dyDescent="0.3">
      <c r="B1973" s="34">
        <v>46164</v>
      </c>
      <c r="C1973" s="34" t="str">
        <f>TEXT(Metas_Diarias[[#This Row],[data]],"dddd")</f>
        <v>sexta-feira</v>
      </c>
      <c r="D1973" s="33">
        <v>5</v>
      </c>
      <c r="E1973" s="33">
        <v>5</v>
      </c>
      <c r="F1973" s="18"/>
      <c r="G1973" s="35">
        <f>WEEKDAY(Metas_Diarias[[#This Row],[data]])</f>
        <v>6</v>
      </c>
      <c r="H1973" s="35">
        <f>IF(Metas_Diarias[[#This Row],[dias_da_demana]]=1,"domingo",IF(Metas_Diarias[[#This Row],[dias_da_demana]]=7,0.5,1))</f>
        <v>1</v>
      </c>
      <c r="I1973" s="35">
        <f>_xlfn.XLOOKUP(Metas_Diarias[[#This Row],[data]],Feriados[Data],Feriados[Feriado],1)</f>
        <v>1</v>
      </c>
      <c r="J1973" s="33" cm="1">
        <f t="array" aca="1" ref="J1973" ca="1">SUMPRODUCT(IF((NOT(ISERROR(MATCH(ROW(INDIRECT(DATE(YEAR(B1973),MONTH(B1973),1)&amp;":"&amp;DATE(YEAR(B1973),MONTH(B1973)+1,0))),Feriados[Data],0))))=FALSE,
IF(WEEKDAY(ROW(INDIRECT(DATE(YEAR(B1973),MONTH(B1973),1)&amp;":"&amp;DATE(YEAR(B1973),MONTH(B1973)+1,0))),2)&lt;=5,1,IF(WEEKDAY(ROW(INDIRECT(DATE(YEAR(B1973),MONTH(B1973),1)&amp;":"&amp;DATE(YEAR(B1973),MONTH(B1973)+1,0))),2)=6,0.5,0)),0))</f>
        <v>22.5</v>
      </c>
      <c r="K1973" s="22" cm="1">
        <f t="array" ref="K1973">_xlfn.XLOOKUP(1,((Metas_Diarias[[#This Row],[tipo_equipe_id]]=Metas[equipe])*(Metas_Diarias[[#This Row],[data]]&gt;Metas[data_inicio])*(Metas_Diarias[[#This Row],[data]]&lt;Metas[data_fim])),Metas[meta_mensal],0)</f>
        <v>68250</v>
      </c>
      <c r="L1973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74" spans="2:12" x14ac:dyDescent="0.3">
      <c r="B1974" s="34">
        <v>46165</v>
      </c>
      <c r="C1974" s="34" t="str">
        <f>TEXT(Metas_Diarias[[#This Row],[data]],"dddd")</f>
        <v>sábado</v>
      </c>
      <c r="D1974" s="33">
        <v>5</v>
      </c>
      <c r="E1974" s="33">
        <v>5</v>
      </c>
      <c r="F1974" s="18"/>
      <c r="G1974" s="35">
        <f>WEEKDAY(Metas_Diarias[[#This Row],[data]])</f>
        <v>7</v>
      </c>
      <c r="H1974" s="35">
        <f>IF(Metas_Diarias[[#This Row],[dias_da_demana]]=1,"domingo",IF(Metas_Diarias[[#This Row],[dias_da_demana]]=7,0.5,1))</f>
        <v>0.5</v>
      </c>
      <c r="I1974" s="35">
        <f>_xlfn.XLOOKUP(Metas_Diarias[[#This Row],[data]],Feriados[Data],Feriados[Feriado],1)</f>
        <v>1</v>
      </c>
      <c r="J1974" s="33" cm="1">
        <f t="array" aca="1" ref="J1974" ca="1">SUMPRODUCT(IF((NOT(ISERROR(MATCH(ROW(INDIRECT(DATE(YEAR(B1974),MONTH(B1974),1)&amp;":"&amp;DATE(YEAR(B1974),MONTH(B1974)+1,0))),Feriados[Data],0))))=FALSE,
IF(WEEKDAY(ROW(INDIRECT(DATE(YEAR(B1974),MONTH(B1974),1)&amp;":"&amp;DATE(YEAR(B1974),MONTH(B1974)+1,0))),2)&lt;=5,1,IF(WEEKDAY(ROW(INDIRECT(DATE(YEAR(B1974),MONTH(B1974),1)&amp;":"&amp;DATE(YEAR(B1974),MONTH(B1974)+1,0))),2)=6,0.5,0)),0))</f>
        <v>22.5</v>
      </c>
      <c r="K1974" s="22" cm="1">
        <f t="array" ref="K1974">_xlfn.XLOOKUP(1,((Metas_Diarias[[#This Row],[tipo_equipe_id]]=Metas[equipe])*(Metas_Diarias[[#This Row],[data]]&gt;Metas[data_inicio])*(Metas_Diarias[[#This Row],[data]]&lt;Metas[data_fim])),Metas[meta_mensal],0)</f>
        <v>68250</v>
      </c>
      <c r="L1974" s="24">
        <f ca="1">Metas_Diarias[[#This Row],[meta_mensal]]*IF(Metas_Diarias[[#This Row],[semana]]="domingo",0,Metas_Diarias[[#This Row],[semana]])*IF(Metas_Diarias[[#This Row],[feriado]]&lt;&gt;1,0,1)/Metas_Diarias[[#This Row],[dias_úteis_Mês]]</f>
        <v>1516.6666666666667</v>
      </c>
    </row>
    <row r="1975" spans="2:12" x14ac:dyDescent="0.3">
      <c r="B1975" s="34">
        <v>46166</v>
      </c>
      <c r="C1975" s="34" t="str">
        <f>TEXT(Metas_Diarias[[#This Row],[data]],"dddd")</f>
        <v>domingo</v>
      </c>
      <c r="D1975" s="33">
        <v>5</v>
      </c>
      <c r="E1975" s="33">
        <v>5</v>
      </c>
      <c r="F1975" s="18"/>
      <c r="G1975" s="35">
        <f>WEEKDAY(Metas_Diarias[[#This Row],[data]])</f>
        <v>1</v>
      </c>
      <c r="H1975" s="35" t="str">
        <f>IF(Metas_Diarias[[#This Row],[dias_da_demana]]=1,"domingo",IF(Metas_Diarias[[#This Row],[dias_da_demana]]=7,0.5,1))</f>
        <v>domingo</v>
      </c>
      <c r="I1975" s="35">
        <f>_xlfn.XLOOKUP(Metas_Diarias[[#This Row],[data]],Feriados[Data],Feriados[Feriado],1)</f>
        <v>1</v>
      </c>
      <c r="J1975" s="33" cm="1">
        <f t="array" aca="1" ref="J1975" ca="1">SUMPRODUCT(IF((NOT(ISERROR(MATCH(ROW(INDIRECT(DATE(YEAR(B1975),MONTH(B1975),1)&amp;":"&amp;DATE(YEAR(B1975),MONTH(B1975)+1,0))),Feriados[Data],0))))=FALSE,
IF(WEEKDAY(ROW(INDIRECT(DATE(YEAR(B1975),MONTH(B1975),1)&amp;":"&amp;DATE(YEAR(B1975),MONTH(B1975)+1,0))),2)&lt;=5,1,IF(WEEKDAY(ROW(INDIRECT(DATE(YEAR(B1975),MONTH(B1975),1)&amp;":"&amp;DATE(YEAR(B1975),MONTH(B1975)+1,0))),2)=6,0.5,0)),0))</f>
        <v>22.5</v>
      </c>
      <c r="K1975" s="22" cm="1">
        <f t="array" ref="K1975">_xlfn.XLOOKUP(1,((Metas_Diarias[[#This Row],[tipo_equipe_id]]=Metas[equipe])*(Metas_Diarias[[#This Row],[data]]&gt;Metas[data_inicio])*(Metas_Diarias[[#This Row],[data]]&lt;Metas[data_fim])),Metas[meta_mensal],0)</f>
        <v>68250</v>
      </c>
      <c r="L19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76" spans="2:12" x14ac:dyDescent="0.3">
      <c r="B1976" s="34">
        <v>46167</v>
      </c>
      <c r="C1976" s="34" t="str">
        <f>TEXT(Metas_Diarias[[#This Row],[data]],"dddd")</f>
        <v>segunda-feira</v>
      </c>
      <c r="D1976" s="33">
        <v>5</v>
      </c>
      <c r="E1976" s="33">
        <v>5</v>
      </c>
      <c r="F1976" s="18"/>
      <c r="G1976" s="35">
        <f>WEEKDAY(Metas_Diarias[[#This Row],[data]])</f>
        <v>2</v>
      </c>
      <c r="H1976" s="35">
        <f>IF(Metas_Diarias[[#This Row],[dias_da_demana]]=1,"domingo",IF(Metas_Diarias[[#This Row],[dias_da_demana]]=7,0.5,1))</f>
        <v>1</v>
      </c>
      <c r="I1976" s="35">
        <f>_xlfn.XLOOKUP(Metas_Diarias[[#This Row],[data]],Feriados[Data],Feriados[Feriado],1)</f>
        <v>1</v>
      </c>
      <c r="J1976" s="33" cm="1">
        <f t="array" aca="1" ref="J1976" ca="1">SUMPRODUCT(IF((NOT(ISERROR(MATCH(ROW(INDIRECT(DATE(YEAR(B1976),MONTH(B1976),1)&amp;":"&amp;DATE(YEAR(B1976),MONTH(B1976)+1,0))),Feriados[Data],0))))=FALSE,
IF(WEEKDAY(ROW(INDIRECT(DATE(YEAR(B1976),MONTH(B1976),1)&amp;":"&amp;DATE(YEAR(B1976),MONTH(B1976)+1,0))),2)&lt;=5,1,IF(WEEKDAY(ROW(INDIRECT(DATE(YEAR(B1976),MONTH(B1976),1)&amp;":"&amp;DATE(YEAR(B1976),MONTH(B1976)+1,0))),2)=6,0.5,0)),0))</f>
        <v>22.5</v>
      </c>
      <c r="K1976" s="22" cm="1">
        <f t="array" ref="K1976">_xlfn.XLOOKUP(1,((Metas_Diarias[[#This Row],[tipo_equipe_id]]=Metas[equipe])*(Metas_Diarias[[#This Row],[data]]&gt;Metas[data_inicio])*(Metas_Diarias[[#This Row],[data]]&lt;Metas[data_fim])),Metas[meta_mensal],0)</f>
        <v>68250</v>
      </c>
      <c r="L1976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77" spans="2:12" x14ac:dyDescent="0.3">
      <c r="B1977" s="34">
        <v>46168</v>
      </c>
      <c r="C1977" s="34" t="str">
        <f>TEXT(Metas_Diarias[[#This Row],[data]],"dddd")</f>
        <v>terça-feira</v>
      </c>
      <c r="D1977" s="33">
        <v>5</v>
      </c>
      <c r="E1977" s="33">
        <v>5</v>
      </c>
      <c r="F1977" s="18"/>
      <c r="G1977" s="35">
        <f>WEEKDAY(Metas_Diarias[[#This Row],[data]])</f>
        <v>3</v>
      </c>
      <c r="H1977" s="35">
        <f>IF(Metas_Diarias[[#This Row],[dias_da_demana]]=1,"domingo",IF(Metas_Diarias[[#This Row],[dias_da_demana]]=7,0.5,1))</f>
        <v>1</v>
      </c>
      <c r="I1977" s="35">
        <f>_xlfn.XLOOKUP(Metas_Diarias[[#This Row],[data]],Feriados[Data],Feriados[Feriado],1)</f>
        <v>1</v>
      </c>
      <c r="J1977" s="33" cm="1">
        <f t="array" aca="1" ref="J1977" ca="1">SUMPRODUCT(IF((NOT(ISERROR(MATCH(ROW(INDIRECT(DATE(YEAR(B1977),MONTH(B1977),1)&amp;":"&amp;DATE(YEAR(B1977),MONTH(B1977)+1,0))),Feriados[Data],0))))=FALSE,
IF(WEEKDAY(ROW(INDIRECT(DATE(YEAR(B1977),MONTH(B1977),1)&amp;":"&amp;DATE(YEAR(B1977),MONTH(B1977)+1,0))),2)&lt;=5,1,IF(WEEKDAY(ROW(INDIRECT(DATE(YEAR(B1977),MONTH(B1977),1)&amp;":"&amp;DATE(YEAR(B1977),MONTH(B1977)+1,0))),2)=6,0.5,0)),0))</f>
        <v>22.5</v>
      </c>
      <c r="K1977" s="22" cm="1">
        <f t="array" ref="K1977">_xlfn.XLOOKUP(1,((Metas_Diarias[[#This Row],[tipo_equipe_id]]=Metas[equipe])*(Metas_Diarias[[#This Row],[data]]&gt;Metas[data_inicio])*(Metas_Diarias[[#This Row],[data]]&lt;Metas[data_fim])),Metas[meta_mensal],0)</f>
        <v>68250</v>
      </c>
      <c r="L1977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78" spans="2:12" x14ac:dyDescent="0.3">
      <c r="B1978" s="34">
        <v>46169</v>
      </c>
      <c r="C1978" s="34" t="str">
        <f>TEXT(Metas_Diarias[[#This Row],[data]],"dddd")</f>
        <v>quarta-feira</v>
      </c>
      <c r="D1978" s="33">
        <v>5</v>
      </c>
      <c r="E1978" s="33">
        <v>5</v>
      </c>
      <c r="F1978" s="18"/>
      <c r="G1978" s="35">
        <f>WEEKDAY(Metas_Diarias[[#This Row],[data]])</f>
        <v>4</v>
      </c>
      <c r="H1978" s="35">
        <f>IF(Metas_Diarias[[#This Row],[dias_da_demana]]=1,"domingo",IF(Metas_Diarias[[#This Row],[dias_da_demana]]=7,0.5,1))</f>
        <v>1</v>
      </c>
      <c r="I1978" s="35">
        <f>_xlfn.XLOOKUP(Metas_Diarias[[#This Row],[data]],Feriados[Data],Feriados[Feriado],1)</f>
        <v>1</v>
      </c>
      <c r="J1978" s="33" cm="1">
        <f t="array" aca="1" ref="J1978" ca="1">SUMPRODUCT(IF((NOT(ISERROR(MATCH(ROW(INDIRECT(DATE(YEAR(B1978),MONTH(B1978),1)&amp;":"&amp;DATE(YEAR(B1978),MONTH(B1978)+1,0))),Feriados[Data],0))))=FALSE,
IF(WEEKDAY(ROW(INDIRECT(DATE(YEAR(B1978),MONTH(B1978),1)&amp;":"&amp;DATE(YEAR(B1978),MONTH(B1978)+1,0))),2)&lt;=5,1,IF(WEEKDAY(ROW(INDIRECT(DATE(YEAR(B1978),MONTH(B1978),1)&amp;":"&amp;DATE(YEAR(B1978),MONTH(B1978)+1,0))),2)=6,0.5,0)),0))</f>
        <v>22.5</v>
      </c>
      <c r="K1978" s="22" cm="1">
        <f t="array" ref="K1978">_xlfn.XLOOKUP(1,((Metas_Diarias[[#This Row],[tipo_equipe_id]]=Metas[equipe])*(Metas_Diarias[[#This Row],[data]]&gt;Metas[data_inicio])*(Metas_Diarias[[#This Row],[data]]&lt;Metas[data_fim])),Metas[meta_mensal],0)</f>
        <v>68250</v>
      </c>
      <c r="L1978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79" spans="2:12" x14ac:dyDescent="0.3">
      <c r="B1979" s="34">
        <v>46170</v>
      </c>
      <c r="C1979" s="34" t="str">
        <f>TEXT(Metas_Diarias[[#This Row],[data]],"dddd")</f>
        <v>quinta-feira</v>
      </c>
      <c r="D1979" s="33">
        <v>5</v>
      </c>
      <c r="E1979" s="33">
        <v>5</v>
      </c>
      <c r="F1979" s="18"/>
      <c r="G1979" s="35">
        <f>WEEKDAY(Metas_Diarias[[#This Row],[data]])</f>
        <v>5</v>
      </c>
      <c r="H1979" s="35">
        <f>IF(Metas_Diarias[[#This Row],[dias_da_demana]]=1,"domingo",IF(Metas_Diarias[[#This Row],[dias_da_demana]]=7,0.5,1))</f>
        <v>1</v>
      </c>
      <c r="I1979" s="35">
        <f>_xlfn.XLOOKUP(Metas_Diarias[[#This Row],[data]],Feriados[Data],Feriados[Feriado],1)</f>
        <v>1</v>
      </c>
      <c r="J1979" s="33" cm="1">
        <f t="array" aca="1" ref="J1979" ca="1">SUMPRODUCT(IF((NOT(ISERROR(MATCH(ROW(INDIRECT(DATE(YEAR(B1979),MONTH(B1979),1)&amp;":"&amp;DATE(YEAR(B1979),MONTH(B1979)+1,0))),Feriados[Data],0))))=FALSE,
IF(WEEKDAY(ROW(INDIRECT(DATE(YEAR(B1979),MONTH(B1979),1)&amp;":"&amp;DATE(YEAR(B1979),MONTH(B1979)+1,0))),2)&lt;=5,1,IF(WEEKDAY(ROW(INDIRECT(DATE(YEAR(B1979),MONTH(B1979),1)&amp;":"&amp;DATE(YEAR(B1979),MONTH(B1979)+1,0))),2)=6,0.5,0)),0))</f>
        <v>22.5</v>
      </c>
      <c r="K1979" s="22" cm="1">
        <f t="array" ref="K1979">_xlfn.XLOOKUP(1,((Metas_Diarias[[#This Row],[tipo_equipe_id]]=Metas[equipe])*(Metas_Diarias[[#This Row],[data]]&gt;Metas[data_inicio])*(Metas_Diarias[[#This Row],[data]]&lt;Metas[data_fim])),Metas[meta_mensal],0)</f>
        <v>68250</v>
      </c>
      <c r="L1979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80" spans="2:12" x14ac:dyDescent="0.3">
      <c r="B1980" s="34">
        <v>46171</v>
      </c>
      <c r="C1980" s="34" t="str">
        <f>TEXT(Metas_Diarias[[#This Row],[data]],"dddd")</f>
        <v>sexta-feira</v>
      </c>
      <c r="D1980" s="33">
        <v>5</v>
      </c>
      <c r="E1980" s="33">
        <v>5</v>
      </c>
      <c r="F1980" s="18"/>
      <c r="G1980" s="35">
        <f>WEEKDAY(Metas_Diarias[[#This Row],[data]])</f>
        <v>6</v>
      </c>
      <c r="H1980" s="35">
        <f>IF(Metas_Diarias[[#This Row],[dias_da_demana]]=1,"domingo",IF(Metas_Diarias[[#This Row],[dias_da_demana]]=7,0.5,1))</f>
        <v>1</v>
      </c>
      <c r="I1980" s="35">
        <f>_xlfn.XLOOKUP(Metas_Diarias[[#This Row],[data]],Feriados[Data],Feriados[Feriado],1)</f>
        <v>1</v>
      </c>
      <c r="J1980" s="33" cm="1">
        <f t="array" aca="1" ref="J1980" ca="1">SUMPRODUCT(IF((NOT(ISERROR(MATCH(ROW(INDIRECT(DATE(YEAR(B1980),MONTH(B1980),1)&amp;":"&amp;DATE(YEAR(B1980),MONTH(B1980)+1,0))),Feriados[Data],0))))=FALSE,
IF(WEEKDAY(ROW(INDIRECT(DATE(YEAR(B1980),MONTH(B1980),1)&amp;":"&amp;DATE(YEAR(B1980),MONTH(B1980)+1,0))),2)&lt;=5,1,IF(WEEKDAY(ROW(INDIRECT(DATE(YEAR(B1980),MONTH(B1980),1)&amp;":"&amp;DATE(YEAR(B1980),MONTH(B1980)+1,0))),2)=6,0.5,0)),0))</f>
        <v>22.5</v>
      </c>
      <c r="K1980" s="22" cm="1">
        <f t="array" ref="K1980">_xlfn.XLOOKUP(1,((Metas_Diarias[[#This Row],[tipo_equipe_id]]=Metas[equipe])*(Metas_Diarias[[#This Row],[data]]&gt;Metas[data_inicio])*(Metas_Diarias[[#This Row],[data]]&lt;Metas[data_fim])),Metas[meta_mensal],0)</f>
        <v>68250</v>
      </c>
      <c r="L1980" s="24">
        <f ca="1">Metas_Diarias[[#This Row],[meta_mensal]]*IF(Metas_Diarias[[#This Row],[semana]]="domingo",0,Metas_Diarias[[#This Row],[semana]])*IF(Metas_Diarias[[#This Row],[feriado]]&lt;&gt;1,0,1)/Metas_Diarias[[#This Row],[dias_úteis_Mês]]</f>
        <v>3033.3333333333335</v>
      </c>
    </row>
    <row r="1981" spans="2:12" x14ac:dyDescent="0.3">
      <c r="B1981" s="34">
        <v>46172</v>
      </c>
      <c r="C1981" s="34" t="str">
        <f>TEXT(Metas_Diarias[[#This Row],[data]],"dddd")</f>
        <v>sábado</v>
      </c>
      <c r="D1981" s="33">
        <v>5</v>
      </c>
      <c r="E1981" s="33">
        <v>5</v>
      </c>
      <c r="F1981" s="18"/>
      <c r="G1981" s="35">
        <f>WEEKDAY(Metas_Diarias[[#This Row],[data]])</f>
        <v>7</v>
      </c>
      <c r="H1981" s="35">
        <f>IF(Metas_Diarias[[#This Row],[dias_da_demana]]=1,"domingo",IF(Metas_Diarias[[#This Row],[dias_da_demana]]=7,0.5,1))</f>
        <v>0.5</v>
      </c>
      <c r="I1981" s="35">
        <f>_xlfn.XLOOKUP(Metas_Diarias[[#This Row],[data]],Feriados[Data],Feriados[Feriado],1)</f>
        <v>1</v>
      </c>
      <c r="J1981" s="33" cm="1">
        <f t="array" aca="1" ref="J1981" ca="1">SUMPRODUCT(IF((NOT(ISERROR(MATCH(ROW(INDIRECT(DATE(YEAR(B1981),MONTH(B1981),1)&amp;":"&amp;DATE(YEAR(B1981),MONTH(B1981)+1,0))),Feriados[Data],0))))=FALSE,
IF(WEEKDAY(ROW(INDIRECT(DATE(YEAR(B1981),MONTH(B1981),1)&amp;":"&amp;DATE(YEAR(B1981),MONTH(B1981)+1,0))),2)&lt;=5,1,IF(WEEKDAY(ROW(INDIRECT(DATE(YEAR(B1981),MONTH(B1981),1)&amp;":"&amp;DATE(YEAR(B1981),MONTH(B1981)+1,0))),2)=6,0.5,0)),0))</f>
        <v>22.5</v>
      </c>
      <c r="K1981" s="22" cm="1">
        <f t="array" ref="K1981">_xlfn.XLOOKUP(1,((Metas_Diarias[[#This Row],[tipo_equipe_id]]=Metas[equipe])*(Metas_Diarias[[#This Row],[data]]&gt;Metas[data_inicio])*(Metas_Diarias[[#This Row],[data]]&lt;Metas[data_fim])),Metas[meta_mensal],0)</f>
        <v>68250</v>
      </c>
      <c r="L1981" s="24">
        <f ca="1">Metas_Diarias[[#This Row],[meta_mensal]]*IF(Metas_Diarias[[#This Row],[semana]]="domingo",0,Metas_Diarias[[#This Row],[semana]])*IF(Metas_Diarias[[#This Row],[feriado]]&lt;&gt;1,0,1)/Metas_Diarias[[#This Row],[dias_úteis_Mês]]</f>
        <v>1516.6666666666667</v>
      </c>
    </row>
    <row r="1982" spans="2:12" x14ac:dyDescent="0.3">
      <c r="B1982" s="34">
        <v>46173</v>
      </c>
      <c r="C1982" s="34" t="str">
        <f>TEXT(Metas_Diarias[[#This Row],[data]],"dddd")</f>
        <v>domingo</v>
      </c>
      <c r="D1982" s="33">
        <v>5</v>
      </c>
      <c r="E1982" s="33">
        <v>5</v>
      </c>
      <c r="F1982" s="18"/>
      <c r="G1982" s="35">
        <f>WEEKDAY(Metas_Diarias[[#This Row],[data]])</f>
        <v>1</v>
      </c>
      <c r="H1982" s="35" t="str">
        <f>IF(Metas_Diarias[[#This Row],[dias_da_demana]]=1,"domingo",IF(Metas_Diarias[[#This Row],[dias_da_demana]]=7,0.5,1))</f>
        <v>domingo</v>
      </c>
      <c r="I1982" s="35">
        <f>_xlfn.XLOOKUP(Metas_Diarias[[#This Row],[data]],Feriados[Data],Feriados[Feriado],1)</f>
        <v>1</v>
      </c>
      <c r="J1982" s="33" cm="1">
        <f t="array" aca="1" ref="J1982" ca="1">SUMPRODUCT(IF((NOT(ISERROR(MATCH(ROW(INDIRECT(DATE(YEAR(B1982),MONTH(B1982),1)&amp;":"&amp;DATE(YEAR(B1982),MONTH(B1982)+1,0))),Feriados[Data],0))))=FALSE,
IF(WEEKDAY(ROW(INDIRECT(DATE(YEAR(B1982),MONTH(B1982),1)&amp;":"&amp;DATE(YEAR(B1982),MONTH(B1982)+1,0))),2)&lt;=5,1,IF(WEEKDAY(ROW(INDIRECT(DATE(YEAR(B1982),MONTH(B1982),1)&amp;":"&amp;DATE(YEAR(B1982),MONTH(B1982)+1,0))),2)=6,0.5,0)),0))</f>
        <v>22.5</v>
      </c>
      <c r="K1982" s="22" cm="1">
        <f t="array" ref="K1982">_xlfn.XLOOKUP(1,((Metas_Diarias[[#This Row],[tipo_equipe_id]]=Metas[equipe])*(Metas_Diarias[[#This Row],[data]]&gt;Metas[data_inicio])*(Metas_Diarias[[#This Row],[data]]&lt;Metas[data_fim])),Metas[meta_mensal],0)</f>
        <v>68250</v>
      </c>
      <c r="L19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83" spans="2:12" x14ac:dyDescent="0.3">
      <c r="B1983" s="34">
        <v>46174</v>
      </c>
      <c r="C1983" s="34" t="str">
        <f>TEXT(Metas_Diarias[[#This Row],[data]],"dddd")</f>
        <v>segunda-feira</v>
      </c>
      <c r="D1983" s="33">
        <v>5</v>
      </c>
      <c r="E1983" s="33">
        <v>5</v>
      </c>
      <c r="F1983" s="18"/>
      <c r="G1983" s="35">
        <f>WEEKDAY(Metas_Diarias[[#This Row],[data]])</f>
        <v>2</v>
      </c>
      <c r="H1983" s="35">
        <f>IF(Metas_Diarias[[#This Row],[dias_da_demana]]=1,"domingo",IF(Metas_Diarias[[#This Row],[dias_da_demana]]=7,0.5,1))</f>
        <v>1</v>
      </c>
      <c r="I1983" s="35">
        <f>_xlfn.XLOOKUP(Metas_Diarias[[#This Row],[data]],Feriados[Data],Feriados[Feriado],1)</f>
        <v>1</v>
      </c>
      <c r="J1983" s="33" cm="1">
        <f t="array" aca="1" ref="J1983" ca="1">SUMPRODUCT(IF((NOT(ISERROR(MATCH(ROW(INDIRECT(DATE(YEAR(B1983),MONTH(B1983),1)&amp;":"&amp;DATE(YEAR(B1983),MONTH(B1983)+1,0))),Feriados[Data],0))))=FALSE,
IF(WEEKDAY(ROW(INDIRECT(DATE(YEAR(B1983),MONTH(B1983),1)&amp;":"&amp;DATE(YEAR(B1983),MONTH(B1983)+1,0))),2)&lt;=5,1,IF(WEEKDAY(ROW(INDIRECT(DATE(YEAR(B1983),MONTH(B1983),1)&amp;":"&amp;DATE(YEAR(B1983),MONTH(B1983)+1,0))),2)=6,0.5,0)),0))</f>
        <v>23</v>
      </c>
      <c r="K1983" s="22" cm="1">
        <f t="array" ref="K1983">_xlfn.XLOOKUP(1,((Metas_Diarias[[#This Row],[tipo_equipe_id]]=Metas[equipe])*(Metas_Diarias[[#This Row],[data]]&gt;Metas[data_inicio])*(Metas_Diarias[[#This Row],[data]]&lt;Metas[data_fim])),Metas[meta_mensal],0)</f>
        <v>68250</v>
      </c>
      <c r="L1983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84" spans="2:12" x14ac:dyDescent="0.3">
      <c r="B1984" s="34">
        <v>46175</v>
      </c>
      <c r="C1984" s="34" t="str">
        <f>TEXT(Metas_Diarias[[#This Row],[data]],"dddd")</f>
        <v>terça-feira</v>
      </c>
      <c r="D1984" s="33">
        <v>5</v>
      </c>
      <c r="E1984" s="33">
        <v>5</v>
      </c>
      <c r="F1984" s="18"/>
      <c r="G1984" s="35">
        <f>WEEKDAY(Metas_Diarias[[#This Row],[data]])</f>
        <v>3</v>
      </c>
      <c r="H1984" s="35">
        <f>IF(Metas_Diarias[[#This Row],[dias_da_demana]]=1,"domingo",IF(Metas_Diarias[[#This Row],[dias_da_demana]]=7,0.5,1))</f>
        <v>1</v>
      </c>
      <c r="I1984" s="35">
        <f>_xlfn.XLOOKUP(Metas_Diarias[[#This Row],[data]],Feriados[Data],Feriados[Feriado],1)</f>
        <v>1</v>
      </c>
      <c r="J1984" s="33" cm="1">
        <f t="array" aca="1" ref="J1984" ca="1">SUMPRODUCT(IF((NOT(ISERROR(MATCH(ROW(INDIRECT(DATE(YEAR(B1984),MONTH(B1984),1)&amp;":"&amp;DATE(YEAR(B1984),MONTH(B1984)+1,0))),Feriados[Data],0))))=FALSE,
IF(WEEKDAY(ROW(INDIRECT(DATE(YEAR(B1984),MONTH(B1984),1)&amp;":"&amp;DATE(YEAR(B1984),MONTH(B1984)+1,0))),2)&lt;=5,1,IF(WEEKDAY(ROW(INDIRECT(DATE(YEAR(B1984),MONTH(B1984),1)&amp;":"&amp;DATE(YEAR(B1984),MONTH(B1984)+1,0))),2)=6,0.5,0)),0))</f>
        <v>23</v>
      </c>
      <c r="K1984" s="22" cm="1">
        <f t="array" ref="K1984">_xlfn.XLOOKUP(1,((Metas_Diarias[[#This Row],[tipo_equipe_id]]=Metas[equipe])*(Metas_Diarias[[#This Row],[data]]&gt;Metas[data_inicio])*(Metas_Diarias[[#This Row],[data]]&lt;Metas[data_fim])),Metas[meta_mensal],0)</f>
        <v>68250</v>
      </c>
      <c r="L1984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85" spans="2:12" x14ac:dyDescent="0.3">
      <c r="B1985" s="34">
        <v>46176</v>
      </c>
      <c r="C1985" s="34" t="str">
        <f>TEXT(Metas_Diarias[[#This Row],[data]],"dddd")</f>
        <v>quarta-feira</v>
      </c>
      <c r="D1985" s="33">
        <v>5</v>
      </c>
      <c r="E1985" s="33">
        <v>5</v>
      </c>
      <c r="F1985" s="18"/>
      <c r="G1985" s="35">
        <f>WEEKDAY(Metas_Diarias[[#This Row],[data]])</f>
        <v>4</v>
      </c>
      <c r="H1985" s="35">
        <f>IF(Metas_Diarias[[#This Row],[dias_da_demana]]=1,"domingo",IF(Metas_Diarias[[#This Row],[dias_da_demana]]=7,0.5,1))</f>
        <v>1</v>
      </c>
      <c r="I1985" s="35">
        <f>_xlfn.XLOOKUP(Metas_Diarias[[#This Row],[data]],Feriados[Data],Feriados[Feriado],1)</f>
        <v>1</v>
      </c>
      <c r="J1985" s="33" cm="1">
        <f t="array" aca="1" ref="J1985" ca="1">SUMPRODUCT(IF((NOT(ISERROR(MATCH(ROW(INDIRECT(DATE(YEAR(B1985),MONTH(B1985),1)&amp;":"&amp;DATE(YEAR(B1985),MONTH(B1985)+1,0))),Feriados[Data],0))))=FALSE,
IF(WEEKDAY(ROW(INDIRECT(DATE(YEAR(B1985),MONTH(B1985),1)&amp;":"&amp;DATE(YEAR(B1985),MONTH(B1985)+1,0))),2)&lt;=5,1,IF(WEEKDAY(ROW(INDIRECT(DATE(YEAR(B1985),MONTH(B1985),1)&amp;":"&amp;DATE(YEAR(B1985),MONTH(B1985)+1,0))),2)=6,0.5,0)),0))</f>
        <v>23</v>
      </c>
      <c r="K1985" s="22" cm="1">
        <f t="array" ref="K1985">_xlfn.XLOOKUP(1,((Metas_Diarias[[#This Row],[tipo_equipe_id]]=Metas[equipe])*(Metas_Diarias[[#This Row],[data]]&gt;Metas[data_inicio])*(Metas_Diarias[[#This Row],[data]]&lt;Metas[data_fim])),Metas[meta_mensal],0)</f>
        <v>68250</v>
      </c>
      <c r="L1985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86" spans="2:12" x14ac:dyDescent="0.3">
      <c r="B1986" s="34">
        <v>46177</v>
      </c>
      <c r="C1986" s="34" t="str">
        <f>TEXT(Metas_Diarias[[#This Row],[data]],"dddd")</f>
        <v>quinta-feira</v>
      </c>
      <c r="D1986" s="33">
        <v>5</v>
      </c>
      <c r="E1986" s="33">
        <v>5</v>
      </c>
      <c r="F1986" s="18"/>
      <c r="G1986" s="35">
        <f>WEEKDAY(Metas_Diarias[[#This Row],[data]])</f>
        <v>5</v>
      </c>
      <c r="H1986" s="35">
        <f>IF(Metas_Diarias[[#This Row],[dias_da_demana]]=1,"domingo",IF(Metas_Diarias[[#This Row],[dias_da_demana]]=7,0.5,1))</f>
        <v>1</v>
      </c>
      <c r="I1986" s="35" t="str">
        <f>_xlfn.XLOOKUP(Metas_Diarias[[#This Row],[data]],Feriados[Data],Feriados[Feriado],1)</f>
        <v>Corpus Christi</v>
      </c>
      <c r="J1986" s="33" cm="1">
        <f t="array" aca="1" ref="J1986" ca="1">SUMPRODUCT(IF((NOT(ISERROR(MATCH(ROW(INDIRECT(DATE(YEAR(B1986),MONTH(B1986),1)&amp;":"&amp;DATE(YEAR(B1986),MONTH(B1986)+1,0))),Feriados[Data],0))))=FALSE,
IF(WEEKDAY(ROW(INDIRECT(DATE(YEAR(B1986),MONTH(B1986),1)&amp;":"&amp;DATE(YEAR(B1986),MONTH(B1986)+1,0))),2)&lt;=5,1,IF(WEEKDAY(ROW(INDIRECT(DATE(YEAR(B1986),MONTH(B1986),1)&amp;":"&amp;DATE(YEAR(B1986),MONTH(B1986)+1,0))),2)=6,0.5,0)),0))</f>
        <v>23</v>
      </c>
      <c r="K1986" s="22" cm="1">
        <f t="array" ref="K1986">_xlfn.XLOOKUP(1,((Metas_Diarias[[#This Row],[tipo_equipe_id]]=Metas[equipe])*(Metas_Diarias[[#This Row],[data]]&gt;Metas[data_inicio])*(Metas_Diarias[[#This Row],[data]]&lt;Metas[data_fim])),Metas[meta_mensal],0)</f>
        <v>68250</v>
      </c>
      <c r="L19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87" spans="2:12" x14ac:dyDescent="0.3">
      <c r="B1987" s="34">
        <v>46178</v>
      </c>
      <c r="C1987" s="34" t="str">
        <f>TEXT(Metas_Diarias[[#This Row],[data]],"dddd")</f>
        <v>sexta-feira</v>
      </c>
      <c r="D1987" s="33">
        <v>5</v>
      </c>
      <c r="E1987" s="33">
        <v>5</v>
      </c>
      <c r="F1987" s="18"/>
      <c r="G1987" s="35">
        <f>WEEKDAY(Metas_Diarias[[#This Row],[data]])</f>
        <v>6</v>
      </c>
      <c r="H1987" s="35">
        <f>IF(Metas_Diarias[[#This Row],[dias_da_demana]]=1,"domingo",IF(Metas_Diarias[[#This Row],[dias_da_demana]]=7,0.5,1))</f>
        <v>1</v>
      </c>
      <c r="I1987" s="35">
        <f>_xlfn.XLOOKUP(Metas_Diarias[[#This Row],[data]],Feriados[Data],Feriados[Feriado],1)</f>
        <v>1</v>
      </c>
      <c r="J1987" s="33" cm="1">
        <f t="array" aca="1" ref="J1987" ca="1">SUMPRODUCT(IF((NOT(ISERROR(MATCH(ROW(INDIRECT(DATE(YEAR(B1987),MONTH(B1987),1)&amp;":"&amp;DATE(YEAR(B1987),MONTH(B1987)+1,0))),Feriados[Data],0))))=FALSE,
IF(WEEKDAY(ROW(INDIRECT(DATE(YEAR(B1987),MONTH(B1987),1)&amp;":"&amp;DATE(YEAR(B1987),MONTH(B1987)+1,0))),2)&lt;=5,1,IF(WEEKDAY(ROW(INDIRECT(DATE(YEAR(B1987),MONTH(B1987),1)&amp;":"&amp;DATE(YEAR(B1987),MONTH(B1987)+1,0))),2)=6,0.5,0)),0))</f>
        <v>23</v>
      </c>
      <c r="K1987" s="22" cm="1">
        <f t="array" ref="K1987">_xlfn.XLOOKUP(1,((Metas_Diarias[[#This Row],[tipo_equipe_id]]=Metas[equipe])*(Metas_Diarias[[#This Row],[data]]&gt;Metas[data_inicio])*(Metas_Diarias[[#This Row],[data]]&lt;Metas[data_fim])),Metas[meta_mensal],0)</f>
        <v>68250</v>
      </c>
      <c r="L1987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88" spans="2:12" x14ac:dyDescent="0.3">
      <c r="B1988" s="34">
        <v>46179</v>
      </c>
      <c r="C1988" s="34" t="str">
        <f>TEXT(Metas_Diarias[[#This Row],[data]],"dddd")</f>
        <v>sábado</v>
      </c>
      <c r="D1988" s="33">
        <v>5</v>
      </c>
      <c r="E1988" s="33">
        <v>5</v>
      </c>
      <c r="F1988" s="18"/>
      <c r="G1988" s="35">
        <f>WEEKDAY(Metas_Diarias[[#This Row],[data]])</f>
        <v>7</v>
      </c>
      <c r="H1988" s="35">
        <f>IF(Metas_Diarias[[#This Row],[dias_da_demana]]=1,"domingo",IF(Metas_Diarias[[#This Row],[dias_da_demana]]=7,0.5,1))</f>
        <v>0.5</v>
      </c>
      <c r="I1988" s="35">
        <f>_xlfn.XLOOKUP(Metas_Diarias[[#This Row],[data]],Feriados[Data],Feriados[Feriado],1)</f>
        <v>1</v>
      </c>
      <c r="J1988" s="33" cm="1">
        <f t="array" aca="1" ref="J1988" ca="1">SUMPRODUCT(IF((NOT(ISERROR(MATCH(ROW(INDIRECT(DATE(YEAR(B1988),MONTH(B1988),1)&amp;":"&amp;DATE(YEAR(B1988),MONTH(B1988)+1,0))),Feriados[Data],0))))=FALSE,
IF(WEEKDAY(ROW(INDIRECT(DATE(YEAR(B1988),MONTH(B1988),1)&amp;":"&amp;DATE(YEAR(B1988),MONTH(B1988)+1,0))),2)&lt;=5,1,IF(WEEKDAY(ROW(INDIRECT(DATE(YEAR(B1988),MONTH(B1988),1)&amp;":"&amp;DATE(YEAR(B1988),MONTH(B1988)+1,0))),2)=6,0.5,0)),0))</f>
        <v>23</v>
      </c>
      <c r="K1988" s="22" cm="1">
        <f t="array" ref="K1988">_xlfn.XLOOKUP(1,((Metas_Diarias[[#This Row],[tipo_equipe_id]]=Metas[equipe])*(Metas_Diarias[[#This Row],[data]]&gt;Metas[data_inicio])*(Metas_Diarias[[#This Row],[data]]&lt;Metas[data_fim])),Metas[meta_mensal],0)</f>
        <v>68250</v>
      </c>
      <c r="L1988" s="24">
        <f ca="1">Metas_Diarias[[#This Row],[meta_mensal]]*IF(Metas_Diarias[[#This Row],[semana]]="domingo",0,Metas_Diarias[[#This Row],[semana]])*IF(Metas_Diarias[[#This Row],[feriado]]&lt;&gt;1,0,1)/Metas_Diarias[[#This Row],[dias_úteis_Mês]]</f>
        <v>1483.695652173913</v>
      </c>
    </row>
    <row r="1989" spans="2:12" x14ac:dyDescent="0.3">
      <c r="B1989" s="34">
        <v>46180</v>
      </c>
      <c r="C1989" s="34" t="str">
        <f>TEXT(Metas_Diarias[[#This Row],[data]],"dddd")</f>
        <v>domingo</v>
      </c>
      <c r="D1989" s="33">
        <v>5</v>
      </c>
      <c r="E1989" s="33">
        <v>5</v>
      </c>
      <c r="F1989" s="18"/>
      <c r="G1989" s="35">
        <f>WEEKDAY(Metas_Diarias[[#This Row],[data]])</f>
        <v>1</v>
      </c>
      <c r="H1989" s="35" t="str">
        <f>IF(Metas_Diarias[[#This Row],[dias_da_demana]]=1,"domingo",IF(Metas_Diarias[[#This Row],[dias_da_demana]]=7,0.5,1))</f>
        <v>domingo</v>
      </c>
      <c r="I1989" s="35">
        <f>_xlfn.XLOOKUP(Metas_Diarias[[#This Row],[data]],Feriados[Data],Feriados[Feriado],1)</f>
        <v>1</v>
      </c>
      <c r="J1989" s="33" cm="1">
        <f t="array" aca="1" ref="J1989" ca="1">SUMPRODUCT(IF((NOT(ISERROR(MATCH(ROW(INDIRECT(DATE(YEAR(B1989),MONTH(B1989),1)&amp;":"&amp;DATE(YEAR(B1989),MONTH(B1989)+1,0))),Feriados[Data],0))))=FALSE,
IF(WEEKDAY(ROW(INDIRECT(DATE(YEAR(B1989),MONTH(B1989),1)&amp;":"&amp;DATE(YEAR(B1989),MONTH(B1989)+1,0))),2)&lt;=5,1,IF(WEEKDAY(ROW(INDIRECT(DATE(YEAR(B1989),MONTH(B1989),1)&amp;":"&amp;DATE(YEAR(B1989),MONTH(B1989)+1,0))),2)=6,0.5,0)),0))</f>
        <v>23</v>
      </c>
      <c r="K1989" s="22" cm="1">
        <f t="array" ref="K1989">_xlfn.XLOOKUP(1,((Metas_Diarias[[#This Row],[tipo_equipe_id]]=Metas[equipe])*(Metas_Diarias[[#This Row],[data]]&gt;Metas[data_inicio])*(Metas_Diarias[[#This Row],[data]]&lt;Metas[data_fim])),Metas[meta_mensal],0)</f>
        <v>68250</v>
      </c>
      <c r="L19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90" spans="2:12" x14ac:dyDescent="0.3">
      <c r="B1990" s="34">
        <v>46181</v>
      </c>
      <c r="C1990" s="34" t="str">
        <f>TEXT(Metas_Diarias[[#This Row],[data]],"dddd")</f>
        <v>segunda-feira</v>
      </c>
      <c r="D1990" s="33">
        <v>5</v>
      </c>
      <c r="E1990" s="33">
        <v>5</v>
      </c>
      <c r="F1990" s="18"/>
      <c r="G1990" s="35">
        <f>WEEKDAY(Metas_Diarias[[#This Row],[data]])</f>
        <v>2</v>
      </c>
      <c r="H1990" s="35">
        <f>IF(Metas_Diarias[[#This Row],[dias_da_demana]]=1,"domingo",IF(Metas_Diarias[[#This Row],[dias_da_demana]]=7,0.5,1))</f>
        <v>1</v>
      </c>
      <c r="I1990" s="35">
        <f>_xlfn.XLOOKUP(Metas_Diarias[[#This Row],[data]],Feriados[Data],Feriados[Feriado],1)</f>
        <v>1</v>
      </c>
      <c r="J1990" s="33" cm="1">
        <f t="array" aca="1" ref="J1990" ca="1">SUMPRODUCT(IF((NOT(ISERROR(MATCH(ROW(INDIRECT(DATE(YEAR(B1990),MONTH(B1990),1)&amp;":"&amp;DATE(YEAR(B1990),MONTH(B1990)+1,0))),Feriados[Data],0))))=FALSE,
IF(WEEKDAY(ROW(INDIRECT(DATE(YEAR(B1990),MONTH(B1990),1)&amp;":"&amp;DATE(YEAR(B1990),MONTH(B1990)+1,0))),2)&lt;=5,1,IF(WEEKDAY(ROW(INDIRECT(DATE(YEAR(B1990),MONTH(B1990),1)&amp;":"&amp;DATE(YEAR(B1990),MONTH(B1990)+1,0))),2)=6,0.5,0)),0))</f>
        <v>23</v>
      </c>
      <c r="K1990" s="22" cm="1">
        <f t="array" ref="K1990">_xlfn.XLOOKUP(1,((Metas_Diarias[[#This Row],[tipo_equipe_id]]=Metas[equipe])*(Metas_Diarias[[#This Row],[data]]&gt;Metas[data_inicio])*(Metas_Diarias[[#This Row],[data]]&lt;Metas[data_fim])),Metas[meta_mensal],0)</f>
        <v>68250</v>
      </c>
      <c r="L1990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91" spans="2:12" x14ac:dyDescent="0.3">
      <c r="B1991" s="34">
        <v>46182</v>
      </c>
      <c r="C1991" s="34" t="str">
        <f>TEXT(Metas_Diarias[[#This Row],[data]],"dddd")</f>
        <v>terça-feira</v>
      </c>
      <c r="D1991" s="33">
        <v>5</v>
      </c>
      <c r="E1991" s="33">
        <v>5</v>
      </c>
      <c r="F1991" s="18"/>
      <c r="G1991" s="35">
        <f>WEEKDAY(Metas_Diarias[[#This Row],[data]])</f>
        <v>3</v>
      </c>
      <c r="H1991" s="35">
        <f>IF(Metas_Diarias[[#This Row],[dias_da_demana]]=1,"domingo",IF(Metas_Diarias[[#This Row],[dias_da_demana]]=7,0.5,1))</f>
        <v>1</v>
      </c>
      <c r="I1991" s="35">
        <f>_xlfn.XLOOKUP(Metas_Diarias[[#This Row],[data]],Feriados[Data],Feriados[Feriado],1)</f>
        <v>1</v>
      </c>
      <c r="J1991" s="33" cm="1">
        <f t="array" aca="1" ref="J1991" ca="1">SUMPRODUCT(IF((NOT(ISERROR(MATCH(ROW(INDIRECT(DATE(YEAR(B1991),MONTH(B1991),1)&amp;":"&amp;DATE(YEAR(B1991),MONTH(B1991)+1,0))),Feriados[Data],0))))=FALSE,
IF(WEEKDAY(ROW(INDIRECT(DATE(YEAR(B1991),MONTH(B1991),1)&amp;":"&amp;DATE(YEAR(B1991),MONTH(B1991)+1,0))),2)&lt;=5,1,IF(WEEKDAY(ROW(INDIRECT(DATE(YEAR(B1991),MONTH(B1991),1)&amp;":"&amp;DATE(YEAR(B1991),MONTH(B1991)+1,0))),2)=6,0.5,0)),0))</f>
        <v>23</v>
      </c>
      <c r="K1991" s="22" cm="1">
        <f t="array" ref="K1991">_xlfn.XLOOKUP(1,((Metas_Diarias[[#This Row],[tipo_equipe_id]]=Metas[equipe])*(Metas_Diarias[[#This Row],[data]]&gt;Metas[data_inicio])*(Metas_Diarias[[#This Row],[data]]&lt;Metas[data_fim])),Metas[meta_mensal],0)</f>
        <v>68250</v>
      </c>
      <c r="L1991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92" spans="2:12" x14ac:dyDescent="0.3">
      <c r="B1992" s="34">
        <v>46183</v>
      </c>
      <c r="C1992" s="34" t="str">
        <f>TEXT(Metas_Diarias[[#This Row],[data]],"dddd")</f>
        <v>quarta-feira</v>
      </c>
      <c r="D1992" s="33">
        <v>5</v>
      </c>
      <c r="E1992" s="33">
        <v>5</v>
      </c>
      <c r="F1992" s="18"/>
      <c r="G1992" s="35">
        <f>WEEKDAY(Metas_Diarias[[#This Row],[data]])</f>
        <v>4</v>
      </c>
      <c r="H1992" s="35">
        <f>IF(Metas_Diarias[[#This Row],[dias_da_demana]]=1,"domingo",IF(Metas_Diarias[[#This Row],[dias_da_demana]]=7,0.5,1))</f>
        <v>1</v>
      </c>
      <c r="I1992" s="35">
        <f>_xlfn.XLOOKUP(Metas_Diarias[[#This Row],[data]],Feriados[Data],Feriados[Feriado],1)</f>
        <v>1</v>
      </c>
      <c r="J1992" s="33" cm="1">
        <f t="array" aca="1" ref="J1992" ca="1">SUMPRODUCT(IF((NOT(ISERROR(MATCH(ROW(INDIRECT(DATE(YEAR(B1992),MONTH(B1992),1)&amp;":"&amp;DATE(YEAR(B1992),MONTH(B1992)+1,0))),Feriados[Data],0))))=FALSE,
IF(WEEKDAY(ROW(INDIRECT(DATE(YEAR(B1992),MONTH(B1992),1)&amp;":"&amp;DATE(YEAR(B1992),MONTH(B1992)+1,0))),2)&lt;=5,1,IF(WEEKDAY(ROW(INDIRECT(DATE(YEAR(B1992),MONTH(B1992),1)&amp;":"&amp;DATE(YEAR(B1992),MONTH(B1992)+1,0))),2)=6,0.5,0)),0))</f>
        <v>23</v>
      </c>
      <c r="K1992" s="22" cm="1">
        <f t="array" ref="K1992">_xlfn.XLOOKUP(1,((Metas_Diarias[[#This Row],[tipo_equipe_id]]=Metas[equipe])*(Metas_Diarias[[#This Row],[data]]&gt;Metas[data_inicio])*(Metas_Diarias[[#This Row],[data]]&lt;Metas[data_fim])),Metas[meta_mensal],0)</f>
        <v>68250</v>
      </c>
      <c r="L1992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93" spans="2:12" x14ac:dyDescent="0.3">
      <c r="B1993" s="34">
        <v>46184</v>
      </c>
      <c r="C1993" s="34" t="str">
        <f>TEXT(Metas_Diarias[[#This Row],[data]],"dddd")</f>
        <v>quinta-feira</v>
      </c>
      <c r="D1993" s="33">
        <v>5</v>
      </c>
      <c r="E1993" s="33">
        <v>5</v>
      </c>
      <c r="F1993" s="18"/>
      <c r="G1993" s="35">
        <f>WEEKDAY(Metas_Diarias[[#This Row],[data]])</f>
        <v>5</v>
      </c>
      <c r="H1993" s="35">
        <f>IF(Metas_Diarias[[#This Row],[dias_da_demana]]=1,"domingo",IF(Metas_Diarias[[#This Row],[dias_da_demana]]=7,0.5,1))</f>
        <v>1</v>
      </c>
      <c r="I1993" s="35">
        <f>_xlfn.XLOOKUP(Metas_Diarias[[#This Row],[data]],Feriados[Data],Feriados[Feriado],1)</f>
        <v>1</v>
      </c>
      <c r="J1993" s="33" cm="1">
        <f t="array" aca="1" ref="J1993" ca="1">SUMPRODUCT(IF((NOT(ISERROR(MATCH(ROW(INDIRECT(DATE(YEAR(B1993),MONTH(B1993),1)&amp;":"&amp;DATE(YEAR(B1993),MONTH(B1993)+1,0))),Feriados[Data],0))))=FALSE,
IF(WEEKDAY(ROW(INDIRECT(DATE(YEAR(B1993),MONTH(B1993),1)&amp;":"&amp;DATE(YEAR(B1993),MONTH(B1993)+1,0))),2)&lt;=5,1,IF(WEEKDAY(ROW(INDIRECT(DATE(YEAR(B1993),MONTH(B1993),1)&amp;":"&amp;DATE(YEAR(B1993),MONTH(B1993)+1,0))),2)=6,0.5,0)),0))</f>
        <v>23</v>
      </c>
      <c r="K1993" s="22" cm="1">
        <f t="array" ref="K1993">_xlfn.XLOOKUP(1,((Metas_Diarias[[#This Row],[tipo_equipe_id]]=Metas[equipe])*(Metas_Diarias[[#This Row],[data]]&gt;Metas[data_inicio])*(Metas_Diarias[[#This Row],[data]]&lt;Metas[data_fim])),Metas[meta_mensal],0)</f>
        <v>68250</v>
      </c>
      <c r="L1993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94" spans="2:12" x14ac:dyDescent="0.3">
      <c r="B1994" s="34">
        <v>46185</v>
      </c>
      <c r="C1994" s="34" t="str">
        <f>TEXT(Metas_Diarias[[#This Row],[data]],"dddd")</f>
        <v>sexta-feira</v>
      </c>
      <c r="D1994" s="33">
        <v>5</v>
      </c>
      <c r="E1994" s="33">
        <v>5</v>
      </c>
      <c r="F1994" s="18"/>
      <c r="G1994" s="35">
        <f>WEEKDAY(Metas_Diarias[[#This Row],[data]])</f>
        <v>6</v>
      </c>
      <c r="H1994" s="35">
        <f>IF(Metas_Diarias[[#This Row],[dias_da_demana]]=1,"domingo",IF(Metas_Diarias[[#This Row],[dias_da_demana]]=7,0.5,1))</f>
        <v>1</v>
      </c>
      <c r="I1994" s="35">
        <f>_xlfn.XLOOKUP(Metas_Diarias[[#This Row],[data]],Feriados[Data],Feriados[Feriado],1)</f>
        <v>1</v>
      </c>
      <c r="J1994" s="33" cm="1">
        <f t="array" aca="1" ref="J1994" ca="1">SUMPRODUCT(IF((NOT(ISERROR(MATCH(ROW(INDIRECT(DATE(YEAR(B1994),MONTH(B1994),1)&amp;":"&amp;DATE(YEAR(B1994),MONTH(B1994)+1,0))),Feriados[Data],0))))=FALSE,
IF(WEEKDAY(ROW(INDIRECT(DATE(YEAR(B1994),MONTH(B1994),1)&amp;":"&amp;DATE(YEAR(B1994),MONTH(B1994)+1,0))),2)&lt;=5,1,IF(WEEKDAY(ROW(INDIRECT(DATE(YEAR(B1994),MONTH(B1994),1)&amp;":"&amp;DATE(YEAR(B1994),MONTH(B1994)+1,0))),2)=6,0.5,0)),0))</f>
        <v>23</v>
      </c>
      <c r="K1994" s="22" cm="1">
        <f t="array" ref="K1994">_xlfn.XLOOKUP(1,((Metas_Diarias[[#This Row],[tipo_equipe_id]]=Metas[equipe])*(Metas_Diarias[[#This Row],[data]]&gt;Metas[data_inicio])*(Metas_Diarias[[#This Row],[data]]&lt;Metas[data_fim])),Metas[meta_mensal],0)</f>
        <v>68250</v>
      </c>
      <c r="L1994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95" spans="2:12" x14ac:dyDescent="0.3">
      <c r="B1995" s="34">
        <v>46186</v>
      </c>
      <c r="C1995" s="34" t="str">
        <f>TEXT(Metas_Diarias[[#This Row],[data]],"dddd")</f>
        <v>sábado</v>
      </c>
      <c r="D1995" s="33">
        <v>5</v>
      </c>
      <c r="E1995" s="33">
        <v>5</v>
      </c>
      <c r="F1995" s="18"/>
      <c r="G1995" s="35">
        <f>WEEKDAY(Metas_Diarias[[#This Row],[data]])</f>
        <v>7</v>
      </c>
      <c r="H1995" s="35">
        <f>IF(Metas_Diarias[[#This Row],[dias_da_demana]]=1,"domingo",IF(Metas_Diarias[[#This Row],[dias_da_demana]]=7,0.5,1))</f>
        <v>0.5</v>
      </c>
      <c r="I1995" s="35">
        <f>_xlfn.XLOOKUP(Metas_Diarias[[#This Row],[data]],Feriados[Data],Feriados[Feriado],1)</f>
        <v>1</v>
      </c>
      <c r="J1995" s="33" cm="1">
        <f t="array" aca="1" ref="J1995" ca="1">SUMPRODUCT(IF((NOT(ISERROR(MATCH(ROW(INDIRECT(DATE(YEAR(B1995),MONTH(B1995),1)&amp;":"&amp;DATE(YEAR(B1995),MONTH(B1995)+1,0))),Feriados[Data],0))))=FALSE,
IF(WEEKDAY(ROW(INDIRECT(DATE(YEAR(B1995),MONTH(B1995),1)&amp;":"&amp;DATE(YEAR(B1995),MONTH(B1995)+1,0))),2)&lt;=5,1,IF(WEEKDAY(ROW(INDIRECT(DATE(YEAR(B1995),MONTH(B1995),1)&amp;":"&amp;DATE(YEAR(B1995),MONTH(B1995)+1,0))),2)=6,0.5,0)),0))</f>
        <v>23</v>
      </c>
      <c r="K1995" s="22" cm="1">
        <f t="array" ref="K1995">_xlfn.XLOOKUP(1,((Metas_Diarias[[#This Row],[tipo_equipe_id]]=Metas[equipe])*(Metas_Diarias[[#This Row],[data]]&gt;Metas[data_inicio])*(Metas_Diarias[[#This Row],[data]]&lt;Metas[data_fim])),Metas[meta_mensal],0)</f>
        <v>68250</v>
      </c>
      <c r="L1995" s="24">
        <f ca="1">Metas_Diarias[[#This Row],[meta_mensal]]*IF(Metas_Diarias[[#This Row],[semana]]="domingo",0,Metas_Diarias[[#This Row],[semana]])*IF(Metas_Diarias[[#This Row],[feriado]]&lt;&gt;1,0,1)/Metas_Diarias[[#This Row],[dias_úteis_Mês]]</f>
        <v>1483.695652173913</v>
      </c>
    </row>
    <row r="1996" spans="2:12" x14ac:dyDescent="0.3">
      <c r="B1996" s="34">
        <v>46187</v>
      </c>
      <c r="C1996" s="34" t="str">
        <f>TEXT(Metas_Diarias[[#This Row],[data]],"dddd")</f>
        <v>domingo</v>
      </c>
      <c r="D1996" s="33">
        <v>5</v>
      </c>
      <c r="E1996" s="33">
        <v>5</v>
      </c>
      <c r="F1996" s="18"/>
      <c r="G1996" s="35">
        <f>WEEKDAY(Metas_Diarias[[#This Row],[data]])</f>
        <v>1</v>
      </c>
      <c r="H1996" s="35" t="str">
        <f>IF(Metas_Diarias[[#This Row],[dias_da_demana]]=1,"domingo",IF(Metas_Diarias[[#This Row],[dias_da_demana]]=7,0.5,1))</f>
        <v>domingo</v>
      </c>
      <c r="I1996" s="35">
        <f>_xlfn.XLOOKUP(Metas_Diarias[[#This Row],[data]],Feriados[Data],Feriados[Feriado],1)</f>
        <v>1</v>
      </c>
      <c r="J1996" s="33" cm="1">
        <f t="array" aca="1" ref="J1996" ca="1">SUMPRODUCT(IF((NOT(ISERROR(MATCH(ROW(INDIRECT(DATE(YEAR(B1996),MONTH(B1996),1)&amp;":"&amp;DATE(YEAR(B1996),MONTH(B1996)+1,0))),Feriados[Data],0))))=FALSE,
IF(WEEKDAY(ROW(INDIRECT(DATE(YEAR(B1996),MONTH(B1996),1)&amp;":"&amp;DATE(YEAR(B1996),MONTH(B1996)+1,0))),2)&lt;=5,1,IF(WEEKDAY(ROW(INDIRECT(DATE(YEAR(B1996),MONTH(B1996),1)&amp;":"&amp;DATE(YEAR(B1996),MONTH(B1996)+1,0))),2)=6,0.5,0)),0))</f>
        <v>23</v>
      </c>
      <c r="K1996" s="22" cm="1">
        <f t="array" ref="K1996">_xlfn.XLOOKUP(1,((Metas_Diarias[[#This Row],[tipo_equipe_id]]=Metas[equipe])*(Metas_Diarias[[#This Row],[data]]&gt;Metas[data_inicio])*(Metas_Diarias[[#This Row],[data]]&lt;Metas[data_fim])),Metas[meta_mensal],0)</f>
        <v>68250</v>
      </c>
      <c r="L19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1997" spans="2:12" x14ac:dyDescent="0.3">
      <c r="B1997" s="34">
        <v>46188</v>
      </c>
      <c r="C1997" s="34" t="str">
        <f>TEXT(Metas_Diarias[[#This Row],[data]],"dddd")</f>
        <v>segunda-feira</v>
      </c>
      <c r="D1997" s="33">
        <v>5</v>
      </c>
      <c r="E1997" s="33">
        <v>5</v>
      </c>
      <c r="F1997" s="18"/>
      <c r="G1997" s="35">
        <f>WEEKDAY(Metas_Diarias[[#This Row],[data]])</f>
        <v>2</v>
      </c>
      <c r="H1997" s="35">
        <f>IF(Metas_Diarias[[#This Row],[dias_da_demana]]=1,"domingo",IF(Metas_Diarias[[#This Row],[dias_da_demana]]=7,0.5,1))</f>
        <v>1</v>
      </c>
      <c r="I1997" s="35">
        <f>_xlfn.XLOOKUP(Metas_Diarias[[#This Row],[data]],Feriados[Data],Feriados[Feriado],1)</f>
        <v>1</v>
      </c>
      <c r="J1997" s="33" cm="1">
        <f t="array" aca="1" ref="J1997" ca="1">SUMPRODUCT(IF((NOT(ISERROR(MATCH(ROW(INDIRECT(DATE(YEAR(B1997),MONTH(B1997),1)&amp;":"&amp;DATE(YEAR(B1997),MONTH(B1997)+1,0))),Feriados[Data],0))))=FALSE,
IF(WEEKDAY(ROW(INDIRECT(DATE(YEAR(B1997),MONTH(B1997),1)&amp;":"&amp;DATE(YEAR(B1997),MONTH(B1997)+1,0))),2)&lt;=5,1,IF(WEEKDAY(ROW(INDIRECT(DATE(YEAR(B1997),MONTH(B1997),1)&amp;":"&amp;DATE(YEAR(B1997),MONTH(B1997)+1,0))),2)=6,0.5,0)),0))</f>
        <v>23</v>
      </c>
      <c r="K1997" s="22" cm="1">
        <f t="array" ref="K1997">_xlfn.XLOOKUP(1,((Metas_Diarias[[#This Row],[tipo_equipe_id]]=Metas[equipe])*(Metas_Diarias[[#This Row],[data]]&gt;Metas[data_inicio])*(Metas_Diarias[[#This Row],[data]]&lt;Metas[data_fim])),Metas[meta_mensal],0)</f>
        <v>68250</v>
      </c>
      <c r="L1997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98" spans="2:12" x14ac:dyDescent="0.3">
      <c r="B1998" s="34">
        <v>46189</v>
      </c>
      <c r="C1998" s="34" t="str">
        <f>TEXT(Metas_Diarias[[#This Row],[data]],"dddd")</f>
        <v>terça-feira</v>
      </c>
      <c r="D1998" s="33">
        <v>5</v>
      </c>
      <c r="E1998" s="33">
        <v>5</v>
      </c>
      <c r="F1998" s="18"/>
      <c r="G1998" s="35">
        <f>WEEKDAY(Metas_Diarias[[#This Row],[data]])</f>
        <v>3</v>
      </c>
      <c r="H1998" s="35">
        <f>IF(Metas_Diarias[[#This Row],[dias_da_demana]]=1,"domingo",IF(Metas_Diarias[[#This Row],[dias_da_demana]]=7,0.5,1))</f>
        <v>1</v>
      </c>
      <c r="I1998" s="35">
        <f>_xlfn.XLOOKUP(Metas_Diarias[[#This Row],[data]],Feriados[Data],Feriados[Feriado],1)</f>
        <v>1</v>
      </c>
      <c r="J1998" s="33" cm="1">
        <f t="array" aca="1" ref="J1998" ca="1">SUMPRODUCT(IF((NOT(ISERROR(MATCH(ROW(INDIRECT(DATE(YEAR(B1998),MONTH(B1998),1)&amp;":"&amp;DATE(YEAR(B1998),MONTH(B1998)+1,0))),Feriados[Data],0))))=FALSE,
IF(WEEKDAY(ROW(INDIRECT(DATE(YEAR(B1998),MONTH(B1998),1)&amp;":"&amp;DATE(YEAR(B1998),MONTH(B1998)+1,0))),2)&lt;=5,1,IF(WEEKDAY(ROW(INDIRECT(DATE(YEAR(B1998),MONTH(B1998),1)&amp;":"&amp;DATE(YEAR(B1998),MONTH(B1998)+1,0))),2)=6,0.5,0)),0))</f>
        <v>23</v>
      </c>
      <c r="K1998" s="22" cm="1">
        <f t="array" ref="K1998">_xlfn.XLOOKUP(1,((Metas_Diarias[[#This Row],[tipo_equipe_id]]=Metas[equipe])*(Metas_Diarias[[#This Row],[data]]&gt;Metas[data_inicio])*(Metas_Diarias[[#This Row],[data]]&lt;Metas[data_fim])),Metas[meta_mensal],0)</f>
        <v>68250</v>
      </c>
      <c r="L1998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1999" spans="2:12" x14ac:dyDescent="0.3">
      <c r="B1999" s="34">
        <v>46190</v>
      </c>
      <c r="C1999" s="34" t="str">
        <f>TEXT(Metas_Diarias[[#This Row],[data]],"dddd")</f>
        <v>quarta-feira</v>
      </c>
      <c r="D1999" s="33">
        <v>5</v>
      </c>
      <c r="E1999" s="33">
        <v>5</v>
      </c>
      <c r="F1999" s="18"/>
      <c r="G1999" s="35">
        <f>WEEKDAY(Metas_Diarias[[#This Row],[data]])</f>
        <v>4</v>
      </c>
      <c r="H1999" s="35">
        <f>IF(Metas_Diarias[[#This Row],[dias_da_demana]]=1,"domingo",IF(Metas_Diarias[[#This Row],[dias_da_demana]]=7,0.5,1))</f>
        <v>1</v>
      </c>
      <c r="I1999" s="35">
        <f>_xlfn.XLOOKUP(Metas_Diarias[[#This Row],[data]],Feriados[Data],Feriados[Feriado],1)</f>
        <v>1</v>
      </c>
      <c r="J1999" s="33" cm="1">
        <f t="array" aca="1" ref="J1999" ca="1">SUMPRODUCT(IF((NOT(ISERROR(MATCH(ROW(INDIRECT(DATE(YEAR(B1999),MONTH(B1999),1)&amp;":"&amp;DATE(YEAR(B1999),MONTH(B1999)+1,0))),Feriados[Data],0))))=FALSE,
IF(WEEKDAY(ROW(INDIRECT(DATE(YEAR(B1999),MONTH(B1999),1)&amp;":"&amp;DATE(YEAR(B1999),MONTH(B1999)+1,0))),2)&lt;=5,1,IF(WEEKDAY(ROW(INDIRECT(DATE(YEAR(B1999),MONTH(B1999),1)&amp;":"&amp;DATE(YEAR(B1999),MONTH(B1999)+1,0))),2)=6,0.5,0)),0))</f>
        <v>23</v>
      </c>
      <c r="K1999" s="22" cm="1">
        <f t="array" ref="K1999">_xlfn.XLOOKUP(1,((Metas_Diarias[[#This Row],[tipo_equipe_id]]=Metas[equipe])*(Metas_Diarias[[#This Row],[data]]&gt;Metas[data_inicio])*(Metas_Diarias[[#This Row],[data]]&lt;Metas[data_fim])),Metas[meta_mensal],0)</f>
        <v>68250</v>
      </c>
      <c r="L1999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00" spans="2:12" x14ac:dyDescent="0.3">
      <c r="B2000" s="34">
        <v>46191</v>
      </c>
      <c r="C2000" s="34" t="str">
        <f>TEXT(Metas_Diarias[[#This Row],[data]],"dddd")</f>
        <v>quinta-feira</v>
      </c>
      <c r="D2000" s="33">
        <v>5</v>
      </c>
      <c r="E2000" s="33">
        <v>5</v>
      </c>
      <c r="F2000" s="18"/>
      <c r="G2000" s="35">
        <f>WEEKDAY(Metas_Diarias[[#This Row],[data]])</f>
        <v>5</v>
      </c>
      <c r="H2000" s="35">
        <f>IF(Metas_Diarias[[#This Row],[dias_da_demana]]=1,"domingo",IF(Metas_Diarias[[#This Row],[dias_da_demana]]=7,0.5,1))</f>
        <v>1</v>
      </c>
      <c r="I2000" s="35">
        <f>_xlfn.XLOOKUP(Metas_Diarias[[#This Row],[data]],Feriados[Data],Feriados[Feriado],1)</f>
        <v>1</v>
      </c>
      <c r="J2000" s="33" cm="1">
        <f t="array" aca="1" ref="J2000" ca="1">SUMPRODUCT(IF((NOT(ISERROR(MATCH(ROW(INDIRECT(DATE(YEAR(B2000),MONTH(B2000),1)&amp;":"&amp;DATE(YEAR(B2000),MONTH(B2000)+1,0))),Feriados[Data],0))))=FALSE,
IF(WEEKDAY(ROW(INDIRECT(DATE(YEAR(B2000),MONTH(B2000),1)&amp;":"&amp;DATE(YEAR(B2000),MONTH(B2000)+1,0))),2)&lt;=5,1,IF(WEEKDAY(ROW(INDIRECT(DATE(YEAR(B2000),MONTH(B2000),1)&amp;":"&amp;DATE(YEAR(B2000),MONTH(B2000)+1,0))),2)=6,0.5,0)),0))</f>
        <v>23</v>
      </c>
      <c r="K2000" s="22" cm="1">
        <f t="array" ref="K2000">_xlfn.XLOOKUP(1,((Metas_Diarias[[#This Row],[tipo_equipe_id]]=Metas[equipe])*(Metas_Diarias[[#This Row],[data]]&gt;Metas[data_inicio])*(Metas_Diarias[[#This Row],[data]]&lt;Metas[data_fim])),Metas[meta_mensal],0)</f>
        <v>68250</v>
      </c>
      <c r="L2000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01" spans="2:12" x14ac:dyDescent="0.3">
      <c r="B2001" s="34">
        <v>46192</v>
      </c>
      <c r="C2001" s="34" t="str">
        <f>TEXT(Metas_Diarias[[#This Row],[data]],"dddd")</f>
        <v>sexta-feira</v>
      </c>
      <c r="D2001" s="33">
        <v>5</v>
      </c>
      <c r="E2001" s="33">
        <v>5</v>
      </c>
      <c r="F2001" s="18"/>
      <c r="G2001" s="35">
        <f>WEEKDAY(Metas_Diarias[[#This Row],[data]])</f>
        <v>6</v>
      </c>
      <c r="H2001" s="35">
        <f>IF(Metas_Diarias[[#This Row],[dias_da_demana]]=1,"domingo",IF(Metas_Diarias[[#This Row],[dias_da_demana]]=7,0.5,1))</f>
        <v>1</v>
      </c>
      <c r="I2001" s="35">
        <f>_xlfn.XLOOKUP(Metas_Diarias[[#This Row],[data]],Feriados[Data],Feriados[Feriado],1)</f>
        <v>1</v>
      </c>
      <c r="J2001" s="33" cm="1">
        <f t="array" aca="1" ref="J2001" ca="1">SUMPRODUCT(IF((NOT(ISERROR(MATCH(ROW(INDIRECT(DATE(YEAR(B2001),MONTH(B2001),1)&amp;":"&amp;DATE(YEAR(B2001),MONTH(B2001)+1,0))),Feriados[Data],0))))=FALSE,
IF(WEEKDAY(ROW(INDIRECT(DATE(YEAR(B2001),MONTH(B2001),1)&amp;":"&amp;DATE(YEAR(B2001),MONTH(B2001)+1,0))),2)&lt;=5,1,IF(WEEKDAY(ROW(INDIRECT(DATE(YEAR(B2001),MONTH(B2001),1)&amp;":"&amp;DATE(YEAR(B2001),MONTH(B2001)+1,0))),2)=6,0.5,0)),0))</f>
        <v>23</v>
      </c>
      <c r="K2001" s="22" cm="1">
        <f t="array" ref="K2001">_xlfn.XLOOKUP(1,((Metas_Diarias[[#This Row],[tipo_equipe_id]]=Metas[equipe])*(Metas_Diarias[[#This Row],[data]]&gt;Metas[data_inicio])*(Metas_Diarias[[#This Row],[data]]&lt;Metas[data_fim])),Metas[meta_mensal],0)</f>
        <v>68250</v>
      </c>
      <c r="L2001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02" spans="2:12" x14ac:dyDescent="0.3">
      <c r="B2002" s="34">
        <v>46193</v>
      </c>
      <c r="C2002" s="34" t="str">
        <f>TEXT(Metas_Diarias[[#This Row],[data]],"dddd")</f>
        <v>sábado</v>
      </c>
      <c r="D2002" s="33">
        <v>5</v>
      </c>
      <c r="E2002" s="33">
        <v>5</v>
      </c>
      <c r="F2002" s="18"/>
      <c r="G2002" s="35">
        <f>WEEKDAY(Metas_Diarias[[#This Row],[data]])</f>
        <v>7</v>
      </c>
      <c r="H2002" s="35">
        <f>IF(Metas_Diarias[[#This Row],[dias_da_demana]]=1,"domingo",IF(Metas_Diarias[[#This Row],[dias_da_demana]]=7,0.5,1))</f>
        <v>0.5</v>
      </c>
      <c r="I2002" s="35">
        <f>_xlfn.XLOOKUP(Metas_Diarias[[#This Row],[data]],Feriados[Data],Feriados[Feriado],1)</f>
        <v>1</v>
      </c>
      <c r="J2002" s="33" cm="1">
        <f t="array" aca="1" ref="J2002" ca="1">SUMPRODUCT(IF((NOT(ISERROR(MATCH(ROW(INDIRECT(DATE(YEAR(B2002),MONTH(B2002),1)&amp;":"&amp;DATE(YEAR(B2002),MONTH(B2002)+1,0))),Feriados[Data],0))))=FALSE,
IF(WEEKDAY(ROW(INDIRECT(DATE(YEAR(B2002),MONTH(B2002),1)&amp;":"&amp;DATE(YEAR(B2002),MONTH(B2002)+1,0))),2)&lt;=5,1,IF(WEEKDAY(ROW(INDIRECT(DATE(YEAR(B2002),MONTH(B2002),1)&amp;":"&amp;DATE(YEAR(B2002),MONTH(B2002)+1,0))),2)=6,0.5,0)),0))</f>
        <v>23</v>
      </c>
      <c r="K2002" s="22" cm="1">
        <f t="array" ref="K2002">_xlfn.XLOOKUP(1,((Metas_Diarias[[#This Row],[tipo_equipe_id]]=Metas[equipe])*(Metas_Diarias[[#This Row],[data]]&gt;Metas[data_inicio])*(Metas_Diarias[[#This Row],[data]]&lt;Metas[data_fim])),Metas[meta_mensal],0)</f>
        <v>68250</v>
      </c>
      <c r="L2002" s="24">
        <f ca="1">Metas_Diarias[[#This Row],[meta_mensal]]*IF(Metas_Diarias[[#This Row],[semana]]="domingo",0,Metas_Diarias[[#This Row],[semana]])*IF(Metas_Diarias[[#This Row],[feriado]]&lt;&gt;1,0,1)/Metas_Diarias[[#This Row],[dias_úteis_Mês]]</f>
        <v>1483.695652173913</v>
      </c>
    </row>
    <row r="2003" spans="2:12" x14ac:dyDescent="0.3">
      <c r="B2003" s="34">
        <v>46194</v>
      </c>
      <c r="C2003" s="34" t="str">
        <f>TEXT(Metas_Diarias[[#This Row],[data]],"dddd")</f>
        <v>domingo</v>
      </c>
      <c r="D2003" s="33">
        <v>5</v>
      </c>
      <c r="E2003" s="33">
        <v>5</v>
      </c>
      <c r="F2003" s="18"/>
      <c r="G2003" s="35">
        <f>WEEKDAY(Metas_Diarias[[#This Row],[data]])</f>
        <v>1</v>
      </c>
      <c r="H2003" s="35" t="str">
        <f>IF(Metas_Diarias[[#This Row],[dias_da_demana]]=1,"domingo",IF(Metas_Diarias[[#This Row],[dias_da_demana]]=7,0.5,1))</f>
        <v>domingo</v>
      </c>
      <c r="I2003" s="35">
        <f>_xlfn.XLOOKUP(Metas_Diarias[[#This Row],[data]],Feriados[Data],Feriados[Feriado],1)</f>
        <v>1</v>
      </c>
      <c r="J2003" s="33" cm="1">
        <f t="array" aca="1" ref="J2003" ca="1">SUMPRODUCT(IF((NOT(ISERROR(MATCH(ROW(INDIRECT(DATE(YEAR(B2003),MONTH(B2003),1)&amp;":"&amp;DATE(YEAR(B2003),MONTH(B2003)+1,0))),Feriados[Data],0))))=FALSE,
IF(WEEKDAY(ROW(INDIRECT(DATE(YEAR(B2003),MONTH(B2003),1)&amp;":"&amp;DATE(YEAR(B2003),MONTH(B2003)+1,0))),2)&lt;=5,1,IF(WEEKDAY(ROW(INDIRECT(DATE(YEAR(B2003),MONTH(B2003),1)&amp;":"&amp;DATE(YEAR(B2003),MONTH(B2003)+1,0))),2)=6,0.5,0)),0))</f>
        <v>23</v>
      </c>
      <c r="K2003" s="22" cm="1">
        <f t="array" ref="K2003">_xlfn.XLOOKUP(1,((Metas_Diarias[[#This Row],[tipo_equipe_id]]=Metas[equipe])*(Metas_Diarias[[#This Row],[data]]&gt;Metas[data_inicio])*(Metas_Diarias[[#This Row],[data]]&lt;Metas[data_fim])),Metas[meta_mensal],0)</f>
        <v>68250</v>
      </c>
      <c r="L20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04" spans="2:12" x14ac:dyDescent="0.3">
      <c r="B2004" s="34">
        <v>46195</v>
      </c>
      <c r="C2004" s="34" t="str">
        <f>TEXT(Metas_Diarias[[#This Row],[data]],"dddd")</f>
        <v>segunda-feira</v>
      </c>
      <c r="D2004" s="33">
        <v>5</v>
      </c>
      <c r="E2004" s="33">
        <v>5</v>
      </c>
      <c r="F2004" s="18"/>
      <c r="G2004" s="35">
        <f>WEEKDAY(Metas_Diarias[[#This Row],[data]])</f>
        <v>2</v>
      </c>
      <c r="H2004" s="35">
        <f>IF(Metas_Diarias[[#This Row],[dias_da_demana]]=1,"domingo",IF(Metas_Diarias[[#This Row],[dias_da_demana]]=7,0.5,1))</f>
        <v>1</v>
      </c>
      <c r="I2004" s="35">
        <f>_xlfn.XLOOKUP(Metas_Diarias[[#This Row],[data]],Feriados[Data],Feriados[Feriado],1)</f>
        <v>1</v>
      </c>
      <c r="J2004" s="33" cm="1">
        <f t="array" aca="1" ref="J2004" ca="1">SUMPRODUCT(IF((NOT(ISERROR(MATCH(ROW(INDIRECT(DATE(YEAR(B2004),MONTH(B2004),1)&amp;":"&amp;DATE(YEAR(B2004),MONTH(B2004)+1,0))),Feriados[Data],0))))=FALSE,
IF(WEEKDAY(ROW(INDIRECT(DATE(YEAR(B2004),MONTH(B2004),1)&amp;":"&amp;DATE(YEAR(B2004),MONTH(B2004)+1,0))),2)&lt;=5,1,IF(WEEKDAY(ROW(INDIRECT(DATE(YEAR(B2004),MONTH(B2004),1)&amp;":"&amp;DATE(YEAR(B2004),MONTH(B2004)+1,0))),2)=6,0.5,0)),0))</f>
        <v>23</v>
      </c>
      <c r="K2004" s="22" cm="1">
        <f t="array" ref="K2004">_xlfn.XLOOKUP(1,((Metas_Diarias[[#This Row],[tipo_equipe_id]]=Metas[equipe])*(Metas_Diarias[[#This Row],[data]]&gt;Metas[data_inicio])*(Metas_Diarias[[#This Row],[data]]&lt;Metas[data_fim])),Metas[meta_mensal],0)</f>
        <v>68250</v>
      </c>
      <c r="L2004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05" spans="2:12" x14ac:dyDescent="0.3">
      <c r="B2005" s="34">
        <v>46196</v>
      </c>
      <c r="C2005" s="34" t="str">
        <f>TEXT(Metas_Diarias[[#This Row],[data]],"dddd")</f>
        <v>terça-feira</v>
      </c>
      <c r="D2005" s="33">
        <v>5</v>
      </c>
      <c r="E2005" s="33">
        <v>5</v>
      </c>
      <c r="F2005" s="18"/>
      <c r="G2005" s="35">
        <f>WEEKDAY(Metas_Diarias[[#This Row],[data]])</f>
        <v>3</v>
      </c>
      <c r="H2005" s="35">
        <f>IF(Metas_Diarias[[#This Row],[dias_da_demana]]=1,"domingo",IF(Metas_Diarias[[#This Row],[dias_da_demana]]=7,0.5,1))</f>
        <v>1</v>
      </c>
      <c r="I2005" s="35">
        <f>_xlfn.XLOOKUP(Metas_Diarias[[#This Row],[data]],Feriados[Data],Feriados[Feriado],1)</f>
        <v>1</v>
      </c>
      <c r="J2005" s="33" cm="1">
        <f t="array" aca="1" ref="J2005" ca="1">SUMPRODUCT(IF((NOT(ISERROR(MATCH(ROW(INDIRECT(DATE(YEAR(B2005),MONTH(B2005),1)&amp;":"&amp;DATE(YEAR(B2005),MONTH(B2005)+1,0))),Feriados[Data],0))))=FALSE,
IF(WEEKDAY(ROW(INDIRECT(DATE(YEAR(B2005),MONTH(B2005),1)&amp;":"&amp;DATE(YEAR(B2005),MONTH(B2005)+1,0))),2)&lt;=5,1,IF(WEEKDAY(ROW(INDIRECT(DATE(YEAR(B2005),MONTH(B2005),1)&amp;":"&amp;DATE(YEAR(B2005),MONTH(B2005)+1,0))),2)=6,0.5,0)),0))</f>
        <v>23</v>
      </c>
      <c r="K2005" s="22" cm="1">
        <f t="array" ref="K2005">_xlfn.XLOOKUP(1,((Metas_Diarias[[#This Row],[tipo_equipe_id]]=Metas[equipe])*(Metas_Diarias[[#This Row],[data]]&gt;Metas[data_inicio])*(Metas_Diarias[[#This Row],[data]]&lt;Metas[data_fim])),Metas[meta_mensal],0)</f>
        <v>68250</v>
      </c>
      <c r="L2005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06" spans="2:12" x14ac:dyDescent="0.3">
      <c r="B2006" s="34">
        <v>46197</v>
      </c>
      <c r="C2006" s="34" t="str">
        <f>TEXT(Metas_Diarias[[#This Row],[data]],"dddd")</f>
        <v>quarta-feira</v>
      </c>
      <c r="D2006" s="33">
        <v>5</v>
      </c>
      <c r="E2006" s="33">
        <v>5</v>
      </c>
      <c r="F2006" s="18"/>
      <c r="G2006" s="35">
        <f>WEEKDAY(Metas_Diarias[[#This Row],[data]])</f>
        <v>4</v>
      </c>
      <c r="H2006" s="35">
        <f>IF(Metas_Diarias[[#This Row],[dias_da_demana]]=1,"domingo",IF(Metas_Diarias[[#This Row],[dias_da_demana]]=7,0.5,1))</f>
        <v>1</v>
      </c>
      <c r="I2006" s="35">
        <f>_xlfn.XLOOKUP(Metas_Diarias[[#This Row],[data]],Feriados[Data],Feriados[Feriado],1)</f>
        <v>1</v>
      </c>
      <c r="J2006" s="33" cm="1">
        <f t="array" aca="1" ref="J2006" ca="1">SUMPRODUCT(IF((NOT(ISERROR(MATCH(ROW(INDIRECT(DATE(YEAR(B2006),MONTH(B2006),1)&amp;":"&amp;DATE(YEAR(B2006),MONTH(B2006)+1,0))),Feriados[Data],0))))=FALSE,
IF(WEEKDAY(ROW(INDIRECT(DATE(YEAR(B2006),MONTH(B2006),1)&amp;":"&amp;DATE(YEAR(B2006),MONTH(B2006)+1,0))),2)&lt;=5,1,IF(WEEKDAY(ROW(INDIRECT(DATE(YEAR(B2006),MONTH(B2006),1)&amp;":"&amp;DATE(YEAR(B2006),MONTH(B2006)+1,0))),2)=6,0.5,0)),0))</f>
        <v>23</v>
      </c>
      <c r="K2006" s="22" cm="1">
        <f t="array" ref="K2006">_xlfn.XLOOKUP(1,((Metas_Diarias[[#This Row],[tipo_equipe_id]]=Metas[equipe])*(Metas_Diarias[[#This Row],[data]]&gt;Metas[data_inicio])*(Metas_Diarias[[#This Row],[data]]&lt;Metas[data_fim])),Metas[meta_mensal],0)</f>
        <v>68250</v>
      </c>
      <c r="L2006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07" spans="2:12" x14ac:dyDescent="0.3">
      <c r="B2007" s="34">
        <v>46198</v>
      </c>
      <c r="C2007" s="34" t="str">
        <f>TEXT(Metas_Diarias[[#This Row],[data]],"dddd")</f>
        <v>quinta-feira</v>
      </c>
      <c r="D2007" s="33">
        <v>5</v>
      </c>
      <c r="E2007" s="33">
        <v>5</v>
      </c>
      <c r="F2007" s="18"/>
      <c r="G2007" s="35">
        <f>WEEKDAY(Metas_Diarias[[#This Row],[data]])</f>
        <v>5</v>
      </c>
      <c r="H2007" s="35">
        <f>IF(Metas_Diarias[[#This Row],[dias_da_demana]]=1,"domingo",IF(Metas_Diarias[[#This Row],[dias_da_demana]]=7,0.5,1))</f>
        <v>1</v>
      </c>
      <c r="I2007" s="35">
        <f>_xlfn.XLOOKUP(Metas_Diarias[[#This Row],[data]],Feriados[Data],Feriados[Feriado],1)</f>
        <v>1</v>
      </c>
      <c r="J2007" s="33" cm="1">
        <f t="array" aca="1" ref="J2007" ca="1">SUMPRODUCT(IF((NOT(ISERROR(MATCH(ROW(INDIRECT(DATE(YEAR(B2007),MONTH(B2007),1)&amp;":"&amp;DATE(YEAR(B2007),MONTH(B2007)+1,0))),Feriados[Data],0))))=FALSE,
IF(WEEKDAY(ROW(INDIRECT(DATE(YEAR(B2007),MONTH(B2007),1)&amp;":"&amp;DATE(YEAR(B2007),MONTH(B2007)+1,0))),2)&lt;=5,1,IF(WEEKDAY(ROW(INDIRECT(DATE(YEAR(B2007),MONTH(B2007),1)&amp;":"&amp;DATE(YEAR(B2007),MONTH(B2007)+1,0))),2)=6,0.5,0)),0))</f>
        <v>23</v>
      </c>
      <c r="K2007" s="22" cm="1">
        <f t="array" ref="K2007">_xlfn.XLOOKUP(1,((Metas_Diarias[[#This Row],[tipo_equipe_id]]=Metas[equipe])*(Metas_Diarias[[#This Row],[data]]&gt;Metas[data_inicio])*(Metas_Diarias[[#This Row],[data]]&lt;Metas[data_fim])),Metas[meta_mensal],0)</f>
        <v>68250</v>
      </c>
      <c r="L2007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08" spans="2:12" x14ac:dyDescent="0.3">
      <c r="B2008" s="34">
        <v>46199</v>
      </c>
      <c r="C2008" s="34" t="str">
        <f>TEXT(Metas_Diarias[[#This Row],[data]],"dddd")</f>
        <v>sexta-feira</v>
      </c>
      <c r="D2008" s="33">
        <v>5</v>
      </c>
      <c r="E2008" s="33">
        <v>5</v>
      </c>
      <c r="F2008" s="18"/>
      <c r="G2008" s="35">
        <f>WEEKDAY(Metas_Diarias[[#This Row],[data]])</f>
        <v>6</v>
      </c>
      <c r="H2008" s="35">
        <f>IF(Metas_Diarias[[#This Row],[dias_da_demana]]=1,"domingo",IF(Metas_Diarias[[#This Row],[dias_da_demana]]=7,0.5,1))</f>
        <v>1</v>
      </c>
      <c r="I2008" s="35">
        <f>_xlfn.XLOOKUP(Metas_Diarias[[#This Row],[data]],Feriados[Data],Feriados[Feriado],1)</f>
        <v>1</v>
      </c>
      <c r="J2008" s="33" cm="1">
        <f t="array" aca="1" ref="J2008" ca="1">SUMPRODUCT(IF((NOT(ISERROR(MATCH(ROW(INDIRECT(DATE(YEAR(B2008),MONTH(B2008),1)&amp;":"&amp;DATE(YEAR(B2008),MONTH(B2008)+1,0))),Feriados[Data],0))))=FALSE,
IF(WEEKDAY(ROW(INDIRECT(DATE(YEAR(B2008),MONTH(B2008),1)&amp;":"&amp;DATE(YEAR(B2008),MONTH(B2008)+1,0))),2)&lt;=5,1,IF(WEEKDAY(ROW(INDIRECT(DATE(YEAR(B2008),MONTH(B2008),1)&amp;":"&amp;DATE(YEAR(B2008),MONTH(B2008)+1,0))),2)=6,0.5,0)),0))</f>
        <v>23</v>
      </c>
      <c r="K2008" s="22" cm="1">
        <f t="array" ref="K2008">_xlfn.XLOOKUP(1,((Metas_Diarias[[#This Row],[tipo_equipe_id]]=Metas[equipe])*(Metas_Diarias[[#This Row],[data]]&gt;Metas[data_inicio])*(Metas_Diarias[[#This Row],[data]]&lt;Metas[data_fim])),Metas[meta_mensal],0)</f>
        <v>68250</v>
      </c>
      <c r="L2008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09" spans="2:12" x14ac:dyDescent="0.3">
      <c r="B2009" s="34">
        <v>46200</v>
      </c>
      <c r="C2009" s="34" t="str">
        <f>TEXT(Metas_Diarias[[#This Row],[data]],"dddd")</f>
        <v>sábado</v>
      </c>
      <c r="D2009" s="33">
        <v>5</v>
      </c>
      <c r="E2009" s="33">
        <v>5</v>
      </c>
      <c r="F2009" s="18"/>
      <c r="G2009" s="35">
        <f>WEEKDAY(Metas_Diarias[[#This Row],[data]])</f>
        <v>7</v>
      </c>
      <c r="H2009" s="35">
        <f>IF(Metas_Diarias[[#This Row],[dias_da_demana]]=1,"domingo",IF(Metas_Diarias[[#This Row],[dias_da_demana]]=7,0.5,1))</f>
        <v>0.5</v>
      </c>
      <c r="I2009" s="35">
        <f>_xlfn.XLOOKUP(Metas_Diarias[[#This Row],[data]],Feriados[Data],Feriados[Feriado],1)</f>
        <v>1</v>
      </c>
      <c r="J2009" s="33" cm="1">
        <f t="array" aca="1" ref="J2009" ca="1">SUMPRODUCT(IF((NOT(ISERROR(MATCH(ROW(INDIRECT(DATE(YEAR(B2009),MONTH(B2009),1)&amp;":"&amp;DATE(YEAR(B2009),MONTH(B2009)+1,0))),Feriados[Data],0))))=FALSE,
IF(WEEKDAY(ROW(INDIRECT(DATE(YEAR(B2009),MONTH(B2009),1)&amp;":"&amp;DATE(YEAR(B2009),MONTH(B2009)+1,0))),2)&lt;=5,1,IF(WEEKDAY(ROW(INDIRECT(DATE(YEAR(B2009),MONTH(B2009),1)&amp;":"&amp;DATE(YEAR(B2009),MONTH(B2009)+1,0))),2)=6,0.5,0)),0))</f>
        <v>23</v>
      </c>
      <c r="K2009" s="22" cm="1">
        <f t="array" ref="K2009">_xlfn.XLOOKUP(1,((Metas_Diarias[[#This Row],[tipo_equipe_id]]=Metas[equipe])*(Metas_Diarias[[#This Row],[data]]&gt;Metas[data_inicio])*(Metas_Diarias[[#This Row],[data]]&lt;Metas[data_fim])),Metas[meta_mensal],0)</f>
        <v>68250</v>
      </c>
      <c r="L2009" s="24">
        <f ca="1">Metas_Diarias[[#This Row],[meta_mensal]]*IF(Metas_Diarias[[#This Row],[semana]]="domingo",0,Metas_Diarias[[#This Row],[semana]])*IF(Metas_Diarias[[#This Row],[feriado]]&lt;&gt;1,0,1)/Metas_Diarias[[#This Row],[dias_úteis_Mês]]</f>
        <v>1483.695652173913</v>
      </c>
    </row>
    <row r="2010" spans="2:12" x14ac:dyDescent="0.3">
      <c r="B2010" s="34">
        <v>46201</v>
      </c>
      <c r="C2010" s="34" t="str">
        <f>TEXT(Metas_Diarias[[#This Row],[data]],"dddd")</f>
        <v>domingo</v>
      </c>
      <c r="D2010" s="33">
        <v>5</v>
      </c>
      <c r="E2010" s="33">
        <v>5</v>
      </c>
      <c r="F2010" s="18"/>
      <c r="G2010" s="35">
        <f>WEEKDAY(Metas_Diarias[[#This Row],[data]])</f>
        <v>1</v>
      </c>
      <c r="H2010" s="35" t="str">
        <f>IF(Metas_Diarias[[#This Row],[dias_da_demana]]=1,"domingo",IF(Metas_Diarias[[#This Row],[dias_da_demana]]=7,0.5,1))</f>
        <v>domingo</v>
      </c>
      <c r="I2010" s="35">
        <f>_xlfn.XLOOKUP(Metas_Diarias[[#This Row],[data]],Feriados[Data],Feriados[Feriado],1)</f>
        <v>1</v>
      </c>
      <c r="J2010" s="33" cm="1">
        <f t="array" aca="1" ref="J2010" ca="1">SUMPRODUCT(IF((NOT(ISERROR(MATCH(ROW(INDIRECT(DATE(YEAR(B2010),MONTH(B2010),1)&amp;":"&amp;DATE(YEAR(B2010),MONTH(B2010)+1,0))),Feriados[Data],0))))=FALSE,
IF(WEEKDAY(ROW(INDIRECT(DATE(YEAR(B2010),MONTH(B2010),1)&amp;":"&amp;DATE(YEAR(B2010),MONTH(B2010)+1,0))),2)&lt;=5,1,IF(WEEKDAY(ROW(INDIRECT(DATE(YEAR(B2010),MONTH(B2010),1)&amp;":"&amp;DATE(YEAR(B2010),MONTH(B2010)+1,0))),2)=6,0.5,0)),0))</f>
        <v>23</v>
      </c>
      <c r="K2010" s="22" cm="1">
        <f t="array" ref="K2010">_xlfn.XLOOKUP(1,((Metas_Diarias[[#This Row],[tipo_equipe_id]]=Metas[equipe])*(Metas_Diarias[[#This Row],[data]]&gt;Metas[data_inicio])*(Metas_Diarias[[#This Row],[data]]&lt;Metas[data_fim])),Metas[meta_mensal],0)</f>
        <v>68250</v>
      </c>
      <c r="L20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11" spans="2:12" x14ac:dyDescent="0.3">
      <c r="B2011" s="34">
        <v>46202</v>
      </c>
      <c r="C2011" s="34" t="str">
        <f>TEXT(Metas_Diarias[[#This Row],[data]],"dddd")</f>
        <v>segunda-feira</v>
      </c>
      <c r="D2011" s="33">
        <v>5</v>
      </c>
      <c r="E2011" s="33">
        <v>5</v>
      </c>
      <c r="F2011" s="18"/>
      <c r="G2011" s="35">
        <f>WEEKDAY(Metas_Diarias[[#This Row],[data]])</f>
        <v>2</v>
      </c>
      <c r="H2011" s="35">
        <f>IF(Metas_Diarias[[#This Row],[dias_da_demana]]=1,"domingo",IF(Metas_Diarias[[#This Row],[dias_da_demana]]=7,0.5,1))</f>
        <v>1</v>
      </c>
      <c r="I2011" s="35">
        <f>_xlfn.XLOOKUP(Metas_Diarias[[#This Row],[data]],Feriados[Data],Feriados[Feriado],1)</f>
        <v>1</v>
      </c>
      <c r="J2011" s="33" cm="1">
        <f t="array" aca="1" ref="J2011" ca="1">SUMPRODUCT(IF((NOT(ISERROR(MATCH(ROW(INDIRECT(DATE(YEAR(B2011),MONTH(B2011),1)&amp;":"&amp;DATE(YEAR(B2011),MONTH(B2011)+1,0))),Feriados[Data],0))))=FALSE,
IF(WEEKDAY(ROW(INDIRECT(DATE(YEAR(B2011),MONTH(B2011),1)&amp;":"&amp;DATE(YEAR(B2011),MONTH(B2011)+1,0))),2)&lt;=5,1,IF(WEEKDAY(ROW(INDIRECT(DATE(YEAR(B2011),MONTH(B2011),1)&amp;":"&amp;DATE(YEAR(B2011),MONTH(B2011)+1,0))),2)=6,0.5,0)),0))</f>
        <v>23</v>
      </c>
      <c r="K2011" s="22" cm="1">
        <f t="array" ref="K2011">_xlfn.XLOOKUP(1,((Metas_Diarias[[#This Row],[tipo_equipe_id]]=Metas[equipe])*(Metas_Diarias[[#This Row],[data]]&gt;Metas[data_inicio])*(Metas_Diarias[[#This Row],[data]]&lt;Metas[data_fim])),Metas[meta_mensal],0)</f>
        <v>68250</v>
      </c>
      <c r="L2011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12" spans="2:12" x14ac:dyDescent="0.3">
      <c r="B2012" s="34">
        <v>46203</v>
      </c>
      <c r="C2012" s="34" t="str">
        <f>TEXT(Metas_Diarias[[#This Row],[data]],"dddd")</f>
        <v>terça-feira</v>
      </c>
      <c r="D2012" s="33">
        <v>5</v>
      </c>
      <c r="E2012" s="33">
        <v>5</v>
      </c>
      <c r="F2012" s="18"/>
      <c r="G2012" s="35">
        <f>WEEKDAY(Metas_Diarias[[#This Row],[data]])</f>
        <v>3</v>
      </c>
      <c r="H2012" s="35">
        <f>IF(Metas_Diarias[[#This Row],[dias_da_demana]]=1,"domingo",IF(Metas_Diarias[[#This Row],[dias_da_demana]]=7,0.5,1))</f>
        <v>1</v>
      </c>
      <c r="I2012" s="35">
        <f>_xlfn.XLOOKUP(Metas_Diarias[[#This Row],[data]],Feriados[Data],Feriados[Feriado],1)</f>
        <v>1</v>
      </c>
      <c r="J2012" s="33" cm="1">
        <f t="array" aca="1" ref="J2012" ca="1">SUMPRODUCT(IF((NOT(ISERROR(MATCH(ROW(INDIRECT(DATE(YEAR(B2012),MONTH(B2012),1)&amp;":"&amp;DATE(YEAR(B2012),MONTH(B2012)+1,0))),Feriados[Data],0))))=FALSE,
IF(WEEKDAY(ROW(INDIRECT(DATE(YEAR(B2012),MONTH(B2012),1)&amp;":"&amp;DATE(YEAR(B2012),MONTH(B2012)+1,0))),2)&lt;=5,1,IF(WEEKDAY(ROW(INDIRECT(DATE(YEAR(B2012),MONTH(B2012),1)&amp;":"&amp;DATE(YEAR(B2012),MONTH(B2012)+1,0))),2)=6,0.5,0)),0))</f>
        <v>23</v>
      </c>
      <c r="K2012" s="22" cm="1">
        <f t="array" ref="K2012">_xlfn.XLOOKUP(1,((Metas_Diarias[[#This Row],[tipo_equipe_id]]=Metas[equipe])*(Metas_Diarias[[#This Row],[data]]&gt;Metas[data_inicio])*(Metas_Diarias[[#This Row],[data]]&lt;Metas[data_fim])),Metas[meta_mensal],0)</f>
        <v>68250</v>
      </c>
      <c r="L2012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13" spans="2:12" x14ac:dyDescent="0.3">
      <c r="B2013" s="34">
        <v>46204</v>
      </c>
      <c r="C2013" s="34" t="str">
        <f>TEXT(Metas_Diarias[[#This Row],[data]],"dddd")</f>
        <v>quarta-feira</v>
      </c>
      <c r="D2013" s="33">
        <v>5</v>
      </c>
      <c r="E2013" s="33">
        <v>5</v>
      </c>
      <c r="F2013" s="18"/>
      <c r="G2013" s="35">
        <f>WEEKDAY(Metas_Diarias[[#This Row],[data]])</f>
        <v>4</v>
      </c>
      <c r="H2013" s="35">
        <f>IF(Metas_Diarias[[#This Row],[dias_da_demana]]=1,"domingo",IF(Metas_Diarias[[#This Row],[dias_da_demana]]=7,0.5,1))</f>
        <v>1</v>
      </c>
      <c r="I2013" s="35">
        <f>_xlfn.XLOOKUP(Metas_Diarias[[#This Row],[data]],Feriados[Data],Feriados[Feriado],1)</f>
        <v>1</v>
      </c>
      <c r="J2013" s="33" cm="1">
        <f t="array" aca="1" ref="J2013" ca="1">SUMPRODUCT(IF((NOT(ISERROR(MATCH(ROW(INDIRECT(DATE(YEAR(B2013),MONTH(B2013),1)&amp;":"&amp;DATE(YEAR(B2013),MONTH(B2013)+1,0))),Feriados[Data],0))))=FALSE,
IF(WEEKDAY(ROW(INDIRECT(DATE(YEAR(B2013),MONTH(B2013),1)&amp;":"&amp;DATE(YEAR(B2013),MONTH(B2013)+1,0))),2)&lt;=5,1,IF(WEEKDAY(ROW(INDIRECT(DATE(YEAR(B2013),MONTH(B2013),1)&amp;":"&amp;DATE(YEAR(B2013),MONTH(B2013)+1,0))),2)=6,0.5,0)),0))</f>
        <v>25</v>
      </c>
      <c r="K2013" s="22" cm="1">
        <f t="array" ref="K2013">_xlfn.XLOOKUP(1,((Metas_Diarias[[#This Row],[tipo_equipe_id]]=Metas[equipe])*(Metas_Diarias[[#This Row],[data]]&gt;Metas[data_inicio])*(Metas_Diarias[[#This Row],[data]]&lt;Metas[data_fim])),Metas[meta_mensal],0)</f>
        <v>68250</v>
      </c>
      <c r="L2013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14" spans="2:12" x14ac:dyDescent="0.3">
      <c r="B2014" s="34">
        <v>46205</v>
      </c>
      <c r="C2014" s="34" t="str">
        <f>TEXT(Metas_Diarias[[#This Row],[data]],"dddd")</f>
        <v>quinta-feira</v>
      </c>
      <c r="D2014" s="33">
        <v>5</v>
      </c>
      <c r="E2014" s="33">
        <v>5</v>
      </c>
      <c r="F2014" s="18"/>
      <c r="G2014" s="35">
        <f>WEEKDAY(Metas_Diarias[[#This Row],[data]])</f>
        <v>5</v>
      </c>
      <c r="H2014" s="35">
        <f>IF(Metas_Diarias[[#This Row],[dias_da_demana]]=1,"domingo",IF(Metas_Diarias[[#This Row],[dias_da_demana]]=7,0.5,1))</f>
        <v>1</v>
      </c>
      <c r="I2014" s="35">
        <f>_xlfn.XLOOKUP(Metas_Diarias[[#This Row],[data]],Feriados[Data],Feriados[Feriado],1)</f>
        <v>1</v>
      </c>
      <c r="J2014" s="33" cm="1">
        <f t="array" aca="1" ref="J2014" ca="1">SUMPRODUCT(IF((NOT(ISERROR(MATCH(ROW(INDIRECT(DATE(YEAR(B2014),MONTH(B2014),1)&amp;":"&amp;DATE(YEAR(B2014),MONTH(B2014)+1,0))),Feriados[Data],0))))=FALSE,
IF(WEEKDAY(ROW(INDIRECT(DATE(YEAR(B2014),MONTH(B2014),1)&amp;":"&amp;DATE(YEAR(B2014),MONTH(B2014)+1,0))),2)&lt;=5,1,IF(WEEKDAY(ROW(INDIRECT(DATE(YEAR(B2014),MONTH(B2014),1)&amp;":"&amp;DATE(YEAR(B2014),MONTH(B2014)+1,0))),2)=6,0.5,0)),0))</f>
        <v>25</v>
      </c>
      <c r="K2014" s="22" cm="1">
        <f t="array" ref="K2014">_xlfn.XLOOKUP(1,((Metas_Diarias[[#This Row],[tipo_equipe_id]]=Metas[equipe])*(Metas_Diarias[[#This Row],[data]]&gt;Metas[data_inicio])*(Metas_Diarias[[#This Row],[data]]&lt;Metas[data_fim])),Metas[meta_mensal],0)</f>
        <v>68250</v>
      </c>
      <c r="L2014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15" spans="2:12" x14ac:dyDescent="0.3">
      <c r="B2015" s="34">
        <v>46206</v>
      </c>
      <c r="C2015" s="34" t="str">
        <f>TEXT(Metas_Diarias[[#This Row],[data]],"dddd")</f>
        <v>sexta-feira</v>
      </c>
      <c r="D2015" s="33">
        <v>5</v>
      </c>
      <c r="E2015" s="33">
        <v>5</v>
      </c>
      <c r="F2015" s="18"/>
      <c r="G2015" s="35">
        <f>WEEKDAY(Metas_Diarias[[#This Row],[data]])</f>
        <v>6</v>
      </c>
      <c r="H2015" s="35">
        <f>IF(Metas_Diarias[[#This Row],[dias_da_demana]]=1,"domingo",IF(Metas_Diarias[[#This Row],[dias_da_demana]]=7,0.5,1))</f>
        <v>1</v>
      </c>
      <c r="I2015" s="35">
        <f>_xlfn.XLOOKUP(Metas_Diarias[[#This Row],[data]],Feriados[Data],Feriados[Feriado],1)</f>
        <v>1</v>
      </c>
      <c r="J2015" s="33" cm="1">
        <f t="array" aca="1" ref="J2015" ca="1">SUMPRODUCT(IF((NOT(ISERROR(MATCH(ROW(INDIRECT(DATE(YEAR(B2015),MONTH(B2015),1)&amp;":"&amp;DATE(YEAR(B2015),MONTH(B2015)+1,0))),Feriados[Data],0))))=FALSE,
IF(WEEKDAY(ROW(INDIRECT(DATE(YEAR(B2015),MONTH(B2015),1)&amp;":"&amp;DATE(YEAR(B2015),MONTH(B2015)+1,0))),2)&lt;=5,1,IF(WEEKDAY(ROW(INDIRECT(DATE(YEAR(B2015),MONTH(B2015),1)&amp;":"&amp;DATE(YEAR(B2015),MONTH(B2015)+1,0))),2)=6,0.5,0)),0))</f>
        <v>25</v>
      </c>
      <c r="K2015" s="22" cm="1">
        <f t="array" ref="K2015">_xlfn.XLOOKUP(1,((Metas_Diarias[[#This Row],[tipo_equipe_id]]=Metas[equipe])*(Metas_Diarias[[#This Row],[data]]&gt;Metas[data_inicio])*(Metas_Diarias[[#This Row],[data]]&lt;Metas[data_fim])),Metas[meta_mensal],0)</f>
        <v>68250</v>
      </c>
      <c r="L2015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16" spans="2:12" x14ac:dyDescent="0.3">
      <c r="B2016" s="34">
        <v>46207</v>
      </c>
      <c r="C2016" s="34" t="str">
        <f>TEXT(Metas_Diarias[[#This Row],[data]],"dddd")</f>
        <v>sábado</v>
      </c>
      <c r="D2016" s="33">
        <v>5</v>
      </c>
      <c r="E2016" s="33">
        <v>5</v>
      </c>
      <c r="F2016" s="18"/>
      <c r="G2016" s="35">
        <f>WEEKDAY(Metas_Diarias[[#This Row],[data]])</f>
        <v>7</v>
      </c>
      <c r="H2016" s="35">
        <f>IF(Metas_Diarias[[#This Row],[dias_da_demana]]=1,"domingo",IF(Metas_Diarias[[#This Row],[dias_da_demana]]=7,0.5,1))</f>
        <v>0.5</v>
      </c>
      <c r="I2016" s="35">
        <f>_xlfn.XLOOKUP(Metas_Diarias[[#This Row],[data]],Feriados[Data],Feriados[Feriado],1)</f>
        <v>1</v>
      </c>
      <c r="J2016" s="33" cm="1">
        <f t="array" aca="1" ref="J2016" ca="1">SUMPRODUCT(IF((NOT(ISERROR(MATCH(ROW(INDIRECT(DATE(YEAR(B2016),MONTH(B2016),1)&amp;":"&amp;DATE(YEAR(B2016),MONTH(B2016)+1,0))),Feriados[Data],0))))=FALSE,
IF(WEEKDAY(ROW(INDIRECT(DATE(YEAR(B2016),MONTH(B2016),1)&amp;":"&amp;DATE(YEAR(B2016),MONTH(B2016)+1,0))),2)&lt;=5,1,IF(WEEKDAY(ROW(INDIRECT(DATE(YEAR(B2016),MONTH(B2016),1)&amp;":"&amp;DATE(YEAR(B2016),MONTH(B2016)+1,0))),2)=6,0.5,0)),0))</f>
        <v>25</v>
      </c>
      <c r="K2016" s="22" cm="1">
        <f t="array" ref="K2016">_xlfn.XLOOKUP(1,((Metas_Diarias[[#This Row],[tipo_equipe_id]]=Metas[equipe])*(Metas_Diarias[[#This Row],[data]]&gt;Metas[data_inicio])*(Metas_Diarias[[#This Row],[data]]&lt;Metas[data_fim])),Metas[meta_mensal],0)</f>
        <v>68250</v>
      </c>
      <c r="L2016" s="24">
        <f ca="1">Metas_Diarias[[#This Row],[meta_mensal]]*IF(Metas_Diarias[[#This Row],[semana]]="domingo",0,Metas_Diarias[[#This Row],[semana]])*IF(Metas_Diarias[[#This Row],[feriado]]&lt;&gt;1,0,1)/Metas_Diarias[[#This Row],[dias_úteis_Mês]]</f>
        <v>1365</v>
      </c>
    </row>
    <row r="2017" spans="2:12" x14ac:dyDescent="0.3">
      <c r="B2017" s="34">
        <v>46208</v>
      </c>
      <c r="C2017" s="34" t="str">
        <f>TEXT(Metas_Diarias[[#This Row],[data]],"dddd")</f>
        <v>domingo</v>
      </c>
      <c r="D2017" s="33">
        <v>5</v>
      </c>
      <c r="E2017" s="33">
        <v>5</v>
      </c>
      <c r="F2017" s="18"/>
      <c r="G2017" s="35">
        <f>WEEKDAY(Metas_Diarias[[#This Row],[data]])</f>
        <v>1</v>
      </c>
      <c r="H2017" s="35" t="str">
        <f>IF(Metas_Diarias[[#This Row],[dias_da_demana]]=1,"domingo",IF(Metas_Diarias[[#This Row],[dias_da_demana]]=7,0.5,1))</f>
        <v>domingo</v>
      </c>
      <c r="I2017" s="35">
        <f>_xlfn.XLOOKUP(Metas_Diarias[[#This Row],[data]],Feriados[Data],Feriados[Feriado],1)</f>
        <v>1</v>
      </c>
      <c r="J2017" s="33" cm="1">
        <f t="array" aca="1" ref="J2017" ca="1">SUMPRODUCT(IF((NOT(ISERROR(MATCH(ROW(INDIRECT(DATE(YEAR(B2017),MONTH(B2017),1)&amp;":"&amp;DATE(YEAR(B2017),MONTH(B2017)+1,0))),Feriados[Data],0))))=FALSE,
IF(WEEKDAY(ROW(INDIRECT(DATE(YEAR(B2017),MONTH(B2017),1)&amp;":"&amp;DATE(YEAR(B2017),MONTH(B2017)+1,0))),2)&lt;=5,1,IF(WEEKDAY(ROW(INDIRECT(DATE(YEAR(B2017),MONTH(B2017),1)&amp;":"&amp;DATE(YEAR(B2017),MONTH(B2017)+1,0))),2)=6,0.5,0)),0))</f>
        <v>25</v>
      </c>
      <c r="K2017" s="22" cm="1">
        <f t="array" ref="K2017">_xlfn.XLOOKUP(1,((Metas_Diarias[[#This Row],[tipo_equipe_id]]=Metas[equipe])*(Metas_Diarias[[#This Row],[data]]&gt;Metas[data_inicio])*(Metas_Diarias[[#This Row],[data]]&lt;Metas[data_fim])),Metas[meta_mensal],0)</f>
        <v>68250</v>
      </c>
      <c r="L20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18" spans="2:12" x14ac:dyDescent="0.3">
      <c r="B2018" s="34">
        <v>46209</v>
      </c>
      <c r="C2018" s="34" t="str">
        <f>TEXT(Metas_Diarias[[#This Row],[data]],"dddd")</f>
        <v>segunda-feira</v>
      </c>
      <c r="D2018" s="33">
        <v>5</v>
      </c>
      <c r="E2018" s="33">
        <v>5</v>
      </c>
      <c r="F2018" s="18"/>
      <c r="G2018" s="35">
        <f>WEEKDAY(Metas_Diarias[[#This Row],[data]])</f>
        <v>2</v>
      </c>
      <c r="H2018" s="35">
        <f>IF(Metas_Diarias[[#This Row],[dias_da_demana]]=1,"domingo",IF(Metas_Diarias[[#This Row],[dias_da_demana]]=7,0.5,1))</f>
        <v>1</v>
      </c>
      <c r="I2018" s="35">
        <f>_xlfn.XLOOKUP(Metas_Diarias[[#This Row],[data]],Feriados[Data],Feriados[Feriado],1)</f>
        <v>1</v>
      </c>
      <c r="J2018" s="33" cm="1">
        <f t="array" aca="1" ref="J2018" ca="1">SUMPRODUCT(IF((NOT(ISERROR(MATCH(ROW(INDIRECT(DATE(YEAR(B2018),MONTH(B2018),1)&amp;":"&amp;DATE(YEAR(B2018),MONTH(B2018)+1,0))),Feriados[Data],0))))=FALSE,
IF(WEEKDAY(ROW(INDIRECT(DATE(YEAR(B2018),MONTH(B2018),1)&amp;":"&amp;DATE(YEAR(B2018),MONTH(B2018)+1,0))),2)&lt;=5,1,IF(WEEKDAY(ROW(INDIRECT(DATE(YEAR(B2018),MONTH(B2018),1)&amp;":"&amp;DATE(YEAR(B2018),MONTH(B2018)+1,0))),2)=6,0.5,0)),0))</f>
        <v>25</v>
      </c>
      <c r="K2018" s="22" cm="1">
        <f t="array" ref="K2018">_xlfn.XLOOKUP(1,((Metas_Diarias[[#This Row],[tipo_equipe_id]]=Metas[equipe])*(Metas_Diarias[[#This Row],[data]]&gt;Metas[data_inicio])*(Metas_Diarias[[#This Row],[data]]&lt;Metas[data_fim])),Metas[meta_mensal],0)</f>
        <v>68250</v>
      </c>
      <c r="L2018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19" spans="2:12" x14ac:dyDescent="0.3">
      <c r="B2019" s="34">
        <v>46210</v>
      </c>
      <c r="C2019" s="34" t="str">
        <f>TEXT(Metas_Diarias[[#This Row],[data]],"dddd")</f>
        <v>terça-feira</v>
      </c>
      <c r="D2019" s="33">
        <v>5</v>
      </c>
      <c r="E2019" s="33">
        <v>5</v>
      </c>
      <c r="F2019" s="18"/>
      <c r="G2019" s="35">
        <f>WEEKDAY(Metas_Diarias[[#This Row],[data]])</f>
        <v>3</v>
      </c>
      <c r="H2019" s="35">
        <f>IF(Metas_Diarias[[#This Row],[dias_da_demana]]=1,"domingo",IF(Metas_Diarias[[#This Row],[dias_da_demana]]=7,0.5,1))</f>
        <v>1</v>
      </c>
      <c r="I2019" s="35">
        <f>_xlfn.XLOOKUP(Metas_Diarias[[#This Row],[data]],Feriados[Data],Feriados[Feriado],1)</f>
        <v>1</v>
      </c>
      <c r="J2019" s="33" cm="1">
        <f t="array" aca="1" ref="J2019" ca="1">SUMPRODUCT(IF((NOT(ISERROR(MATCH(ROW(INDIRECT(DATE(YEAR(B2019),MONTH(B2019),1)&amp;":"&amp;DATE(YEAR(B2019),MONTH(B2019)+1,0))),Feriados[Data],0))))=FALSE,
IF(WEEKDAY(ROW(INDIRECT(DATE(YEAR(B2019),MONTH(B2019),1)&amp;":"&amp;DATE(YEAR(B2019),MONTH(B2019)+1,0))),2)&lt;=5,1,IF(WEEKDAY(ROW(INDIRECT(DATE(YEAR(B2019),MONTH(B2019),1)&amp;":"&amp;DATE(YEAR(B2019),MONTH(B2019)+1,0))),2)=6,0.5,0)),0))</f>
        <v>25</v>
      </c>
      <c r="K2019" s="22" cm="1">
        <f t="array" ref="K2019">_xlfn.XLOOKUP(1,((Metas_Diarias[[#This Row],[tipo_equipe_id]]=Metas[equipe])*(Metas_Diarias[[#This Row],[data]]&gt;Metas[data_inicio])*(Metas_Diarias[[#This Row],[data]]&lt;Metas[data_fim])),Metas[meta_mensal],0)</f>
        <v>68250</v>
      </c>
      <c r="L2019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20" spans="2:12" x14ac:dyDescent="0.3">
      <c r="B2020" s="34">
        <v>46211</v>
      </c>
      <c r="C2020" s="34" t="str">
        <f>TEXT(Metas_Diarias[[#This Row],[data]],"dddd")</f>
        <v>quarta-feira</v>
      </c>
      <c r="D2020" s="33">
        <v>5</v>
      </c>
      <c r="E2020" s="33">
        <v>5</v>
      </c>
      <c r="F2020" s="18"/>
      <c r="G2020" s="35">
        <f>WEEKDAY(Metas_Diarias[[#This Row],[data]])</f>
        <v>4</v>
      </c>
      <c r="H2020" s="35">
        <f>IF(Metas_Diarias[[#This Row],[dias_da_demana]]=1,"domingo",IF(Metas_Diarias[[#This Row],[dias_da_demana]]=7,0.5,1))</f>
        <v>1</v>
      </c>
      <c r="I2020" s="35">
        <f>_xlfn.XLOOKUP(Metas_Diarias[[#This Row],[data]],Feriados[Data],Feriados[Feriado],1)</f>
        <v>1</v>
      </c>
      <c r="J2020" s="33" cm="1">
        <f t="array" aca="1" ref="J2020" ca="1">SUMPRODUCT(IF((NOT(ISERROR(MATCH(ROW(INDIRECT(DATE(YEAR(B2020),MONTH(B2020),1)&amp;":"&amp;DATE(YEAR(B2020),MONTH(B2020)+1,0))),Feriados[Data],0))))=FALSE,
IF(WEEKDAY(ROW(INDIRECT(DATE(YEAR(B2020),MONTH(B2020),1)&amp;":"&amp;DATE(YEAR(B2020),MONTH(B2020)+1,0))),2)&lt;=5,1,IF(WEEKDAY(ROW(INDIRECT(DATE(YEAR(B2020),MONTH(B2020),1)&amp;":"&amp;DATE(YEAR(B2020),MONTH(B2020)+1,0))),2)=6,0.5,0)),0))</f>
        <v>25</v>
      </c>
      <c r="K2020" s="22" cm="1">
        <f t="array" ref="K2020">_xlfn.XLOOKUP(1,((Metas_Diarias[[#This Row],[tipo_equipe_id]]=Metas[equipe])*(Metas_Diarias[[#This Row],[data]]&gt;Metas[data_inicio])*(Metas_Diarias[[#This Row],[data]]&lt;Metas[data_fim])),Metas[meta_mensal],0)</f>
        <v>68250</v>
      </c>
      <c r="L2020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21" spans="2:12" x14ac:dyDescent="0.3">
      <c r="B2021" s="34">
        <v>46212</v>
      </c>
      <c r="C2021" s="34" t="str">
        <f>TEXT(Metas_Diarias[[#This Row],[data]],"dddd")</f>
        <v>quinta-feira</v>
      </c>
      <c r="D2021" s="33">
        <v>5</v>
      </c>
      <c r="E2021" s="33">
        <v>5</v>
      </c>
      <c r="F2021" s="18"/>
      <c r="G2021" s="35">
        <f>WEEKDAY(Metas_Diarias[[#This Row],[data]])</f>
        <v>5</v>
      </c>
      <c r="H2021" s="35">
        <f>IF(Metas_Diarias[[#This Row],[dias_da_demana]]=1,"domingo",IF(Metas_Diarias[[#This Row],[dias_da_demana]]=7,0.5,1))</f>
        <v>1</v>
      </c>
      <c r="I2021" s="35">
        <f>_xlfn.XLOOKUP(Metas_Diarias[[#This Row],[data]],Feriados[Data],Feriados[Feriado],1)</f>
        <v>1</v>
      </c>
      <c r="J2021" s="33" cm="1">
        <f t="array" aca="1" ref="J2021" ca="1">SUMPRODUCT(IF((NOT(ISERROR(MATCH(ROW(INDIRECT(DATE(YEAR(B2021),MONTH(B2021),1)&amp;":"&amp;DATE(YEAR(B2021),MONTH(B2021)+1,0))),Feriados[Data],0))))=FALSE,
IF(WEEKDAY(ROW(INDIRECT(DATE(YEAR(B2021),MONTH(B2021),1)&amp;":"&amp;DATE(YEAR(B2021),MONTH(B2021)+1,0))),2)&lt;=5,1,IF(WEEKDAY(ROW(INDIRECT(DATE(YEAR(B2021),MONTH(B2021),1)&amp;":"&amp;DATE(YEAR(B2021),MONTH(B2021)+1,0))),2)=6,0.5,0)),0))</f>
        <v>25</v>
      </c>
      <c r="K2021" s="22" cm="1">
        <f t="array" ref="K2021">_xlfn.XLOOKUP(1,((Metas_Diarias[[#This Row],[tipo_equipe_id]]=Metas[equipe])*(Metas_Diarias[[#This Row],[data]]&gt;Metas[data_inicio])*(Metas_Diarias[[#This Row],[data]]&lt;Metas[data_fim])),Metas[meta_mensal],0)</f>
        <v>68250</v>
      </c>
      <c r="L2021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22" spans="2:12" x14ac:dyDescent="0.3">
      <c r="B2022" s="34">
        <v>46213</v>
      </c>
      <c r="C2022" s="34" t="str">
        <f>TEXT(Metas_Diarias[[#This Row],[data]],"dddd")</f>
        <v>sexta-feira</v>
      </c>
      <c r="D2022" s="33">
        <v>5</v>
      </c>
      <c r="E2022" s="33">
        <v>5</v>
      </c>
      <c r="F2022" s="18"/>
      <c r="G2022" s="35">
        <f>WEEKDAY(Metas_Diarias[[#This Row],[data]])</f>
        <v>6</v>
      </c>
      <c r="H2022" s="35">
        <f>IF(Metas_Diarias[[#This Row],[dias_da_demana]]=1,"domingo",IF(Metas_Diarias[[#This Row],[dias_da_demana]]=7,0.5,1))</f>
        <v>1</v>
      </c>
      <c r="I2022" s="35">
        <f>_xlfn.XLOOKUP(Metas_Diarias[[#This Row],[data]],Feriados[Data],Feriados[Feriado],1)</f>
        <v>1</v>
      </c>
      <c r="J2022" s="33" cm="1">
        <f t="array" aca="1" ref="J2022" ca="1">SUMPRODUCT(IF((NOT(ISERROR(MATCH(ROW(INDIRECT(DATE(YEAR(B2022),MONTH(B2022),1)&amp;":"&amp;DATE(YEAR(B2022),MONTH(B2022)+1,0))),Feriados[Data],0))))=FALSE,
IF(WEEKDAY(ROW(INDIRECT(DATE(YEAR(B2022),MONTH(B2022),1)&amp;":"&amp;DATE(YEAR(B2022),MONTH(B2022)+1,0))),2)&lt;=5,1,IF(WEEKDAY(ROW(INDIRECT(DATE(YEAR(B2022),MONTH(B2022),1)&amp;":"&amp;DATE(YEAR(B2022),MONTH(B2022)+1,0))),2)=6,0.5,0)),0))</f>
        <v>25</v>
      </c>
      <c r="K2022" s="22" cm="1">
        <f t="array" ref="K2022">_xlfn.XLOOKUP(1,((Metas_Diarias[[#This Row],[tipo_equipe_id]]=Metas[equipe])*(Metas_Diarias[[#This Row],[data]]&gt;Metas[data_inicio])*(Metas_Diarias[[#This Row],[data]]&lt;Metas[data_fim])),Metas[meta_mensal],0)</f>
        <v>68250</v>
      </c>
      <c r="L2022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23" spans="2:12" x14ac:dyDescent="0.3">
      <c r="B2023" s="34">
        <v>46214</v>
      </c>
      <c r="C2023" s="34" t="str">
        <f>TEXT(Metas_Diarias[[#This Row],[data]],"dddd")</f>
        <v>sábado</v>
      </c>
      <c r="D2023" s="33">
        <v>5</v>
      </c>
      <c r="E2023" s="33">
        <v>5</v>
      </c>
      <c r="F2023" s="18"/>
      <c r="G2023" s="35">
        <f>WEEKDAY(Metas_Diarias[[#This Row],[data]])</f>
        <v>7</v>
      </c>
      <c r="H2023" s="35">
        <f>IF(Metas_Diarias[[#This Row],[dias_da_demana]]=1,"domingo",IF(Metas_Diarias[[#This Row],[dias_da_demana]]=7,0.5,1))</f>
        <v>0.5</v>
      </c>
      <c r="I2023" s="35">
        <f>_xlfn.XLOOKUP(Metas_Diarias[[#This Row],[data]],Feriados[Data],Feriados[Feriado],1)</f>
        <v>1</v>
      </c>
      <c r="J2023" s="33" cm="1">
        <f t="array" aca="1" ref="J2023" ca="1">SUMPRODUCT(IF((NOT(ISERROR(MATCH(ROW(INDIRECT(DATE(YEAR(B2023),MONTH(B2023),1)&amp;":"&amp;DATE(YEAR(B2023),MONTH(B2023)+1,0))),Feriados[Data],0))))=FALSE,
IF(WEEKDAY(ROW(INDIRECT(DATE(YEAR(B2023),MONTH(B2023),1)&amp;":"&amp;DATE(YEAR(B2023),MONTH(B2023)+1,0))),2)&lt;=5,1,IF(WEEKDAY(ROW(INDIRECT(DATE(YEAR(B2023),MONTH(B2023),1)&amp;":"&amp;DATE(YEAR(B2023),MONTH(B2023)+1,0))),2)=6,0.5,0)),0))</f>
        <v>25</v>
      </c>
      <c r="K2023" s="22" cm="1">
        <f t="array" ref="K2023">_xlfn.XLOOKUP(1,((Metas_Diarias[[#This Row],[tipo_equipe_id]]=Metas[equipe])*(Metas_Diarias[[#This Row],[data]]&gt;Metas[data_inicio])*(Metas_Diarias[[#This Row],[data]]&lt;Metas[data_fim])),Metas[meta_mensal],0)</f>
        <v>68250</v>
      </c>
      <c r="L2023" s="24">
        <f ca="1">Metas_Diarias[[#This Row],[meta_mensal]]*IF(Metas_Diarias[[#This Row],[semana]]="domingo",0,Metas_Diarias[[#This Row],[semana]])*IF(Metas_Diarias[[#This Row],[feriado]]&lt;&gt;1,0,1)/Metas_Diarias[[#This Row],[dias_úteis_Mês]]</f>
        <v>1365</v>
      </c>
    </row>
    <row r="2024" spans="2:12" x14ac:dyDescent="0.3">
      <c r="B2024" s="34">
        <v>46215</v>
      </c>
      <c r="C2024" s="34" t="str">
        <f>TEXT(Metas_Diarias[[#This Row],[data]],"dddd")</f>
        <v>domingo</v>
      </c>
      <c r="D2024" s="33">
        <v>5</v>
      </c>
      <c r="E2024" s="33">
        <v>5</v>
      </c>
      <c r="F2024" s="18"/>
      <c r="G2024" s="35">
        <f>WEEKDAY(Metas_Diarias[[#This Row],[data]])</f>
        <v>1</v>
      </c>
      <c r="H2024" s="35" t="str">
        <f>IF(Metas_Diarias[[#This Row],[dias_da_demana]]=1,"domingo",IF(Metas_Diarias[[#This Row],[dias_da_demana]]=7,0.5,1))</f>
        <v>domingo</v>
      </c>
      <c r="I2024" s="35">
        <f>_xlfn.XLOOKUP(Metas_Diarias[[#This Row],[data]],Feriados[Data],Feriados[Feriado],1)</f>
        <v>1</v>
      </c>
      <c r="J2024" s="33" cm="1">
        <f t="array" aca="1" ref="J2024" ca="1">SUMPRODUCT(IF((NOT(ISERROR(MATCH(ROW(INDIRECT(DATE(YEAR(B2024),MONTH(B2024),1)&amp;":"&amp;DATE(YEAR(B2024),MONTH(B2024)+1,0))),Feriados[Data],0))))=FALSE,
IF(WEEKDAY(ROW(INDIRECT(DATE(YEAR(B2024),MONTH(B2024),1)&amp;":"&amp;DATE(YEAR(B2024),MONTH(B2024)+1,0))),2)&lt;=5,1,IF(WEEKDAY(ROW(INDIRECT(DATE(YEAR(B2024),MONTH(B2024),1)&amp;":"&amp;DATE(YEAR(B2024),MONTH(B2024)+1,0))),2)=6,0.5,0)),0))</f>
        <v>25</v>
      </c>
      <c r="K2024" s="22" cm="1">
        <f t="array" ref="K2024">_xlfn.XLOOKUP(1,((Metas_Diarias[[#This Row],[tipo_equipe_id]]=Metas[equipe])*(Metas_Diarias[[#This Row],[data]]&gt;Metas[data_inicio])*(Metas_Diarias[[#This Row],[data]]&lt;Metas[data_fim])),Metas[meta_mensal],0)</f>
        <v>68250</v>
      </c>
      <c r="L20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25" spans="2:12" x14ac:dyDescent="0.3">
      <c r="B2025" s="34">
        <v>46216</v>
      </c>
      <c r="C2025" s="34" t="str">
        <f>TEXT(Metas_Diarias[[#This Row],[data]],"dddd")</f>
        <v>segunda-feira</v>
      </c>
      <c r="D2025" s="33">
        <v>5</v>
      </c>
      <c r="E2025" s="33">
        <v>5</v>
      </c>
      <c r="F2025" s="18"/>
      <c r="G2025" s="35">
        <f>WEEKDAY(Metas_Diarias[[#This Row],[data]])</f>
        <v>2</v>
      </c>
      <c r="H2025" s="35">
        <f>IF(Metas_Diarias[[#This Row],[dias_da_demana]]=1,"domingo",IF(Metas_Diarias[[#This Row],[dias_da_demana]]=7,0.5,1))</f>
        <v>1</v>
      </c>
      <c r="I2025" s="35">
        <f>_xlfn.XLOOKUP(Metas_Diarias[[#This Row],[data]],Feriados[Data],Feriados[Feriado],1)</f>
        <v>1</v>
      </c>
      <c r="J2025" s="33" cm="1">
        <f t="array" aca="1" ref="J2025" ca="1">SUMPRODUCT(IF((NOT(ISERROR(MATCH(ROW(INDIRECT(DATE(YEAR(B2025),MONTH(B2025),1)&amp;":"&amp;DATE(YEAR(B2025),MONTH(B2025)+1,0))),Feriados[Data],0))))=FALSE,
IF(WEEKDAY(ROW(INDIRECT(DATE(YEAR(B2025),MONTH(B2025),1)&amp;":"&amp;DATE(YEAR(B2025),MONTH(B2025)+1,0))),2)&lt;=5,1,IF(WEEKDAY(ROW(INDIRECT(DATE(YEAR(B2025),MONTH(B2025),1)&amp;":"&amp;DATE(YEAR(B2025),MONTH(B2025)+1,0))),2)=6,0.5,0)),0))</f>
        <v>25</v>
      </c>
      <c r="K2025" s="22" cm="1">
        <f t="array" ref="K2025">_xlfn.XLOOKUP(1,((Metas_Diarias[[#This Row],[tipo_equipe_id]]=Metas[equipe])*(Metas_Diarias[[#This Row],[data]]&gt;Metas[data_inicio])*(Metas_Diarias[[#This Row],[data]]&lt;Metas[data_fim])),Metas[meta_mensal],0)</f>
        <v>68250</v>
      </c>
      <c r="L2025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26" spans="2:12" x14ac:dyDescent="0.3">
      <c r="B2026" s="34">
        <v>46217</v>
      </c>
      <c r="C2026" s="34" t="str">
        <f>TEXT(Metas_Diarias[[#This Row],[data]],"dddd")</f>
        <v>terça-feira</v>
      </c>
      <c r="D2026" s="33">
        <v>5</v>
      </c>
      <c r="E2026" s="33">
        <v>5</v>
      </c>
      <c r="F2026" s="18"/>
      <c r="G2026" s="35">
        <f>WEEKDAY(Metas_Diarias[[#This Row],[data]])</f>
        <v>3</v>
      </c>
      <c r="H2026" s="35">
        <f>IF(Metas_Diarias[[#This Row],[dias_da_demana]]=1,"domingo",IF(Metas_Diarias[[#This Row],[dias_da_demana]]=7,0.5,1))</f>
        <v>1</v>
      </c>
      <c r="I2026" s="35">
        <f>_xlfn.XLOOKUP(Metas_Diarias[[#This Row],[data]],Feriados[Data],Feriados[Feriado],1)</f>
        <v>1</v>
      </c>
      <c r="J2026" s="33" cm="1">
        <f t="array" aca="1" ref="J2026" ca="1">SUMPRODUCT(IF((NOT(ISERROR(MATCH(ROW(INDIRECT(DATE(YEAR(B2026),MONTH(B2026),1)&amp;":"&amp;DATE(YEAR(B2026),MONTH(B2026)+1,0))),Feriados[Data],0))))=FALSE,
IF(WEEKDAY(ROW(INDIRECT(DATE(YEAR(B2026),MONTH(B2026),1)&amp;":"&amp;DATE(YEAR(B2026),MONTH(B2026)+1,0))),2)&lt;=5,1,IF(WEEKDAY(ROW(INDIRECT(DATE(YEAR(B2026),MONTH(B2026),1)&amp;":"&amp;DATE(YEAR(B2026),MONTH(B2026)+1,0))),2)=6,0.5,0)),0))</f>
        <v>25</v>
      </c>
      <c r="K2026" s="22" cm="1">
        <f t="array" ref="K2026">_xlfn.XLOOKUP(1,((Metas_Diarias[[#This Row],[tipo_equipe_id]]=Metas[equipe])*(Metas_Diarias[[#This Row],[data]]&gt;Metas[data_inicio])*(Metas_Diarias[[#This Row],[data]]&lt;Metas[data_fim])),Metas[meta_mensal],0)</f>
        <v>68250</v>
      </c>
      <c r="L2026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27" spans="2:12" x14ac:dyDescent="0.3">
      <c r="B2027" s="34">
        <v>46218</v>
      </c>
      <c r="C2027" s="34" t="str">
        <f>TEXT(Metas_Diarias[[#This Row],[data]],"dddd")</f>
        <v>quarta-feira</v>
      </c>
      <c r="D2027" s="33">
        <v>5</v>
      </c>
      <c r="E2027" s="33">
        <v>5</v>
      </c>
      <c r="F2027" s="18"/>
      <c r="G2027" s="35">
        <f>WEEKDAY(Metas_Diarias[[#This Row],[data]])</f>
        <v>4</v>
      </c>
      <c r="H2027" s="35">
        <f>IF(Metas_Diarias[[#This Row],[dias_da_demana]]=1,"domingo",IF(Metas_Diarias[[#This Row],[dias_da_demana]]=7,0.5,1))</f>
        <v>1</v>
      </c>
      <c r="I2027" s="35">
        <f>_xlfn.XLOOKUP(Metas_Diarias[[#This Row],[data]],Feriados[Data],Feriados[Feriado],1)</f>
        <v>1</v>
      </c>
      <c r="J2027" s="33" cm="1">
        <f t="array" aca="1" ref="J2027" ca="1">SUMPRODUCT(IF((NOT(ISERROR(MATCH(ROW(INDIRECT(DATE(YEAR(B2027),MONTH(B2027),1)&amp;":"&amp;DATE(YEAR(B2027),MONTH(B2027)+1,0))),Feriados[Data],0))))=FALSE,
IF(WEEKDAY(ROW(INDIRECT(DATE(YEAR(B2027),MONTH(B2027),1)&amp;":"&amp;DATE(YEAR(B2027),MONTH(B2027)+1,0))),2)&lt;=5,1,IF(WEEKDAY(ROW(INDIRECT(DATE(YEAR(B2027),MONTH(B2027),1)&amp;":"&amp;DATE(YEAR(B2027),MONTH(B2027)+1,0))),2)=6,0.5,0)),0))</f>
        <v>25</v>
      </c>
      <c r="K2027" s="22" cm="1">
        <f t="array" ref="K2027">_xlfn.XLOOKUP(1,((Metas_Diarias[[#This Row],[tipo_equipe_id]]=Metas[equipe])*(Metas_Diarias[[#This Row],[data]]&gt;Metas[data_inicio])*(Metas_Diarias[[#This Row],[data]]&lt;Metas[data_fim])),Metas[meta_mensal],0)</f>
        <v>68250</v>
      </c>
      <c r="L2027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28" spans="2:12" x14ac:dyDescent="0.3">
      <c r="B2028" s="34">
        <v>46219</v>
      </c>
      <c r="C2028" s="34" t="str">
        <f>TEXT(Metas_Diarias[[#This Row],[data]],"dddd")</f>
        <v>quinta-feira</v>
      </c>
      <c r="D2028" s="33">
        <v>5</v>
      </c>
      <c r="E2028" s="33">
        <v>5</v>
      </c>
      <c r="F2028" s="18"/>
      <c r="G2028" s="35">
        <f>WEEKDAY(Metas_Diarias[[#This Row],[data]])</f>
        <v>5</v>
      </c>
      <c r="H2028" s="35">
        <f>IF(Metas_Diarias[[#This Row],[dias_da_demana]]=1,"domingo",IF(Metas_Diarias[[#This Row],[dias_da_demana]]=7,0.5,1))</f>
        <v>1</v>
      </c>
      <c r="I2028" s="35">
        <f>_xlfn.XLOOKUP(Metas_Diarias[[#This Row],[data]],Feriados[Data],Feriados[Feriado],1)</f>
        <v>1</v>
      </c>
      <c r="J2028" s="33" cm="1">
        <f t="array" aca="1" ref="J2028" ca="1">SUMPRODUCT(IF((NOT(ISERROR(MATCH(ROW(INDIRECT(DATE(YEAR(B2028),MONTH(B2028),1)&amp;":"&amp;DATE(YEAR(B2028),MONTH(B2028)+1,0))),Feriados[Data],0))))=FALSE,
IF(WEEKDAY(ROW(INDIRECT(DATE(YEAR(B2028),MONTH(B2028),1)&amp;":"&amp;DATE(YEAR(B2028),MONTH(B2028)+1,0))),2)&lt;=5,1,IF(WEEKDAY(ROW(INDIRECT(DATE(YEAR(B2028),MONTH(B2028),1)&amp;":"&amp;DATE(YEAR(B2028),MONTH(B2028)+1,0))),2)=6,0.5,0)),0))</f>
        <v>25</v>
      </c>
      <c r="K2028" s="22" cm="1">
        <f t="array" ref="K2028">_xlfn.XLOOKUP(1,((Metas_Diarias[[#This Row],[tipo_equipe_id]]=Metas[equipe])*(Metas_Diarias[[#This Row],[data]]&gt;Metas[data_inicio])*(Metas_Diarias[[#This Row],[data]]&lt;Metas[data_fim])),Metas[meta_mensal],0)</f>
        <v>68250</v>
      </c>
      <c r="L2028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29" spans="2:12" x14ac:dyDescent="0.3">
      <c r="B2029" s="34">
        <v>46220</v>
      </c>
      <c r="C2029" s="34" t="str">
        <f>TEXT(Metas_Diarias[[#This Row],[data]],"dddd")</f>
        <v>sexta-feira</v>
      </c>
      <c r="D2029" s="33">
        <v>5</v>
      </c>
      <c r="E2029" s="33">
        <v>5</v>
      </c>
      <c r="F2029" s="18"/>
      <c r="G2029" s="35">
        <f>WEEKDAY(Metas_Diarias[[#This Row],[data]])</f>
        <v>6</v>
      </c>
      <c r="H2029" s="35">
        <f>IF(Metas_Diarias[[#This Row],[dias_da_demana]]=1,"domingo",IF(Metas_Diarias[[#This Row],[dias_da_demana]]=7,0.5,1))</f>
        <v>1</v>
      </c>
      <c r="I2029" s="35">
        <f>_xlfn.XLOOKUP(Metas_Diarias[[#This Row],[data]],Feriados[Data],Feriados[Feriado],1)</f>
        <v>1</v>
      </c>
      <c r="J2029" s="33" cm="1">
        <f t="array" aca="1" ref="J2029" ca="1">SUMPRODUCT(IF((NOT(ISERROR(MATCH(ROW(INDIRECT(DATE(YEAR(B2029),MONTH(B2029),1)&amp;":"&amp;DATE(YEAR(B2029),MONTH(B2029)+1,0))),Feriados[Data],0))))=FALSE,
IF(WEEKDAY(ROW(INDIRECT(DATE(YEAR(B2029),MONTH(B2029),1)&amp;":"&amp;DATE(YEAR(B2029),MONTH(B2029)+1,0))),2)&lt;=5,1,IF(WEEKDAY(ROW(INDIRECT(DATE(YEAR(B2029),MONTH(B2029),1)&amp;":"&amp;DATE(YEAR(B2029),MONTH(B2029)+1,0))),2)=6,0.5,0)),0))</f>
        <v>25</v>
      </c>
      <c r="K2029" s="22" cm="1">
        <f t="array" ref="K2029">_xlfn.XLOOKUP(1,((Metas_Diarias[[#This Row],[tipo_equipe_id]]=Metas[equipe])*(Metas_Diarias[[#This Row],[data]]&gt;Metas[data_inicio])*(Metas_Diarias[[#This Row],[data]]&lt;Metas[data_fim])),Metas[meta_mensal],0)</f>
        <v>68250</v>
      </c>
      <c r="L2029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30" spans="2:12" x14ac:dyDescent="0.3">
      <c r="B2030" s="34">
        <v>46221</v>
      </c>
      <c r="C2030" s="34" t="str">
        <f>TEXT(Metas_Diarias[[#This Row],[data]],"dddd")</f>
        <v>sábado</v>
      </c>
      <c r="D2030" s="33">
        <v>5</v>
      </c>
      <c r="E2030" s="33">
        <v>5</v>
      </c>
      <c r="F2030" s="18"/>
      <c r="G2030" s="35">
        <f>WEEKDAY(Metas_Diarias[[#This Row],[data]])</f>
        <v>7</v>
      </c>
      <c r="H2030" s="35">
        <f>IF(Metas_Diarias[[#This Row],[dias_da_demana]]=1,"domingo",IF(Metas_Diarias[[#This Row],[dias_da_demana]]=7,0.5,1))</f>
        <v>0.5</v>
      </c>
      <c r="I2030" s="35">
        <f>_xlfn.XLOOKUP(Metas_Diarias[[#This Row],[data]],Feriados[Data],Feriados[Feriado],1)</f>
        <v>1</v>
      </c>
      <c r="J2030" s="33" cm="1">
        <f t="array" aca="1" ref="J2030" ca="1">SUMPRODUCT(IF((NOT(ISERROR(MATCH(ROW(INDIRECT(DATE(YEAR(B2030),MONTH(B2030),1)&amp;":"&amp;DATE(YEAR(B2030),MONTH(B2030)+1,0))),Feriados[Data],0))))=FALSE,
IF(WEEKDAY(ROW(INDIRECT(DATE(YEAR(B2030),MONTH(B2030),1)&amp;":"&amp;DATE(YEAR(B2030),MONTH(B2030)+1,0))),2)&lt;=5,1,IF(WEEKDAY(ROW(INDIRECT(DATE(YEAR(B2030),MONTH(B2030),1)&amp;":"&amp;DATE(YEAR(B2030),MONTH(B2030)+1,0))),2)=6,0.5,0)),0))</f>
        <v>25</v>
      </c>
      <c r="K2030" s="22" cm="1">
        <f t="array" ref="K2030">_xlfn.XLOOKUP(1,((Metas_Diarias[[#This Row],[tipo_equipe_id]]=Metas[equipe])*(Metas_Diarias[[#This Row],[data]]&gt;Metas[data_inicio])*(Metas_Diarias[[#This Row],[data]]&lt;Metas[data_fim])),Metas[meta_mensal],0)</f>
        <v>68250</v>
      </c>
      <c r="L2030" s="24">
        <f ca="1">Metas_Diarias[[#This Row],[meta_mensal]]*IF(Metas_Diarias[[#This Row],[semana]]="domingo",0,Metas_Diarias[[#This Row],[semana]])*IF(Metas_Diarias[[#This Row],[feriado]]&lt;&gt;1,0,1)/Metas_Diarias[[#This Row],[dias_úteis_Mês]]</f>
        <v>1365</v>
      </c>
    </row>
    <row r="2031" spans="2:12" x14ac:dyDescent="0.3">
      <c r="B2031" s="34">
        <v>46222</v>
      </c>
      <c r="C2031" s="34" t="str">
        <f>TEXT(Metas_Diarias[[#This Row],[data]],"dddd")</f>
        <v>domingo</v>
      </c>
      <c r="D2031" s="33">
        <v>5</v>
      </c>
      <c r="E2031" s="33">
        <v>5</v>
      </c>
      <c r="F2031" s="18"/>
      <c r="G2031" s="35">
        <f>WEEKDAY(Metas_Diarias[[#This Row],[data]])</f>
        <v>1</v>
      </c>
      <c r="H2031" s="35" t="str">
        <f>IF(Metas_Diarias[[#This Row],[dias_da_demana]]=1,"domingo",IF(Metas_Diarias[[#This Row],[dias_da_demana]]=7,0.5,1))</f>
        <v>domingo</v>
      </c>
      <c r="I2031" s="35">
        <f>_xlfn.XLOOKUP(Metas_Diarias[[#This Row],[data]],Feriados[Data],Feriados[Feriado],1)</f>
        <v>1</v>
      </c>
      <c r="J2031" s="33" cm="1">
        <f t="array" aca="1" ref="J2031" ca="1">SUMPRODUCT(IF((NOT(ISERROR(MATCH(ROW(INDIRECT(DATE(YEAR(B2031),MONTH(B2031),1)&amp;":"&amp;DATE(YEAR(B2031),MONTH(B2031)+1,0))),Feriados[Data],0))))=FALSE,
IF(WEEKDAY(ROW(INDIRECT(DATE(YEAR(B2031),MONTH(B2031),1)&amp;":"&amp;DATE(YEAR(B2031),MONTH(B2031)+1,0))),2)&lt;=5,1,IF(WEEKDAY(ROW(INDIRECT(DATE(YEAR(B2031),MONTH(B2031),1)&amp;":"&amp;DATE(YEAR(B2031),MONTH(B2031)+1,0))),2)=6,0.5,0)),0))</f>
        <v>25</v>
      </c>
      <c r="K2031" s="22" cm="1">
        <f t="array" ref="K2031">_xlfn.XLOOKUP(1,((Metas_Diarias[[#This Row],[tipo_equipe_id]]=Metas[equipe])*(Metas_Diarias[[#This Row],[data]]&gt;Metas[data_inicio])*(Metas_Diarias[[#This Row],[data]]&lt;Metas[data_fim])),Metas[meta_mensal],0)</f>
        <v>68250</v>
      </c>
      <c r="L20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32" spans="2:12" x14ac:dyDescent="0.3">
      <c r="B2032" s="34">
        <v>46223</v>
      </c>
      <c r="C2032" s="34" t="str">
        <f>TEXT(Metas_Diarias[[#This Row],[data]],"dddd")</f>
        <v>segunda-feira</v>
      </c>
      <c r="D2032" s="33">
        <v>5</v>
      </c>
      <c r="E2032" s="33">
        <v>5</v>
      </c>
      <c r="F2032" s="18"/>
      <c r="G2032" s="35">
        <f>WEEKDAY(Metas_Diarias[[#This Row],[data]])</f>
        <v>2</v>
      </c>
      <c r="H2032" s="35">
        <f>IF(Metas_Diarias[[#This Row],[dias_da_demana]]=1,"domingo",IF(Metas_Diarias[[#This Row],[dias_da_demana]]=7,0.5,1))</f>
        <v>1</v>
      </c>
      <c r="I2032" s="35">
        <f>_xlfn.XLOOKUP(Metas_Diarias[[#This Row],[data]],Feriados[Data],Feriados[Feriado],1)</f>
        <v>1</v>
      </c>
      <c r="J2032" s="33" cm="1">
        <f t="array" aca="1" ref="J2032" ca="1">SUMPRODUCT(IF((NOT(ISERROR(MATCH(ROW(INDIRECT(DATE(YEAR(B2032),MONTH(B2032),1)&amp;":"&amp;DATE(YEAR(B2032),MONTH(B2032)+1,0))),Feriados[Data],0))))=FALSE,
IF(WEEKDAY(ROW(INDIRECT(DATE(YEAR(B2032),MONTH(B2032),1)&amp;":"&amp;DATE(YEAR(B2032),MONTH(B2032)+1,0))),2)&lt;=5,1,IF(WEEKDAY(ROW(INDIRECT(DATE(YEAR(B2032),MONTH(B2032),1)&amp;":"&amp;DATE(YEAR(B2032),MONTH(B2032)+1,0))),2)=6,0.5,0)),0))</f>
        <v>25</v>
      </c>
      <c r="K2032" s="22" cm="1">
        <f t="array" ref="K2032">_xlfn.XLOOKUP(1,((Metas_Diarias[[#This Row],[tipo_equipe_id]]=Metas[equipe])*(Metas_Diarias[[#This Row],[data]]&gt;Metas[data_inicio])*(Metas_Diarias[[#This Row],[data]]&lt;Metas[data_fim])),Metas[meta_mensal],0)</f>
        <v>68250</v>
      </c>
      <c r="L2032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33" spans="2:12" x14ac:dyDescent="0.3">
      <c r="B2033" s="34">
        <v>46224</v>
      </c>
      <c r="C2033" s="34" t="str">
        <f>TEXT(Metas_Diarias[[#This Row],[data]],"dddd")</f>
        <v>terça-feira</v>
      </c>
      <c r="D2033" s="33">
        <v>5</v>
      </c>
      <c r="E2033" s="33">
        <v>5</v>
      </c>
      <c r="F2033" s="18"/>
      <c r="G2033" s="35">
        <f>WEEKDAY(Metas_Diarias[[#This Row],[data]])</f>
        <v>3</v>
      </c>
      <c r="H2033" s="35">
        <f>IF(Metas_Diarias[[#This Row],[dias_da_demana]]=1,"domingo",IF(Metas_Diarias[[#This Row],[dias_da_demana]]=7,0.5,1))</f>
        <v>1</v>
      </c>
      <c r="I2033" s="35">
        <f>_xlfn.XLOOKUP(Metas_Diarias[[#This Row],[data]],Feriados[Data],Feriados[Feriado],1)</f>
        <v>1</v>
      </c>
      <c r="J2033" s="33" cm="1">
        <f t="array" aca="1" ref="J2033" ca="1">SUMPRODUCT(IF((NOT(ISERROR(MATCH(ROW(INDIRECT(DATE(YEAR(B2033),MONTH(B2033),1)&amp;":"&amp;DATE(YEAR(B2033),MONTH(B2033)+1,0))),Feriados[Data],0))))=FALSE,
IF(WEEKDAY(ROW(INDIRECT(DATE(YEAR(B2033),MONTH(B2033),1)&amp;":"&amp;DATE(YEAR(B2033),MONTH(B2033)+1,0))),2)&lt;=5,1,IF(WEEKDAY(ROW(INDIRECT(DATE(YEAR(B2033),MONTH(B2033),1)&amp;":"&amp;DATE(YEAR(B2033),MONTH(B2033)+1,0))),2)=6,0.5,0)),0))</f>
        <v>25</v>
      </c>
      <c r="K2033" s="22" cm="1">
        <f t="array" ref="K2033">_xlfn.XLOOKUP(1,((Metas_Diarias[[#This Row],[tipo_equipe_id]]=Metas[equipe])*(Metas_Diarias[[#This Row],[data]]&gt;Metas[data_inicio])*(Metas_Diarias[[#This Row],[data]]&lt;Metas[data_fim])),Metas[meta_mensal],0)</f>
        <v>68250</v>
      </c>
      <c r="L2033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34" spans="2:12" x14ac:dyDescent="0.3">
      <c r="B2034" s="34">
        <v>46225</v>
      </c>
      <c r="C2034" s="34" t="str">
        <f>TEXT(Metas_Diarias[[#This Row],[data]],"dddd")</f>
        <v>quarta-feira</v>
      </c>
      <c r="D2034" s="33">
        <v>5</v>
      </c>
      <c r="E2034" s="33">
        <v>5</v>
      </c>
      <c r="F2034" s="18"/>
      <c r="G2034" s="35">
        <f>WEEKDAY(Metas_Diarias[[#This Row],[data]])</f>
        <v>4</v>
      </c>
      <c r="H2034" s="35">
        <f>IF(Metas_Diarias[[#This Row],[dias_da_demana]]=1,"domingo",IF(Metas_Diarias[[#This Row],[dias_da_demana]]=7,0.5,1))</f>
        <v>1</v>
      </c>
      <c r="I2034" s="35">
        <f>_xlfn.XLOOKUP(Metas_Diarias[[#This Row],[data]],Feriados[Data],Feriados[Feriado],1)</f>
        <v>1</v>
      </c>
      <c r="J2034" s="33" cm="1">
        <f t="array" aca="1" ref="J2034" ca="1">SUMPRODUCT(IF((NOT(ISERROR(MATCH(ROW(INDIRECT(DATE(YEAR(B2034),MONTH(B2034),1)&amp;":"&amp;DATE(YEAR(B2034),MONTH(B2034)+1,0))),Feriados[Data],0))))=FALSE,
IF(WEEKDAY(ROW(INDIRECT(DATE(YEAR(B2034),MONTH(B2034),1)&amp;":"&amp;DATE(YEAR(B2034),MONTH(B2034)+1,0))),2)&lt;=5,1,IF(WEEKDAY(ROW(INDIRECT(DATE(YEAR(B2034),MONTH(B2034),1)&amp;":"&amp;DATE(YEAR(B2034),MONTH(B2034)+1,0))),2)=6,0.5,0)),0))</f>
        <v>25</v>
      </c>
      <c r="K2034" s="22" cm="1">
        <f t="array" ref="K2034">_xlfn.XLOOKUP(1,((Metas_Diarias[[#This Row],[tipo_equipe_id]]=Metas[equipe])*(Metas_Diarias[[#This Row],[data]]&gt;Metas[data_inicio])*(Metas_Diarias[[#This Row],[data]]&lt;Metas[data_fim])),Metas[meta_mensal],0)</f>
        <v>68250</v>
      </c>
      <c r="L2034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35" spans="2:12" x14ac:dyDescent="0.3">
      <c r="B2035" s="34">
        <v>46226</v>
      </c>
      <c r="C2035" s="34" t="str">
        <f>TEXT(Metas_Diarias[[#This Row],[data]],"dddd")</f>
        <v>quinta-feira</v>
      </c>
      <c r="D2035" s="33">
        <v>5</v>
      </c>
      <c r="E2035" s="33">
        <v>5</v>
      </c>
      <c r="F2035" s="18"/>
      <c r="G2035" s="35">
        <f>WEEKDAY(Metas_Diarias[[#This Row],[data]])</f>
        <v>5</v>
      </c>
      <c r="H2035" s="35">
        <f>IF(Metas_Diarias[[#This Row],[dias_da_demana]]=1,"domingo",IF(Metas_Diarias[[#This Row],[dias_da_demana]]=7,0.5,1))</f>
        <v>1</v>
      </c>
      <c r="I2035" s="35">
        <f>_xlfn.XLOOKUP(Metas_Diarias[[#This Row],[data]],Feriados[Data],Feriados[Feriado],1)</f>
        <v>1</v>
      </c>
      <c r="J2035" s="33" cm="1">
        <f t="array" aca="1" ref="J2035" ca="1">SUMPRODUCT(IF((NOT(ISERROR(MATCH(ROW(INDIRECT(DATE(YEAR(B2035),MONTH(B2035),1)&amp;":"&amp;DATE(YEAR(B2035),MONTH(B2035)+1,0))),Feriados[Data],0))))=FALSE,
IF(WEEKDAY(ROW(INDIRECT(DATE(YEAR(B2035),MONTH(B2035),1)&amp;":"&amp;DATE(YEAR(B2035),MONTH(B2035)+1,0))),2)&lt;=5,1,IF(WEEKDAY(ROW(INDIRECT(DATE(YEAR(B2035),MONTH(B2035),1)&amp;":"&amp;DATE(YEAR(B2035),MONTH(B2035)+1,0))),2)=6,0.5,0)),0))</f>
        <v>25</v>
      </c>
      <c r="K2035" s="22" cm="1">
        <f t="array" ref="K2035">_xlfn.XLOOKUP(1,((Metas_Diarias[[#This Row],[tipo_equipe_id]]=Metas[equipe])*(Metas_Diarias[[#This Row],[data]]&gt;Metas[data_inicio])*(Metas_Diarias[[#This Row],[data]]&lt;Metas[data_fim])),Metas[meta_mensal],0)</f>
        <v>68250</v>
      </c>
      <c r="L2035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36" spans="2:12" x14ac:dyDescent="0.3">
      <c r="B2036" s="34">
        <v>46227</v>
      </c>
      <c r="C2036" s="34" t="str">
        <f>TEXT(Metas_Diarias[[#This Row],[data]],"dddd")</f>
        <v>sexta-feira</v>
      </c>
      <c r="D2036" s="33">
        <v>5</v>
      </c>
      <c r="E2036" s="33">
        <v>5</v>
      </c>
      <c r="F2036" s="18"/>
      <c r="G2036" s="35">
        <f>WEEKDAY(Metas_Diarias[[#This Row],[data]])</f>
        <v>6</v>
      </c>
      <c r="H2036" s="35">
        <f>IF(Metas_Diarias[[#This Row],[dias_da_demana]]=1,"domingo",IF(Metas_Diarias[[#This Row],[dias_da_demana]]=7,0.5,1))</f>
        <v>1</v>
      </c>
      <c r="I2036" s="35">
        <f>_xlfn.XLOOKUP(Metas_Diarias[[#This Row],[data]],Feriados[Data],Feriados[Feriado],1)</f>
        <v>1</v>
      </c>
      <c r="J2036" s="33" cm="1">
        <f t="array" aca="1" ref="J2036" ca="1">SUMPRODUCT(IF((NOT(ISERROR(MATCH(ROW(INDIRECT(DATE(YEAR(B2036),MONTH(B2036),1)&amp;":"&amp;DATE(YEAR(B2036),MONTH(B2036)+1,0))),Feriados[Data],0))))=FALSE,
IF(WEEKDAY(ROW(INDIRECT(DATE(YEAR(B2036),MONTH(B2036),1)&amp;":"&amp;DATE(YEAR(B2036),MONTH(B2036)+1,0))),2)&lt;=5,1,IF(WEEKDAY(ROW(INDIRECT(DATE(YEAR(B2036),MONTH(B2036),1)&amp;":"&amp;DATE(YEAR(B2036),MONTH(B2036)+1,0))),2)=6,0.5,0)),0))</f>
        <v>25</v>
      </c>
      <c r="K2036" s="22" cm="1">
        <f t="array" ref="K2036">_xlfn.XLOOKUP(1,((Metas_Diarias[[#This Row],[tipo_equipe_id]]=Metas[equipe])*(Metas_Diarias[[#This Row],[data]]&gt;Metas[data_inicio])*(Metas_Diarias[[#This Row],[data]]&lt;Metas[data_fim])),Metas[meta_mensal],0)</f>
        <v>68250</v>
      </c>
      <c r="L2036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37" spans="2:12" x14ac:dyDescent="0.3">
      <c r="B2037" s="34">
        <v>46228</v>
      </c>
      <c r="C2037" s="34" t="str">
        <f>TEXT(Metas_Diarias[[#This Row],[data]],"dddd")</f>
        <v>sábado</v>
      </c>
      <c r="D2037" s="33">
        <v>5</v>
      </c>
      <c r="E2037" s="33">
        <v>5</v>
      </c>
      <c r="F2037" s="18"/>
      <c r="G2037" s="35">
        <f>WEEKDAY(Metas_Diarias[[#This Row],[data]])</f>
        <v>7</v>
      </c>
      <c r="H2037" s="35">
        <f>IF(Metas_Diarias[[#This Row],[dias_da_demana]]=1,"domingo",IF(Metas_Diarias[[#This Row],[dias_da_demana]]=7,0.5,1))</f>
        <v>0.5</v>
      </c>
      <c r="I2037" s="35">
        <f>_xlfn.XLOOKUP(Metas_Diarias[[#This Row],[data]],Feriados[Data],Feriados[Feriado],1)</f>
        <v>1</v>
      </c>
      <c r="J2037" s="33" cm="1">
        <f t="array" aca="1" ref="J2037" ca="1">SUMPRODUCT(IF((NOT(ISERROR(MATCH(ROW(INDIRECT(DATE(YEAR(B2037),MONTH(B2037),1)&amp;":"&amp;DATE(YEAR(B2037),MONTH(B2037)+1,0))),Feriados[Data],0))))=FALSE,
IF(WEEKDAY(ROW(INDIRECT(DATE(YEAR(B2037),MONTH(B2037),1)&amp;":"&amp;DATE(YEAR(B2037),MONTH(B2037)+1,0))),2)&lt;=5,1,IF(WEEKDAY(ROW(INDIRECT(DATE(YEAR(B2037),MONTH(B2037),1)&amp;":"&amp;DATE(YEAR(B2037),MONTH(B2037)+1,0))),2)=6,0.5,0)),0))</f>
        <v>25</v>
      </c>
      <c r="K2037" s="22" cm="1">
        <f t="array" ref="K2037">_xlfn.XLOOKUP(1,((Metas_Diarias[[#This Row],[tipo_equipe_id]]=Metas[equipe])*(Metas_Diarias[[#This Row],[data]]&gt;Metas[data_inicio])*(Metas_Diarias[[#This Row],[data]]&lt;Metas[data_fim])),Metas[meta_mensal],0)</f>
        <v>68250</v>
      </c>
      <c r="L2037" s="24">
        <f ca="1">Metas_Diarias[[#This Row],[meta_mensal]]*IF(Metas_Diarias[[#This Row],[semana]]="domingo",0,Metas_Diarias[[#This Row],[semana]])*IF(Metas_Diarias[[#This Row],[feriado]]&lt;&gt;1,0,1)/Metas_Diarias[[#This Row],[dias_úteis_Mês]]</f>
        <v>1365</v>
      </c>
    </row>
    <row r="2038" spans="2:12" x14ac:dyDescent="0.3">
      <c r="B2038" s="34">
        <v>46229</v>
      </c>
      <c r="C2038" s="34" t="str">
        <f>TEXT(Metas_Diarias[[#This Row],[data]],"dddd")</f>
        <v>domingo</v>
      </c>
      <c r="D2038" s="33">
        <v>5</v>
      </c>
      <c r="E2038" s="33">
        <v>5</v>
      </c>
      <c r="F2038" s="18"/>
      <c r="G2038" s="35">
        <f>WEEKDAY(Metas_Diarias[[#This Row],[data]])</f>
        <v>1</v>
      </c>
      <c r="H2038" s="35" t="str">
        <f>IF(Metas_Diarias[[#This Row],[dias_da_demana]]=1,"domingo",IF(Metas_Diarias[[#This Row],[dias_da_demana]]=7,0.5,1))</f>
        <v>domingo</v>
      </c>
      <c r="I2038" s="35">
        <f>_xlfn.XLOOKUP(Metas_Diarias[[#This Row],[data]],Feriados[Data],Feriados[Feriado],1)</f>
        <v>1</v>
      </c>
      <c r="J2038" s="33" cm="1">
        <f t="array" aca="1" ref="J2038" ca="1">SUMPRODUCT(IF((NOT(ISERROR(MATCH(ROW(INDIRECT(DATE(YEAR(B2038),MONTH(B2038),1)&amp;":"&amp;DATE(YEAR(B2038),MONTH(B2038)+1,0))),Feriados[Data],0))))=FALSE,
IF(WEEKDAY(ROW(INDIRECT(DATE(YEAR(B2038),MONTH(B2038),1)&amp;":"&amp;DATE(YEAR(B2038),MONTH(B2038)+1,0))),2)&lt;=5,1,IF(WEEKDAY(ROW(INDIRECT(DATE(YEAR(B2038),MONTH(B2038),1)&amp;":"&amp;DATE(YEAR(B2038),MONTH(B2038)+1,0))),2)=6,0.5,0)),0))</f>
        <v>25</v>
      </c>
      <c r="K2038" s="22" cm="1">
        <f t="array" ref="K2038">_xlfn.XLOOKUP(1,((Metas_Diarias[[#This Row],[tipo_equipe_id]]=Metas[equipe])*(Metas_Diarias[[#This Row],[data]]&gt;Metas[data_inicio])*(Metas_Diarias[[#This Row],[data]]&lt;Metas[data_fim])),Metas[meta_mensal],0)</f>
        <v>68250</v>
      </c>
      <c r="L20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39" spans="2:12" x14ac:dyDescent="0.3">
      <c r="B2039" s="34">
        <v>46230</v>
      </c>
      <c r="C2039" s="34" t="str">
        <f>TEXT(Metas_Diarias[[#This Row],[data]],"dddd")</f>
        <v>segunda-feira</v>
      </c>
      <c r="D2039" s="33">
        <v>5</v>
      </c>
      <c r="E2039" s="33">
        <v>5</v>
      </c>
      <c r="F2039" s="18"/>
      <c r="G2039" s="35">
        <f>WEEKDAY(Metas_Diarias[[#This Row],[data]])</f>
        <v>2</v>
      </c>
      <c r="H2039" s="35">
        <f>IF(Metas_Diarias[[#This Row],[dias_da_demana]]=1,"domingo",IF(Metas_Diarias[[#This Row],[dias_da_demana]]=7,0.5,1))</f>
        <v>1</v>
      </c>
      <c r="I2039" s="35">
        <f>_xlfn.XLOOKUP(Metas_Diarias[[#This Row],[data]],Feriados[Data],Feriados[Feriado],1)</f>
        <v>1</v>
      </c>
      <c r="J2039" s="33" cm="1">
        <f t="array" aca="1" ref="J2039" ca="1">SUMPRODUCT(IF((NOT(ISERROR(MATCH(ROW(INDIRECT(DATE(YEAR(B2039),MONTH(B2039),1)&amp;":"&amp;DATE(YEAR(B2039),MONTH(B2039)+1,0))),Feriados[Data],0))))=FALSE,
IF(WEEKDAY(ROW(INDIRECT(DATE(YEAR(B2039),MONTH(B2039),1)&amp;":"&amp;DATE(YEAR(B2039),MONTH(B2039)+1,0))),2)&lt;=5,1,IF(WEEKDAY(ROW(INDIRECT(DATE(YEAR(B2039),MONTH(B2039),1)&amp;":"&amp;DATE(YEAR(B2039),MONTH(B2039)+1,0))),2)=6,0.5,0)),0))</f>
        <v>25</v>
      </c>
      <c r="K2039" s="22" cm="1">
        <f t="array" ref="K2039">_xlfn.XLOOKUP(1,((Metas_Diarias[[#This Row],[tipo_equipe_id]]=Metas[equipe])*(Metas_Diarias[[#This Row],[data]]&gt;Metas[data_inicio])*(Metas_Diarias[[#This Row],[data]]&lt;Metas[data_fim])),Metas[meta_mensal],0)</f>
        <v>68250</v>
      </c>
      <c r="L2039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40" spans="2:12" x14ac:dyDescent="0.3">
      <c r="B2040" s="34">
        <v>46231</v>
      </c>
      <c r="C2040" s="34" t="str">
        <f>TEXT(Metas_Diarias[[#This Row],[data]],"dddd")</f>
        <v>terça-feira</v>
      </c>
      <c r="D2040" s="33">
        <v>5</v>
      </c>
      <c r="E2040" s="33">
        <v>5</v>
      </c>
      <c r="F2040" s="18"/>
      <c r="G2040" s="35">
        <f>WEEKDAY(Metas_Diarias[[#This Row],[data]])</f>
        <v>3</v>
      </c>
      <c r="H2040" s="35">
        <f>IF(Metas_Diarias[[#This Row],[dias_da_demana]]=1,"domingo",IF(Metas_Diarias[[#This Row],[dias_da_demana]]=7,0.5,1))</f>
        <v>1</v>
      </c>
      <c r="I2040" s="35">
        <f>_xlfn.XLOOKUP(Metas_Diarias[[#This Row],[data]],Feriados[Data],Feriados[Feriado],1)</f>
        <v>1</v>
      </c>
      <c r="J2040" s="33" cm="1">
        <f t="array" aca="1" ref="J2040" ca="1">SUMPRODUCT(IF((NOT(ISERROR(MATCH(ROW(INDIRECT(DATE(YEAR(B2040),MONTH(B2040),1)&amp;":"&amp;DATE(YEAR(B2040),MONTH(B2040)+1,0))),Feriados[Data],0))))=FALSE,
IF(WEEKDAY(ROW(INDIRECT(DATE(YEAR(B2040),MONTH(B2040),1)&amp;":"&amp;DATE(YEAR(B2040),MONTH(B2040)+1,0))),2)&lt;=5,1,IF(WEEKDAY(ROW(INDIRECT(DATE(YEAR(B2040),MONTH(B2040),1)&amp;":"&amp;DATE(YEAR(B2040),MONTH(B2040)+1,0))),2)=6,0.5,0)),0))</f>
        <v>25</v>
      </c>
      <c r="K2040" s="22" cm="1">
        <f t="array" ref="K2040">_xlfn.XLOOKUP(1,((Metas_Diarias[[#This Row],[tipo_equipe_id]]=Metas[equipe])*(Metas_Diarias[[#This Row],[data]]&gt;Metas[data_inicio])*(Metas_Diarias[[#This Row],[data]]&lt;Metas[data_fim])),Metas[meta_mensal],0)</f>
        <v>68250</v>
      </c>
      <c r="L2040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41" spans="2:12" x14ac:dyDescent="0.3">
      <c r="B2041" s="34">
        <v>46232</v>
      </c>
      <c r="C2041" s="34" t="str">
        <f>TEXT(Metas_Diarias[[#This Row],[data]],"dddd")</f>
        <v>quarta-feira</v>
      </c>
      <c r="D2041" s="33">
        <v>5</v>
      </c>
      <c r="E2041" s="33">
        <v>5</v>
      </c>
      <c r="F2041" s="18"/>
      <c r="G2041" s="35">
        <f>WEEKDAY(Metas_Diarias[[#This Row],[data]])</f>
        <v>4</v>
      </c>
      <c r="H2041" s="35">
        <f>IF(Metas_Diarias[[#This Row],[dias_da_demana]]=1,"domingo",IF(Metas_Diarias[[#This Row],[dias_da_demana]]=7,0.5,1))</f>
        <v>1</v>
      </c>
      <c r="I2041" s="35">
        <f>_xlfn.XLOOKUP(Metas_Diarias[[#This Row],[data]],Feriados[Data],Feriados[Feriado],1)</f>
        <v>1</v>
      </c>
      <c r="J2041" s="33" cm="1">
        <f t="array" aca="1" ref="J2041" ca="1">SUMPRODUCT(IF((NOT(ISERROR(MATCH(ROW(INDIRECT(DATE(YEAR(B2041),MONTH(B2041),1)&amp;":"&amp;DATE(YEAR(B2041),MONTH(B2041)+1,0))),Feriados[Data],0))))=FALSE,
IF(WEEKDAY(ROW(INDIRECT(DATE(YEAR(B2041),MONTH(B2041),1)&amp;":"&amp;DATE(YEAR(B2041),MONTH(B2041)+1,0))),2)&lt;=5,1,IF(WEEKDAY(ROW(INDIRECT(DATE(YEAR(B2041),MONTH(B2041),1)&amp;":"&amp;DATE(YEAR(B2041),MONTH(B2041)+1,0))),2)=6,0.5,0)),0))</f>
        <v>25</v>
      </c>
      <c r="K2041" s="22" cm="1">
        <f t="array" ref="K2041">_xlfn.XLOOKUP(1,((Metas_Diarias[[#This Row],[tipo_equipe_id]]=Metas[equipe])*(Metas_Diarias[[#This Row],[data]]&gt;Metas[data_inicio])*(Metas_Diarias[[#This Row],[data]]&lt;Metas[data_fim])),Metas[meta_mensal],0)</f>
        <v>68250</v>
      </c>
      <c r="L2041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42" spans="2:12" x14ac:dyDescent="0.3">
      <c r="B2042" s="34">
        <v>46233</v>
      </c>
      <c r="C2042" s="34" t="str">
        <f>TEXT(Metas_Diarias[[#This Row],[data]],"dddd")</f>
        <v>quinta-feira</v>
      </c>
      <c r="D2042" s="33">
        <v>5</v>
      </c>
      <c r="E2042" s="33">
        <v>5</v>
      </c>
      <c r="F2042" s="18"/>
      <c r="G2042" s="35">
        <f>WEEKDAY(Metas_Diarias[[#This Row],[data]])</f>
        <v>5</v>
      </c>
      <c r="H2042" s="35">
        <f>IF(Metas_Diarias[[#This Row],[dias_da_demana]]=1,"domingo",IF(Metas_Diarias[[#This Row],[dias_da_demana]]=7,0.5,1))</f>
        <v>1</v>
      </c>
      <c r="I2042" s="35">
        <f>_xlfn.XLOOKUP(Metas_Diarias[[#This Row],[data]],Feriados[Data],Feriados[Feriado],1)</f>
        <v>1</v>
      </c>
      <c r="J2042" s="33" cm="1">
        <f t="array" aca="1" ref="J2042" ca="1">SUMPRODUCT(IF((NOT(ISERROR(MATCH(ROW(INDIRECT(DATE(YEAR(B2042),MONTH(B2042),1)&amp;":"&amp;DATE(YEAR(B2042),MONTH(B2042)+1,0))),Feriados[Data],0))))=FALSE,
IF(WEEKDAY(ROW(INDIRECT(DATE(YEAR(B2042),MONTH(B2042),1)&amp;":"&amp;DATE(YEAR(B2042),MONTH(B2042)+1,0))),2)&lt;=5,1,IF(WEEKDAY(ROW(INDIRECT(DATE(YEAR(B2042),MONTH(B2042),1)&amp;":"&amp;DATE(YEAR(B2042),MONTH(B2042)+1,0))),2)=6,0.5,0)),0))</f>
        <v>25</v>
      </c>
      <c r="K2042" s="22" cm="1">
        <f t="array" ref="K2042">_xlfn.XLOOKUP(1,((Metas_Diarias[[#This Row],[tipo_equipe_id]]=Metas[equipe])*(Metas_Diarias[[#This Row],[data]]&gt;Metas[data_inicio])*(Metas_Diarias[[#This Row],[data]]&lt;Metas[data_fim])),Metas[meta_mensal],0)</f>
        <v>68250</v>
      </c>
      <c r="L2042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43" spans="2:12" x14ac:dyDescent="0.3">
      <c r="B2043" s="34">
        <v>46234</v>
      </c>
      <c r="C2043" s="34" t="str">
        <f>TEXT(Metas_Diarias[[#This Row],[data]],"dddd")</f>
        <v>sexta-feira</v>
      </c>
      <c r="D2043" s="33">
        <v>5</v>
      </c>
      <c r="E2043" s="33">
        <v>5</v>
      </c>
      <c r="F2043" s="18"/>
      <c r="G2043" s="35">
        <f>WEEKDAY(Metas_Diarias[[#This Row],[data]])</f>
        <v>6</v>
      </c>
      <c r="H2043" s="35">
        <f>IF(Metas_Diarias[[#This Row],[dias_da_demana]]=1,"domingo",IF(Metas_Diarias[[#This Row],[dias_da_demana]]=7,0.5,1))</f>
        <v>1</v>
      </c>
      <c r="I2043" s="35">
        <f>_xlfn.XLOOKUP(Metas_Diarias[[#This Row],[data]],Feriados[Data],Feriados[Feriado],1)</f>
        <v>1</v>
      </c>
      <c r="J2043" s="33" cm="1">
        <f t="array" aca="1" ref="J2043" ca="1">SUMPRODUCT(IF((NOT(ISERROR(MATCH(ROW(INDIRECT(DATE(YEAR(B2043),MONTH(B2043),1)&amp;":"&amp;DATE(YEAR(B2043),MONTH(B2043)+1,0))),Feriados[Data],0))))=FALSE,
IF(WEEKDAY(ROW(INDIRECT(DATE(YEAR(B2043),MONTH(B2043),1)&amp;":"&amp;DATE(YEAR(B2043),MONTH(B2043)+1,0))),2)&lt;=5,1,IF(WEEKDAY(ROW(INDIRECT(DATE(YEAR(B2043),MONTH(B2043),1)&amp;":"&amp;DATE(YEAR(B2043),MONTH(B2043)+1,0))),2)=6,0.5,0)),0))</f>
        <v>25</v>
      </c>
      <c r="K2043" s="22" cm="1">
        <f t="array" ref="K2043">_xlfn.XLOOKUP(1,((Metas_Diarias[[#This Row],[tipo_equipe_id]]=Metas[equipe])*(Metas_Diarias[[#This Row],[data]]&gt;Metas[data_inicio])*(Metas_Diarias[[#This Row],[data]]&lt;Metas[data_fim])),Metas[meta_mensal],0)</f>
        <v>68250</v>
      </c>
      <c r="L2043" s="24">
        <f ca="1">Metas_Diarias[[#This Row],[meta_mensal]]*IF(Metas_Diarias[[#This Row],[semana]]="domingo",0,Metas_Diarias[[#This Row],[semana]])*IF(Metas_Diarias[[#This Row],[feriado]]&lt;&gt;1,0,1)/Metas_Diarias[[#This Row],[dias_úteis_Mês]]</f>
        <v>2730</v>
      </c>
    </row>
    <row r="2044" spans="2:12" x14ac:dyDescent="0.3">
      <c r="B2044" s="34">
        <v>46235</v>
      </c>
      <c r="C2044" s="34" t="str">
        <f>TEXT(Metas_Diarias[[#This Row],[data]],"dddd")</f>
        <v>sábado</v>
      </c>
      <c r="D2044" s="33">
        <v>5</v>
      </c>
      <c r="E2044" s="33">
        <v>5</v>
      </c>
      <c r="F2044" s="18"/>
      <c r="G2044" s="35">
        <f>WEEKDAY(Metas_Diarias[[#This Row],[data]])</f>
        <v>7</v>
      </c>
      <c r="H2044" s="35">
        <f>IF(Metas_Diarias[[#This Row],[dias_da_demana]]=1,"domingo",IF(Metas_Diarias[[#This Row],[dias_da_demana]]=7,0.5,1))</f>
        <v>0.5</v>
      </c>
      <c r="I2044" s="35">
        <f>_xlfn.XLOOKUP(Metas_Diarias[[#This Row],[data]],Feriados[Data],Feriados[Feriado],1)</f>
        <v>1</v>
      </c>
      <c r="J2044" s="33" cm="1">
        <f t="array" aca="1" ref="J2044" ca="1">SUMPRODUCT(IF((NOT(ISERROR(MATCH(ROW(INDIRECT(DATE(YEAR(B2044),MONTH(B2044),1)&amp;":"&amp;DATE(YEAR(B2044),MONTH(B2044)+1,0))),Feriados[Data],0))))=FALSE,
IF(WEEKDAY(ROW(INDIRECT(DATE(YEAR(B2044),MONTH(B2044),1)&amp;":"&amp;DATE(YEAR(B2044),MONTH(B2044)+1,0))),2)&lt;=5,1,IF(WEEKDAY(ROW(INDIRECT(DATE(YEAR(B2044),MONTH(B2044),1)&amp;":"&amp;DATE(YEAR(B2044),MONTH(B2044)+1,0))),2)=6,0.5,0)),0))</f>
        <v>23.5</v>
      </c>
      <c r="K2044" s="22" cm="1">
        <f t="array" ref="K2044">_xlfn.XLOOKUP(1,((Metas_Diarias[[#This Row],[tipo_equipe_id]]=Metas[equipe])*(Metas_Diarias[[#This Row],[data]]&gt;Metas[data_inicio])*(Metas_Diarias[[#This Row],[data]]&lt;Metas[data_fim])),Metas[meta_mensal],0)</f>
        <v>68250</v>
      </c>
      <c r="L2044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045" spans="2:12" x14ac:dyDescent="0.3">
      <c r="B2045" s="34">
        <v>46236</v>
      </c>
      <c r="C2045" s="34" t="str">
        <f>TEXT(Metas_Diarias[[#This Row],[data]],"dddd")</f>
        <v>domingo</v>
      </c>
      <c r="D2045" s="33">
        <v>5</v>
      </c>
      <c r="E2045" s="33">
        <v>5</v>
      </c>
      <c r="F2045" s="18"/>
      <c r="G2045" s="35">
        <f>WEEKDAY(Metas_Diarias[[#This Row],[data]])</f>
        <v>1</v>
      </c>
      <c r="H2045" s="35" t="str">
        <f>IF(Metas_Diarias[[#This Row],[dias_da_demana]]=1,"domingo",IF(Metas_Diarias[[#This Row],[dias_da_demana]]=7,0.5,1))</f>
        <v>domingo</v>
      </c>
      <c r="I2045" s="35">
        <f>_xlfn.XLOOKUP(Metas_Diarias[[#This Row],[data]],Feriados[Data],Feriados[Feriado],1)</f>
        <v>1</v>
      </c>
      <c r="J2045" s="33" cm="1">
        <f t="array" aca="1" ref="J2045" ca="1">SUMPRODUCT(IF((NOT(ISERROR(MATCH(ROW(INDIRECT(DATE(YEAR(B2045),MONTH(B2045),1)&amp;":"&amp;DATE(YEAR(B2045),MONTH(B2045)+1,0))),Feriados[Data],0))))=FALSE,
IF(WEEKDAY(ROW(INDIRECT(DATE(YEAR(B2045),MONTH(B2045),1)&amp;":"&amp;DATE(YEAR(B2045),MONTH(B2045)+1,0))),2)&lt;=5,1,IF(WEEKDAY(ROW(INDIRECT(DATE(YEAR(B2045),MONTH(B2045),1)&amp;":"&amp;DATE(YEAR(B2045),MONTH(B2045)+1,0))),2)=6,0.5,0)),0))</f>
        <v>23.5</v>
      </c>
      <c r="K2045" s="22" cm="1">
        <f t="array" ref="K2045">_xlfn.XLOOKUP(1,((Metas_Diarias[[#This Row],[tipo_equipe_id]]=Metas[equipe])*(Metas_Diarias[[#This Row],[data]]&gt;Metas[data_inicio])*(Metas_Diarias[[#This Row],[data]]&lt;Metas[data_fim])),Metas[meta_mensal],0)</f>
        <v>68250</v>
      </c>
      <c r="L20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46" spans="2:12" x14ac:dyDescent="0.3">
      <c r="B2046" s="34">
        <v>46237</v>
      </c>
      <c r="C2046" s="34" t="str">
        <f>TEXT(Metas_Diarias[[#This Row],[data]],"dddd")</f>
        <v>segunda-feira</v>
      </c>
      <c r="D2046" s="33">
        <v>5</v>
      </c>
      <c r="E2046" s="33">
        <v>5</v>
      </c>
      <c r="F2046" s="18"/>
      <c r="G2046" s="35">
        <f>WEEKDAY(Metas_Diarias[[#This Row],[data]])</f>
        <v>2</v>
      </c>
      <c r="H2046" s="35">
        <f>IF(Metas_Diarias[[#This Row],[dias_da_demana]]=1,"domingo",IF(Metas_Diarias[[#This Row],[dias_da_demana]]=7,0.5,1))</f>
        <v>1</v>
      </c>
      <c r="I2046" s="35">
        <f>_xlfn.XLOOKUP(Metas_Diarias[[#This Row],[data]],Feriados[Data],Feriados[Feriado],1)</f>
        <v>1</v>
      </c>
      <c r="J2046" s="33" cm="1">
        <f t="array" aca="1" ref="J2046" ca="1">SUMPRODUCT(IF((NOT(ISERROR(MATCH(ROW(INDIRECT(DATE(YEAR(B2046),MONTH(B2046),1)&amp;":"&amp;DATE(YEAR(B2046),MONTH(B2046)+1,0))),Feriados[Data],0))))=FALSE,
IF(WEEKDAY(ROW(INDIRECT(DATE(YEAR(B2046),MONTH(B2046),1)&amp;":"&amp;DATE(YEAR(B2046),MONTH(B2046)+1,0))),2)&lt;=5,1,IF(WEEKDAY(ROW(INDIRECT(DATE(YEAR(B2046),MONTH(B2046),1)&amp;":"&amp;DATE(YEAR(B2046),MONTH(B2046)+1,0))),2)=6,0.5,0)),0))</f>
        <v>23.5</v>
      </c>
      <c r="K2046" s="22" cm="1">
        <f t="array" ref="K2046">_xlfn.XLOOKUP(1,((Metas_Diarias[[#This Row],[tipo_equipe_id]]=Metas[equipe])*(Metas_Diarias[[#This Row],[data]]&gt;Metas[data_inicio])*(Metas_Diarias[[#This Row],[data]]&lt;Metas[data_fim])),Metas[meta_mensal],0)</f>
        <v>68250</v>
      </c>
      <c r="L2046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47" spans="2:12" x14ac:dyDescent="0.3">
      <c r="B2047" s="34">
        <v>46238</v>
      </c>
      <c r="C2047" s="34" t="str">
        <f>TEXT(Metas_Diarias[[#This Row],[data]],"dddd")</f>
        <v>terça-feira</v>
      </c>
      <c r="D2047" s="33">
        <v>5</v>
      </c>
      <c r="E2047" s="33">
        <v>5</v>
      </c>
      <c r="F2047" s="18"/>
      <c r="G2047" s="35">
        <f>WEEKDAY(Metas_Diarias[[#This Row],[data]])</f>
        <v>3</v>
      </c>
      <c r="H2047" s="35">
        <f>IF(Metas_Diarias[[#This Row],[dias_da_demana]]=1,"domingo",IF(Metas_Diarias[[#This Row],[dias_da_demana]]=7,0.5,1))</f>
        <v>1</v>
      </c>
      <c r="I2047" s="35">
        <f>_xlfn.XLOOKUP(Metas_Diarias[[#This Row],[data]],Feriados[Data],Feriados[Feriado],1)</f>
        <v>1</v>
      </c>
      <c r="J2047" s="33" cm="1">
        <f t="array" aca="1" ref="J2047" ca="1">SUMPRODUCT(IF((NOT(ISERROR(MATCH(ROW(INDIRECT(DATE(YEAR(B2047),MONTH(B2047),1)&amp;":"&amp;DATE(YEAR(B2047),MONTH(B2047)+1,0))),Feriados[Data],0))))=FALSE,
IF(WEEKDAY(ROW(INDIRECT(DATE(YEAR(B2047),MONTH(B2047),1)&amp;":"&amp;DATE(YEAR(B2047),MONTH(B2047)+1,0))),2)&lt;=5,1,IF(WEEKDAY(ROW(INDIRECT(DATE(YEAR(B2047),MONTH(B2047),1)&amp;":"&amp;DATE(YEAR(B2047),MONTH(B2047)+1,0))),2)=6,0.5,0)),0))</f>
        <v>23.5</v>
      </c>
      <c r="K2047" s="22" cm="1">
        <f t="array" ref="K2047">_xlfn.XLOOKUP(1,((Metas_Diarias[[#This Row],[tipo_equipe_id]]=Metas[equipe])*(Metas_Diarias[[#This Row],[data]]&gt;Metas[data_inicio])*(Metas_Diarias[[#This Row],[data]]&lt;Metas[data_fim])),Metas[meta_mensal],0)</f>
        <v>68250</v>
      </c>
      <c r="L2047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48" spans="2:12" x14ac:dyDescent="0.3">
      <c r="B2048" s="34">
        <v>46239</v>
      </c>
      <c r="C2048" s="34" t="str">
        <f>TEXT(Metas_Diarias[[#This Row],[data]],"dddd")</f>
        <v>quarta-feira</v>
      </c>
      <c r="D2048" s="33">
        <v>5</v>
      </c>
      <c r="E2048" s="33">
        <v>5</v>
      </c>
      <c r="F2048" s="18"/>
      <c r="G2048" s="35">
        <f>WEEKDAY(Metas_Diarias[[#This Row],[data]])</f>
        <v>4</v>
      </c>
      <c r="H2048" s="35">
        <f>IF(Metas_Diarias[[#This Row],[dias_da_demana]]=1,"domingo",IF(Metas_Diarias[[#This Row],[dias_da_demana]]=7,0.5,1))</f>
        <v>1</v>
      </c>
      <c r="I2048" s="35">
        <f>_xlfn.XLOOKUP(Metas_Diarias[[#This Row],[data]],Feriados[Data],Feriados[Feriado],1)</f>
        <v>1</v>
      </c>
      <c r="J2048" s="33" cm="1">
        <f t="array" aca="1" ref="J2048" ca="1">SUMPRODUCT(IF((NOT(ISERROR(MATCH(ROW(INDIRECT(DATE(YEAR(B2048),MONTH(B2048),1)&amp;":"&amp;DATE(YEAR(B2048),MONTH(B2048)+1,0))),Feriados[Data],0))))=FALSE,
IF(WEEKDAY(ROW(INDIRECT(DATE(YEAR(B2048),MONTH(B2048),1)&amp;":"&amp;DATE(YEAR(B2048),MONTH(B2048)+1,0))),2)&lt;=5,1,IF(WEEKDAY(ROW(INDIRECT(DATE(YEAR(B2048),MONTH(B2048),1)&amp;":"&amp;DATE(YEAR(B2048),MONTH(B2048)+1,0))),2)=6,0.5,0)),0))</f>
        <v>23.5</v>
      </c>
      <c r="K2048" s="22" cm="1">
        <f t="array" ref="K2048">_xlfn.XLOOKUP(1,((Metas_Diarias[[#This Row],[tipo_equipe_id]]=Metas[equipe])*(Metas_Diarias[[#This Row],[data]]&gt;Metas[data_inicio])*(Metas_Diarias[[#This Row],[data]]&lt;Metas[data_fim])),Metas[meta_mensal],0)</f>
        <v>68250</v>
      </c>
      <c r="L2048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49" spans="2:12" x14ac:dyDescent="0.3">
      <c r="B2049" s="34">
        <v>46240</v>
      </c>
      <c r="C2049" s="34" t="str">
        <f>TEXT(Metas_Diarias[[#This Row],[data]],"dddd")</f>
        <v>quinta-feira</v>
      </c>
      <c r="D2049" s="33">
        <v>5</v>
      </c>
      <c r="E2049" s="33">
        <v>5</v>
      </c>
      <c r="F2049" s="18"/>
      <c r="G2049" s="35">
        <f>WEEKDAY(Metas_Diarias[[#This Row],[data]])</f>
        <v>5</v>
      </c>
      <c r="H2049" s="35">
        <f>IF(Metas_Diarias[[#This Row],[dias_da_demana]]=1,"domingo",IF(Metas_Diarias[[#This Row],[dias_da_demana]]=7,0.5,1))</f>
        <v>1</v>
      </c>
      <c r="I2049" s="35">
        <f>_xlfn.XLOOKUP(Metas_Diarias[[#This Row],[data]],Feriados[Data],Feriados[Feriado],1)</f>
        <v>1</v>
      </c>
      <c r="J2049" s="33" cm="1">
        <f t="array" aca="1" ref="J2049" ca="1">SUMPRODUCT(IF((NOT(ISERROR(MATCH(ROW(INDIRECT(DATE(YEAR(B2049),MONTH(B2049),1)&amp;":"&amp;DATE(YEAR(B2049),MONTH(B2049)+1,0))),Feriados[Data],0))))=FALSE,
IF(WEEKDAY(ROW(INDIRECT(DATE(YEAR(B2049),MONTH(B2049),1)&amp;":"&amp;DATE(YEAR(B2049),MONTH(B2049)+1,0))),2)&lt;=5,1,IF(WEEKDAY(ROW(INDIRECT(DATE(YEAR(B2049),MONTH(B2049),1)&amp;":"&amp;DATE(YEAR(B2049),MONTH(B2049)+1,0))),2)=6,0.5,0)),0))</f>
        <v>23.5</v>
      </c>
      <c r="K2049" s="22" cm="1">
        <f t="array" ref="K2049">_xlfn.XLOOKUP(1,((Metas_Diarias[[#This Row],[tipo_equipe_id]]=Metas[equipe])*(Metas_Diarias[[#This Row],[data]]&gt;Metas[data_inicio])*(Metas_Diarias[[#This Row],[data]]&lt;Metas[data_fim])),Metas[meta_mensal],0)</f>
        <v>68250</v>
      </c>
      <c r="L2049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50" spans="2:12" x14ac:dyDescent="0.3">
      <c r="B2050" s="34">
        <v>46241</v>
      </c>
      <c r="C2050" s="34" t="str">
        <f>TEXT(Metas_Diarias[[#This Row],[data]],"dddd")</f>
        <v>sexta-feira</v>
      </c>
      <c r="D2050" s="33">
        <v>5</v>
      </c>
      <c r="E2050" s="33">
        <v>5</v>
      </c>
      <c r="F2050" s="18"/>
      <c r="G2050" s="35">
        <f>WEEKDAY(Metas_Diarias[[#This Row],[data]])</f>
        <v>6</v>
      </c>
      <c r="H2050" s="35">
        <f>IF(Metas_Diarias[[#This Row],[dias_da_demana]]=1,"domingo",IF(Metas_Diarias[[#This Row],[dias_da_demana]]=7,0.5,1))</f>
        <v>1</v>
      </c>
      <c r="I2050" s="35">
        <f>_xlfn.XLOOKUP(Metas_Diarias[[#This Row],[data]],Feriados[Data],Feriados[Feriado],1)</f>
        <v>1</v>
      </c>
      <c r="J2050" s="33" cm="1">
        <f t="array" aca="1" ref="J2050" ca="1">SUMPRODUCT(IF((NOT(ISERROR(MATCH(ROW(INDIRECT(DATE(YEAR(B2050),MONTH(B2050),1)&amp;":"&amp;DATE(YEAR(B2050),MONTH(B2050)+1,0))),Feriados[Data],0))))=FALSE,
IF(WEEKDAY(ROW(INDIRECT(DATE(YEAR(B2050),MONTH(B2050),1)&amp;":"&amp;DATE(YEAR(B2050),MONTH(B2050)+1,0))),2)&lt;=5,1,IF(WEEKDAY(ROW(INDIRECT(DATE(YEAR(B2050),MONTH(B2050),1)&amp;":"&amp;DATE(YEAR(B2050),MONTH(B2050)+1,0))),2)=6,0.5,0)),0))</f>
        <v>23.5</v>
      </c>
      <c r="K2050" s="22" cm="1">
        <f t="array" ref="K2050">_xlfn.XLOOKUP(1,((Metas_Diarias[[#This Row],[tipo_equipe_id]]=Metas[equipe])*(Metas_Diarias[[#This Row],[data]]&gt;Metas[data_inicio])*(Metas_Diarias[[#This Row],[data]]&lt;Metas[data_fim])),Metas[meta_mensal],0)</f>
        <v>68250</v>
      </c>
      <c r="L205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51" spans="2:12" x14ac:dyDescent="0.3">
      <c r="B2051" s="34">
        <v>46242</v>
      </c>
      <c r="C2051" s="34" t="str">
        <f>TEXT(Metas_Diarias[[#This Row],[data]],"dddd")</f>
        <v>sábado</v>
      </c>
      <c r="D2051" s="33">
        <v>5</v>
      </c>
      <c r="E2051" s="33">
        <v>5</v>
      </c>
      <c r="F2051" s="18"/>
      <c r="G2051" s="35">
        <f>WEEKDAY(Metas_Diarias[[#This Row],[data]])</f>
        <v>7</v>
      </c>
      <c r="H2051" s="35">
        <f>IF(Metas_Diarias[[#This Row],[dias_da_demana]]=1,"domingo",IF(Metas_Diarias[[#This Row],[dias_da_demana]]=7,0.5,1))</f>
        <v>0.5</v>
      </c>
      <c r="I2051" s="35">
        <f>_xlfn.XLOOKUP(Metas_Diarias[[#This Row],[data]],Feriados[Data],Feriados[Feriado],1)</f>
        <v>1</v>
      </c>
      <c r="J2051" s="33" cm="1">
        <f t="array" aca="1" ref="J2051" ca="1">SUMPRODUCT(IF((NOT(ISERROR(MATCH(ROW(INDIRECT(DATE(YEAR(B2051),MONTH(B2051),1)&amp;":"&amp;DATE(YEAR(B2051),MONTH(B2051)+1,0))),Feriados[Data],0))))=FALSE,
IF(WEEKDAY(ROW(INDIRECT(DATE(YEAR(B2051),MONTH(B2051),1)&amp;":"&amp;DATE(YEAR(B2051),MONTH(B2051)+1,0))),2)&lt;=5,1,IF(WEEKDAY(ROW(INDIRECT(DATE(YEAR(B2051),MONTH(B2051),1)&amp;":"&amp;DATE(YEAR(B2051),MONTH(B2051)+1,0))),2)=6,0.5,0)),0))</f>
        <v>23.5</v>
      </c>
      <c r="K2051" s="22" cm="1">
        <f t="array" ref="K2051">_xlfn.XLOOKUP(1,((Metas_Diarias[[#This Row],[tipo_equipe_id]]=Metas[equipe])*(Metas_Diarias[[#This Row],[data]]&gt;Metas[data_inicio])*(Metas_Diarias[[#This Row],[data]]&lt;Metas[data_fim])),Metas[meta_mensal],0)</f>
        <v>68250</v>
      </c>
      <c r="L2051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052" spans="2:12" x14ac:dyDescent="0.3">
      <c r="B2052" s="34">
        <v>46243</v>
      </c>
      <c r="C2052" s="34" t="str">
        <f>TEXT(Metas_Diarias[[#This Row],[data]],"dddd")</f>
        <v>domingo</v>
      </c>
      <c r="D2052" s="33">
        <v>5</v>
      </c>
      <c r="E2052" s="33">
        <v>5</v>
      </c>
      <c r="F2052" s="18"/>
      <c r="G2052" s="35">
        <f>WEEKDAY(Metas_Diarias[[#This Row],[data]])</f>
        <v>1</v>
      </c>
      <c r="H2052" s="35" t="str">
        <f>IF(Metas_Diarias[[#This Row],[dias_da_demana]]=1,"domingo",IF(Metas_Diarias[[#This Row],[dias_da_demana]]=7,0.5,1))</f>
        <v>domingo</v>
      </c>
      <c r="I2052" s="35">
        <f>_xlfn.XLOOKUP(Metas_Diarias[[#This Row],[data]],Feriados[Data],Feriados[Feriado],1)</f>
        <v>1</v>
      </c>
      <c r="J2052" s="33" cm="1">
        <f t="array" aca="1" ref="J2052" ca="1">SUMPRODUCT(IF((NOT(ISERROR(MATCH(ROW(INDIRECT(DATE(YEAR(B2052),MONTH(B2052),1)&amp;":"&amp;DATE(YEAR(B2052),MONTH(B2052)+1,0))),Feriados[Data],0))))=FALSE,
IF(WEEKDAY(ROW(INDIRECT(DATE(YEAR(B2052),MONTH(B2052),1)&amp;":"&amp;DATE(YEAR(B2052),MONTH(B2052)+1,0))),2)&lt;=5,1,IF(WEEKDAY(ROW(INDIRECT(DATE(YEAR(B2052),MONTH(B2052),1)&amp;":"&amp;DATE(YEAR(B2052),MONTH(B2052)+1,0))),2)=6,0.5,0)),0))</f>
        <v>23.5</v>
      </c>
      <c r="K2052" s="22" cm="1">
        <f t="array" ref="K2052">_xlfn.XLOOKUP(1,((Metas_Diarias[[#This Row],[tipo_equipe_id]]=Metas[equipe])*(Metas_Diarias[[#This Row],[data]]&gt;Metas[data_inicio])*(Metas_Diarias[[#This Row],[data]]&lt;Metas[data_fim])),Metas[meta_mensal],0)</f>
        <v>68250</v>
      </c>
      <c r="L20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53" spans="2:12" x14ac:dyDescent="0.3">
      <c r="B2053" s="34">
        <v>46244</v>
      </c>
      <c r="C2053" s="34" t="str">
        <f>TEXT(Metas_Diarias[[#This Row],[data]],"dddd")</f>
        <v>segunda-feira</v>
      </c>
      <c r="D2053" s="33">
        <v>5</v>
      </c>
      <c r="E2053" s="33">
        <v>5</v>
      </c>
      <c r="F2053" s="18"/>
      <c r="G2053" s="35">
        <f>WEEKDAY(Metas_Diarias[[#This Row],[data]])</f>
        <v>2</v>
      </c>
      <c r="H2053" s="35">
        <f>IF(Metas_Diarias[[#This Row],[dias_da_demana]]=1,"domingo",IF(Metas_Diarias[[#This Row],[dias_da_demana]]=7,0.5,1))</f>
        <v>1</v>
      </c>
      <c r="I2053" s="35">
        <f>_xlfn.XLOOKUP(Metas_Diarias[[#This Row],[data]],Feriados[Data],Feriados[Feriado],1)</f>
        <v>1</v>
      </c>
      <c r="J2053" s="33" cm="1">
        <f t="array" aca="1" ref="J2053" ca="1">SUMPRODUCT(IF((NOT(ISERROR(MATCH(ROW(INDIRECT(DATE(YEAR(B2053),MONTH(B2053),1)&amp;":"&amp;DATE(YEAR(B2053),MONTH(B2053)+1,0))),Feriados[Data],0))))=FALSE,
IF(WEEKDAY(ROW(INDIRECT(DATE(YEAR(B2053),MONTH(B2053),1)&amp;":"&amp;DATE(YEAR(B2053),MONTH(B2053)+1,0))),2)&lt;=5,1,IF(WEEKDAY(ROW(INDIRECT(DATE(YEAR(B2053),MONTH(B2053),1)&amp;":"&amp;DATE(YEAR(B2053),MONTH(B2053)+1,0))),2)=6,0.5,0)),0))</f>
        <v>23.5</v>
      </c>
      <c r="K2053" s="22" cm="1">
        <f t="array" ref="K2053">_xlfn.XLOOKUP(1,((Metas_Diarias[[#This Row],[tipo_equipe_id]]=Metas[equipe])*(Metas_Diarias[[#This Row],[data]]&gt;Metas[data_inicio])*(Metas_Diarias[[#This Row],[data]]&lt;Metas[data_fim])),Metas[meta_mensal],0)</f>
        <v>68250</v>
      </c>
      <c r="L2053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54" spans="2:12" x14ac:dyDescent="0.3">
      <c r="B2054" s="34">
        <v>46245</v>
      </c>
      <c r="C2054" s="34" t="str">
        <f>TEXT(Metas_Diarias[[#This Row],[data]],"dddd")</f>
        <v>terça-feira</v>
      </c>
      <c r="D2054" s="33">
        <v>5</v>
      </c>
      <c r="E2054" s="33">
        <v>5</v>
      </c>
      <c r="F2054" s="18"/>
      <c r="G2054" s="35">
        <f>WEEKDAY(Metas_Diarias[[#This Row],[data]])</f>
        <v>3</v>
      </c>
      <c r="H2054" s="35">
        <f>IF(Metas_Diarias[[#This Row],[dias_da_demana]]=1,"domingo",IF(Metas_Diarias[[#This Row],[dias_da_demana]]=7,0.5,1))</f>
        <v>1</v>
      </c>
      <c r="I2054" s="35">
        <f>_xlfn.XLOOKUP(Metas_Diarias[[#This Row],[data]],Feriados[Data],Feriados[Feriado],1)</f>
        <v>1</v>
      </c>
      <c r="J2054" s="33" cm="1">
        <f t="array" aca="1" ref="J2054" ca="1">SUMPRODUCT(IF((NOT(ISERROR(MATCH(ROW(INDIRECT(DATE(YEAR(B2054),MONTH(B2054),1)&amp;":"&amp;DATE(YEAR(B2054),MONTH(B2054)+1,0))),Feriados[Data],0))))=FALSE,
IF(WEEKDAY(ROW(INDIRECT(DATE(YEAR(B2054),MONTH(B2054),1)&amp;":"&amp;DATE(YEAR(B2054),MONTH(B2054)+1,0))),2)&lt;=5,1,IF(WEEKDAY(ROW(INDIRECT(DATE(YEAR(B2054),MONTH(B2054),1)&amp;":"&amp;DATE(YEAR(B2054),MONTH(B2054)+1,0))),2)=6,0.5,0)),0))</f>
        <v>23.5</v>
      </c>
      <c r="K2054" s="22" cm="1">
        <f t="array" ref="K2054">_xlfn.XLOOKUP(1,((Metas_Diarias[[#This Row],[tipo_equipe_id]]=Metas[equipe])*(Metas_Diarias[[#This Row],[data]]&gt;Metas[data_inicio])*(Metas_Diarias[[#This Row],[data]]&lt;Metas[data_fim])),Metas[meta_mensal],0)</f>
        <v>68250</v>
      </c>
      <c r="L2054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55" spans="2:12" x14ac:dyDescent="0.3">
      <c r="B2055" s="34">
        <v>46246</v>
      </c>
      <c r="C2055" s="34" t="str">
        <f>TEXT(Metas_Diarias[[#This Row],[data]],"dddd")</f>
        <v>quarta-feira</v>
      </c>
      <c r="D2055" s="33">
        <v>5</v>
      </c>
      <c r="E2055" s="33">
        <v>5</v>
      </c>
      <c r="F2055" s="18"/>
      <c r="G2055" s="35">
        <f>WEEKDAY(Metas_Diarias[[#This Row],[data]])</f>
        <v>4</v>
      </c>
      <c r="H2055" s="35">
        <f>IF(Metas_Diarias[[#This Row],[dias_da_demana]]=1,"domingo",IF(Metas_Diarias[[#This Row],[dias_da_demana]]=7,0.5,1))</f>
        <v>1</v>
      </c>
      <c r="I2055" s="35">
        <f>_xlfn.XLOOKUP(Metas_Diarias[[#This Row],[data]],Feriados[Data],Feriados[Feriado],1)</f>
        <v>1</v>
      </c>
      <c r="J2055" s="33" cm="1">
        <f t="array" aca="1" ref="J2055" ca="1">SUMPRODUCT(IF((NOT(ISERROR(MATCH(ROW(INDIRECT(DATE(YEAR(B2055),MONTH(B2055),1)&amp;":"&amp;DATE(YEAR(B2055),MONTH(B2055)+1,0))),Feriados[Data],0))))=FALSE,
IF(WEEKDAY(ROW(INDIRECT(DATE(YEAR(B2055),MONTH(B2055),1)&amp;":"&amp;DATE(YEAR(B2055),MONTH(B2055)+1,0))),2)&lt;=5,1,IF(WEEKDAY(ROW(INDIRECT(DATE(YEAR(B2055),MONTH(B2055),1)&amp;":"&amp;DATE(YEAR(B2055),MONTH(B2055)+1,0))),2)=6,0.5,0)),0))</f>
        <v>23.5</v>
      </c>
      <c r="K2055" s="22" cm="1">
        <f t="array" ref="K2055">_xlfn.XLOOKUP(1,((Metas_Diarias[[#This Row],[tipo_equipe_id]]=Metas[equipe])*(Metas_Diarias[[#This Row],[data]]&gt;Metas[data_inicio])*(Metas_Diarias[[#This Row],[data]]&lt;Metas[data_fim])),Metas[meta_mensal],0)</f>
        <v>68250</v>
      </c>
      <c r="L2055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56" spans="2:12" x14ac:dyDescent="0.3">
      <c r="B2056" s="34">
        <v>46247</v>
      </c>
      <c r="C2056" s="34" t="str">
        <f>TEXT(Metas_Diarias[[#This Row],[data]],"dddd")</f>
        <v>quinta-feira</v>
      </c>
      <c r="D2056" s="33">
        <v>5</v>
      </c>
      <c r="E2056" s="33">
        <v>5</v>
      </c>
      <c r="F2056" s="18"/>
      <c r="G2056" s="35">
        <f>WEEKDAY(Metas_Diarias[[#This Row],[data]])</f>
        <v>5</v>
      </c>
      <c r="H2056" s="35">
        <f>IF(Metas_Diarias[[#This Row],[dias_da_demana]]=1,"domingo",IF(Metas_Diarias[[#This Row],[dias_da_demana]]=7,0.5,1))</f>
        <v>1</v>
      </c>
      <c r="I2056" s="35">
        <f>_xlfn.XLOOKUP(Metas_Diarias[[#This Row],[data]],Feriados[Data],Feriados[Feriado],1)</f>
        <v>1</v>
      </c>
      <c r="J2056" s="33" cm="1">
        <f t="array" aca="1" ref="J2056" ca="1">SUMPRODUCT(IF((NOT(ISERROR(MATCH(ROW(INDIRECT(DATE(YEAR(B2056),MONTH(B2056),1)&amp;":"&amp;DATE(YEAR(B2056),MONTH(B2056)+1,0))),Feriados[Data],0))))=FALSE,
IF(WEEKDAY(ROW(INDIRECT(DATE(YEAR(B2056),MONTH(B2056),1)&amp;":"&amp;DATE(YEAR(B2056),MONTH(B2056)+1,0))),2)&lt;=5,1,IF(WEEKDAY(ROW(INDIRECT(DATE(YEAR(B2056),MONTH(B2056),1)&amp;":"&amp;DATE(YEAR(B2056),MONTH(B2056)+1,0))),2)=6,0.5,0)),0))</f>
        <v>23.5</v>
      </c>
      <c r="K2056" s="22" cm="1">
        <f t="array" ref="K2056">_xlfn.XLOOKUP(1,((Metas_Diarias[[#This Row],[tipo_equipe_id]]=Metas[equipe])*(Metas_Diarias[[#This Row],[data]]&gt;Metas[data_inicio])*(Metas_Diarias[[#This Row],[data]]&lt;Metas[data_fim])),Metas[meta_mensal],0)</f>
        <v>68250</v>
      </c>
      <c r="L2056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57" spans="2:12" x14ac:dyDescent="0.3">
      <c r="B2057" s="34">
        <v>46248</v>
      </c>
      <c r="C2057" s="34" t="str">
        <f>TEXT(Metas_Diarias[[#This Row],[data]],"dddd")</f>
        <v>sexta-feira</v>
      </c>
      <c r="D2057" s="33">
        <v>5</v>
      </c>
      <c r="E2057" s="33">
        <v>5</v>
      </c>
      <c r="F2057" s="18"/>
      <c r="G2057" s="35">
        <f>WEEKDAY(Metas_Diarias[[#This Row],[data]])</f>
        <v>6</v>
      </c>
      <c r="H2057" s="35">
        <f>IF(Metas_Diarias[[#This Row],[dias_da_demana]]=1,"domingo",IF(Metas_Diarias[[#This Row],[dias_da_demana]]=7,0.5,1))</f>
        <v>1</v>
      </c>
      <c r="I2057" s="35">
        <f>_xlfn.XLOOKUP(Metas_Diarias[[#This Row],[data]],Feriados[Data],Feriados[Feriado],1)</f>
        <v>1</v>
      </c>
      <c r="J2057" s="33" cm="1">
        <f t="array" aca="1" ref="J2057" ca="1">SUMPRODUCT(IF((NOT(ISERROR(MATCH(ROW(INDIRECT(DATE(YEAR(B2057),MONTH(B2057),1)&amp;":"&amp;DATE(YEAR(B2057),MONTH(B2057)+1,0))),Feriados[Data],0))))=FALSE,
IF(WEEKDAY(ROW(INDIRECT(DATE(YEAR(B2057),MONTH(B2057),1)&amp;":"&amp;DATE(YEAR(B2057),MONTH(B2057)+1,0))),2)&lt;=5,1,IF(WEEKDAY(ROW(INDIRECT(DATE(YEAR(B2057),MONTH(B2057),1)&amp;":"&amp;DATE(YEAR(B2057),MONTH(B2057)+1,0))),2)=6,0.5,0)),0))</f>
        <v>23.5</v>
      </c>
      <c r="K2057" s="22" cm="1">
        <f t="array" ref="K2057">_xlfn.XLOOKUP(1,((Metas_Diarias[[#This Row],[tipo_equipe_id]]=Metas[equipe])*(Metas_Diarias[[#This Row],[data]]&gt;Metas[data_inicio])*(Metas_Diarias[[#This Row],[data]]&lt;Metas[data_fim])),Metas[meta_mensal],0)</f>
        <v>68250</v>
      </c>
      <c r="L2057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58" spans="2:12" x14ac:dyDescent="0.3">
      <c r="B2058" s="34">
        <v>46249</v>
      </c>
      <c r="C2058" s="34" t="str">
        <f>TEXT(Metas_Diarias[[#This Row],[data]],"dddd")</f>
        <v>sábado</v>
      </c>
      <c r="D2058" s="33">
        <v>5</v>
      </c>
      <c r="E2058" s="33">
        <v>5</v>
      </c>
      <c r="F2058" s="18"/>
      <c r="G2058" s="35">
        <f>WEEKDAY(Metas_Diarias[[#This Row],[data]])</f>
        <v>7</v>
      </c>
      <c r="H2058" s="35">
        <f>IF(Metas_Diarias[[#This Row],[dias_da_demana]]=1,"domingo",IF(Metas_Diarias[[#This Row],[dias_da_demana]]=7,0.5,1))</f>
        <v>0.5</v>
      </c>
      <c r="I2058" s="35">
        <f>_xlfn.XLOOKUP(Metas_Diarias[[#This Row],[data]],Feriados[Data],Feriados[Feriado],1)</f>
        <v>1</v>
      </c>
      <c r="J2058" s="33" cm="1">
        <f t="array" aca="1" ref="J2058" ca="1">SUMPRODUCT(IF((NOT(ISERROR(MATCH(ROW(INDIRECT(DATE(YEAR(B2058),MONTH(B2058),1)&amp;":"&amp;DATE(YEAR(B2058),MONTH(B2058)+1,0))),Feriados[Data],0))))=FALSE,
IF(WEEKDAY(ROW(INDIRECT(DATE(YEAR(B2058),MONTH(B2058),1)&amp;":"&amp;DATE(YEAR(B2058),MONTH(B2058)+1,0))),2)&lt;=5,1,IF(WEEKDAY(ROW(INDIRECT(DATE(YEAR(B2058),MONTH(B2058),1)&amp;":"&amp;DATE(YEAR(B2058),MONTH(B2058)+1,0))),2)=6,0.5,0)),0))</f>
        <v>23.5</v>
      </c>
      <c r="K2058" s="22" cm="1">
        <f t="array" ref="K2058">_xlfn.XLOOKUP(1,((Metas_Diarias[[#This Row],[tipo_equipe_id]]=Metas[equipe])*(Metas_Diarias[[#This Row],[data]]&gt;Metas[data_inicio])*(Metas_Diarias[[#This Row],[data]]&lt;Metas[data_fim])),Metas[meta_mensal],0)</f>
        <v>68250</v>
      </c>
      <c r="L2058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059" spans="2:12" x14ac:dyDescent="0.3">
      <c r="B2059" s="34">
        <v>46250</v>
      </c>
      <c r="C2059" s="34" t="str">
        <f>TEXT(Metas_Diarias[[#This Row],[data]],"dddd")</f>
        <v>domingo</v>
      </c>
      <c r="D2059" s="33">
        <v>5</v>
      </c>
      <c r="E2059" s="33">
        <v>5</v>
      </c>
      <c r="F2059" s="18"/>
      <c r="G2059" s="35">
        <f>WEEKDAY(Metas_Diarias[[#This Row],[data]])</f>
        <v>1</v>
      </c>
      <c r="H2059" s="35" t="str">
        <f>IF(Metas_Diarias[[#This Row],[dias_da_demana]]=1,"domingo",IF(Metas_Diarias[[#This Row],[dias_da_demana]]=7,0.5,1))</f>
        <v>domingo</v>
      </c>
      <c r="I2059" s="35">
        <f>_xlfn.XLOOKUP(Metas_Diarias[[#This Row],[data]],Feriados[Data],Feriados[Feriado],1)</f>
        <v>1</v>
      </c>
      <c r="J2059" s="33" cm="1">
        <f t="array" aca="1" ref="J2059" ca="1">SUMPRODUCT(IF((NOT(ISERROR(MATCH(ROW(INDIRECT(DATE(YEAR(B2059),MONTH(B2059),1)&amp;":"&amp;DATE(YEAR(B2059),MONTH(B2059)+1,0))),Feriados[Data],0))))=FALSE,
IF(WEEKDAY(ROW(INDIRECT(DATE(YEAR(B2059),MONTH(B2059),1)&amp;":"&amp;DATE(YEAR(B2059),MONTH(B2059)+1,0))),2)&lt;=5,1,IF(WEEKDAY(ROW(INDIRECT(DATE(YEAR(B2059),MONTH(B2059),1)&amp;":"&amp;DATE(YEAR(B2059),MONTH(B2059)+1,0))),2)=6,0.5,0)),0))</f>
        <v>23.5</v>
      </c>
      <c r="K2059" s="22" cm="1">
        <f t="array" ref="K2059">_xlfn.XLOOKUP(1,((Metas_Diarias[[#This Row],[tipo_equipe_id]]=Metas[equipe])*(Metas_Diarias[[#This Row],[data]]&gt;Metas[data_inicio])*(Metas_Diarias[[#This Row],[data]]&lt;Metas[data_fim])),Metas[meta_mensal],0)</f>
        <v>68250</v>
      </c>
      <c r="L20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60" spans="2:12" x14ac:dyDescent="0.3">
      <c r="B2060" s="34">
        <v>46251</v>
      </c>
      <c r="C2060" s="34" t="str">
        <f>TEXT(Metas_Diarias[[#This Row],[data]],"dddd")</f>
        <v>segunda-feira</v>
      </c>
      <c r="D2060" s="33">
        <v>5</v>
      </c>
      <c r="E2060" s="33">
        <v>5</v>
      </c>
      <c r="F2060" s="18"/>
      <c r="G2060" s="35">
        <f>WEEKDAY(Metas_Diarias[[#This Row],[data]])</f>
        <v>2</v>
      </c>
      <c r="H2060" s="35">
        <f>IF(Metas_Diarias[[#This Row],[dias_da_demana]]=1,"domingo",IF(Metas_Diarias[[#This Row],[dias_da_demana]]=7,0.5,1))</f>
        <v>1</v>
      </c>
      <c r="I2060" s="35">
        <f>_xlfn.XLOOKUP(Metas_Diarias[[#This Row],[data]],Feriados[Data],Feriados[Feriado],1)</f>
        <v>1</v>
      </c>
      <c r="J2060" s="33" cm="1">
        <f t="array" aca="1" ref="J2060" ca="1">SUMPRODUCT(IF((NOT(ISERROR(MATCH(ROW(INDIRECT(DATE(YEAR(B2060),MONTH(B2060),1)&amp;":"&amp;DATE(YEAR(B2060),MONTH(B2060)+1,0))),Feriados[Data],0))))=FALSE,
IF(WEEKDAY(ROW(INDIRECT(DATE(YEAR(B2060),MONTH(B2060),1)&amp;":"&amp;DATE(YEAR(B2060),MONTH(B2060)+1,0))),2)&lt;=5,1,IF(WEEKDAY(ROW(INDIRECT(DATE(YEAR(B2060),MONTH(B2060),1)&amp;":"&amp;DATE(YEAR(B2060),MONTH(B2060)+1,0))),2)=6,0.5,0)),0))</f>
        <v>23.5</v>
      </c>
      <c r="K2060" s="22" cm="1">
        <f t="array" ref="K2060">_xlfn.XLOOKUP(1,((Metas_Diarias[[#This Row],[tipo_equipe_id]]=Metas[equipe])*(Metas_Diarias[[#This Row],[data]]&gt;Metas[data_inicio])*(Metas_Diarias[[#This Row],[data]]&lt;Metas[data_fim])),Metas[meta_mensal],0)</f>
        <v>68250</v>
      </c>
      <c r="L206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61" spans="2:12" x14ac:dyDescent="0.3">
      <c r="B2061" s="34">
        <v>46252</v>
      </c>
      <c r="C2061" s="34" t="str">
        <f>TEXT(Metas_Diarias[[#This Row],[data]],"dddd")</f>
        <v>terça-feira</v>
      </c>
      <c r="D2061" s="33">
        <v>5</v>
      </c>
      <c r="E2061" s="33">
        <v>5</v>
      </c>
      <c r="F2061" s="18"/>
      <c r="G2061" s="35">
        <f>WEEKDAY(Metas_Diarias[[#This Row],[data]])</f>
        <v>3</v>
      </c>
      <c r="H2061" s="35">
        <f>IF(Metas_Diarias[[#This Row],[dias_da_demana]]=1,"domingo",IF(Metas_Diarias[[#This Row],[dias_da_demana]]=7,0.5,1))</f>
        <v>1</v>
      </c>
      <c r="I2061" s="35">
        <f>_xlfn.XLOOKUP(Metas_Diarias[[#This Row],[data]],Feriados[Data],Feriados[Feriado],1)</f>
        <v>1</v>
      </c>
      <c r="J2061" s="33" cm="1">
        <f t="array" aca="1" ref="J2061" ca="1">SUMPRODUCT(IF((NOT(ISERROR(MATCH(ROW(INDIRECT(DATE(YEAR(B2061),MONTH(B2061),1)&amp;":"&amp;DATE(YEAR(B2061),MONTH(B2061)+1,0))),Feriados[Data],0))))=FALSE,
IF(WEEKDAY(ROW(INDIRECT(DATE(YEAR(B2061),MONTH(B2061),1)&amp;":"&amp;DATE(YEAR(B2061),MONTH(B2061)+1,0))),2)&lt;=5,1,IF(WEEKDAY(ROW(INDIRECT(DATE(YEAR(B2061),MONTH(B2061),1)&amp;":"&amp;DATE(YEAR(B2061),MONTH(B2061)+1,0))),2)=6,0.5,0)),0))</f>
        <v>23.5</v>
      </c>
      <c r="K2061" s="22" cm="1">
        <f t="array" ref="K2061">_xlfn.XLOOKUP(1,((Metas_Diarias[[#This Row],[tipo_equipe_id]]=Metas[equipe])*(Metas_Diarias[[#This Row],[data]]&gt;Metas[data_inicio])*(Metas_Diarias[[#This Row],[data]]&lt;Metas[data_fim])),Metas[meta_mensal],0)</f>
        <v>68250</v>
      </c>
      <c r="L2061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62" spans="2:12" x14ac:dyDescent="0.3">
      <c r="B2062" s="34">
        <v>46253</v>
      </c>
      <c r="C2062" s="34" t="str">
        <f>TEXT(Metas_Diarias[[#This Row],[data]],"dddd")</f>
        <v>quarta-feira</v>
      </c>
      <c r="D2062" s="33">
        <v>5</v>
      </c>
      <c r="E2062" s="33">
        <v>5</v>
      </c>
      <c r="F2062" s="18"/>
      <c r="G2062" s="35">
        <f>WEEKDAY(Metas_Diarias[[#This Row],[data]])</f>
        <v>4</v>
      </c>
      <c r="H2062" s="35">
        <f>IF(Metas_Diarias[[#This Row],[dias_da_demana]]=1,"domingo",IF(Metas_Diarias[[#This Row],[dias_da_demana]]=7,0.5,1))</f>
        <v>1</v>
      </c>
      <c r="I2062" s="35">
        <f>_xlfn.XLOOKUP(Metas_Diarias[[#This Row],[data]],Feriados[Data],Feriados[Feriado],1)</f>
        <v>1</v>
      </c>
      <c r="J2062" s="33" cm="1">
        <f t="array" aca="1" ref="J2062" ca="1">SUMPRODUCT(IF((NOT(ISERROR(MATCH(ROW(INDIRECT(DATE(YEAR(B2062),MONTH(B2062),1)&amp;":"&amp;DATE(YEAR(B2062),MONTH(B2062)+1,0))),Feriados[Data],0))))=FALSE,
IF(WEEKDAY(ROW(INDIRECT(DATE(YEAR(B2062),MONTH(B2062),1)&amp;":"&amp;DATE(YEAR(B2062),MONTH(B2062)+1,0))),2)&lt;=5,1,IF(WEEKDAY(ROW(INDIRECT(DATE(YEAR(B2062),MONTH(B2062),1)&amp;":"&amp;DATE(YEAR(B2062),MONTH(B2062)+1,0))),2)=6,0.5,0)),0))</f>
        <v>23.5</v>
      </c>
      <c r="K2062" s="22" cm="1">
        <f t="array" ref="K2062">_xlfn.XLOOKUP(1,((Metas_Diarias[[#This Row],[tipo_equipe_id]]=Metas[equipe])*(Metas_Diarias[[#This Row],[data]]&gt;Metas[data_inicio])*(Metas_Diarias[[#This Row],[data]]&lt;Metas[data_fim])),Metas[meta_mensal],0)</f>
        <v>68250</v>
      </c>
      <c r="L2062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63" spans="2:12" x14ac:dyDescent="0.3">
      <c r="B2063" s="34">
        <v>46254</v>
      </c>
      <c r="C2063" s="34" t="str">
        <f>TEXT(Metas_Diarias[[#This Row],[data]],"dddd")</f>
        <v>quinta-feira</v>
      </c>
      <c r="D2063" s="33">
        <v>5</v>
      </c>
      <c r="E2063" s="33">
        <v>5</v>
      </c>
      <c r="F2063" s="18"/>
      <c r="G2063" s="35">
        <f>WEEKDAY(Metas_Diarias[[#This Row],[data]])</f>
        <v>5</v>
      </c>
      <c r="H2063" s="35">
        <f>IF(Metas_Diarias[[#This Row],[dias_da_demana]]=1,"domingo",IF(Metas_Diarias[[#This Row],[dias_da_demana]]=7,0.5,1))</f>
        <v>1</v>
      </c>
      <c r="I2063" s="35">
        <f>_xlfn.XLOOKUP(Metas_Diarias[[#This Row],[data]],Feriados[Data],Feriados[Feriado],1)</f>
        <v>1</v>
      </c>
      <c r="J2063" s="33" cm="1">
        <f t="array" aca="1" ref="J2063" ca="1">SUMPRODUCT(IF((NOT(ISERROR(MATCH(ROW(INDIRECT(DATE(YEAR(B2063),MONTH(B2063),1)&amp;":"&amp;DATE(YEAR(B2063),MONTH(B2063)+1,0))),Feriados[Data],0))))=FALSE,
IF(WEEKDAY(ROW(INDIRECT(DATE(YEAR(B2063),MONTH(B2063),1)&amp;":"&amp;DATE(YEAR(B2063),MONTH(B2063)+1,0))),2)&lt;=5,1,IF(WEEKDAY(ROW(INDIRECT(DATE(YEAR(B2063),MONTH(B2063),1)&amp;":"&amp;DATE(YEAR(B2063),MONTH(B2063)+1,0))),2)=6,0.5,0)),0))</f>
        <v>23.5</v>
      </c>
      <c r="K2063" s="22" cm="1">
        <f t="array" ref="K2063">_xlfn.XLOOKUP(1,((Metas_Diarias[[#This Row],[tipo_equipe_id]]=Metas[equipe])*(Metas_Diarias[[#This Row],[data]]&gt;Metas[data_inicio])*(Metas_Diarias[[#This Row],[data]]&lt;Metas[data_fim])),Metas[meta_mensal],0)</f>
        <v>68250</v>
      </c>
      <c r="L2063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64" spans="2:12" x14ac:dyDescent="0.3">
      <c r="B2064" s="34">
        <v>46255</v>
      </c>
      <c r="C2064" s="34" t="str">
        <f>TEXT(Metas_Diarias[[#This Row],[data]],"dddd")</f>
        <v>sexta-feira</v>
      </c>
      <c r="D2064" s="33">
        <v>5</v>
      </c>
      <c r="E2064" s="33">
        <v>5</v>
      </c>
      <c r="F2064" s="18"/>
      <c r="G2064" s="35">
        <f>WEEKDAY(Metas_Diarias[[#This Row],[data]])</f>
        <v>6</v>
      </c>
      <c r="H2064" s="35">
        <f>IF(Metas_Diarias[[#This Row],[dias_da_demana]]=1,"domingo",IF(Metas_Diarias[[#This Row],[dias_da_demana]]=7,0.5,1))</f>
        <v>1</v>
      </c>
      <c r="I2064" s="35">
        <f>_xlfn.XLOOKUP(Metas_Diarias[[#This Row],[data]],Feriados[Data],Feriados[Feriado],1)</f>
        <v>1</v>
      </c>
      <c r="J2064" s="33" cm="1">
        <f t="array" aca="1" ref="J2064" ca="1">SUMPRODUCT(IF((NOT(ISERROR(MATCH(ROW(INDIRECT(DATE(YEAR(B2064),MONTH(B2064),1)&amp;":"&amp;DATE(YEAR(B2064),MONTH(B2064)+1,0))),Feriados[Data],0))))=FALSE,
IF(WEEKDAY(ROW(INDIRECT(DATE(YEAR(B2064),MONTH(B2064),1)&amp;":"&amp;DATE(YEAR(B2064),MONTH(B2064)+1,0))),2)&lt;=5,1,IF(WEEKDAY(ROW(INDIRECT(DATE(YEAR(B2064),MONTH(B2064),1)&amp;":"&amp;DATE(YEAR(B2064),MONTH(B2064)+1,0))),2)=6,0.5,0)),0))</f>
        <v>23.5</v>
      </c>
      <c r="K2064" s="22" cm="1">
        <f t="array" ref="K2064">_xlfn.XLOOKUP(1,((Metas_Diarias[[#This Row],[tipo_equipe_id]]=Metas[equipe])*(Metas_Diarias[[#This Row],[data]]&gt;Metas[data_inicio])*(Metas_Diarias[[#This Row],[data]]&lt;Metas[data_fim])),Metas[meta_mensal],0)</f>
        <v>68250</v>
      </c>
      <c r="L2064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65" spans="2:12" x14ac:dyDescent="0.3">
      <c r="B2065" s="34">
        <v>46256</v>
      </c>
      <c r="C2065" s="34" t="str">
        <f>TEXT(Metas_Diarias[[#This Row],[data]],"dddd")</f>
        <v>sábado</v>
      </c>
      <c r="D2065" s="33">
        <v>5</v>
      </c>
      <c r="E2065" s="33">
        <v>5</v>
      </c>
      <c r="F2065" s="18"/>
      <c r="G2065" s="35">
        <f>WEEKDAY(Metas_Diarias[[#This Row],[data]])</f>
        <v>7</v>
      </c>
      <c r="H2065" s="35">
        <f>IF(Metas_Diarias[[#This Row],[dias_da_demana]]=1,"domingo",IF(Metas_Diarias[[#This Row],[dias_da_demana]]=7,0.5,1))</f>
        <v>0.5</v>
      </c>
      <c r="I2065" s="35">
        <f>_xlfn.XLOOKUP(Metas_Diarias[[#This Row],[data]],Feriados[Data],Feriados[Feriado],1)</f>
        <v>1</v>
      </c>
      <c r="J2065" s="33" cm="1">
        <f t="array" aca="1" ref="J2065" ca="1">SUMPRODUCT(IF((NOT(ISERROR(MATCH(ROW(INDIRECT(DATE(YEAR(B2065),MONTH(B2065),1)&amp;":"&amp;DATE(YEAR(B2065),MONTH(B2065)+1,0))),Feriados[Data],0))))=FALSE,
IF(WEEKDAY(ROW(INDIRECT(DATE(YEAR(B2065),MONTH(B2065),1)&amp;":"&amp;DATE(YEAR(B2065),MONTH(B2065)+1,0))),2)&lt;=5,1,IF(WEEKDAY(ROW(INDIRECT(DATE(YEAR(B2065),MONTH(B2065),1)&amp;":"&amp;DATE(YEAR(B2065),MONTH(B2065)+1,0))),2)=6,0.5,0)),0))</f>
        <v>23.5</v>
      </c>
      <c r="K2065" s="22" cm="1">
        <f t="array" ref="K2065">_xlfn.XLOOKUP(1,((Metas_Diarias[[#This Row],[tipo_equipe_id]]=Metas[equipe])*(Metas_Diarias[[#This Row],[data]]&gt;Metas[data_inicio])*(Metas_Diarias[[#This Row],[data]]&lt;Metas[data_fim])),Metas[meta_mensal],0)</f>
        <v>68250</v>
      </c>
      <c r="L2065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066" spans="2:12" x14ac:dyDescent="0.3">
      <c r="B2066" s="34">
        <v>46257</v>
      </c>
      <c r="C2066" s="34" t="str">
        <f>TEXT(Metas_Diarias[[#This Row],[data]],"dddd")</f>
        <v>domingo</v>
      </c>
      <c r="D2066" s="33">
        <v>5</v>
      </c>
      <c r="E2066" s="33">
        <v>5</v>
      </c>
      <c r="F2066" s="18"/>
      <c r="G2066" s="35">
        <f>WEEKDAY(Metas_Diarias[[#This Row],[data]])</f>
        <v>1</v>
      </c>
      <c r="H2066" s="35" t="str">
        <f>IF(Metas_Diarias[[#This Row],[dias_da_demana]]=1,"domingo",IF(Metas_Diarias[[#This Row],[dias_da_demana]]=7,0.5,1))</f>
        <v>domingo</v>
      </c>
      <c r="I2066" s="35">
        <f>_xlfn.XLOOKUP(Metas_Diarias[[#This Row],[data]],Feriados[Data],Feriados[Feriado],1)</f>
        <v>1</v>
      </c>
      <c r="J2066" s="33" cm="1">
        <f t="array" aca="1" ref="J2066" ca="1">SUMPRODUCT(IF((NOT(ISERROR(MATCH(ROW(INDIRECT(DATE(YEAR(B2066),MONTH(B2066),1)&amp;":"&amp;DATE(YEAR(B2066),MONTH(B2066)+1,0))),Feriados[Data],0))))=FALSE,
IF(WEEKDAY(ROW(INDIRECT(DATE(YEAR(B2066),MONTH(B2066),1)&amp;":"&amp;DATE(YEAR(B2066),MONTH(B2066)+1,0))),2)&lt;=5,1,IF(WEEKDAY(ROW(INDIRECT(DATE(YEAR(B2066),MONTH(B2066),1)&amp;":"&amp;DATE(YEAR(B2066),MONTH(B2066)+1,0))),2)=6,0.5,0)),0))</f>
        <v>23.5</v>
      </c>
      <c r="K2066" s="22" cm="1">
        <f t="array" ref="K2066">_xlfn.XLOOKUP(1,((Metas_Diarias[[#This Row],[tipo_equipe_id]]=Metas[equipe])*(Metas_Diarias[[#This Row],[data]]&gt;Metas[data_inicio])*(Metas_Diarias[[#This Row],[data]]&lt;Metas[data_fim])),Metas[meta_mensal],0)</f>
        <v>68250</v>
      </c>
      <c r="L20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67" spans="2:12" x14ac:dyDescent="0.3">
      <c r="B2067" s="34">
        <v>46258</v>
      </c>
      <c r="C2067" s="34" t="str">
        <f>TEXT(Metas_Diarias[[#This Row],[data]],"dddd")</f>
        <v>segunda-feira</v>
      </c>
      <c r="D2067" s="33">
        <v>5</v>
      </c>
      <c r="E2067" s="33">
        <v>5</v>
      </c>
      <c r="F2067" s="18"/>
      <c r="G2067" s="35">
        <f>WEEKDAY(Metas_Diarias[[#This Row],[data]])</f>
        <v>2</v>
      </c>
      <c r="H2067" s="35">
        <f>IF(Metas_Diarias[[#This Row],[dias_da_demana]]=1,"domingo",IF(Metas_Diarias[[#This Row],[dias_da_demana]]=7,0.5,1))</f>
        <v>1</v>
      </c>
      <c r="I2067" s="35">
        <f>_xlfn.XLOOKUP(Metas_Diarias[[#This Row],[data]],Feriados[Data],Feriados[Feriado],1)</f>
        <v>1</v>
      </c>
      <c r="J2067" s="33" cm="1">
        <f t="array" aca="1" ref="J2067" ca="1">SUMPRODUCT(IF((NOT(ISERROR(MATCH(ROW(INDIRECT(DATE(YEAR(B2067),MONTH(B2067),1)&amp;":"&amp;DATE(YEAR(B2067),MONTH(B2067)+1,0))),Feriados[Data],0))))=FALSE,
IF(WEEKDAY(ROW(INDIRECT(DATE(YEAR(B2067),MONTH(B2067),1)&amp;":"&amp;DATE(YEAR(B2067),MONTH(B2067)+1,0))),2)&lt;=5,1,IF(WEEKDAY(ROW(INDIRECT(DATE(YEAR(B2067),MONTH(B2067),1)&amp;":"&amp;DATE(YEAR(B2067),MONTH(B2067)+1,0))),2)=6,0.5,0)),0))</f>
        <v>23.5</v>
      </c>
      <c r="K2067" s="22" cm="1">
        <f t="array" ref="K2067">_xlfn.XLOOKUP(1,((Metas_Diarias[[#This Row],[tipo_equipe_id]]=Metas[equipe])*(Metas_Diarias[[#This Row],[data]]&gt;Metas[data_inicio])*(Metas_Diarias[[#This Row],[data]]&lt;Metas[data_fim])),Metas[meta_mensal],0)</f>
        <v>68250</v>
      </c>
      <c r="L2067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68" spans="2:12" x14ac:dyDescent="0.3">
      <c r="B2068" s="34">
        <v>46259</v>
      </c>
      <c r="C2068" s="34" t="str">
        <f>TEXT(Metas_Diarias[[#This Row],[data]],"dddd")</f>
        <v>terça-feira</v>
      </c>
      <c r="D2068" s="33">
        <v>5</v>
      </c>
      <c r="E2068" s="33">
        <v>5</v>
      </c>
      <c r="F2068" s="18"/>
      <c r="G2068" s="35">
        <f>WEEKDAY(Metas_Diarias[[#This Row],[data]])</f>
        <v>3</v>
      </c>
      <c r="H2068" s="35">
        <f>IF(Metas_Diarias[[#This Row],[dias_da_demana]]=1,"domingo",IF(Metas_Diarias[[#This Row],[dias_da_demana]]=7,0.5,1))</f>
        <v>1</v>
      </c>
      <c r="I2068" s="35">
        <f>_xlfn.XLOOKUP(Metas_Diarias[[#This Row],[data]],Feriados[Data],Feriados[Feriado],1)</f>
        <v>1</v>
      </c>
      <c r="J2068" s="33" cm="1">
        <f t="array" aca="1" ref="J2068" ca="1">SUMPRODUCT(IF((NOT(ISERROR(MATCH(ROW(INDIRECT(DATE(YEAR(B2068),MONTH(B2068),1)&amp;":"&amp;DATE(YEAR(B2068),MONTH(B2068)+1,0))),Feriados[Data],0))))=FALSE,
IF(WEEKDAY(ROW(INDIRECT(DATE(YEAR(B2068),MONTH(B2068),1)&amp;":"&amp;DATE(YEAR(B2068),MONTH(B2068)+1,0))),2)&lt;=5,1,IF(WEEKDAY(ROW(INDIRECT(DATE(YEAR(B2068),MONTH(B2068),1)&amp;":"&amp;DATE(YEAR(B2068),MONTH(B2068)+1,0))),2)=6,0.5,0)),0))</f>
        <v>23.5</v>
      </c>
      <c r="K2068" s="22" cm="1">
        <f t="array" ref="K2068">_xlfn.XLOOKUP(1,((Metas_Diarias[[#This Row],[tipo_equipe_id]]=Metas[equipe])*(Metas_Diarias[[#This Row],[data]]&gt;Metas[data_inicio])*(Metas_Diarias[[#This Row],[data]]&lt;Metas[data_fim])),Metas[meta_mensal],0)</f>
        <v>68250</v>
      </c>
      <c r="L2068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69" spans="2:12" x14ac:dyDescent="0.3">
      <c r="B2069" s="34">
        <v>46260</v>
      </c>
      <c r="C2069" s="34" t="str">
        <f>TEXT(Metas_Diarias[[#This Row],[data]],"dddd")</f>
        <v>quarta-feira</v>
      </c>
      <c r="D2069" s="33">
        <v>5</v>
      </c>
      <c r="E2069" s="33">
        <v>5</v>
      </c>
      <c r="F2069" s="18"/>
      <c r="G2069" s="35">
        <f>WEEKDAY(Metas_Diarias[[#This Row],[data]])</f>
        <v>4</v>
      </c>
      <c r="H2069" s="35">
        <f>IF(Metas_Diarias[[#This Row],[dias_da_demana]]=1,"domingo",IF(Metas_Diarias[[#This Row],[dias_da_demana]]=7,0.5,1))</f>
        <v>1</v>
      </c>
      <c r="I2069" s="35">
        <f>_xlfn.XLOOKUP(Metas_Diarias[[#This Row],[data]],Feriados[Data],Feriados[Feriado],1)</f>
        <v>1</v>
      </c>
      <c r="J2069" s="33" cm="1">
        <f t="array" aca="1" ref="J2069" ca="1">SUMPRODUCT(IF((NOT(ISERROR(MATCH(ROW(INDIRECT(DATE(YEAR(B2069),MONTH(B2069),1)&amp;":"&amp;DATE(YEAR(B2069),MONTH(B2069)+1,0))),Feriados[Data],0))))=FALSE,
IF(WEEKDAY(ROW(INDIRECT(DATE(YEAR(B2069),MONTH(B2069),1)&amp;":"&amp;DATE(YEAR(B2069),MONTH(B2069)+1,0))),2)&lt;=5,1,IF(WEEKDAY(ROW(INDIRECT(DATE(YEAR(B2069),MONTH(B2069),1)&amp;":"&amp;DATE(YEAR(B2069),MONTH(B2069)+1,0))),2)=6,0.5,0)),0))</f>
        <v>23.5</v>
      </c>
      <c r="K2069" s="22" cm="1">
        <f t="array" ref="K2069">_xlfn.XLOOKUP(1,((Metas_Diarias[[#This Row],[tipo_equipe_id]]=Metas[equipe])*(Metas_Diarias[[#This Row],[data]]&gt;Metas[data_inicio])*(Metas_Diarias[[#This Row],[data]]&lt;Metas[data_fim])),Metas[meta_mensal],0)</f>
        <v>68250</v>
      </c>
      <c r="L2069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70" spans="2:12" x14ac:dyDescent="0.3">
      <c r="B2070" s="34">
        <v>46261</v>
      </c>
      <c r="C2070" s="34" t="str">
        <f>TEXT(Metas_Diarias[[#This Row],[data]],"dddd")</f>
        <v>quinta-feira</v>
      </c>
      <c r="D2070" s="33">
        <v>5</v>
      </c>
      <c r="E2070" s="33">
        <v>5</v>
      </c>
      <c r="F2070" s="18"/>
      <c r="G2070" s="35">
        <f>WEEKDAY(Metas_Diarias[[#This Row],[data]])</f>
        <v>5</v>
      </c>
      <c r="H2070" s="35">
        <f>IF(Metas_Diarias[[#This Row],[dias_da_demana]]=1,"domingo",IF(Metas_Diarias[[#This Row],[dias_da_demana]]=7,0.5,1))</f>
        <v>1</v>
      </c>
      <c r="I2070" s="35">
        <f>_xlfn.XLOOKUP(Metas_Diarias[[#This Row],[data]],Feriados[Data],Feriados[Feriado],1)</f>
        <v>1</v>
      </c>
      <c r="J2070" s="33" cm="1">
        <f t="array" aca="1" ref="J2070" ca="1">SUMPRODUCT(IF((NOT(ISERROR(MATCH(ROW(INDIRECT(DATE(YEAR(B2070),MONTH(B2070),1)&amp;":"&amp;DATE(YEAR(B2070),MONTH(B2070)+1,0))),Feriados[Data],0))))=FALSE,
IF(WEEKDAY(ROW(INDIRECT(DATE(YEAR(B2070),MONTH(B2070),1)&amp;":"&amp;DATE(YEAR(B2070),MONTH(B2070)+1,0))),2)&lt;=5,1,IF(WEEKDAY(ROW(INDIRECT(DATE(YEAR(B2070),MONTH(B2070),1)&amp;":"&amp;DATE(YEAR(B2070),MONTH(B2070)+1,0))),2)=6,0.5,0)),0))</f>
        <v>23.5</v>
      </c>
      <c r="K2070" s="22" cm="1">
        <f t="array" ref="K2070">_xlfn.XLOOKUP(1,((Metas_Diarias[[#This Row],[tipo_equipe_id]]=Metas[equipe])*(Metas_Diarias[[#This Row],[data]]&gt;Metas[data_inicio])*(Metas_Diarias[[#This Row],[data]]&lt;Metas[data_fim])),Metas[meta_mensal],0)</f>
        <v>68250</v>
      </c>
      <c r="L207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71" spans="2:12" x14ac:dyDescent="0.3">
      <c r="B2071" s="34">
        <v>46262</v>
      </c>
      <c r="C2071" s="34" t="str">
        <f>TEXT(Metas_Diarias[[#This Row],[data]],"dddd")</f>
        <v>sexta-feira</v>
      </c>
      <c r="D2071" s="33">
        <v>5</v>
      </c>
      <c r="E2071" s="33">
        <v>5</v>
      </c>
      <c r="F2071" s="18"/>
      <c r="G2071" s="35">
        <f>WEEKDAY(Metas_Diarias[[#This Row],[data]])</f>
        <v>6</v>
      </c>
      <c r="H2071" s="35">
        <f>IF(Metas_Diarias[[#This Row],[dias_da_demana]]=1,"domingo",IF(Metas_Diarias[[#This Row],[dias_da_demana]]=7,0.5,1))</f>
        <v>1</v>
      </c>
      <c r="I2071" s="35">
        <f>_xlfn.XLOOKUP(Metas_Diarias[[#This Row],[data]],Feriados[Data],Feriados[Feriado],1)</f>
        <v>1</v>
      </c>
      <c r="J2071" s="33" cm="1">
        <f t="array" aca="1" ref="J2071" ca="1">SUMPRODUCT(IF((NOT(ISERROR(MATCH(ROW(INDIRECT(DATE(YEAR(B2071),MONTH(B2071),1)&amp;":"&amp;DATE(YEAR(B2071),MONTH(B2071)+1,0))),Feriados[Data],0))))=FALSE,
IF(WEEKDAY(ROW(INDIRECT(DATE(YEAR(B2071),MONTH(B2071),1)&amp;":"&amp;DATE(YEAR(B2071),MONTH(B2071)+1,0))),2)&lt;=5,1,IF(WEEKDAY(ROW(INDIRECT(DATE(YEAR(B2071),MONTH(B2071),1)&amp;":"&amp;DATE(YEAR(B2071),MONTH(B2071)+1,0))),2)=6,0.5,0)),0))</f>
        <v>23.5</v>
      </c>
      <c r="K2071" s="22" cm="1">
        <f t="array" ref="K2071">_xlfn.XLOOKUP(1,((Metas_Diarias[[#This Row],[tipo_equipe_id]]=Metas[equipe])*(Metas_Diarias[[#This Row],[data]]&gt;Metas[data_inicio])*(Metas_Diarias[[#This Row],[data]]&lt;Metas[data_fim])),Metas[meta_mensal],0)</f>
        <v>68250</v>
      </c>
      <c r="L2071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72" spans="2:12" x14ac:dyDescent="0.3">
      <c r="B2072" s="34">
        <v>46263</v>
      </c>
      <c r="C2072" s="34" t="str">
        <f>TEXT(Metas_Diarias[[#This Row],[data]],"dddd")</f>
        <v>sábado</v>
      </c>
      <c r="D2072" s="33">
        <v>5</v>
      </c>
      <c r="E2072" s="33">
        <v>5</v>
      </c>
      <c r="F2072" s="18"/>
      <c r="G2072" s="35">
        <f>WEEKDAY(Metas_Diarias[[#This Row],[data]])</f>
        <v>7</v>
      </c>
      <c r="H2072" s="35">
        <f>IF(Metas_Diarias[[#This Row],[dias_da_demana]]=1,"domingo",IF(Metas_Diarias[[#This Row],[dias_da_demana]]=7,0.5,1))</f>
        <v>0.5</v>
      </c>
      <c r="I2072" s="35">
        <f>_xlfn.XLOOKUP(Metas_Diarias[[#This Row],[data]],Feriados[Data],Feriados[Feriado],1)</f>
        <v>1</v>
      </c>
      <c r="J2072" s="33" cm="1">
        <f t="array" aca="1" ref="J2072" ca="1">SUMPRODUCT(IF((NOT(ISERROR(MATCH(ROW(INDIRECT(DATE(YEAR(B2072),MONTH(B2072),1)&amp;":"&amp;DATE(YEAR(B2072),MONTH(B2072)+1,0))),Feriados[Data],0))))=FALSE,
IF(WEEKDAY(ROW(INDIRECT(DATE(YEAR(B2072),MONTH(B2072),1)&amp;":"&amp;DATE(YEAR(B2072),MONTH(B2072)+1,0))),2)&lt;=5,1,IF(WEEKDAY(ROW(INDIRECT(DATE(YEAR(B2072),MONTH(B2072),1)&amp;":"&amp;DATE(YEAR(B2072),MONTH(B2072)+1,0))),2)=6,0.5,0)),0))</f>
        <v>23.5</v>
      </c>
      <c r="K2072" s="22" cm="1">
        <f t="array" ref="K2072">_xlfn.XLOOKUP(1,((Metas_Diarias[[#This Row],[tipo_equipe_id]]=Metas[equipe])*(Metas_Diarias[[#This Row],[data]]&gt;Metas[data_inicio])*(Metas_Diarias[[#This Row],[data]]&lt;Metas[data_fim])),Metas[meta_mensal],0)</f>
        <v>68250</v>
      </c>
      <c r="L2072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073" spans="2:12" x14ac:dyDescent="0.3">
      <c r="B2073" s="34">
        <v>46264</v>
      </c>
      <c r="C2073" s="34" t="str">
        <f>TEXT(Metas_Diarias[[#This Row],[data]],"dddd")</f>
        <v>domingo</v>
      </c>
      <c r="D2073" s="33">
        <v>5</v>
      </c>
      <c r="E2073" s="33">
        <v>5</v>
      </c>
      <c r="F2073" s="18"/>
      <c r="G2073" s="35">
        <f>WEEKDAY(Metas_Diarias[[#This Row],[data]])</f>
        <v>1</v>
      </c>
      <c r="H2073" s="35" t="str">
        <f>IF(Metas_Diarias[[#This Row],[dias_da_demana]]=1,"domingo",IF(Metas_Diarias[[#This Row],[dias_da_demana]]=7,0.5,1))</f>
        <v>domingo</v>
      </c>
      <c r="I2073" s="35">
        <f>_xlfn.XLOOKUP(Metas_Diarias[[#This Row],[data]],Feriados[Data],Feriados[Feriado],1)</f>
        <v>1</v>
      </c>
      <c r="J2073" s="33" cm="1">
        <f t="array" aca="1" ref="J2073" ca="1">SUMPRODUCT(IF((NOT(ISERROR(MATCH(ROW(INDIRECT(DATE(YEAR(B2073),MONTH(B2073),1)&amp;":"&amp;DATE(YEAR(B2073),MONTH(B2073)+1,0))),Feriados[Data],0))))=FALSE,
IF(WEEKDAY(ROW(INDIRECT(DATE(YEAR(B2073),MONTH(B2073),1)&amp;":"&amp;DATE(YEAR(B2073),MONTH(B2073)+1,0))),2)&lt;=5,1,IF(WEEKDAY(ROW(INDIRECT(DATE(YEAR(B2073),MONTH(B2073),1)&amp;":"&amp;DATE(YEAR(B2073),MONTH(B2073)+1,0))),2)=6,0.5,0)),0))</f>
        <v>23.5</v>
      </c>
      <c r="K2073" s="22" cm="1">
        <f t="array" ref="K2073">_xlfn.XLOOKUP(1,((Metas_Diarias[[#This Row],[tipo_equipe_id]]=Metas[equipe])*(Metas_Diarias[[#This Row],[data]]&gt;Metas[data_inicio])*(Metas_Diarias[[#This Row],[data]]&lt;Metas[data_fim])),Metas[meta_mensal],0)</f>
        <v>68250</v>
      </c>
      <c r="L20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74" spans="2:12" x14ac:dyDescent="0.3">
      <c r="B2074" s="34">
        <v>46265</v>
      </c>
      <c r="C2074" s="34" t="str">
        <f>TEXT(Metas_Diarias[[#This Row],[data]],"dddd")</f>
        <v>segunda-feira</v>
      </c>
      <c r="D2074" s="33">
        <v>5</v>
      </c>
      <c r="E2074" s="33">
        <v>5</v>
      </c>
      <c r="F2074" s="18"/>
      <c r="G2074" s="35">
        <f>WEEKDAY(Metas_Diarias[[#This Row],[data]])</f>
        <v>2</v>
      </c>
      <c r="H2074" s="35">
        <f>IF(Metas_Diarias[[#This Row],[dias_da_demana]]=1,"domingo",IF(Metas_Diarias[[#This Row],[dias_da_demana]]=7,0.5,1))</f>
        <v>1</v>
      </c>
      <c r="I2074" s="35">
        <f>_xlfn.XLOOKUP(Metas_Diarias[[#This Row],[data]],Feriados[Data],Feriados[Feriado],1)</f>
        <v>1</v>
      </c>
      <c r="J2074" s="33" cm="1">
        <f t="array" aca="1" ref="J2074" ca="1">SUMPRODUCT(IF((NOT(ISERROR(MATCH(ROW(INDIRECT(DATE(YEAR(B2074),MONTH(B2074),1)&amp;":"&amp;DATE(YEAR(B2074),MONTH(B2074)+1,0))),Feriados[Data],0))))=FALSE,
IF(WEEKDAY(ROW(INDIRECT(DATE(YEAR(B2074),MONTH(B2074),1)&amp;":"&amp;DATE(YEAR(B2074),MONTH(B2074)+1,0))),2)&lt;=5,1,IF(WEEKDAY(ROW(INDIRECT(DATE(YEAR(B2074),MONTH(B2074),1)&amp;":"&amp;DATE(YEAR(B2074),MONTH(B2074)+1,0))),2)=6,0.5,0)),0))</f>
        <v>23.5</v>
      </c>
      <c r="K2074" s="22" cm="1">
        <f t="array" ref="K2074">_xlfn.XLOOKUP(1,((Metas_Diarias[[#This Row],[tipo_equipe_id]]=Metas[equipe])*(Metas_Diarias[[#This Row],[data]]&gt;Metas[data_inicio])*(Metas_Diarias[[#This Row],[data]]&lt;Metas[data_fim])),Metas[meta_mensal],0)</f>
        <v>68250</v>
      </c>
      <c r="L2074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075" spans="2:12" x14ac:dyDescent="0.3">
      <c r="B2075" s="34">
        <v>46266</v>
      </c>
      <c r="C2075" s="34" t="str">
        <f>TEXT(Metas_Diarias[[#This Row],[data]],"dddd")</f>
        <v>terça-feira</v>
      </c>
      <c r="D2075" s="33">
        <v>5</v>
      </c>
      <c r="E2075" s="33">
        <v>5</v>
      </c>
      <c r="F2075" s="18"/>
      <c r="G2075" s="35">
        <f>WEEKDAY(Metas_Diarias[[#This Row],[data]])</f>
        <v>3</v>
      </c>
      <c r="H2075" s="35">
        <f>IF(Metas_Diarias[[#This Row],[dias_da_demana]]=1,"domingo",IF(Metas_Diarias[[#This Row],[dias_da_demana]]=7,0.5,1))</f>
        <v>1</v>
      </c>
      <c r="I2075" s="35">
        <f>_xlfn.XLOOKUP(Metas_Diarias[[#This Row],[data]],Feriados[Data],Feriados[Feriado],1)</f>
        <v>1</v>
      </c>
      <c r="J2075" s="33" cm="1">
        <f t="array" aca="1" ref="J2075" ca="1">SUMPRODUCT(IF((NOT(ISERROR(MATCH(ROW(INDIRECT(DATE(YEAR(B2075),MONTH(B2075),1)&amp;":"&amp;DATE(YEAR(B2075),MONTH(B2075)+1,0))),Feriados[Data],0))))=FALSE,
IF(WEEKDAY(ROW(INDIRECT(DATE(YEAR(B2075),MONTH(B2075),1)&amp;":"&amp;DATE(YEAR(B2075),MONTH(B2075)+1,0))),2)&lt;=5,1,IF(WEEKDAY(ROW(INDIRECT(DATE(YEAR(B2075),MONTH(B2075),1)&amp;":"&amp;DATE(YEAR(B2075),MONTH(B2075)+1,0))),2)=6,0.5,0)),0))</f>
        <v>23</v>
      </c>
      <c r="K2075" s="22" cm="1">
        <f t="array" ref="K2075">_xlfn.XLOOKUP(1,((Metas_Diarias[[#This Row],[tipo_equipe_id]]=Metas[equipe])*(Metas_Diarias[[#This Row],[data]]&gt;Metas[data_inicio])*(Metas_Diarias[[#This Row],[data]]&lt;Metas[data_fim])),Metas[meta_mensal],0)</f>
        <v>68250</v>
      </c>
      <c r="L2075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76" spans="2:12" x14ac:dyDescent="0.3">
      <c r="B2076" s="34">
        <v>46267</v>
      </c>
      <c r="C2076" s="34" t="str">
        <f>TEXT(Metas_Diarias[[#This Row],[data]],"dddd")</f>
        <v>quarta-feira</v>
      </c>
      <c r="D2076" s="33">
        <v>5</v>
      </c>
      <c r="E2076" s="33">
        <v>5</v>
      </c>
      <c r="F2076" s="18"/>
      <c r="G2076" s="35">
        <f>WEEKDAY(Metas_Diarias[[#This Row],[data]])</f>
        <v>4</v>
      </c>
      <c r="H2076" s="35">
        <f>IF(Metas_Diarias[[#This Row],[dias_da_demana]]=1,"domingo",IF(Metas_Diarias[[#This Row],[dias_da_demana]]=7,0.5,1))</f>
        <v>1</v>
      </c>
      <c r="I2076" s="35">
        <f>_xlfn.XLOOKUP(Metas_Diarias[[#This Row],[data]],Feriados[Data],Feriados[Feriado],1)</f>
        <v>1</v>
      </c>
      <c r="J2076" s="33" cm="1">
        <f t="array" aca="1" ref="J2076" ca="1">SUMPRODUCT(IF((NOT(ISERROR(MATCH(ROW(INDIRECT(DATE(YEAR(B2076),MONTH(B2076),1)&amp;":"&amp;DATE(YEAR(B2076),MONTH(B2076)+1,0))),Feriados[Data],0))))=FALSE,
IF(WEEKDAY(ROW(INDIRECT(DATE(YEAR(B2076),MONTH(B2076),1)&amp;":"&amp;DATE(YEAR(B2076),MONTH(B2076)+1,0))),2)&lt;=5,1,IF(WEEKDAY(ROW(INDIRECT(DATE(YEAR(B2076),MONTH(B2076),1)&amp;":"&amp;DATE(YEAR(B2076),MONTH(B2076)+1,0))),2)=6,0.5,0)),0))</f>
        <v>23</v>
      </c>
      <c r="K2076" s="22" cm="1">
        <f t="array" ref="K2076">_xlfn.XLOOKUP(1,((Metas_Diarias[[#This Row],[tipo_equipe_id]]=Metas[equipe])*(Metas_Diarias[[#This Row],[data]]&gt;Metas[data_inicio])*(Metas_Diarias[[#This Row],[data]]&lt;Metas[data_fim])),Metas[meta_mensal],0)</f>
        <v>68250</v>
      </c>
      <c r="L2076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77" spans="2:12" x14ac:dyDescent="0.3">
      <c r="B2077" s="34">
        <v>46268</v>
      </c>
      <c r="C2077" s="34" t="str">
        <f>TEXT(Metas_Diarias[[#This Row],[data]],"dddd")</f>
        <v>quinta-feira</v>
      </c>
      <c r="D2077" s="33">
        <v>5</v>
      </c>
      <c r="E2077" s="33">
        <v>5</v>
      </c>
      <c r="F2077" s="18"/>
      <c r="G2077" s="35">
        <f>WEEKDAY(Metas_Diarias[[#This Row],[data]])</f>
        <v>5</v>
      </c>
      <c r="H2077" s="35">
        <f>IF(Metas_Diarias[[#This Row],[dias_da_demana]]=1,"domingo",IF(Metas_Diarias[[#This Row],[dias_da_demana]]=7,0.5,1))</f>
        <v>1</v>
      </c>
      <c r="I2077" s="35">
        <f>_xlfn.XLOOKUP(Metas_Diarias[[#This Row],[data]],Feriados[Data],Feriados[Feriado],1)</f>
        <v>1</v>
      </c>
      <c r="J2077" s="33" cm="1">
        <f t="array" aca="1" ref="J2077" ca="1">SUMPRODUCT(IF((NOT(ISERROR(MATCH(ROW(INDIRECT(DATE(YEAR(B2077),MONTH(B2077),1)&amp;":"&amp;DATE(YEAR(B2077),MONTH(B2077)+1,0))),Feriados[Data],0))))=FALSE,
IF(WEEKDAY(ROW(INDIRECT(DATE(YEAR(B2077),MONTH(B2077),1)&amp;":"&amp;DATE(YEAR(B2077),MONTH(B2077)+1,0))),2)&lt;=5,1,IF(WEEKDAY(ROW(INDIRECT(DATE(YEAR(B2077),MONTH(B2077),1)&amp;":"&amp;DATE(YEAR(B2077),MONTH(B2077)+1,0))),2)=6,0.5,0)),0))</f>
        <v>23</v>
      </c>
      <c r="K2077" s="22" cm="1">
        <f t="array" ref="K2077">_xlfn.XLOOKUP(1,((Metas_Diarias[[#This Row],[tipo_equipe_id]]=Metas[equipe])*(Metas_Diarias[[#This Row],[data]]&gt;Metas[data_inicio])*(Metas_Diarias[[#This Row],[data]]&lt;Metas[data_fim])),Metas[meta_mensal],0)</f>
        <v>68250</v>
      </c>
      <c r="L2077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78" spans="2:12" x14ac:dyDescent="0.3">
      <c r="B2078" s="34">
        <v>46269</v>
      </c>
      <c r="C2078" s="34" t="str">
        <f>TEXT(Metas_Diarias[[#This Row],[data]],"dddd")</f>
        <v>sexta-feira</v>
      </c>
      <c r="D2078" s="33">
        <v>5</v>
      </c>
      <c r="E2078" s="33">
        <v>5</v>
      </c>
      <c r="F2078" s="18"/>
      <c r="G2078" s="35">
        <f>WEEKDAY(Metas_Diarias[[#This Row],[data]])</f>
        <v>6</v>
      </c>
      <c r="H2078" s="35">
        <f>IF(Metas_Diarias[[#This Row],[dias_da_demana]]=1,"domingo",IF(Metas_Diarias[[#This Row],[dias_da_demana]]=7,0.5,1))</f>
        <v>1</v>
      </c>
      <c r="I2078" s="35">
        <f>_xlfn.XLOOKUP(Metas_Diarias[[#This Row],[data]],Feriados[Data],Feriados[Feriado],1)</f>
        <v>1</v>
      </c>
      <c r="J2078" s="33" cm="1">
        <f t="array" aca="1" ref="J2078" ca="1">SUMPRODUCT(IF((NOT(ISERROR(MATCH(ROW(INDIRECT(DATE(YEAR(B2078),MONTH(B2078),1)&amp;":"&amp;DATE(YEAR(B2078),MONTH(B2078)+1,0))),Feriados[Data],0))))=FALSE,
IF(WEEKDAY(ROW(INDIRECT(DATE(YEAR(B2078),MONTH(B2078),1)&amp;":"&amp;DATE(YEAR(B2078),MONTH(B2078)+1,0))),2)&lt;=5,1,IF(WEEKDAY(ROW(INDIRECT(DATE(YEAR(B2078),MONTH(B2078),1)&amp;":"&amp;DATE(YEAR(B2078),MONTH(B2078)+1,0))),2)=6,0.5,0)),0))</f>
        <v>23</v>
      </c>
      <c r="K2078" s="22" cm="1">
        <f t="array" ref="K2078">_xlfn.XLOOKUP(1,((Metas_Diarias[[#This Row],[tipo_equipe_id]]=Metas[equipe])*(Metas_Diarias[[#This Row],[data]]&gt;Metas[data_inicio])*(Metas_Diarias[[#This Row],[data]]&lt;Metas[data_fim])),Metas[meta_mensal],0)</f>
        <v>68250</v>
      </c>
      <c r="L2078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79" spans="2:12" x14ac:dyDescent="0.3">
      <c r="B2079" s="34">
        <v>46270</v>
      </c>
      <c r="C2079" s="34" t="str">
        <f>TEXT(Metas_Diarias[[#This Row],[data]],"dddd")</f>
        <v>sábado</v>
      </c>
      <c r="D2079" s="33">
        <v>5</v>
      </c>
      <c r="E2079" s="33">
        <v>5</v>
      </c>
      <c r="F2079" s="18"/>
      <c r="G2079" s="35">
        <f>WEEKDAY(Metas_Diarias[[#This Row],[data]])</f>
        <v>7</v>
      </c>
      <c r="H2079" s="35">
        <f>IF(Metas_Diarias[[#This Row],[dias_da_demana]]=1,"domingo",IF(Metas_Diarias[[#This Row],[dias_da_demana]]=7,0.5,1))</f>
        <v>0.5</v>
      </c>
      <c r="I2079" s="35">
        <f>_xlfn.XLOOKUP(Metas_Diarias[[#This Row],[data]],Feriados[Data],Feriados[Feriado],1)</f>
        <v>1</v>
      </c>
      <c r="J2079" s="33" cm="1">
        <f t="array" aca="1" ref="J2079" ca="1">SUMPRODUCT(IF((NOT(ISERROR(MATCH(ROW(INDIRECT(DATE(YEAR(B2079),MONTH(B2079),1)&amp;":"&amp;DATE(YEAR(B2079),MONTH(B2079)+1,0))),Feriados[Data],0))))=FALSE,
IF(WEEKDAY(ROW(INDIRECT(DATE(YEAR(B2079),MONTH(B2079),1)&amp;":"&amp;DATE(YEAR(B2079),MONTH(B2079)+1,0))),2)&lt;=5,1,IF(WEEKDAY(ROW(INDIRECT(DATE(YEAR(B2079),MONTH(B2079),1)&amp;":"&amp;DATE(YEAR(B2079),MONTH(B2079)+1,0))),2)=6,0.5,0)),0))</f>
        <v>23</v>
      </c>
      <c r="K2079" s="22" cm="1">
        <f t="array" ref="K2079">_xlfn.XLOOKUP(1,((Metas_Diarias[[#This Row],[tipo_equipe_id]]=Metas[equipe])*(Metas_Diarias[[#This Row],[data]]&gt;Metas[data_inicio])*(Metas_Diarias[[#This Row],[data]]&lt;Metas[data_fim])),Metas[meta_mensal],0)</f>
        <v>68250</v>
      </c>
      <c r="L2079" s="24">
        <f ca="1">Metas_Diarias[[#This Row],[meta_mensal]]*IF(Metas_Diarias[[#This Row],[semana]]="domingo",0,Metas_Diarias[[#This Row],[semana]])*IF(Metas_Diarias[[#This Row],[feriado]]&lt;&gt;1,0,1)/Metas_Diarias[[#This Row],[dias_úteis_Mês]]</f>
        <v>1483.695652173913</v>
      </c>
    </row>
    <row r="2080" spans="2:12" x14ac:dyDescent="0.3">
      <c r="B2080" s="34">
        <v>46271</v>
      </c>
      <c r="C2080" s="34" t="str">
        <f>TEXT(Metas_Diarias[[#This Row],[data]],"dddd")</f>
        <v>domingo</v>
      </c>
      <c r="D2080" s="33">
        <v>5</v>
      </c>
      <c r="E2080" s="33">
        <v>5</v>
      </c>
      <c r="F2080" s="18"/>
      <c r="G2080" s="35">
        <f>WEEKDAY(Metas_Diarias[[#This Row],[data]])</f>
        <v>1</v>
      </c>
      <c r="H2080" s="35" t="str">
        <f>IF(Metas_Diarias[[#This Row],[dias_da_demana]]=1,"domingo",IF(Metas_Diarias[[#This Row],[dias_da_demana]]=7,0.5,1))</f>
        <v>domingo</v>
      </c>
      <c r="I2080" s="35">
        <f>_xlfn.XLOOKUP(Metas_Diarias[[#This Row],[data]],Feriados[Data],Feriados[Feriado],1)</f>
        <v>1</v>
      </c>
      <c r="J2080" s="33" cm="1">
        <f t="array" aca="1" ref="J2080" ca="1">SUMPRODUCT(IF((NOT(ISERROR(MATCH(ROW(INDIRECT(DATE(YEAR(B2080),MONTH(B2080),1)&amp;":"&amp;DATE(YEAR(B2080),MONTH(B2080)+1,0))),Feriados[Data],0))))=FALSE,
IF(WEEKDAY(ROW(INDIRECT(DATE(YEAR(B2080),MONTH(B2080),1)&amp;":"&amp;DATE(YEAR(B2080),MONTH(B2080)+1,0))),2)&lt;=5,1,IF(WEEKDAY(ROW(INDIRECT(DATE(YEAR(B2080),MONTH(B2080),1)&amp;":"&amp;DATE(YEAR(B2080),MONTH(B2080)+1,0))),2)=6,0.5,0)),0))</f>
        <v>23</v>
      </c>
      <c r="K2080" s="22" cm="1">
        <f t="array" ref="K2080">_xlfn.XLOOKUP(1,((Metas_Diarias[[#This Row],[tipo_equipe_id]]=Metas[equipe])*(Metas_Diarias[[#This Row],[data]]&gt;Metas[data_inicio])*(Metas_Diarias[[#This Row],[data]]&lt;Metas[data_fim])),Metas[meta_mensal],0)</f>
        <v>68250</v>
      </c>
      <c r="L20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81" spans="2:12" x14ac:dyDescent="0.3">
      <c r="B2081" s="34">
        <v>46272</v>
      </c>
      <c r="C2081" s="34" t="str">
        <f>TEXT(Metas_Diarias[[#This Row],[data]],"dddd")</f>
        <v>segunda-feira</v>
      </c>
      <c r="D2081" s="33">
        <v>5</v>
      </c>
      <c r="E2081" s="33">
        <v>5</v>
      </c>
      <c r="F2081" s="18"/>
      <c r="G2081" s="35">
        <f>WEEKDAY(Metas_Diarias[[#This Row],[data]])</f>
        <v>2</v>
      </c>
      <c r="H2081" s="35">
        <f>IF(Metas_Diarias[[#This Row],[dias_da_demana]]=1,"domingo",IF(Metas_Diarias[[#This Row],[dias_da_demana]]=7,0.5,1))</f>
        <v>1</v>
      </c>
      <c r="I2081" s="35" t="str">
        <f>_xlfn.XLOOKUP(Metas_Diarias[[#This Row],[data]],Feriados[Data],Feriados[Feriado],1)</f>
        <v>Independência do Brasil</v>
      </c>
      <c r="J2081" s="33" cm="1">
        <f t="array" aca="1" ref="J2081" ca="1">SUMPRODUCT(IF((NOT(ISERROR(MATCH(ROW(INDIRECT(DATE(YEAR(B2081),MONTH(B2081),1)&amp;":"&amp;DATE(YEAR(B2081),MONTH(B2081)+1,0))),Feriados[Data],0))))=FALSE,
IF(WEEKDAY(ROW(INDIRECT(DATE(YEAR(B2081),MONTH(B2081),1)&amp;":"&amp;DATE(YEAR(B2081),MONTH(B2081)+1,0))),2)&lt;=5,1,IF(WEEKDAY(ROW(INDIRECT(DATE(YEAR(B2081),MONTH(B2081),1)&amp;":"&amp;DATE(YEAR(B2081),MONTH(B2081)+1,0))),2)=6,0.5,0)),0))</f>
        <v>23</v>
      </c>
      <c r="K2081" s="22" cm="1">
        <f t="array" ref="K2081">_xlfn.XLOOKUP(1,((Metas_Diarias[[#This Row],[tipo_equipe_id]]=Metas[equipe])*(Metas_Diarias[[#This Row],[data]]&gt;Metas[data_inicio])*(Metas_Diarias[[#This Row],[data]]&lt;Metas[data_fim])),Metas[meta_mensal],0)</f>
        <v>68250</v>
      </c>
      <c r="L208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82" spans="2:12" x14ac:dyDescent="0.3">
      <c r="B2082" s="34">
        <v>46273</v>
      </c>
      <c r="C2082" s="34" t="str">
        <f>TEXT(Metas_Diarias[[#This Row],[data]],"dddd")</f>
        <v>terça-feira</v>
      </c>
      <c r="D2082" s="33">
        <v>5</v>
      </c>
      <c r="E2082" s="33">
        <v>5</v>
      </c>
      <c r="F2082" s="18"/>
      <c r="G2082" s="35">
        <f>WEEKDAY(Metas_Diarias[[#This Row],[data]])</f>
        <v>3</v>
      </c>
      <c r="H2082" s="35">
        <f>IF(Metas_Diarias[[#This Row],[dias_da_demana]]=1,"domingo",IF(Metas_Diarias[[#This Row],[dias_da_demana]]=7,0.5,1))</f>
        <v>1</v>
      </c>
      <c r="I2082" s="35">
        <f>_xlfn.XLOOKUP(Metas_Diarias[[#This Row],[data]],Feriados[Data],Feriados[Feriado],1)</f>
        <v>1</v>
      </c>
      <c r="J2082" s="33" cm="1">
        <f t="array" aca="1" ref="J2082" ca="1">SUMPRODUCT(IF((NOT(ISERROR(MATCH(ROW(INDIRECT(DATE(YEAR(B2082),MONTH(B2082),1)&amp;":"&amp;DATE(YEAR(B2082),MONTH(B2082)+1,0))),Feriados[Data],0))))=FALSE,
IF(WEEKDAY(ROW(INDIRECT(DATE(YEAR(B2082),MONTH(B2082),1)&amp;":"&amp;DATE(YEAR(B2082),MONTH(B2082)+1,0))),2)&lt;=5,1,IF(WEEKDAY(ROW(INDIRECT(DATE(YEAR(B2082),MONTH(B2082),1)&amp;":"&amp;DATE(YEAR(B2082),MONTH(B2082)+1,0))),2)=6,0.5,0)),0))</f>
        <v>23</v>
      </c>
      <c r="K2082" s="22" cm="1">
        <f t="array" ref="K2082">_xlfn.XLOOKUP(1,((Metas_Diarias[[#This Row],[tipo_equipe_id]]=Metas[equipe])*(Metas_Diarias[[#This Row],[data]]&gt;Metas[data_inicio])*(Metas_Diarias[[#This Row],[data]]&lt;Metas[data_fim])),Metas[meta_mensal],0)</f>
        <v>68250</v>
      </c>
      <c r="L2082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83" spans="2:12" x14ac:dyDescent="0.3">
      <c r="B2083" s="34">
        <v>46274</v>
      </c>
      <c r="C2083" s="34" t="str">
        <f>TEXT(Metas_Diarias[[#This Row],[data]],"dddd")</f>
        <v>quarta-feira</v>
      </c>
      <c r="D2083" s="33">
        <v>5</v>
      </c>
      <c r="E2083" s="33">
        <v>5</v>
      </c>
      <c r="F2083" s="18"/>
      <c r="G2083" s="35">
        <f>WEEKDAY(Metas_Diarias[[#This Row],[data]])</f>
        <v>4</v>
      </c>
      <c r="H2083" s="35">
        <f>IF(Metas_Diarias[[#This Row],[dias_da_demana]]=1,"domingo",IF(Metas_Diarias[[#This Row],[dias_da_demana]]=7,0.5,1))</f>
        <v>1</v>
      </c>
      <c r="I2083" s="35">
        <f>_xlfn.XLOOKUP(Metas_Diarias[[#This Row],[data]],Feriados[Data],Feriados[Feriado],1)</f>
        <v>1</v>
      </c>
      <c r="J2083" s="33" cm="1">
        <f t="array" aca="1" ref="J2083" ca="1">SUMPRODUCT(IF((NOT(ISERROR(MATCH(ROW(INDIRECT(DATE(YEAR(B2083),MONTH(B2083),1)&amp;":"&amp;DATE(YEAR(B2083),MONTH(B2083)+1,0))),Feriados[Data],0))))=FALSE,
IF(WEEKDAY(ROW(INDIRECT(DATE(YEAR(B2083),MONTH(B2083),1)&amp;":"&amp;DATE(YEAR(B2083),MONTH(B2083)+1,0))),2)&lt;=5,1,IF(WEEKDAY(ROW(INDIRECT(DATE(YEAR(B2083),MONTH(B2083),1)&amp;":"&amp;DATE(YEAR(B2083),MONTH(B2083)+1,0))),2)=6,0.5,0)),0))</f>
        <v>23</v>
      </c>
      <c r="K2083" s="22" cm="1">
        <f t="array" ref="K2083">_xlfn.XLOOKUP(1,((Metas_Diarias[[#This Row],[tipo_equipe_id]]=Metas[equipe])*(Metas_Diarias[[#This Row],[data]]&gt;Metas[data_inicio])*(Metas_Diarias[[#This Row],[data]]&lt;Metas[data_fim])),Metas[meta_mensal],0)</f>
        <v>68250</v>
      </c>
      <c r="L2083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84" spans="2:12" x14ac:dyDescent="0.3">
      <c r="B2084" s="34">
        <v>46275</v>
      </c>
      <c r="C2084" s="34" t="str">
        <f>TEXT(Metas_Diarias[[#This Row],[data]],"dddd")</f>
        <v>quinta-feira</v>
      </c>
      <c r="D2084" s="33">
        <v>5</v>
      </c>
      <c r="E2084" s="33">
        <v>5</v>
      </c>
      <c r="F2084" s="18"/>
      <c r="G2084" s="35">
        <f>WEEKDAY(Metas_Diarias[[#This Row],[data]])</f>
        <v>5</v>
      </c>
      <c r="H2084" s="35">
        <f>IF(Metas_Diarias[[#This Row],[dias_da_demana]]=1,"domingo",IF(Metas_Diarias[[#This Row],[dias_da_demana]]=7,0.5,1))</f>
        <v>1</v>
      </c>
      <c r="I2084" s="35">
        <f>_xlfn.XLOOKUP(Metas_Diarias[[#This Row],[data]],Feriados[Data],Feriados[Feriado],1)</f>
        <v>1</v>
      </c>
      <c r="J2084" s="33" cm="1">
        <f t="array" aca="1" ref="J2084" ca="1">SUMPRODUCT(IF((NOT(ISERROR(MATCH(ROW(INDIRECT(DATE(YEAR(B2084),MONTH(B2084),1)&amp;":"&amp;DATE(YEAR(B2084),MONTH(B2084)+1,0))),Feriados[Data],0))))=FALSE,
IF(WEEKDAY(ROW(INDIRECT(DATE(YEAR(B2084),MONTH(B2084),1)&amp;":"&amp;DATE(YEAR(B2084),MONTH(B2084)+1,0))),2)&lt;=5,1,IF(WEEKDAY(ROW(INDIRECT(DATE(YEAR(B2084),MONTH(B2084),1)&amp;":"&amp;DATE(YEAR(B2084),MONTH(B2084)+1,0))),2)=6,0.5,0)),0))</f>
        <v>23</v>
      </c>
      <c r="K2084" s="22" cm="1">
        <f t="array" ref="K2084">_xlfn.XLOOKUP(1,((Metas_Diarias[[#This Row],[tipo_equipe_id]]=Metas[equipe])*(Metas_Diarias[[#This Row],[data]]&gt;Metas[data_inicio])*(Metas_Diarias[[#This Row],[data]]&lt;Metas[data_fim])),Metas[meta_mensal],0)</f>
        <v>68250</v>
      </c>
      <c r="L2084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85" spans="2:12" x14ac:dyDescent="0.3">
      <c r="B2085" s="34">
        <v>46276</v>
      </c>
      <c r="C2085" s="34" t="str">
        <f>TEXT(Metas_Diarias[[#This Row],[data]],"dddd")</f>
        <v>sexta-feira</v>
      </c>
      <c r="D2085" s="33">
        <v>5</v>
      </c>
      <c r="E2085" s="33">
        <v>5</v>
      </c>
      <c r="F2085" s="18"/>
      <c r="G2085" s="35">
        <f>WEEKDAY(Metas_Diarias[[#This Row],[data]])</f>
        <v>6</v>
      </c>
      <c r="H2085" s="35">
        <f>IF(Metas_Diarias[[#This Row],[dias_da_demana]]=1,"domingo",IF(Metas_Diarias[[#This Row],[dias_da_demana]]=7,0.5,1))</f>
        <v>1</v>
      </c>
      <c r="I2085" s="35">
        <f>_xlfn.XLOOKUP(Metas_Diarias[[#This Row],[data]],Feriados[Data],Feriados[Feriado],1)</f>
        <v>1</v>
      </c>
      <c r="J2085" s="33" cm="1">
        <f t="array" aca="1" ref="J2085" ca="1">SUMPRODUCT(IF((NOT(ISERROR(MATCH(ROW(INDIRECT(DATE(YEAR(B2085),MONTH(B2085),1)&amp;":"&amp;DATE(YEAR(B2085),MONTH(B2085)+1,0))),Feriados[Data],0))))=FALSE,
IF(WEEKDAY(ROW(INDIRECT(DATE(YEAR(B2085),MONTH(B2085),1)&amp;":"&amp;DATE(YEAR(B2085),MONTH(B2085)+1,0))),2)&lt;=5,1,IF(WEEKDAY(ROW(INDIRECT(DATE(YEAR(B2085),MONTH(B2085),1)&amp;":"&amp;DATE(YEAR(B2085),MONTH(B2085)+1,0))),2)=6,0.5,0)),0))</f>
        <v>23</v>
      </c>
      <c r="K2085" s="22" cm="1">
        <f t="array" ref="K2085">_xlfn.XLOOKUP(1,((Metas_Diarias[[#This Row],[tipo_equipe_id]]=Metas[equipe])*(Metas_Diarias[[#This Row],[data]]&gt;Metas[data_inicio])*(Metas_Diarias[[#This Row],[data]]&lt;Metas[data_fim])),Metas[meta_mensal],0)</f>
        <v>68250</v>
      </c>
      <c r="L2085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86" spans="2:12" x14ac:dyDescent="0.3">
      <c r="B2086" s="34">
        <v>46277</v>
      </c>
      <c r="C2086" s="34" t="str">
        <f>TEXT(Metas_Diarias[[#This Row],[data]],"dddd")</f>
        <v>sábado</v>
      </c>
      <c r="D2086" s="33">
        <v>5</v>
      </c>
      <c r="E2086" s="33">
        <v>5</v>
      </c>
      <c r="F2086" s="18"/>
      <c r="G2086" s="35">
        <f>WEEKDAY(Metas_Diarias[[#This Row],[data]])</f>
        <v>7</v>
      </c>
      <c r="H2086" s="35">
        <f>IF(Metas_Diarias[[#This Row],[dias_da_demana]]=1,"domingo",IF(Metas_Diarias[[#This Row],[dias_da_demana]]=7,0.5,1))</f>
        <v>0.5</v>
      </c>
      <c r="I2086" s="35">
        <f>_xlfn.XLOOKUP(Metas_Diarias[[#This Row],[data]],Feriados[Data],Feriados[Feriado],1)</f>
        <v>1</v>
      </c>
      <c r="J2086" s="33" cm="1">
        <f t="array" aca="1" ref="J2086" ca="1">SUMPRODUCT(IF((NOT(ISERROR(MATCH(ROW(INDIRECT(DATE(YEAR(B2086),MONTH(B2086),1)&amp;":"&amp;DATE(YEAR(B2086),MONTH(B2086)+1,0))),Feriados[Data],0))))=FALSE,
IF(WEEKDAY(ROW(INDIRECT(DATE(YEAR(B2086),MONTH(B2086),1)&amp;":"&amp;DATE(YEAR(B2086),MONTH(B2086)+1,0))),2)&lt;=5,1,IF(WEEKDAY(ROW(INDIRECT(DATE(YEAR(B2086),MONTH(B2086),1)&amp;":"&amp;DATE(YEAR(B2086),MONTH(B2086)+1,0))),2)=6,0.5,0)),0))</f>
        <v>23</v>
      </c>
      <c r="K2086" s="22" cm="1">
        <f t="array" ref="K2086">_xlfn.XLOOKUP(1,((Metas_Diarias[[#This Row],[tipo_equipe_id]]=Metas[equipe])*(Metas_Diarias[[#This Row],[data]]&gt;Metas[data_inicio])*(Metas_Diarias[[#This Row],[data]]&lt;Metas[data_fim])),Metas[meta_mensal],0)</f>
        <v>68250</v>
      </c>
      <c r="L2086" s="24">
        <f ca="1">Metas_Diarias[[#This Row],[meta_mensal]]*IF(Metas_Diarias[[#This Row],[semana]]="domingo",0,Metas_Diarias[[#This Row],[semana]])*IF(Metas_Diarias[[#This Row],[feriado]]&lt;&gt;1,0,1)/Metas_Diarias[[#This Row],[dias_úteis_Mês]]</f>
        <v>1483.695652173913</v>
      </c>
    </row>
    <row r="2087" spans="2:12" x14ac:dyDescent="0.3">
      <c r="B2087" s="34">
        <v>46278</v>
      </c>
      <c r="C2087" s="34" t="str">
        <f>TEXT(Metas_Diarias[[#This Row],[data]],"dddd")</f>
        <v>domingo</v>
      </c>
      <c r="D2087" s="33">
        <v>5</v>
      </c>
      <c r="E2087" s="33">
        <v>5</v>
      </c>
      <c r="F2087" s="18"/>
      <c r="G2087" s="35">
        <f>WEEKDAY(Metas_Diarias[[#This Row],[data]])</f>
        <v>1</v>
      </c>
      <c r="H2087" s="35" t="str">
        <f>IF(Metas_Diarias[[#This Row],[dias_da_demana]]=1,"domingo",IF(Metas_Diarias[[#This Row],[dias_da_demana]]=7,0.5,1))</f>
        <v>domingo</v>
      </c>
      <c r="I2087" s="35">
        <f>_xlfn.XLOOKUP(Metas_Diarias[[#This Row],[data]],Feriados[Data],Feriados[Feriado],1)</f>
        <v>1</v>
      </c>
      <c r="J2087" s="33" cm="1">
        <f t="array" aca="1" ref="J2087" ca="1">SUMPRODUCT(IF((NOT(ISERROR(MATCH(ROW(INDIRECT(DATE(YEAR(B2087),MONTH(B2087),1)&amp;":"&amp;DATE(YEAR(B2087),MONTH(B2087)+1,0))),Feriados[Data],0))))=FALSE,
IF(WEEKDAY(ROW(INDIRECT(DATE(YEAR(B2087),MONTH(B2087),1)&amp;":"&amp;DATE(YEAR(B2087),MONTH(B2087)+1,0))),2)&lt;=5,1,IF(WEEKDAY(ROW(INDIRECT(DATE(YEAR(B2087),MONTH(B2087),1)&amp;":"&amp;DATE(YEAR(B2087),MONTH(B2087)+1,0))),2)=6,0.5,0)),0))</f>
        <v>23</v>
      </c>
      <c r="K2087" s="22" cm="1">
        <f t="array" ref="K2087">_xlfn.XLOOKUP(1,((Metas_Diarias[[#This Row],[tipo_equipe_id]]=Metas[equipe])*(Metas_Diarias[[#This Row],[data]]&gt;Metas[data_inicio])*(Metas_Diarias[[#This Row],[data]]&lt;Metas[data_fim])),Metas[meta_mensal],0)</f>
        <v>68250</v>
      </c>
      <c r="L20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88" spans="2:12" x14ac:dyDescent="0.3">
      <c r="B2088" s="34">
        <v>46279</v>
      </c>
      <c r="C2088" s="34" t="str">
        <f>TEXT(Metas_Diarias[[#This Row],[data]],"dddd")</f>
        <v>segunda-feira</v>
      </c>
      <c r="D2088" s="33">
        <v>5</v>
      </c>
      <c r="E2088" s="33">
        <v>5</v>
      </c>
      <c r="F2088" s="18"/>
      <c r="G2088" s="35">
        <f>WEEKDAY(Metas_Diarias[[#This Row],[data]])</f>
        <v>2</v>
      </c>
      <c r="H2088" s="35">
        <f>IF(Metas_Diarias[[#This Row],[dias_da_demana]]=1,"domingo",IF(Metas_Diarias[[#This Row],[dias_da_demana]]=7,0.5,1))</f>
        <v>1</v>
      </c>
      <c r="I2088" s="35">
        <f>_xlfn.XLOOKUP(Metas_Diarias[[#This Row],[data]],Feriados[Data],Feriados[Feriado],1)</f>
        <v>1</v>
      </c>
      <c r="J2088" s="33" cm="1">
        <f t="array" aca="1" ref="J2088" ca="1">SUMPRODUCT(IF((NOT(ISERROR(MATCH(ROW(INDIRECT(DATE(YEAR(B2088),MONTH(B2088),1)&amp;":"&amp;DATE(YEAR(B2088),MONTH(B2088)+1,0))),Feriados[Data],0))))=FALSE,
IF(WEEKDAY(ROW(INDIRECT(DATE(YEAR(B2088),MONTH(B2088),1)&amp;":"&amp;DATE(YEAR(B2088),MONTH(B2088)+1,0))),2)&lt;=5,1,IF(WEEKDAY(ROW(INDIRECT(DATE(YEAR(B2088),MONTH(B2088),1)&amp;":"&amp;DATE(YEAR(B2088),MONTH(B2088)+1,0))),2)=6,0.5,0)),0))</f>
        <v>23</v>
      </c>
      <c r="K2088" s="22" cm="1">
        <f t="array" ref="K2088">_xlfn.XLOOKUP(1,((Metas_Diarias[[#This Row],[tipo_equipe_id]]=Metas[equipe])*(Metas_Diarias[[#This Row],[data]]&gt;Metas[data_inicio])*(Metas_Diarias[[#This Row],[data]]&lt;Metas[data_fim])),Metas[meta_mensal],0)</f>
        <v>68250</v>
      </c>
      <c r="L2088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89" spans="2:12" x14ac:dyDescent="0.3">
      <c r="B2089" s="34">
        <v>46280</v>
      </c>
      <c r="C2089" s="34" t="str">
        <f>TEXT(Metas_Diarias[[#This Row],[data]],"dddd")</f>
        <v>terça-feira</v>
      </c>
      <c r="D2089" s="33">
        <v>5</v>
      </c>
      <c r="E2089" s="33">
        <v>5</v>
      </c>
      <c r="F2089" s="18"/>
      <c r="G2089" s="35">
        <f>WEEKDAY(Metas_Diarias[[#This Row],[data]])</f>
        <v>3</v>
      </c>
      <c r="H2089" s="35">
        <f>IF(Metas_Diarias[[#This Row],[dias_da_demana]]=1,"domingo",IF(Metas_Diarias[[#This Row],[dias_da_demana]]=7,0.5,1))</f>
        <v>1</v>
      </c>
      <c r="I2089" s="35">
        <f>_xlfn.XLOOKUP(Metas_Diarias[[#This Row],[data]],Feriados[Data],Feriados[Feriado],1)</f>
        <v>1</v>
      </c>
      <c r="J2089" s="33" cm="1">
        <f t="array" aca="1" ref="J2089" ca="1">SUMPRODUCT(IF((NOT(ISERROR(MATCH(ROW(INDIRECT(DATE(YEAR(B2089),MONTH(B2089),1)&amp;":"&amp;DATE(YEAR(B2089),MONTH(B2089)+1,0))),Feriados[Data],0))))=FALSE,
IF(WEEKDAY(ROW(INDIRECT(DATE(YEAR(B2089),MONTH(B2089),1)&amp;":"&amp;DATE(YEAR(B2089),MONTH(B2089)+1,0))),2)&lt;=5,1,IF(WEEKDAY(ROW(INDIRECT(DATE(YEAR(B2089),MONTH(B2089),1)&amp;":"&amp;DATE(YEAR(B2089),MONTH(B2089)+1,0))),2)=6,0.5,0)),0))</f>
        <v>23</v>
      </c>
      <c r="K2089" s="22" cm="1">
        <f t="array" ref="K2089">_xlfn.XLOOKUP(1,((Metas_Diarias[[#This Row],[tipo_equipe_id]]=Metas[equipe])*(Metas_Diarias[[#This Row],[data]]&gt;Metas[data_inicio])*(Metas_Diarias[[#This Row],[data]]&lt;Metas[data_fim])),Metas[meta_mensal],0)</f>
        <v>68250</v>
      </c>
      <c r="L2089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90" spans="2:12" x14ac:dyDescent="0.3">
      <c r="B2090" s="34">
        <v>46281</v>
      </c>
      <c r="C2090" s="34" t="str">
        <f>TEXT(Metas_Diarias[[#This Row],[data]],"dddd")</f>
        <v>quarta-feira</v>
      </c>
      <c r="D2090" s="33">
        <v>5</v>
      </c>
      <c r="E2090" s="33">
        <v>5</v>
      </c>
      <c r="F2090" s="18"/>
      <c r="G2090" s="35">
        <f>WEEKDAY(Metas_Diarias[[#This Row],[data]])</f>
        <v>4</v>
      </c>
      <c r="H2090" s="35">
        <f>IF(Metas_Diarias[[#This Row],[dias_da_demana]]=1,"domingo",IF(Metas_Diarias[[#This Row],[dias_da_demana]]=7,0.5,1))</f>
        <v>1</v>
      </c>
      <c r="I2090" s="35">
        <f>_xlfn.XLOOKUP(Metas_Diarias[[#This Row],[data]],Feriados[Data],Feriados[Feriado],1)</f>
        <v>1</v>
      </c>
      <c r="J2090" s="33" cm="1">
        <f t="array" aca="1" ref="J2090" ca="1">SUMPRODUCT(IF((NOT(ISERROR(MATCH(ROW(INDIRECT(DATE(YEAR(B2090),MONTH(B2090),1)&amp;":"&amp;DATE(YEAR(B2090),MONTH(B2090)+1,0))),Feriados[Data],0))))=FALSE,
IF(WEEKDAY(ROW(INDIRECT(DATE(YEAR(B2090),MONTH(B2090),1)&amp;":"&amp;DATE(YEAR(B2090),MONTH(B2090)+1,0))),2)&lt;=5,1,IF(WEEKDAY(ROW(INDIRECT(DATE(YEAR(B2090),MONTH(B2090),1)&amp;":"&amp;DATE(YEAR(B2090),MONTH(B2090)+1,0))),2)=6,0.5,0)),0))</f>
        <v>23</v>
      </c>
      <c r="K2090" s="22" cm="1">
        <f t="array" ref="K2090">_xlfn.XLOOKUP(1,((Metas_Diarias[[#This Row],[tipo_equipe_id]]=Metas[equipe])*(Metas_Diarias[[#This Row],[data]]&gt;Metas[data_inicio])*(Metas_Diarias[[#This Row],[data]]&lt;Metas[data_fim])),Metas[meta_mensal],0)</f>
        <v>68250</v>
      </c>
      <c r="L2090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91" spans="2:12" x14ac:dyDescent="0.3">
      <c r="B2091" s="34">
        <v>46282</v>
      </c>
      <c r="C2091" s="34" t="str">
        <f>TEXT(Metas_Diarias[[#This Row],[data]],"dddd")</f>
        <v>quinta-feira</v>
      </c>
      <c r="D2091" s="33">
        <v>5</v>
      </c>
      <c r="E2091" s="33">
        <v>5</v>
      </c>
      <c r="F2091" s="18"/>
      <c r="G2091" s="35">
        <f>WEEKDAY(Metas_Diarias[[#This Row],[data]])</f>
        <v>5</v>
      </c>
      <c r="H2091" s="35">
        <f>IF(Metas_Diarias[[#This Row],[dias_da_demana]]=1,"domingo",IF(Metas_Diarias[[#This Row],[dias_da_demana]]=7,0.5,1))</f>
        <v>1</v>
      </c>
      <c r="I2091" s="35">
        <f>_xlfn.XLOOKUP(Metas_Diarias[[#This Row],[data]],Feriados[Data],Feriados[Feriado],1)</f>
        <v>1</v>
      </c>
      <c r="J2091" s="33" cm="1">
        <f t="array" aca="1" ref="J2091" ca="1">SUMPRODUCT(IF((NOT(ISERROR(MATCH(ROW(INDIRECT(DATE(YEAR(B2091),MONTH(B2091),1)&amp;":"&amp;DATE(YEAR(B2091),MONTH(B2091)+1,0))),Feriados[Data],0))))=FALSE,
IF(WEEKDAY(ROW(INDIRECT(DATE(YEAR(B2091),MONTH(B2091),1)&amp;":"&amp;DATE(YEAR(B2091),MONTH(B2091)+1,0))),2)&lt;=5,1,IF(WEEKDAY(ROW(INDIRECT(DATE(YEAR(B2091),MONTH(B2091),1)&amp;":"&amp;DATE(YEAR(B2091),MONTH(B2091)+1,0))),2)=6,0.5,0)),0))</f>
        <v>23</v>
      </c>
      <c r="K2091" s="22" cm="1">
        <f t="array" ref="K2091">_xlfn.XLOOKUP(1,((Metas_Diarias[[#This Row],[tipo_equipe_id]]=Metas[equipe])*(Metas_Diarias[[#This Row],[data]]&gt;Metas[data_inicio])*(Metas_Diarias[[#This Row],[data]]&lt;Metas[data_fim])),Metas[meta_mensal],0)</f>
        <v>68250</v>
      </c>
      <c r="L2091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92" spans="2:12" x14ac:dyDescent="0.3">
      <c r="B2092" s="34">
        <v>46283</v>
      </c>
      <c r="C2092" s="34" t="str">
        <f>TEXT(Metas_Diarias[[#This Row],[data]],"dddd")</f>
        <v>sexta-feira</v>
      </c>
      <c r="D2092" s="33">
        <v>5</v>
      </c>
      <c r="E2092" s="33">
        <v>5</v>
      </c>
      <c r="F2092" s="18"/>
      <c r="G2092" s="35">
        <f>WEEKDAY(Metas_Diarias[[#This Row],[data]])</f>
        <v>6</v>
      </c>
      <c r="H2092" s="35">
        <f>IF(Metas_Diarias[[#This Row],[dias_da_demana]]=1,"domingo",IF(Metas_Diarias[[#This Row],[dias_da_demana]]=7,0.5,1))</f>
        <v>1</v>
      </c>
      <c r="I2092" s="35">
        <f>_xlfn.XLOOKUP(Metas_Diarias[[#This Row],[data]],Feriados[Data],Feriados[Feriado],1)</f>
        <v>1</v>
      </c>
      <c r="J2092" s="33" cm="1">
        <f t="array" aca="1" ref="J2092" ca="1">SUMPRODUCT(IF((NOT(ISERROR(MATCH(ROW(INDIRECT(DATE(YEAR(B2092),MONTH(B2092),1)&amp;":"&amp;DATE(YEAR(B2092),MONTH(B2092)+1,0))),Feriados[Data],0))))=FALSE,
IF(WEEKDAY(ROW(INDIRECT(DATE(YEAR(B2092),MONTH(B2092),1)&amp;":"&amp;DATE(YEAR(B2092),MONTH(B2092)+1,0))),2)&lt;=5,1,IF(WEEKDAY(ROW(INDIRECT(DATE(YEAR(B2092),MONTH(B2092),1)&amp;":"&amp;DATE(YEAR(B2092),MONTH(B2092)+1,0))),2)=6,0.5,0)),0))</f>
        <v>23</v>
      </c>
      <c r="K2092" s="22" cm="1">
        <f t="array" ref="K2092">_xlfn.XLOOKUP(1,((Metas_Diarias[[#This Row],[tipo_equipe_id]]=Metas[equipe])*(Metas_Diarias[[#This Row],[data]]&gt;Metas[data_inicio])*(Metas_Diarias[[#This Row],[data]]&lt;Metas[data_fim])),Metas[meta_mensal],0)</f>
        <v>68250</v>
      </c>
      <c r="L2092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93" spans="2:12" x14ac:dyDescent="0.3">
      <c r="B2093" s="34">
        <v>46284</v>
      </c>
      <c r="C2093" s="34" t="str">
        <f>TEXT(Metas_Diarias[[#This Row],[data]],"dddd")</f>
        <v>sábado</v>
      </c>
      <c r="D2093" s="33">
        <v>5</v>
      </c>
      <c r="E2093" s="33">
        <v>5</v>
      </c>
      <c r="F2093" s="18"/>
      <c r="G2093" s="35">
        <f>WEEKDAY(Metas_Diarias[[#This Row],[data]])</f>
        <v>7</v>
      </c>
      <c r="H2093" s="35">
        <f>IF(Metas_Diarias[[#This Row],[dias_da_demana]]=1,"domingo",IF(Metas_Diarias[[#This Row],[dias_da_demana]]=7,0.5,1))</f>
        <v>0.5</v>
      </c>
      <c r="I2093" s="35">
        <f>_xlfn.XLOOKUP(Metas_Diarias[[#This Row],[data]],Feriados[Data],Feriados[Feriado],1)</f>
        <v>1</v>
      </c>
      <c r="J2093" s="33" cm="1">
        <f t="array" aca="1" ref="J2093" ca="1">SUMPRODUCT(IF((NOT(ISERROR(MATCH(ROW(INDIRECT(DATE(YEAR(B2093),MONTH(B2093),1)&amp;":"&amp;DATE(YEAR(B2093),MONTH(B2093)+1,0))),Feriados[Data],0))))=FALSE,
IF(WEEKDAY(ROW(INDIRECT(DATE(YEAR(B2093),MONTH(B2093),1)&amp;":"&amp;DATE(YEAR(B2093),MONTH(B2093)+1,0))),2)&lt;=5,1,IF(WEEKDAY(ROW(INDIRECT(DATE(YEAR(B2093),MONTH(B2093),1)&amp;":"&amp;DATE(YEAR(B2093),MONTH(B2093)+1,0))),2)=6,0.5,0)),0))</f>
        <v>23</v>
      </c>
      <c r="K2093" s="22" cm="1">
        <f t="array" ref="K2093">_xlfn.XLOOKUP(1,((Metas_Diarias[[#This Row],[tipo_equipe_id]]=Metas[equipe])*(Metas_Diarias[[#This Row],[data]]&gt;Metas[data_inicio])*(Metas_Diarias[[#This Row],[data]]&lt;Metas[data_fim])),Metas[meta_mensal],0)</f>
        <v>68250</v>
      </c>
      <c r="L2093" s="24">
        <f ca="1">Metas_Diarias[[#This Row],[meta_mensal]]*IF(Metas_Diarias[[#This Row],[semana]]="domingo",0,Metas_Diarias[[#This Row],[semana]])*IF(Metas_Diarias[[#This Row],[feriado]]&lt;&gt;1,0,1)/Metas_Diarias[[#This Row],[dias_úteis_Mês]]</f>
        <v>1483.695652173913</v>
      </c>
    </row>
    <row r="2094" spans="2:12" x14ac:dyDescent="0.3">
      <c r="B2094" s="34">
        <v>46285</v>
      </c>
      <c r="C2094" s="34" t="str">
        <f>TEXT(Metas_Diarias[[#This Row],[data]],"dddd")</f>
        <v>domingo</v>
      </c>
      <c r="D2094" s="33">
        <v>5</v>
      </c>
      <c r="E2094" s="33">
        <v>5</v>
      </c>
      <c r="F2094" s="18"/>
      <c r="G2094" s="35">
        <f>WEEKDAY(Metas_Diarias[[#This Row],[data]])</f>
        <v>1</v>
      </c>
      <c r="H2094" s="35" t="str">
        <f>IF(Metas_Diarias[[#This Row],[dias_da_demana]]=1,"domingo",IF(Metas_Diarias[[#This Row],[dias_da_demana]]=7,0.5,1))</f>
        <v>domingo</v>
      </c>
      <c r="I2094" s="35">
        <f>_xlfn.XLOOKUP(Metas_Diarias[[#This Row],[data]],Feriados[Data],Feriados[Feriado],1)</f>
        <v>1</v>
      </c>
      <c r="J2094" s="33" cm="1">
        <f t="array" aca="1" ref="J2094" ca="1">SUMPRODUCT(IF((NOT(ISERROR(MATCH(ROW(INDIRECT(DATE(YEAR(B2094),MONTH(B2094),1)&amp;":"&amp;DATE(YEAR(B2094),MONTH(B2094)+1,0))),Feriados[Data],0))))=FALSE,
IF(WEEKDAY(ROW(INDIRECT(DATE(YEAR(B2094),MONTH(B2094),1)&amp;":"&amp;DATE(YEAR(B2094),MONTH(B2094)+1,0))),2)&lt;=5,1,IF(WEEKDAY(ROW(INDIRECT(DATE(YEAR(B2094),MONTH(B2094),1)&amp;":"&amp;DATE(YEAR(B2094),MONTH(B2094)+1,0))),2)=6,0.5,0)),0))</f>
        <v>23</v>
      </c>
      <c r="K2094" s="22" cm="1">
        <f t="array" ref="K2094">_xlfn.XLOOKUP(1,((Metas_Diarias[[#This Row],[tipo_equipe_id]]=Metas[equipe])*(Metas_Diarias[[#This Row],[data]]&gt;Metas[data_inicio])*(Metas_Diarias[[#This Row],[data]]&lt;Metas[data_fim])),Metas[meta_mensal],0)</f>
        <v>68250</v>
      </c>
      <c r="L20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095" spans="2:12" x14ac:dyDescent="0.3">
      <c r="B2095" s="34">
        <v>46286</v>
      </c>
      <c r="C2095" s="34" t="str">
        <f>TEXT(Metas_Diarias[[#This Row],[data]],"dddd")</f>
        <v>segunda-feira</v>
      </c>
      <c r="D2095" s="33">
        <v>5</v>
      </c>
      <c r="E2095" s="33">
        <v>5</v>
      </c>
      <c r="F2095" s="18"/>
      <c r="G2095" s="35">
        <f>WEEKDAY(Metas_Diarias[[#This Row],[data]])</f>
        <v>2</v>
      </c>
      <c r="H2095" s="35">
        <f>IF(Metas_Diarias[[#This Row],[dias_da_demana]]=1,"domingo",IF(Metas_Diarias[[#This Row],[dias_da_demana]]=7,0.5,1))</f>
        <v>1</v>
      </c>
      <c r="I2095" s="35">
        <f>_xlfn.XLOOKUP(Metas_Diarias[[#This Row],[data]],Feriados[Data],Feriados[Feriado],1)</f>
        <v>1</v>
      </c>
      <c r="J2095" s="33" cm="1">
        <f t="array" aca="1" ref="J2095" ca="1">SUMPRODUCT(IF((NOT(ISERROR(MATCH(ROW(INDIRECT(DATE(YEAR(B2095),MONTH(B2095),1)&amp;":"&amp;DATE(YEAR(B2095),MONTH(B2095)+1,0))),Feriados[Data],0))))=FALSE,
IF(WEEKDAY(ROW(INDIRECT(DATE(YEAR(B2095),MONTH(B2095),1)&amp;":"&amp;DATE(YEAR(B2095),MONTH(B2095)+1,0))),2)&lt;=5,1,IF(WEEKDAY(ROW(INDIRECT(DATE(YEAR(B2095),MONTH(B2095),1)&amp;":"&amp;DATE(YEAR(B2095),MONTH(B2095)+1,0))),2)=6,0.5,0)),0))</f>
        <v>23</v>
      </c>
      <c r="K2095" s="22" cm="1">
        <f t="array" ref="K2095">_xlfn.XLOOKUP(1,((Metas_Diarias[[#This Row],[tipo_equipe_id]]=Metas[equipe])*(Metas_Diarias[[#This Row],[data]]&gt;Metas[data_inicio])*(Metas_Diarias[[#This Row],[data]]&lt;Metas[data_fim])),Metas[meta_mensal],0)</f>
        <v>68250</v>
      </c>
      <c r="L2095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96" spans="2:12" x14ac:dyDescent="0.3">
      <c r="B2096" s="34">
        <v>46287</v>
      </c>
      <c r="C2096" s="34" t="str">
        <f>TEXT(Metas_Diarias[[#This Row],[data]],"dddd")</f>
        <v>terça-feira</v>
      </c>
      <c r="D2096" s="33">
        <v>5</v>
      </c>
      <c r="E2096" s="33">
        <v>5</v>
      </c>
      <c r="F2096" s="18"/>
      <c r="G2096" s="35">
        <f>WEEKDAY(Metas_Diarias[[#This Row],[data]])</f>
        <v>3</v>
      </c>
      <c r="H2096" s="35">
        <f>IF(Metas_Diarias[[#This Row],[dias_da_demana]]=1,"domingo",IF(Metas_Diarias[[#This Row],[dias_da_demana]]=7,0.5,1))</f>
        <v>1</v>
      </c>
      <c r="I2096" s="35">
        <f>_xlfn.XLOOKUP(Metas_Diarias[[#This Row],[data]],Feriados[Data],Feriados[Feriado],1)</f>
        <v>1</v>
      </c>
      <c r="J2096" s="33" cm="1">
        <f t="array" aca="1" ref="J2096" ca="1">SUMPRODUCT(IF((NOT(ISERROR(MATCH(ROW(INDIRECT(DATE(YEAR(B2096),MONTH(B2096),1)&amp;":"&amp;DATE(YEAR(B2096),MONTH(B2096)+1,0))),Feriados[Data],0))))=FALSE,
IF(WEEKDAY(ROW(INDIRECT(DATE(YEAR(B2096),MONTH(B2096),1)&amp;":"&amp;DATE(YEAR(B2096),MONTH(B2096)+1,0))),2)&lt;=5,1,IF(WEEKDAY(ROW(INDIRECT(DATE(YEAR(B2096),MONTH(B2096),1)&amp;":"&amp;DATE(YEAR(B2096),MONTH(B2096)+1,0))),2)=6,0.5,0)),0))</f>
        <v>23</v>
      </c>
      <c r="K2096" s="22" cm="1">
        <f t="array" ref="K2096">_xlfn.XLOOKUP(1,((Metas_Diarias[[#This Row],[tipo_equipe_id]]=Metas[equipe])*(Metas_Diarias[[#This Row],[data]]&gt;Metas[data_inicio])*(Metas_Diarias[[#This Row],[data]]&lt;Metas[data_fim])),Metas[meta_mensal],0)</f>
        <v>68250</v>
      </c>
      <c r="L2096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97" spans="2:12" x14ac:dyDescent="0.3">
      <c r="B2097" s="34">
        <v>46288</v>
      </c>
      <c r="C2097" s="34" t="str">
        <f>TEXT(Metas_Diarias[[#This Row],[data]],"dddd")</f>
        <v>quarta-feira</v>
      </c>
      <c r="D2097" s="33">
        <v>5</v>
      </c>
      <c r="E2097" s="33">
        <v>5</v>
      </c>
      <c r="F2097" s="18"/>
      <c r="G2097" s="35">
        <f>WEEKDAY(Metas_Diarias[[#This Row],[data]])</f>
        <v>4</v>
      </c>
      <c r="H2097" s="35">
        <f>IF(Metas_Diarias[[#This Row],[dias_da_demana]]=1,"domingo",IF(Metas_Diarias[[#This Row],[dias_da_demana]]=7,0.5,1))</f>
        <v>1</v>
      </c>
      <c r="I2097" s="35">
        <f>_xlfn.XLOOKUP(Metas_Diarias[[#This Row],[data]],Feriados[Data],Feriados[Feriado],1)</f>
        <v>1</v>
      </c>
      <c r="J2097" s="33" cm="1">
        <f t="array" aca="1" ref="J2097" ca="1">SUMPRODUCT(IF((NOT(ISERROR(MATCH(ROW(INDIRECT(DATE(YEAR(B2097),MONTH(B2097),1)&amp;":"&amp;DATE(YEAR(B2097),MONTH(B2097)+1,0))),Feriados[Data],0))))=FALSE,
IF(WEEKDAY(ROW(INDIRECT(DATE(YEAR(B2097),MONTH(B2097),1)&amp;":"&amp;DATE(YEAR(B2097),MONTH(B2097)+1,0))),2)&lt;=5,1,IF(WEEKDAY(ROW(INDIRECT(DATE(YEAR(B2097),MONTH(B2097),1)&amp;":"&amp;DATE(YEAR(B2097),MONTH(B2097)+1,0))),2)=6,0.5,0)),0))</f>
        <v>23</v>
      </c>
      <c r="K2097" s="22" cm="1">
        <f t="array" ref="K2097">_xlfn.XLOOKUP(1,((Metas_Diarias[[#This Row],[tipo_equipe_id]]=Metas[equipe])*(Metas_Diarias[[#This Row],[data]]&gt;Metas[data_inicio])*(Metas_Diarias[[#This Row],[data]]&lt;Metas[data_fim])),Metas[meta_mensal],0)</f>
        <v>68250</v>
      </c>
      <c r="L2097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98" spans="2:12" x14ac:dyDescent="0.3">
      <c r="B2098" s="34">
        <v>46289</v>
      </c>
      <c r="C2098" s="34" t="str">
        <f>TEXT(Metas_Diarias[[#This Row],[data]],"dddd")</f>
        <v>quinta-feira</v>
      </c>
      <c r="D2098" s="33">
        <v>5</v>
      </c>
      <c r="E2098" s="33">
        <v>5</v>
      </c>
      <c r="F2098" s="18"/>
      <c r="G2098" s="35">
        <f>WEEKDAY(Metas_Diarias[[#This Row],[data]])</f>
        <v>5</v>
      </c>
      <c r="H2098" s="35">
        <f>IF(Metas_Diarias[[#This Row],[dias_da_demana]]=1,"domingo",IF(Metas_Diarias[[#This Row],[dias_da_demana]]=7,0.5,1))</f>
        <v>1</v>
      </c>
      <c r="I2098" s="35">
        <f>_xlfn.XLOOKUP(Metas_Diarias[[#This Row],[data]],Feriados[Data],Feriados[Feriado],1)</f>
        <v>1</v>
      </c>
      <c r="J2098" s="33" cm="1">
        <f t="array" aca="1" ref="J2098" ca="1">SUMPRODUCT(IF((NOT(ISERROR(MATCH(ROW(INDIRECT(DATE(YEAR(B2098),MONTH(B2098),1)&amp;":"&amp;DATE(YEAR(B2098),MONTH(B2098)+1,0))),Feriados[Data],0))))=FALSE,
IF(WEEKDAY(ROW(INDIRECT(DATE(YEAR(B2098),MONTH(B2098),1)&amp;":"&amp;DATE(YEAR(B2098),MONTH(B2098)+1,0))),2)&lt;=5,1,IF(WEEKDAY(ROW(INDIRECT(DATE(YEAR(B2098),MONTH(B2098),1)&amp;":"&amp;DATE(YEAR(B2098),MONTH(B2098)+1,0))),2)=6,0.5,0)),0))</f>
        <v>23</v>
      </c>
      <c r="K2098" s="22" cm="1">
        <f t="array" ref="K2098">_xlfn.XLOOKUP(1,((Metas_Diarias[[#This Row],[tipo_equipe_id]]=Metas[equipe])*(Metas_Diarias[[#This Row],[data]]&gt;Metas[data_inicio])*(Metas_Diarias[[#This Row],[data]]&lt;Metas[data_fim])),Metas[meta_mensal],0)</f>
        <v>68250</v>
      </c>
      <c r="L2098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099" spans="2:12" x14ac:dyDescent="0.3">
      <c r="B2099" s="34">
        <v>46290</v>
      </c>
      <c r="C2099" s="34" t="str">
        <f>TEXT(Metas_Diarias[[#This Row],[data]],"dddd")</f>
        <v>sexta-feira</v>
      </c>
      <c r="D2099" s="33">
        <v>5</v>
      </c>
      <c r="E2099" s="33">
        <v>5</v>
      </c>
      <c r="F2099" s="18"/>
      <c r="G2099" s="35">
        <f>WEEKDAY(Metas_Diarias[[#This Row],[data]])</f>
        <v>6</v>
      </c>
      <c r="H2099" s="35">
        <f>IF(Metas_Diarias[[#This Row],[dias_da_demana]]=1,"domingo",IF(Metas_Diarias[[#This Row],[dias_da_demana]]=7,0.5,1))</f>
        <v>1</v>
      </c>
      <c r="I2099" s="35">
        <f>_xlfn.XLOOKUP(Metas_Diarias[[#This Row],[data]],Feriados[Data],Feriados[Feriado],1)</f>
        <v>1</v>
      </c>
      <c r="J2099" s="33" cm="1">
        <f t="array" aca="1" ref="J2099" ca="1">SUMPRODUCT(IF((NOT(ISERROR(MATCH(ROW(INDIRECT(DATE(YEAR(B2099),MONTH(B2099),1)&amp;":"&amp;DATE(YEAR(B2099),MONTH(B2099)+1,0))),Feriados[Data],0))))=FALSE,
IF(WEEKDAY(ROW(INDIRECT(DATE(YEAR(B2099),MONTH(B2099),1)&amp;":"&amp;DATE(YEAR(B2099),MONTH(B2099)+1,0))),2)&lt;=5,1,IF(WEEKDAY(ROW(INDIRECT(DATE(YEAR(B2099),MONTH(B2099),1)&amp;":"&amp;DATE(YEAR(B2099),MONTH(B2099)+1,0))),2)=6,0.5,0)),0))</f>
        <v>23</v>
      </c>
      <c r="K2099" s="22" cm="1">
        <f t="array" ref="K2099">_xlfn.XLOOKUP(1,((Metas_Diarias[[#This Row],[tipo_equipe_id]]=Metas[equipe])*(Metas_Diarias[[#This Row],[data]]&gt;Metas[data_inicio])*(Metas_Diarias[[#This Row],[data]]&lt;Metas[data_fim])),Metas[meta_mensal],0)</f>
        <v>68250</v>
      </c>
      <c r="L2099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100" spans="2:12" x14ac:dyDescent="0.3">
      <c r="B2100" s="34">
        <v>46291</v>
      </c>
      <c r="C2100" s="34" t="str">
        <f>TEXT(Metas_Diarias[[#This Row],[data]],"dddd")</f>
        <v>sábado</v>
      </c>
      <c r="D2100" s="33">
        <v>5</v>
      </c>
      <c r="E2100" s="33">
        <v>5</v>
      </c>
      <c r="F2100" s="18"/>
      <c r="G2100" s="35">
        <f>WEEKDAY(Metas_Diarias[[#This Row],[data]])</f>
        <v>7</v>
      </c>
      <c r="H2100" s="35">
        <f>IF(Metas_Diarias[[#This Row],[dias_da_demana]]=1,"domingo",IF(Metas_Diarias[[#This Row],[dias_da_demana]]=7,0.5,1))</f>
        <v>0.5</v>
      </c>
      <c r="I2100" s="35">
        <f>_xlfn.XLOOKUP(Metas_Diarias[[#This Row],[data]],Feriados[Data],Feriados[Feriado],1)</f>
        <v>1</v>
      </c>
      <c r="J2100" s="33" cm="1">
        <f t="array" aca="1" ref="J2100" ca="1">SUMPRODUCT(IF((NOT(ISERROR(MATCH(ROW(INDIRECT(DATE(YEAR(B2100),MONTH(B2100),1)&amp;":"&amp;DATE(YEAR(B2100),MONTH(B2100)+1,0))),Feriados[Data],0))))=FALSE,
IF(WEEKDAY(ROW(INDIRECT(DATE(YEAR(B2100),MONTH(B2100),1)&amp;":"&amp;DATE(YEAR(B2100),MONTH(B2100)+1,0))),2)&lt;=5,1,IF(WEEKDAY(ROW(INDIRECT(DATE(YEAR(B2100),MONTH(B2100),1)&amp;":"&amp;DATE(YEAR(B2100),MONTH(B2100)+1,0))),2)=6,0.5,0)),0))</f>
        <v>23</v>
      </c>
      <c r="K2100" s="22" cm="1">
        <f t="array" ref="K2100">_xlfn.XLOOKUP(1,((Metas_Diarias[[#This Row],[tipo_equipe_id]]=Metas[equipe])*(Metas_Diarias[[#This Row],[data]]&gt;Metas[data_inicio])*(Metas_Diarias[[#This Row],[data]]&lt;Metas[data_fim])),Metas[meta_mensal],0)</f>
        <v>68250</v>
      </c>
      <c r="L2100" s="24">
        <f ca="1">Metas_Diarias[[#This Row],[meta_mensal]]*IF(Metas_Diarias[[#This Row],[semana]]="domingo",0,Metas_Diarias[[#This Row],[semana]])*IF(Metas_Diarias[[#This Row],[feriado]]&lt;&gt;1,0,1)/Metas_Diarias[[#This Row],[dias_úteis_Mês]]</f>
        <v>1483.695652173913</v>
      </c>
    </row>
    <row r="2101" spans="2:12" x14ac:dyDescent="0.3">
      <c r="B2101" s="34">
        <v>46292</v>
      </c>
      <c r="C2101" s="34" t="str">
        <f>TEXT(Metas_Diarias[[#This Row],[data]],"dddd")</f>
        <v>domingo</v>
      </c>
      <c r="D2101" s="33">
        <v>5</v>
      </c>
      <c r="E2101" s="33">
        <v>5</v>
      </c>
      <c r="F2101" s="18"/>
      <c r="G2101" s="35">
        <f>WEEKDAY(Metas_Diarias[[#This Row],[data]])</f>
        <v>1</v>
      </c>
      <c r="H2101" s="35" t="str">
        <f>IF(Metas_Diarias[[#This Row],[dias_da_demana]]=1,"domingo",IF(Metas_Diarias[[#This Row],[dias_da_demana]]=7,0.5,1))</f>
        <v>domingo</v>
      </c>
      <c r="I2101" s="35">
        <f>_xlfn.XLOOKUP(Metas_Diarias[[#This Row],[data]],Feriados[Data],Feriados[Feriado],1)</f>
        <v>1</v>
      </c>
      <c r="J2101" s="33" cm="1">
        <f t="array" aca="1" ref="J2101" ca="1">SUMPRODUCT(IF((NOT(ISERROR(MATCH(ROW(INDIRECT(DATE(YEAR(B2101),MONTH(B2101),1)&amp;":"&amp;DATE(YEAR(B2101),MONTH(B2101)+1,0))),Feriados[Data],0))))=FALSE,
IF(WEEKDAY(ROW(INDIRECT(DATE(YEAR(B2101),MONTH(B2101),1)&amp;":"&amp;DATE(YEAR(B2101),MONTH(B2101)+1,0))),2)&lt;=5,1,IF(WEEKDAY(ROW(INDIRECT(DATE(YEAR(B2101),MONTH(B2101),1)&amp;":"&amp;DATE(YEAR(B2101),MONTH(B2101)+1,0))),2)=6,0.5,0)),0))</f>
        <v>23</v>
      </c>
      <c r="K2101" s="22" cm="1">
        <f t="array" ref="K2101">_xlfn.XLOOKUP(1,((Metas_Diarias[[#This Row],[tipo_equipe_id]]=Metas[equipe])*(Metas_Diarias[[#This Row],[data]]&gt;Metas[data_inicio])*(Metas_Diarias[[#This Row],[data]]&lt;Metas[data_fim])),Metas[meta_mensal],0)</f>
        <v>68250</v>
      </c>
      <c r="L21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02" spans="2:12" x14ac:dyDescent="0.3">
      <c r="B2102" s="34">
        <v>46293</v>
      </c>
      <c r="C2102" s="34" t="str">
        <f>TEXT(Metas_Diarias[[#This Row],[data]],"dddd")</f>
        <v>segunda-feira</v>
      </c>
      <c r="D2102" s="33">
        <v>5</v>
      </c>
      <c r="E2102" s="33">
        <v>5</v>
      </c>
      <c r="F2102" s="18"/>
      <c r="G2102" s="35">
        <f>WEEKDAY(Metas_Diarias[[#This Row],[data]])</f>
        <v>2</v>
      </c>
      <c r="H2102" s="35">
        <f>IF(Metas_Diarias[[#This Row],[dias_da_demana]]=1,"domingo",IF(Metas_Diarias[[#This Row],[dias_da_demana]]=7,0.5,1))</f>
        <v>1</v>
      </c>
      <c r="I2102" s="35">
        <f>_xlfn.XLOOKUP(Metas_Diarias[[#This Row],[data]],Feriados[Data],Feriados[Feriado],1)</f>
        <v>1</v>
      </c>
      <c r="J2102" s="33" cm="1">
        <f t="array" aca="1" ref="J2102" ca="1">SUMPRODUCT(IF((NOT(ISERROR(MATCH(ROW(INDIRECT(DATE(YEAR(B2102),MONTH(B2102),1)&amp;":"&amp;DATE(YEAR(B2102),MONTH(B2102)+1,0))),Feriados[Data],0))))=FALSE,
IF(WEEKDAY(ROW(INDIRECT(DATE(YEAR(B2102),MONTH(B2102),1)&amp;":"&amp;DATE(YEAR(B2102),MONTH(B2102)+1,0))),2)&lt;=5,1,IF(WEEKDAY(ROW(INDIRECT(DATE(YEAR(B2102),MONTH(B2102),1)&amp;":"&amp;DATE(YEAR(B2102),MONTH(B2102)+1,0))),2)=6,0.5,0)),0))</f>
        <v>23</v>
      </c>
      <c r="K2102" s="22" cm="1">
        <f t="array" ref="K2102">_xlfn.XLOOKUP(1,((Metas_Diarias[[#This Row],[tipo_equipe_id]]=Metas[equipe])*(Metas_Diarias[[#This Row],[data]]&gt;Metas[data_inicio])*(Metas_Diarias[[#This Row],[data]]&lt;Metas[data_fim])),Metas[meta_mensal],0)</f>
        <v>68250</v>
      </c>
      <c r="L2102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103" spans="2:12" x14ac:dyDescent="0.3">
      <c r="B2103" s="34">
        <v>46294</v>
      </c>
      <c r="C2103" s="34" t="str">
        <f>TEXT(Metas_Diarias[[#This Row],[data]],"dddd")</f>
        <v>terça-feira</v>
      </c>
      <c r="D2103" s="33">
        <v>5</v>
      </c>
      <c r="E2103" s="33">
        <v>5</v>
      </c>
      <c r="F2103" s="18"/>
      <c r="G2103" s="35">
        <f>WEEKDAY(Metas_Diarias[[#This Row],[data]])</f>
        <v>3</v>
      </c>
      <c r="H2103" s="35">
        <f>IF(Metas_Diarias[[#This Row],[dias_da_demana]]=1,"domingo",IF(Metas_Diarias[[#This Row],[dias_da_demana]]=7,0.5,1))</f>
        <v>1</v>
      </c>
      <c r="I2103" s="35">
        <f>_xlfn.XLOOKUP(Metas_Diarias[[#This Row],[data]],Feriados[Data],Feriados[Feriado],1)</f>
        <v>1</v>
      </c>
      <c r="J2103" s="33" cm="1">
        <f t="array" aca="1" ref="J2103" ca="1">SUMPRODUCT(IF((NOT(ISERROR(MATCH(ROW(INDIRECT(DATE(YEAR(B2103),MONTH(B2103),1)&amp;":"&amp;DATE(YEAR(B2103),MONTH(B2103)+1,0))),Feriados[Data],0))))=FALSE,
IF(WEEKDAY(ROW(INDIRECT(DATE(YEAR(B2103),MONTH(B2103),1)&amp;":"&amp;DATE(YEAR(B2103),MONTH(B2103)+1,0))),2)&lt;=5,1,IF(WEEKDAY(ROW(INDIRECT(DATE(YEAR(B2103),MONTH(B2103),1)&amp;":"&amp;DATE(YEAR(B2103),MONTH(B2103)+1,0))),2)=6,0.5,0)),0))</f>
        <v>23</v>
      </c>
      <c r="K2103" s="22" cm="1">
        <f t="array" ref="K2103">_xlfn.XLOOKUP(1,((Metas_Diarias[[#This Row],[tipo_equipe_id]]=Metas[equipe])*(Metas_Diarias[[#This Row],[data]]&gt;Metas[data_inicio])*(Metas_Diarias[[#This Row],[data]]&lt;Metas[data_fim])),Metas[meta_mensal],0)</f>
        <v>68250</v>
      </c>
      <c r="L2103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104" spans="2:12" x14ac:dyDescent="0.3">
      <c r="B2104" s="34">
        <v>46295</v>
      </c>
      <c r="C2104" s="34" t="str">
        <f>TEXT(Metas_Diarias[[#This Row],[data]],"dddd")</f>
        <v>quarta-feira</v>
      </c>
      <c r="D2104" s="33">
        <v>5</v>
      </c>
      <c r="E2104" s="33">
        <v>5</v>
      </c>
      <c r="F2104" s="18"/>
      <c r="G2104" s="35">
        <f>WEEKDAY(Metas_Diarias[[#This Row],[data]])</f>
        <v>4</v>
      </c>
      <c r="H2104" s="35">
        <f>IF(Metas_Diarias[[#This Row],[dias_da_demana]]=1,"domingo",IF(Metas_Diarias[[#This Row],[dias_da_demana]]=7,0.5,1))</f>
        <v>1</v>
      </c>
      <c r="I2104" s="35">
        <f>_xlfn.XLOOKUP(Metas_Diarias[[#This Row],[data]],Feriados[Data],Feriados[Feriado],1)</f>
        <v>1</v>
      </c>
      <c r="J2104" s="33" cm="1">
        <f t="array" aca="1" ref="J2104" ca="1">SUMPRODUCT(IF((NOT(ISERROR(MATCH(ROW(INDIRECT(DATE(YEAR(B2104),MONTH(B2104),1)&amp;":"&amp;DATE(YEAR(B2104),MONTH(B2104)+1,0))),Feriados[Data],0))))=FALSE,
IF(WEEKDAY(ROW(INDIRECT(DATE(YEAR(B2104),MONTH(B2104),1)&amp;":"&amp;DATE(YEAR(B2104),MONTH(B2104)+1,0))),2)&lt;=5,1,IF(WEEKDAY(ROW(INDIRECT(DATE(YEAR(B2104),MONTH(B2104),1)&amp;":"&amp;DATE(YEAR(B2104),MONTH(B2104)+1,0))),2)=6,0.5,0)),0))</f>
        <v>23</v>
      </c>
      <c r="K2104" s="22" cm="1">
        <f t="array" ref="K2104">_xlfn.XLOOKUP(1,((Metas_Diarias[[#This Row],[tipo_equipe_id]]=Metas[equipe])*(Metas_Diarias[[#This Row],[data]]&gt;Metas[data_inicio])*(Metas_Diarias[[#This Row],[data]]&lt;Metas[data_fim])),Metas[meta_mensal],0)</f>
        <v>68250</v>
      </c>
      <c r="L2104" s="24">
        <f ca="1">Metas_Diarias[[#This Row],[meta_mensal]]*IF(Metas_Diarias[[#This Row],[semana]]="domingo",0,Metas_Diarias[[#This Row],[semana]])*IF(Metas_Diarias[[#This Row],[feriado]]&lt;&gt;1,0,1)/Metas_Diarias[[#This Row],[dias_úteis_Mês]]</f>
        <v>2967.391304347826</v>
      </c>
    </row>
    <row r="2105" spans="2:12" x14ac:dyDescent="0.3">
      <c r="B2105" s="34">
        <v>46296</v>
      </c>
      <c r="C2105" s="34" t="str">
        <f>TEXT(Metas_Diarias[[#This Row],[data]],"dddd")</f>
        <v>quinta-feira</v>
      </c>
      <c r="D2105" s="33">
        <v>5</v>
      </c>
      <c r="E2105" s="33">
        <v>5</v>
      </c>
      <c r="F2105" s="18"/>
      <c r="G2105" s="35">
        <f>WEEKDAY(Metas_Diarias[[#This Row],[data]])</f>
        <v>5</v>
      </c>
      <c r="H2105" s="35">
        <f>IF(Metas_Diarias[[#This Row],[dias_da_demana]]=1,"domingo",IF(Metas_Diarias[[#This Row],[dias_da_demana]]=7,0.5,1))</f>
        <v>1</v>
      </c>
      <c r="I2105" s="35">
        <f>_xlfn.XLOOKUP(Metas_Diarias[[#This Row],[data]],Feriados[Data],Feriados[Feriado],1)</f>
        <v>1</v>
      </c>
      <c r="J2105" s="33" cm="1">
        <f t="array" aca="1" ref="J2105" ca="1">SUMPRODUCT(IF((NOT(ISERROR(MATCH(ROW(INDIRECT(DATE(YEAR(B2105),MONTH(B2105),1)&amp;":"&amp;DATE(YEAR(B2105),MONTH(B2105)+1,0))),Feriados[Data],0))))=FALSE,
IF(WEEKDAY(ROW(INDIRECT(DATE(YEAR(B2105),MONTH(B2105),1)&amp;":"&amp;DATE(YEAR(B2105),MONTH(B2105)+1,0))),2)&lt;=5,1,IF(WEEKDAY(ROW(INDIRECT(DATE(YEAR(B2105),MONTH(B2105),1)&amp;":"&amp;DATE(YEAR(B2105),MONTH(B2105)+1,0))),2)=6,0.5,0)),0))</f>
        <v>23.5</v>
      </c>
      <c r="K2105" s="22" cm="1">
        <f t="array" ref="K2105">_xlfn.XLOOKUP(1,((Metas_Diarias[[#This Row],[tipo_equipe_id]]=Metas[equipe])*(Metas_Diarias[[#This Row],[data]]&gt;Metas[data_inicio])*(Metas_Diarias[[#This Row],[data]]&lt;Metas[data_fim])),Metas[meta_mensal],0)</f>
        <v>68250</v>
      </c>
      <c r="L2105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06" spans="2:12" x14ac:dyDescent="0.3">
      <c r="B2106" s="34">
        <v>46297</v>
      </c>
      <c r="C2106" s="34" t="str">
        <f>TEXT(Metas_Diarias[[#This Row],[data]],"dddd")</f>
        <v>sexta-feira</v>
      </c>
      <c r="D2106" s="33">
        <v>5</v>
      </c>
      <c r="E2106" s="33">
        <v>5</v>
      </c>
      <c r="F2106" s="18"/>
      <c r="G2106" s="35">
        <f>WEEKDAY(Metas_Diarias[[#This Row],[data]])</f>
        <v>6</v>
      </c>
      <c r="H2106" s="35">
        <f>IF(Metas_Diarias[[#This Row],[dias_da_demana]]=1,"domingo",IF(Metas_Diarias[[#This Row],[dias_da_demana]]=7,0.5,1))</f>
        <v>1</v>
      </c>
      <c r="I2106" s="35">
        <f>_xlfn.XLOOKUP(Metas_Diarias[[#This Row],[data]],Feriados[Data],Feriados[Feriado],1)</f>
        <v>1</v>
      </c>
      <c r="J2106" s="33" cm="1">
        <f t="array" aca="1" ref="J2106" ca="1">SUMPRODUCT(IF((NOT(ISERROR(MATCH(ROW(INDIRECT(DATE(YEAR(B2106),MONTH(B2106),1)&amp;":"&amp;DATE(YEAR(B2106),MONTH(B2106)+1,0))),Feriados[Data],0))))=FALSE,
IF(WEEKDAY(ROW(INDIRECT(DATE(YEAR(B2106),MONTH(B2106),1)&amp;":"&amp;DATE(YEAR(B2106),MONTH(B2106)+1,0))),2)&lt;=5,1,IF(WEEKDAY(ROW(INDIRECT(DATE(YEAR(B2106),MONTH(B2106),1)&amp;":"&amp;DATE(YEAR(B2106),MONTH(B2106)+1,0))),2)=6,0.5,0)),0))</f>
        <v>23.5</v>
      </c>
      <c r="K2106" s="22" cm="1">
        <f t="array" ref="K2106">_xlfn.XLOOKUP(1,((Metas_Diarias[[#This Row],[tipo_equipe_id]]=Metas[equipe])*(Metas_Diarias[[#This Row],[data]]&gt;Metas[data_inicio])*(Metas_Diarias[[#This Row],[data]]&lt;Metas[data_fim])),Metas[meta_mensal],0)</f>
        <v>68250</v>
      </c>
      <c r="L2106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07" spans="2:12" x14ac:dyDescent="0.3">
      <c r="B2107" s="34">
        <v>46298</v>
      </c>
      <c r="C2107" s="34" t="str">
        <f>TEXT(Metas_Diarias[[#This Row],[data]],"dddd")</f>
        <v>sábado</v>
      </c>
      <c r="D2107" s="33">
        <v>5</v>
      </c>
      <c r="E2107" s="33">
        <v>5</v>
      </c>
      <c r="F2107" s="18"/>
      <c r="G2107" s="35">
        <f>WEEKDAY(Metas_Diarias[[#This Row],[data]])</f>
        <v>7</v>
      </c>
      <c r="H2107" s="35">
        <f>IF(Metas_Diarias[[#This Row],[dias_da_demana]]=1,"domingo",IF(Metas_Diarias[[#This Row],[dias_da_demana]]=7,0.5,1))</f>
        <v>0.5</v>
      </c>
      <c r="I2107" s="35">
        <f>_xlfn.XLOOKUP(Metas_Diarias[[#This Row],[data]],Feriados[Data],Feriados[Feriado],1)</f>
        <v>1</v>
      </c>
      <c r="J2107" s="33" cm="1">
        <f t="array" aca="1" ref="J2107" ca="1">SUMPRODUCT(IF((NOT(ISERROR(MATCH(ROW(INDIRECT(DATE(YEAR(B2107),MONTH(B2107),1)&amp;":"&amp;DATE(YEAR(B2107),MONTH(B2107)+1,0))),Feriados[Data],0))))=FALSE,
IF(WEEKDAY(ROW(INDIRECT(DATE(YEAR(B2107),MONTH(B2107),1)&amp;":"&amp;DATE(YEAR(B2107),MONTH(B2107)+1,0))),2)&lt;=5,1,IF(WEEKDAY(ROW(INDIRECT(DATE(YEAR(B2107),MONTH(B2107),1)&amp;":"&amp;DATE(YEAR(B2107),MONTH(B2107)+1,0))),2)=6,0.5,0)),0))</f>
        <v>23.5</v>
      </c>
      <c r="K2107" s="22" cm="1">
        <f t="array" ref="K2107">_xlfn.XLOOKUP(1,((Metas_Diarias[[#This Row],[tipo_equipe_id]]=Metas[equipe])*(Metas_Diarias[[#This Row],[data]]&gt;Metas[data_inicio])*(Metas_Diarias[[#This Row],[data]]&lt;Metas[data_fim])),Metas[meta_mensal],0)</f>
        <v>68250</v>
      </c>
      <c r="L2107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108" spans="2:12" x14ac:dyDescent="0.3">
      <c r="B2108" s="34">
        <v>46299</v>
      </c>
      <c r="C2108" s="34" t="str">
        <f>TEXT(Metas_Diarias[[#This Row],[data]],"dddd")</f>
        <v>domingo</v>
      </c>
      <c r="D2108" s="33">
        <v>5</v>
      </c>
      <c r="E2108" s="33">
        <v>5</v>
      </c>
      <c r="F2108" s="18"/>
      <c r="G2108" s="35">
        <f>WEEKDAY(Metas_Diarias[[#This Row],[data]])</f>
        <v>1</v>
      </c>
      <c r="H2108" s="35" t="str">
        <f>IF(Metas_Diarias[[#This Row],[dias_da_demana]]=1,"domingo",IF(Metas_Diarias[[#This Row],[dias_da_demana]]=7,0.5,1))</f>
        <v>domingo</v>
      </c>
      <c r="I2108" s="35">
        <f>_xlfn.XLOOKUP(Metas_Diarias[[#This Row],[data]],Feriados[Data],Feriados[Feriado],1)</f>
        <v>1</v>
      </c>
      <c r="J2108" s="33" cm="1">
        <f t="array" aca="1" ref="J2108" ca="1">SUMPRODUCT(IF((NOT(ISERROR(MATCH(ROW(INDIRECT(DATE(YEAR(B2108),MONTH(B2108),1)&amp;":"&amp;DATE(YEAR(B2108),MONTH(B2108)+1,0))),Feriados[Data],0))))=FALSE,
IF(WEEKDAY(ROW(INDIRECT(DATE(YEAR(B2108),MONTH(B2108),1)&amp;":"&amp;DATE(YEAR(B2108),MONTH(B2108)+1,0))),2)&lt;=5,1,IF(WEEKDAY(ROW(INDIRECT(DATE(YEAR(B2108),MONTH(B2108),1)&amp;":"&amp;DATE(YEAR(B2108),MONTH(B2108)+1,0))),2)=6,0.5,0)),0))</f>
        <v>23.5</v>
      </c>
      <c r="K2108" s="22" cm="1">
        <f t="array" ref="K2108">_xlfn.XLOOKUP(1,((Metas_Diarias[[#This Row],[tipo_equipe_id]]=Metas[equipe])*(Metas_Diarias[[#This Row],[data]]&gt;Metas[data_inicio])*(Metas_Diarias[[#This Row],[data]]&lt;Metas[data_fim])),Metas[meta_mensal],0)</f>
        <v>68250</v>
      </c>
      <c r="L21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09" spans="2:12" x14ac:dyDescent="0.3">
      <c r="B2109" s="34">
        <v>46300</v>
      </c>
      <c r="C2109" s="34" t="str">
        <f>TEXT(Metas_Diarias[[#This Row],[data]],"dddd")</f>
        <v>segunda-feira</v>
      </c>
      <c r="D2109" s="33">
        <v>5</v>
      </c>
      <c r="E2109" s="33">
        <v>5</v>
      </c>
      <c r="F2109" s="18"/>
      <c r="G2109" s="35">
        <f>WEEKDAY(Metas_Diarias[[#This Row],[data]])</f>
        <v>2</v>
      </c>
      <c r="H2109" s="35">
        <f>IF(Metas_Diarias[[#This Row],[dias_da_demana]]=1,"domingo",IF(Metas_Diarias[[#This Row],[dias_da_demana]]=7,0.5,1))</f>
        <v>1</v>
      </c>
      <c r="I2109" s="35">
        <f>_xlfn.XLOOKUP(Metas_Diarias[[#This Row],[data]],Feriados[Data],Feriados[Feriado],1)</f>
        <v>1</v>
      </c>
      <c r="J2109" s="33" cm="1">
        <f t="array" aca="1" ref="J2109" ca="1">SUMPRODUCT(IF((NOT(ISERROR(MATCH(ROW(INDIRECT(DATE(YEAR(B2109),MONTH(B2109),1)&amp;":"&amp;DATE(YEAR(B2109),MONTH(B2109)+1,0))),Feriados[Data],0))))=FALSE,
IF(WEEKDAY(ROW(INDIRECT(DATE(YEAR(B2109),MONTH(B2109),1)&amp;":"&amp;DATE(YEAR(B2109),MONTH(B2109)+1,0))),2)&lt;=5,1,IF(WEEKDAY(ROW(INDIRECT(DATE(YEAR(B2109),MONTH(B2109),1)&amp;":"&amp;DATE(YEAR(B2109),MONTH(B2109)+1,0))),2)=6,0.5,0)),0))</f>
        <v>23.5</v>
      </c>
      <c r="K2109" s="22" cm="1">
        <f t="array" ref="K2109">_xlfn.XLOOKUP(1,((Metas_Diarias[[#This Row],[tipo_equipe_id]]=Metas[equipe])*(Metas_Diarias[[#This Row],[data]]&gt;Metas[data_inicio])*(Metas_Diarias[[#This Row],[data]]&lt;Metas[data_fim])),Metas[meta_mensal],0)</f>
        <v>68250</v>
      </c>
      <c r="L2109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10" spans="2:12" x14ac:dyDescent="0.3">
      <c r="B2110" s="34">
        <v>46301</v>
      </c>
      <c r="C2110" s="34" t="str">
        <f>TEXT(Metas_Diarias[[#This Row],[data]],"dddd")</f>
        <v>terça-feira</v>
      </c>
      <c r="D2110" s="33">
        <v>5</v>
      </c>
      <c r="E2110" s="33">
        <v>5</v>
      </c>
      <c r="F2110" s="18"/>
      <c r="G2110" s="35">
        <f>WEEKDAY(Metas_Diarias[[#This Row],[data]])</f>
        <v>3</v>
      </c>
      <c r="H2110" s="35">
        <f>IF(Metas_Diarias[[#This Row],[dias_da_demana]]=1,"domingo",IF(Metas_Diarias[[#This Row],[dias_da_demana]]=7,0.5,1))</f>
        <v>1</v>
      </c>
      <c r="I2110" s="35">
        <f>_xlfn.XLOOKUP(Metas_Diarias[[#This Row],[data]],Feriados[Data],Feriados[Feriado],1)</f>
        <v>1</v>
      </c>
      <c r="J2110" s="33" cm="1">
        <f t="array" aca="1" ref="J2110" ca="1">SUMPRODUCT(IF((NOT(ISERROR(MATCH(ROW(INDIRECT(DATE(YEAR(B2110),MONTH(B2110),1)&amp;":"&amp;DATE(YEAR(B2110),MONTH(B2110)+1,0))),Feriados[Data],0))))=FALSE,
IF(WEEKDAY(ROW(INDIRECT(DATE(YEAR(B2110),MONTH(B2110),1)&amp;":"&amp;DATE(YEAR(B2110),MONTH(B2110)+1,0))),2)&lt;=5,1,IF(WEEKDAY(ROW(INDIRECT(DATE(YEAR(B2110),MONTH(B2110),1)&amp;":"&amp;DATE(YEAR(B2110),MONTH(B2110)+1,0))),2)=6,0.5,0)),0))</f>
        <v>23.5</v>
      </c>
      <c r="K2110" s="22" cm="1">
        <f t="array" ref="K2110">_xlfn.XLOOKUP(1,((Metas_Diarias[[#This Row],[tipo_equipe_id]]=Metas[equipe])*(Metas_Diarias[[#This Row],[data]]&gt;Metas[data_inicio])*(Metas_Diarias[[#This Row],[data]]&lt;Metas[data_fim])),Metas[meta_mensal],0)</f>
        <v>68250</v>
      </c>
      <c r="L211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11" spans="2:12" x14ac:dyDescent="0.3">
      <c r="B2111" s="34">
        <v>46302</v>
      </c>
      <c r="C2111" s="34" t="str">
        <f>TEXT(Metas_Diarias[[#This Row],[data]],"dddd")</f>
        <v>quarta-feira</v>
      </c>
      <c r="D2111" s="33">
        <v>5</v>
      </c>
      <c r="E2111" s="33">
        <v>5</v>
      </c>
      <c r="F2111" s="18"/>
      <c r="G2111" s="35">
        <f>WEEKDAY(Metas_Diarias[[#This Row],[data]])</f>
        <v>4</v>
      </c>
      <c r="H2111" s="35">
        <f>IF(Metas_Diarias[[#This Row],[dias_da_demana]]=1,"domingo",IF(Metas_Diarias[[#This Row],[dias_da_demana]]=7,0.5,1))</f>
        <v>1</v>
      </c>
      <c r="I2111" s="35">
        <f>_xlfn.XLOOKUP(Metas_Diarias[[#This Row],[data]],Feriados[Data],Feriados[Feriado],1)</f>
        <v>1</v>
      </c>
      <c r="J2111" s="33" cm="1">
        <f t="array" aca="1" ref="J2111" ca="1">SUMPRODUCT(IF((NOT(ISERROR(MATCH(ROW(INDIRECT(DATE(YEAR(B2111),MONTH(B2111),1)&amp;":"&amp;DATE(YEAR(B2111),MONTH(B2111)+1,0))),Feriados[Data],0))))=FALSE,
IF(WEEKDAY(ROW(INDIRECT(DATE(YEAR(B2111),MONTH(B2111),1)&amp;":"&amp;DATE(YEAR(B2111),MONTH(B2111)+1,0))),2)&lt;=5,1,IF(WEEKDAY(ROW(INDIRECT(DATE(YEAR(B2111),MONTH(B2111),1)&amp;":"&amp;DATE(YEAR(B2111),MONTH(B2111)+1,0))),2)=6,0.5,0)),0))</f>
        <v>23.5</v>
      </c>
      <c r="K2111" s="22" cm="1">
        <f t="array" ref="K2111">_xlfn.XLOOKUP(1,((Metas_Diarias[[#This Row],[tipo_equipe_id]]=Metas[equipe])*(Metas_Diarias[[#This Row],[data]]&gt;Metas[data_inicio])*(Metas_Diarias[[#This Row],[data]]&lt;Metas[data_fim])),Metas[meta_mensal],0)</f>
        <v>68250</v>
      </c>
      <c r="L2111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12" spans="2:12" x14ac:dyDescent="0.3">
      <c r="B2112" s="34">
        <v>46303</v>
      </c>
      <c r="C2112" s="34" t="str">
        <f>TEXT(Metas_Diarias[[#This Row],[data]],"dddd")</f>
        <v>quinta-feira</v>
      </c>
      <c r="D2112" s="33">
        <v>5</v>
      </c>
      <c r="E2112" s="33">
        <v>5</v>
      </c>
      <c r="F2112" s="18"/>
      <c r="G2112" s="35">
        <f>WEEKDAY(Metas_Diarias[[#This Row],[data]])</f>
        <v>5</v>
      </c>
      <c r="H2112" s="35">
        <f>IF(Metas_Diarias[[#This Row],[dias_da_demana]]=1,"domingo",IF(Metas_Diarias[[#This Row],[dias_da_demana]]=7,0.5,1))</f>
        <v>1</v>
      </c>
      <c r="I2112" s="35">
        <f>_xlfn.XLOOKUP(Metas_Diarias[[#This Row],[data]],Feriados[Data],Feriados[Feriado],1)</f>
        <v>1</v>
      </c>
      <c r="J2112" s="33" cm="1">
        <f t="array" aca="1" ref="J2112" ca="1">SUMPRODUCT(IF((NOT(ISERROR(MATCH(ROW(INDIRECT(DATE(YEAR(B2112),MONTH(B2112),1)&amp;":"&amp;DATE(YEAR(B2112),MONTH(B2112)+1,0))),Feriados[Data],0))))=FALSE,
IF(WEEKDAY(ROW(INDIRECT(DATE(YEAR(B2112),MONTH(B2112),1)&amp;":"&amp;DATE(YEAR(B2112),MONTH(B2112)+1,0))),2)&lt;=5,1,IF(WEEKDAY(ROW(INDIRECT(DATE(YEAR(B2112),MONTH(B2112),1)&amp;":"&amp;DATE(YEAR(B2112),MONTH(B2112)+1,0))),2)=6,0.5,0)),0))</f>
        <v>23.5</v>
      </c>
      <c r="K2112" s="22" cm="1">
        <f t="array" ref="K2112">_xlfn.XLOOKUP(1,((Metas_Diarias[[#This Row],[tipo_equipe_id]]=Metas[equipe])*(Metas_Diarias[[#This Row],[data]]&gt;Metas[data_inicio])*(Metas_Diarias[[#This Row],[data]]&lt;Metas[data_fim])),Metas[meta_mensal],0)</f>
        <v>68250</v>
      </c>
      <c r="L2112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13" spans="2:12" x14ac:dyDescent="0.3">
      <c r="B2113" s="34">
        <v>46304</v>
      </c>
      <c r="C2113" s="34" t="str">
        <f>TEXT(Metas_Diarias[[#This Row],[data]],"dddd")</f>
        <v>sexta-feira</v>
      </c>
      <c r="D2113" s="33">
        <v>5</v>
      </c>
      <c r="E2113" s="33">
        <v>5</v>
      </c>
      <c r="F2113" s="18"/>
      <c r="G2113" s="35">
        <f>WEEKDAY(Metas_Diarias[[#This Row],[data]])</f>
        <v>6</v>
      </c>
      <c r="H2113" s="35">
        <f>IF(Metas_Diarias[[#This Row],[dias_da_demana]]=1,"domingo",IF(Metas_Diarias[[#This Row],[dias_da_demana]]=7,0.5,1))</f>
        <v>1</v>
      </c>
      <c r="I2113" s="35">
        <f>_xlfn.XLOOKUP(Metas_Diarias[[#This Row],[data]],Feriados[Data],Feriados[Feriado],1)</f>
        <v>1</v>
      </c>
      <c r="J2113" s="33" cm="1">
        <f t="array" aca="1" ref="J2113" ca="1">SUMPRODUCT(IF((NOT(ISERROR(MATCH(ROW(INDIRECT(DATE(YEAR(B2113),MONTH(B2113),1)&amp;":"&amp;DATE(YEAR(B2113),MONTH(B2113)+1,0))),Feriados[Data],0))))=FALSE,
IF(WEEKDAY(ROW(INDIRECT(DATE(YEAR(B2113),MONTH(B2113),1)&amp;":"&amp;DATE(YEAR(B2113),MONTH(B2113)+1,0))),2)&lt;=5,1,IF(WEEKDAY(ROW(INDIRECT(DATE(YEAR(B2113),MONTH(B2113),1)&amp;":"&amp;DATE(YEAR(B2113),MONTH(B2113)+1,0))),2)=6,0.5,0)),0))</f>
        <v>23.5</v>
      </c>
      <c r="K2113" s="22" cm="1">
        <f t="array" ref="K2113">_xlfn.XLOOKUP(1,((Metas_Diarias[[#This Row],[tipo_equipe_id]]=Metas[equipe])*(Metas_Diarias[[#This Row],[data]]&gt;Metas[data_inicio])*(Metas_Diarias[[#This Row],[data]]&lt;Metas[data_fim])),Metas[meta_mensal],0)</f>
        <v>68250</v>
      </c>
      <c r="L2113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14" spans="2:12" x14ac:dyDescent="0.3">
      <c r="B2114" s="34">
        <v>46305</v>
      </c>
      <c r="C2114" s="34" t="str">
        <f>TEXT(Metas_Diarias[[#This Row],[data]],"dddd")</f>
        <v>sábado</v>
      </c>
      <c r="D2114" s="33">
        <v>5</v>
      </c>
      <c r="E2114" s="33">
        <v>5</v>
      </c>
      <c r="F2114" s="18"/>
      <c r="G2114" s="35">
        <f>WEEKDAY(Metas_Diarias[[#This Row],[data]])</f>
        <v>7</v>
      </c>
      <c r="H2114" s="35">
        <f>IF(Metas_Diarias[[#This Row],[dias_da_demana]]=1,"domingo",IF(Metas_Diarias[[#This Row],[dias_da_demana]]=7,0.5,1))</f>
        <v>0.5</v>
      </c>
      <c r="I2114" s="35">
        <f>_xlfn.XLOOKUP(Metas_Diarias[[#This Row],[data]],Feriados[Data],Feriados[Feriado],1)</f>
        <v>1</v>
      </c>
      <c r="J2114" s="33" cm="1">
        <f t="array" aca="1" ref="J2114" ca="1">SUMPRODUCT(IF((NOT(ISERROR(MATCH(ROW(INDIRECT(DATE(YEAR(B2114),MONTH(B2114),1)&amp;":"&amp;DATE(YEAR(B2114),MONTH(B2114)+1,0))),Feriados[Data],0))))=FALSE,
IF(WEEKDAY(ROW(INDIRECT(DATE(YEAR(B2114),MONTH(B2114),1)&amp;":"&amp;DATE(YEAR(B2114),MONTH(B2114)+1,0))),2)&lt;=5,1,IF(WEEKDAY(ROW(INDIRECT(DATE(YEAR(B2114),MONTH(B2114),1)&amp;":"&amp;DATE(YEAR(B2114),MONTH(B2114)+1,0))),2)=6,0.5,0)),0))</f>
        <v>23.5</v>
      </c>
      <c r="K2114" s="22" cm="1">
        <f t="array" ref="K2114">_xlfn.XLOOKUP(1,((Metas_Diarias[[#This Row],[tipo_equipe_id]]=Metas[equipe])*(Metas_Diarias[[#This Row],[data]]&gt;Metas[data_inicio])*(Metas_Diarias[[#This Row],[data]]&lt;Metas[data_fim])),Metas[meta_mensal],0)</f>
        <v>68250</v>
      </c>
      <c r="L2114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115" spans="2:12" x14ac:dyDescent="0.3">
      <c r="B2115" s="34">
        <v>46306</v>
      </c>
      <c r="C2115" s="34" t="str">
        <f>TEXT(Metas_Diarias[[#This Row],[data]],"dddd")</f>
        <v>domingo</v>
      </c>
      <c r="D2115" s="33">
        <v>5</v>
      </c>
      <c r="E2115" s="33">
        <v>5</v>
      </c>
      <c r="F2115" s="18"/>
      <c r="G2115" s="35">
        <f>WEEKDAY(Metas_Diarias[[#This Row],[data]])</f>
        <v>1</v>
      </c>
      <c r="H2115" s="35" t="str">
        <f>IF(Metas_Diarias[[#This Row],[dias_da_demana]]=1,"domingo",IF(Metas_Diarias[[#This Row],[dias_da_demana]]=7,0.5,1))</f>
        <v>domingo</v>
      </c>
      <c r="I2115" s="35">
        <f>_xlfn.XLOOKUP(Metas_Diarias[[#This Row],[data]],Feriados[Data],Feriados[Feriado],1)</f>
        <v>1</v>
      </c>
      <c r="J2115" s="33" cm="1">
        <f t="array" aca="1" ref="J2115" ca="1">SUMPRODUCT(IF((NOT(ISERROR(MATCH(ROW(INDIRECT(DATE(YEAR(B2115),MONTH(B2115),1)&amp;":"&amp;DATE(YEAR(B2115),MONTH(B2115)+1,0))),Feriados[Data],0))))=FALSE,
IF(WEEKDAY(ROW(INDIRECT(DATE(YEAR(B2115),MONTH(B2115),1)&amp;":"&amp;DATE(YEAR(B2115),MONTH(B2115)+1,0))),2)&lt;=5,1,IF(WEEKDAY(ROW(INDIRECT(DATE(YEAR(B2115),MONTH(B2115),1)&amp;":"&amp;DATE(YEAR(B2115),MONTH(B2115)+1,0))),2)=6,0.5,0)),0))</f>
        <v>23.5</v>
      </c>
      <c r="K2115" s="22" cm="1">
        <f t="array" ref="K2115">_xlfn.XLOOKUP(1,((Metas_Diarias[[#This Row],[tipo_equipe_id]]=Metas[equipe])*(Metas_Diarias[[#This Row],[data]]&gt;Metas[data_inicio])*(Metas_Diarias[[#This Row],[data]]&lt;Metas[data_fim])),Metas[meta_mensal],0)</f>
        <v>68250</v>
      </c>
      <c r="L21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16" spans="2:12" x14ac:dyDescent="0.3">
      <c r="B2116" s="34">
        <v>46307</v>
      </c>
      <c r="C2116" s="34" t="str">
        <f>TEXT(Metas_Diarias[[#This Row],[data]],"dddd")</f>
        <v>segunda-feira</v>
      </c>
      <c r="D2116" s="33">
        <v>5</v>
      </c>
      <c r="E2116" s="33">
        <v>5</v>
      </c>
      <c r="F2116" s="18"/>
      <c r="G2116" s="35">
        <f>WEEKDAY(Metas_Diarias[[#This Row],[data]])</f>
        <v>2</v>
      </c>
      <c r="H2116" s="35">
        <f>IF(Metas_Diarias[[#This Row],[dias_da_demana]]=1,"domingo",IF(Metas_Diarias[[#This Row],[dias_da_demana]]=7,0.5,1))</f>
        <v>1</v>
      </c>
      <c r="I2116" s="35" t="str">
        <f>_xlfn.XLOOKUP(Metas_Diarias[[#This Row],[data]],Feriados[Data],Feriados[Feriado],1)</f>
        <v>Nossa Sr.a Aparecida - Padroeira do Brasil</v>
      </c>
      <c r="J2116" s="33" cm="1">
        <f t="array" aca="1" ref="J2116" ca="1">SUMPRODUCT(IF((NOT(ISERROR(MATCH(ROW(INDIRECT(DATE(YEAR(B2116),MONTH(B2116),1)&amp;":"&amp;DATE(YEAR(B2116),MONTH(B2116)+1,0))),Feriados[Data],0))))=FALSE,
IF(WEEKDAY(ROW(INDIRECT(DATE(YEAR(B2116),MONTH(B2116),1)&amp;":"&amp;DATE(YEAR(B2116),MONTH(B2116)+1,0))),2)&lt;=5,1,IF(WEEKDAY(ROW(INDIRECT(DATE(YEAR(B2116),MONTH(B2116),1)&amp;":"&amp;DATE(YEAR(B2116),MONTH(B2116)+1,0))),2)=6,0.5,0)),0))</f>
        <v>23.5</v>
      </c>
      <c r="K2116" s="22" cm="1">
        <f t="array" ref="K2116">_xlfn.XLOOKUP(1,((Metas_Diarias[[#This Row],[tipo_equipe_id]]=Metas[equipe])*(Metas_Diarias[[#This Row],[data]]&gt;Metas[data_inicio])*(Metas_Diarias[[#This Row],[data]]&lt;Metas[data_fim])),Metas[meta_mensal],0)</f>
        <v>68250</v>
      </c>
      <c r="L21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17" spans="2:12" x14ac:dyDescent="0.3">
      <c r="B2117" s="34">
        <v>46308</v>
      </c>
      <c r="C2117" s="34" t="str">
        <f>TEXT(Metas_Diarias[[#This Row],[data]],"dddd")</f>
        <v>terça-feira</v>
      </c>
      <c r="D2117" s="33">
        <v>5</v>
      </c>
      <c r="E2117" s="33">
        <v>5</v>
      </c>
      <c r="F2117" s="18"/>
      <c r="G2117" s="35">
        <f>WEEKDAY(Metas_Diarias[[#This Row],[data]])</f>
        <v>3</v>
      </c>
      <c r="H2117" s="35">
        <f>IF(Metas_Diarias[[#This Row],[dias_da_demana]]=1,"domingo",IF(Metas_Diarias[[#This Row],[dias_da_demana]]=7,0.5,1))</f>
        <v>1</v>
      </c>
      <c r="I2117" s="35">
        <f>_xlfn.XLOOKUP(Metas_Diarias[[#This Row],[data]],Feriados[Data],Feriados[Feriado],1)</f>
        <v>1</v>
      </c>
      <c r="J2117" s="33" cm="1">
        <f t="array" aca="1" ref="J2117" ca="1">SUMPRODUCT(IF((NOT(ISERROR(MATCH(ROW(INDIRECT(DATE(YEAR(B2117),MONTH(B2117),1)&amp;":"&amp;DATE(YEAR(B2117),MONTH(B2117)+1,0))),Feriados[Data],0))))=FALSE,
IF(WEEKDAY(ROW(INDIRECT(DATE(YEAR(B2117),MONTH(B2117),1)&amp;":"&amp;DATE(YEAR(B2117),MONTH(B2117)+1,0))),2)&lt;=5,1,IF(WEEKDAY(ROW(INDIRECT(DATE(YEAR(B2117),MONTH(B2117),1)&amp;":"&amp;DATE(YEAR(B2117),MONTH(B2117)+1,0))),2)=6,0.5,0)),0))</f>
        <v>23.5</v>
      </c>
      <c r="K2117" s="22" cm="1">
        <f t="array" ref="K2117">_xlfn.XLOOKUP(1,((Metas_Diarias[[#This Row],[tipo_equipe_id]]=Metas[equipe])*(Metas_Diarias[[#This Row],[data]]&gt;Metas[data_inicio])*(Metas_Diarias[[#This Row],[data]]&lt;Metas[data_fim])),Metas[meta_mensal],0)</f>
        <v>68250</v>
      </c>
      <c r="L2117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18" spans="2:12" x14ac:dyDescent="0.3">
      <c r="B2118" s="34">
        <v>46309</v>
      </c>
      <c r="C2118" s="34" t="str">
        <f>TEXT(Metas_Diarias[[#This Row],[data]],"dddd")</f>
        <v>quarta-feira</v>
      </c>
      <c r="D2118" s="33">
        <v>5</v>
      </c>
      <c r="E2118" s="33">
        <v>5</v>
      </c>
      <c r="F2118" s="18"/>
      <c r="G2118" s="35">
        <f>WEEKDAY(Metas_Diarias[[#This Row],[data]])</f>
        <v>4</v>
      </c>
      <c r="H2118" s="35">
        <f>IF(Metas_Diarias[[#This Row],[dias_da_demana]]=1,"domingo",IF(Metas_Diarias[[#This Row],[dias_da_demana]]=7,0.5,1))</f>
        <v>1</v>
      </c>
      <c r="I2118" s="35">
        <f>_xlfn.XLOOKUP(Metas_Diarias[[#This Row],[data]],Feriados[Data],Feriados[Feriado],1)</f>
        <v>1</v>
      </c>
      <c r="J2118" s="33" cm="1">
        <f t="array" aca="1" ref="J2118" ca="1">SUMPRODUCT(IF((NOT(ISERROR(MATCH(ROW(INDIRECT(DATE(YEAR(B2118),MONTH(B2118),1)&amp;":"&amp;DATE(YEAR(B2118),MONTH(B2118)+1,0))),Feriados[Data],0))))=FALSE,
IF(WEEKDAY(ROW(INDIRECT(DATE(YEAR(B2118),MONTH(B2118),1)&amp;":"&amp;DATE(YEAR(B2118),MONTH(B2118)+1,0))),2)&lt;=5,1,IF(WEEKDAY(ROW(INDIRECT(DATE(YEAR(B2118),MONTH(B2118),1)&amp;":"&amp;DATE(YEAR(B2118),MONTH(B2118)+1,0))),2)=6,0.5,0)),0))</f>
        <v>23.5</v>
      </c>
      <c r="K2118" s="22" cm="1">
        <f t="array" ref="K2118">_xlfn.XLOOKUP(1,((Metas_Diarias[[#This Row],[tipo_equipe_id]]=Metas[equipe])*(Metas_Diarias[[#This Row],[data]]&gt;Metas[data_inicio])*(Metas_Diarias[[#This Row],[data]]&lt;Metas[data_fim])),Metas[meta_mensal],0)</f>
        <v>68250</v>
      </c>
      <c r="L2118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19" spans="2:12" x14ac:dyDescent="0.3">
      <c r="B2119" s="34">
        <v>46310</v>
      </c>
      <c r="C2119" s="34" t="str">
        <f>TEXT(Metas_Diarias[[#This Row],[data]],"dddd")</f>
        <v>quinta-feira</v>
      </c>
      <c r="D2119" s="33">
        <v>5</v>
      </c>
      <c r="E2119" s="33">
        <v>5</v>
      </c>
      <c r="F2119" s="18"/>
      <c r="G2119" s="35">
        <f>WEEKDAY(Metas_Diarias[[#This Row],[data]])</f>
        <v>5</v>
      </c>
      <c r="H2119" s="35">
        <f>IF(Metas_Diarias[[#This Row],[dias_da_demana]]=1,"domingo",IF(Metas_Diarias[[#This Row],[dias_da_demana]]=7,0.5,1))</f>
        <v>1</v>
      </c>
      <c r="I2119" s="35">
        <f>_xlfn.XLOOKUP(Metas_Diarias[[#This Row],[data]],Feriados[Data],Feriados[Feriado],1)</f>
        <v>1</v>
      </c>
      <c r="J2119" s="33" cm="1">
        <f t="array" aca="1" ref="J2119" ca="1">SUMPRODUCT(IF((NOT(ISERROR(MATCH(ROW(INDIRECT(DATE(YEAR(B2119),MONTH(B2119),1)&amp;":"&amp;DATE(YEAR(B2119),MONTH(B2119)+1,0))),Feriados[Data],0))))=FALSE,
IF(WEEKDAY(ROW(INDIRECT(DATE(YEAR(B2119),MONTH(B2119),1)&amp;":"&amp;DATE(YEAR(B2119),MONTH(B2119)+1,0))),2)&lt;=5,1,IF(WEEKDAY(ROW(INDIRECT(DATE(YEAR(B2119),MONTH(B2119),1)&amp;":"&amp;DATE(YEAR(B2119),MONTH(B2119)+1,0))),2)=6,0.5,0)),0))</f>
        <v>23.5</v>
      </c>
      <c r="K2119" s="22" cm="1">
        <f t="array" ref="K2119">_xlfn.XLOOKUP(1,((Metas_Diarias[[#This Row],[tipo_equipe_id]]=Metas[equipe])*(Metas_Diarias[[#This Row],[data]]&gt;Metas[data_inicio])*(Metas_Diarias[[#This Row],[data]]&lt;Metas[data_fim])),Metas[meta_mensal],0)</f>
        <v>68250</v>
      </c>
      <c r="L2119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20" spans="2:12" x14ac:dyDescent="0.3">
      <c r="B2120" s="34">
        <v>46311</v>
      </c>
      <c r="C2120" s="34" t="str">
        <f>TEXT(Metas_Diarias[[#This Row],[data]],"dddd")</f>
        <v>sexta-feira</v>
      </c>
      <c r="D2120" s="33">
        <v>5</v>
      </c>
      <c r="E2120" s="33">
        <v>5</v>
      </c>
      <c r="F2120" s="18"/>
      <c r="G2120" s="35">
        <f>WEEKDAY(Metas_Diarias[[#This Row],[data]])</f>
        <v>6</v>
      </c>
      <c r="H2120" s="35">
        <f>IF(Metas_Diarias[[#This Row],[dias_da_demana]]=1,"domingo",IF(Metas_Diarias[[#This Row],[dias_da_demana]]=7,0.5,1))</f>
        <v>1</v>
      </c>
      <c r="I2120" s="35">
        <f>_xlfn.XLOOKUP(Metas_Diarias[[#This Row],[data]],Feriados[Data],Feriados[Feriado],1)</f>
        <v>1</v>
      </c>
      <c r="J2120" s="33" cm="1">
        <f t="array" aca="1" ref="J2120" ca="1">SUMPRODUCT(IF((NOT(ISERROR(MATCH(ROW(INDIRECT(DATE(YEAR(B2120),MONTH(B2120),1)&amp;":"&amp;DATE(YEAR(B2120),MONTH(B2120)+1,0))),Feriados[Data],0))))=FALSE,
IF(WEEKDAY(ROW(INDIRECT(DATE(YEAR(B2120),MONTH(B2120),1)&amp;":"&amp;DATE(YEAR(B2120),MONTH(B2120)+1,0))),2)&lt;=5,1,IF(WEEKDAY(ROW(INDIRECT(DATE(YEAR(B2120),MONTH(B2120),1)&amp;":"&amp;DATE(YEAR(B2120),MONTH(B2120)+1,0))),2)=6,0.5,0)),0))</f>
        <v>23.5</v>
      </c>
      <c r="K2120" s="22" cm="1">
        <f t="array" ref="K2120">_xlfn.XLOOKUP(1,((Metas_Diarias[[#This Row],[tipo_equipe_id]]=Metas[equipe])*(Metas_Diarias[[#This Row],[data]]&gt;Metas[data_inicio])*(Metas_Diarias[[#This Row],[data]]&lt;Metas[data_fim])),Metas[meta_mensal],0)</f>
        <v>68250</v>
      </c>
      <c r="L212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21" spans="2:12" x14ac:dyDescent="0.3">
      <c r="B2121" s="34">
        <v>46312</v>
      </c>
      <c r="C2121" s="34" t="str">
        <f>TEXT(Metas_Diarias[[#This Row],[data]],"dddd")</f>
        <v>sábado</v>
      </c>
      <c r="D2121" s="33">
        <v>5</v>
      </c>
      <c r="E2121" s="33">
        <v>5</v>
      </c>
      <c r="F2121" s="18"/>
      <c r="G2121" s="35">
        <f>WEEKDAY(Metas_Diarias[[#This Row],[data]])</f>
        <v>7</v>
      </c>
      <c r="H2121" s="35">
        <f>IF(Metas_Diarias[[#This Row],[dias_da_demana]]=1,"domingo",IF(Metas_Diarias[[#This Row],[dias_da_demana]]=7,0.5,1))</f>
        <v>0.5</v>
      </c>
      <c r="I2121" s="35">
        <f>_xlfn.XLOOKUP(Metas_Diarias[[#This Row],[data]],Feriados[Data],Feriados[Feriado],1)</f>
        <v>1</v>
      </c>
      <c r="J2121" s="33" cm="1">
        <f t="array" aca="1" ref="J2121" ca="1">SUMPRODUCT(IF((NOT(ISERROR(MATCH(ROW(INDIRECT(DATE(YEAR(B2121),MONTH(B2121),1)&amp;":"&amp;DATE(YEAR(B2121),MONTH(B2121)+1,0))),Feriados[Data],0))))=FALSE,
IF(WEEKDAY(ROW(INDIRECT(DATE(YEAR(B2121),MONTH(B2121),1)&amp;":"&amp;DATE(YEAR(B2121),MONTH(B2121)+1,0))),2)&lt;=5,1,IF(WEEKDAY(ROW(INDIRECT(DATE(YEAR(B2121),MONTH(B2121),1)&amp;":"&amp;DATE(YEAR(B2121),MONTH(B2121)+1,0))),2)=6,0.5,0)),0))</f>
        <v>23.5</v>
      </c>
      <c r="K2121" s="22" cm="1">
        <f t="array" ref="K2121">_xlfn.XLOOKUP(1,((Metas_Diarias[[#This Row],[tipo_equipe_id]]=Metas[equipe])*(Metas_Diarias[[#This Row],[data]]&gt;Metas[data_inicio])*(Metas_Diarias[[#This Row],[data]]&lt;Metas[data_fim])),Metas[meta_mensal],0)</f>
        <v>68250</v>
      </c>
      <c r="L2121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122" spans="2:12" x14ac:dyDescent="0.3">
      <c r="B2122" s="34">
        <v>46313</v>
      </c>
      <c r="C2122" s="34" t="str">
        <f>TEXT(Metas_Diarias[[#This Row],[data]],"dddd")</f>
        <v>domingo</v>
      </c>
      <c r="D2122" s="33">
        <v>5</v>
      </c>
      <c r="E2122" s="33">
        <v>5</v>
      </c>
      <c r="F2122" s="18"/>
      <c r="G2122" s="35">
        <f>WEEKDAY(Metas_Diarias[[#This Row],[data]])</f>
        <v>1</v>
      </c>
      <c r="H2122" s="35" t="str">
        <f>IF(Metas_Diarias[[#This Row],[dias_da_demana]]=1,"domingo",IF(Metas_Diarias[[#This Row],[dias_da_demana]]=7,0.5,1))</f>
        <v>domingo</v>
      </c>
      <c r="I2122" s="35">
        <f>_xlfn.XLOOKUP(Metas_Diarias[[#This Row],[data]],Feriados[Data],Feriados[Feriado],1)</f>
        <v>1</v>
      </c>
      <c r="J2122" s="33" cm="1">
        <f t="array" aca="1" ref="J2122" ca="1">SUMPRODUCT(IF((NOT(ISERROR(MATCH(ROW(INDIRECT(DATE(YEAR(B2122),MONTH(B2122),1)&amp;":"&amp;DATE(YEAR(B2122),MONTH(B2122)+1,0))),Feriados[Data],0))))=FALSE,
IF(WEEKDAY(ROW(INDIRECT(DATE(YEAR(B2122),MONTH(B2122),1)&amp;":"&amp;DATE(YEAR(B2122),MONTH(B2122)+1,0))),2)&lt;=5,1,IF(WEEKDAY(ROW(INDIRECT(DATE(YEAR(B2122),MONTH(B2122),1)&amp;":"&amp;DATE(YEAR(B2122),MONTH(B2122)+1,0))),2)=6,0.5,0)),0))</f>
        <v>23.5</v>
      </c>
      <c r="K2122" s="22" cm="1">
        <f t="array" ref="K2122">_xlfn.XLOOKUP(1,((Metas_Diarias[[#This Row],[tipo_equipe_id]]=Metas[equipe])*(Metas_Diarias[[#This Row],[data]]&gt;Metas[data_inicio])*(Metas_Diarias[[#This Row],[data]]&lt;Metas[data_fim])),Metas[meta_mensal],0)</f>
        <v>68250</v>
      </c>
      <c r="L21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23" spans="2:12" x14ac:dyDescent="0.3">
      <c r="B2123" s="34">
        <v>46314</v>
      </c>
      <c r="C2123" s="34" t="str">
        <f>TEXT(Metas_Diarias[[#This Row],[data]],"dddd")</f>
        <v>segunda-feira</v>
      </c>
      <c r="D2123" s="33">
        <v>5</v>
      </c>
      <c r="E2123" s="33">
        <v>5</v>
      </c>
      <c r="F2123" s="18"/>
      <c r="G2123" s="35">
        <f>WEEKDAY(Metas_Diarias[[#This Row],[data]])</f>
        <v>2</v>
      </c>
      <c r="H2123" s="35">
        <f>IF(Metas_Diarias[[#This Row],[dias_da_demana]]=1,"domingo",IF(Metas_Diarias[[#This Row],[dias_da_demana]]=7,0.5,1))</f>
        <v>1</v>
      </c>
      <c r="I2123" s="35">
        <f>_xlfn.XLOOKUP(Metas_Diarias[[#This Row],[data]],Feriados[Data],Feriados[Feriado],1)</f>
        <v>1</v>
      </c>
      <c r="J2123" s="33" cm="1">
        <f t="array" aca="1" ref="J2123" ca="1">SUMPRODUCT(IF((NOT(ISERROR(MATCH(ROW(INDIRECT(DATE(YEAR(B2123),MONTH(B2123),1)&amp;":"&amp;DATE(YEAR(B2123),MONTH(B2123)+1,0))),Feriados[Data],0))))=FALSE,
IF(WEEKDAY(ROW(INDIRECT(DATE(YEAR(B2123),MONTH(B2123),1)&amp;":"&amp;DATE(YEAR(B2123),MONTH(B2123)+1,0))),2)&lt;=5,1,IF(WEEKDAY(ROW(INDIRECT(DATE(YEAR(B2123),MONTH(B2123),1)&amp;":"&amp;DATE(YEAR(B2123),MONTH(B2123)+1,0))),2)=6,0.5,0)),0))</f>
        <v>23.5</v>
      </c>
      <c r="K2123" s="22" cm="1">
        <f t="array" ref="K2123">_xlfn.XLOOKUP(1,((Metas_Diarias[[#This Row],[tipo_equipe_id]]=Metas[equipe])*(Metas_Diarias[[#This Row],[data]]&gt;Metas[data_inicio])*(Metas_Diarias[[#This Row],[data]]&lt;Metas[data_fim])),Metas[meta_mensal],0)</f>
        <v>68250</v>
      </c>
      <c r="L2123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24" spans="2:12" x14ac:dyDescent="0.3">
      <c r="B2124" s="34">
        <v>46315</v>
      </c>
      <c r="C2124" s="34" t="str">
        <f>TEXT(Metas_Diarias[[#This Row],[data]],"dddd")</f>
        <v>terça-feira</v>
      </c>
      <c r="D2124" s="33">
        <v>5</v>
      </c>
      <c r="E2124" s="33">
        <v>5</v>
      </c>
      <c r="F2124" s="18"/>
      <c r="G2124" s="35">
        <f>WEEKDAY(Metas_Diarias[[#This Row],[data]])</f>
        <v>3</v>
      </c>
      <c r="H2124" s="35">
        <f>IF(Metas_Diarias[[#This Row],[dias_da_demana]]=1,"domingo",IF(Metas_Diarias[[#This Row],[dias_da_demana]]=7,0.5,1))</f>
        <v>1</v>
      </c>
      <c r="I2124" s="35">
        <f>_xlfn.XLOOKUP(Metas_Diarias[[#This Row],[data]],Feriados[Data],Feriados[Feriado],1)</f>
        <v>1</v>
      </c>
      <c r="J2124" s="33" cm="1">
        <f t="array" aca="1" ref="J2124" ca="1">SUMPRODUCT(IF((NOT(ISERROR(MATCH(ROW(INDIRECT(DATE(YEAR(B2124),MONTH(B2124),1)&amp;":"&amp;DATE(YEAR(B2124),MONTH(B2124)+1,0))),Feriados[Data],0))))=FALSE,
IF(WEEKDAY(ROW(INDIRECT(DATE(YEAR(B2124),MONTH(B2124),1)&amp;":"&amp;DATE(YEAR(B2124),MONTH(B2124)+1,0))),2)&lt;=5,1,IF(WEEKDAY(ROW(INDIRECT(DATE(YEAR(B2124),MONTH(B2124),1)&amp;":"&amp;DATE(YEAR(B2124),MONTH(B2124)+1,0))),2)=6,0.5,0)),0))</f>
        <v>23.5</v>
      </c>
      <c r="K2124" s="22" cm="1">
        <f t="array" ref="K2124">_xlfn.XLOOKUP(1,((Metas_Diarias[[#This Row],[tipo_equipe_id]]=Metas[equipe])*(Metas_Diarias[[#This Row],[data]]&gt;Metas[data_inicio])*(Metas_Diarias[[#This Row],[data]]&lt;Metas[data_fim])),Metas[meta_mensal],0)</f>
        <v>68250</v>
      </c>
      <c r="L2124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25" spans="2:12" x14ac:dyDescent="0.3">
      <c r="B2125" s="34">
        <v>46316</v>
      </c>
      <c r="C2125" s="34" t="str">
        <f>TEXT(Metas_Diarias[[#This Row],[data]],"dddd")</f>
        <v>quarta-feira</v>
      </c>
      <c r="D2125" s="33">
        <v>5</v>
      </c>
      <c r="E2125" s="33">
        <v>5</v>
      </c>
      <c r="F2125" s="18"/>
      <c r="G2125" s="35">
        <f>WEEKDAY(Metas_Diarias[[#This Row],[data]])</f>
        <v>4</v>
      </c>
      <c r="H2125" s="35">
        <f>IF(Metas_Diarias[[#This Row],[dias_da_demana]]=1,"domingo",IF(Metas_Diarias[[#This Row],[dias_da_demana]]=7,0.5,1))</f>
        <v>1</v>
      </c>
      <c r="I2125" s="35">
        <f>_xlfn.XLOOKUP(Metas_Diarias[[#This Row],[data]],Feriados[Data],Feriados[Feriado],1)</f>
        <v>1</v>
      </c>
      <c r="J2125" s="33" cm="1">
        <f t="array" aca="1" ref="J2125" ca="1">SUMPRODUCT(IF((NOT(ISERROR(MATCH(ROW(INDIRECT(DATE(YEAR(B2125),MONTH(B2125),1)&amp;":"&amp;DATE(YEAR(B2125),MONTH(B2125)+1,0))),Feriados[Data],0))))=FALSE,
IF(WEEKDAY(ROW(INDIRECT(DATE(YEAR(B2125),MONTH(B2125),1)&amp;":"&amp;DATE(YEAR(B2125),MONTH(B2125)+1,0))),2)&lt;=5,1,IF(WEEKDAY(ROW(INDIRECT(DATE(YEAR(B2125),MONTH(B2125),1)&amp;":"&amp;DATE(YEAR(B2125),MONTH(B2125)+1,0))),2)=6,0.5,0)),0))</f>
        <v>23.5</v>
      </c>
      <c r="K2125" s="22" cm="1">
        <f t="array" ref="K2125">_xlfn.XLOOKUP(1,((Metas_Diarias[[#This Row],[tipo_equipe_id]]=Metas[equipe])*(Metas_Diarias[[#This Row],[data]]&gt;Metas[data_inicio])*(Metas_Diarias[[#This Row],[data]]&lt;Metas[data_fim])),Metas[meta_mensal],0)</f>
        <v>68250</v>
      </c>
      <c r="L2125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26" spans="2:12" x14ac:dyDescent="0.3">
      <c r="B2126" s="34">
        <v>46317</v>
      </c>
      <c r="C2126" s="34" t="str">
        <f>TEXT(Metas_Diarias[[#This Row],[data]],"dddd")</f>
        <v>quinta-feira</v>
      </c>
      <c r="D2126" s="33">
        <v>5</v>
      </c>
      <c r="E2126" s="33">
        <v>5</v>
      </c>
      <c r="F2126" s="18"/>
      <c r="G2126" s="35">
        <f>WEEKDAY(Metas_Diarias[[#This Row],[data]])</f>
        <v>5</v>
      </c>
      <c r="H2126" s="35">
        <f>IF(Metas_Diarias[[#This Row],[dias_da_demana]]=1,"domingo",IF(Metas_Diarias[[#This Row],[dias_da_demana]]=7,0.5,1))</f>
        <v>1</v>
      </c>
      <c r="I2126" s="35">
        <f>_xlfn.XLOOKUP(Metas_Diarias[[#This Row],[data]],Feriados[Data],Feriados[Feriado],1)</f>
        <v>1</v>
      </c>
      <c r="J2126" s="33" cm="1">
        <f t="array" aca="1" ref="J2126" ca="1">SUMPRODUCT(IF((NOT(ISERROR(MATCH(ROW(INDIRECT(DATE(YEAR(B2126),MONTH(B2126),1)&amp;":"&amp;DATE(YEAR(B2126),MONTH(B2126)+1,0))),Feriados[Data],0))))=FALSE,
IF(WEEKDAY(ROW(INDIRECT(DATE(YEAR(B2126),MONTH(B2126),1)&amp;":"&amp;DATE(YEAR(B2126),MONTH(B2126)+1,0))),2)&lt;=5,1,IF(WEEKDAY(ROW(INDIRECT(DATE(YEAR(B2126),MONTH(B2126),1)&amp;":"&amp;DATE(YEAR(B2126),MONTH(B2126)+1,0))),2)=6,0.5,0)),0))</f>
        <v>23.5</v>
      </c>
      <c r="K2126" s="22" cm="1">
        <f t="array" ref="K2126">_xlfn.XLOOKUP(1,((Metas_Diarias[[#This Row],[tipo_equipe_id]]=Metas[equipe])*(Metas_Diarias[[#This Row],[data]]&gt;Metas[data_inicio])*(Metas_Diarias[[#This Row],[data]]&lt;Metas[data_fim])),Metas[meta_mensal],0)</f>
        <v>68250</v>
      </c>
      <c r="L2126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27" spans="2:12" x14ac:dyDescent="0.3">
      <c r="B2127" s="34">
        <v>46318</v>
      </c>
      <c r="C2127" s="34" t="str">
        <f>TEXT(Metas_Diarias[[#This Row],[data]],"dddd")</f>
        <v>sexta-feira</v>
      </c>
      <c r="D2127" s="33">
        <v>5</v>
      </c>
      <c r="E2127" s="33">
        <v>5</v>
      </c>
      <c r="F2127" s="18"/>
      <c r="G2127" s="35">
        <f>WEEKDAY(Metas_Diarias[[#This Row],[data]])</f>
        <v>6</v>
      </c>
      <c r="H2127" s="35">
        <f>IF(Metas_Diarias[[#This Row],[dias_da_demana]]=1,"domingo",IF(Metas_Diarias[[#This Row],[dias_da_demana]]=7,0.5,1))</f>
        <v>1</v>
      </c>
      <c r="I2127" s="35">
        <f>_xlfn.XLOOKUP(Metas_Diarias[[#This Row],[data]],Feriados[Data],Feriados[Feriado],1)</f>
        <v>1</v>
      </c>
      <c r="J2127" s="33" cm="1">
        <f t="array" aca="1" ref="J2127" ca="1">SUMPRODUCT(IF((NOT(ISERROR(MATCH(ROW(INDIRECT(DATE(YEAR(B2127),MONTH(B2127),1)&amp;":"&amp;DATE(YEAR(B2127),MONTH(B2127)+1,0))),Feriados[Data],0))))=FALSE,
IF(WEEKDAY(ROW(INDIRECT(DATE(YEAR(B2127),MONTH(B2127),1)&amp;":"&amp;DATE(YEAR(B2127),MONTH(B2127)+1,0))),2)&lt;=5,1,IF(WEEKDAY(ROW(INDIRECT(DATE(YEAR(B2127),MONTH(B2127),1)&amp;":"&amp;DATE(YEAR(B2127),MONTH(B2127)+1,0))),2)=6,0.5,0)),0))</f>
        <v>23.5</v>
      </c>
      <c r="K2127" s="22" cm="1">
        <f t="array" ref="K2127">_xlfn.XLOOKUP(1,((Metas_Diarias[[#This Row],[tipo_equipe_id]]=Metas[equipe])*(Metas_Diarias[[#This Row],[data]]&gt;Metas[data_inicio])*(Metas_Diarias[[#This Row],[data]]&lt;Metas[data_fim])),Metas[meta_mensal],0)</f>
        <v>68250</v>
      </c>
      <c r="L2127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28" spans="2:12" x14ac:dyDescent="0.3">
      <c r="B2128" s="34">
        <v>46319</v>
      </c>
      <c r="C2128" s="34" t="str">
        <f>TEXT(Metas_Diarias[[#This Row],[data]],"dddd")</f>
        <v>sábado</v>
      </c>
      <c r="D2128" s="33">
        <v>5</v>
      </c>
      <c r="E2128" s="33">
        <v>5</v>
      </c>
      <c r="F2128" s="18"/>
      <c r="G2128" s="35">
        <f>WEEKDAY(Metas_Diarias[[#This Row],[data]])</f>
        <v>7</v>
      </c>
      <c r="H2128" s="35">
        <f>IF(Metas_Diarias[[#This Row],[dias_da_demana]]=1,"domingo",IF(Metas_Diarias[[#This Row],[dias_da_demana]]=7,0.5,1))</f>
        <v>0.5</v>
      </c>
      <c r="I2128" s="35">
        <f>_xlfn.XLOOKUP(Metas_Diarias[[#This Row],[data]],Feriados[Data],Feriados[Feriado],1)</f>
        <v>1</v>
      </c>
      <c r="J2128" s="33" cm="1">
        <f t="array" aca="1" ref="J2128" ca="1">SUMPRODUCT(IF((NOT(ISERROR(MATCH(ROW(INDIRECT(DATE(YEAR(B2128),MONTH(B2128),1)&amp;":"&amp;DATE(YEAR(B2128),MONTH(B2128)+1,0))),Feriados[Data],0))))=FALSE,
IF(WEEKDAY(ROW(INDIRECT(DATE(YEAR(B2128),MONTH(B2128),1)&amp;":"&amp;DATE(YEAR(B2128),MONTH(B2128)+1,0))),2)&lt;=5,1,IF(WEEKDAY(ROW(INDIRECT(DATE(YEAR(B2128),MONTH(B2128),1)&amp;":"&amp;DATE(YEAR(B2128),MONTH(B2128)+1,0))),2)=6,0.5,0)),0))</f>
        <v>23.5</v>
      </c>
      <c r="K2128" s="22" cm="1">
        <f t="array" ref="K2128">_xlfn.XLOOKUP(1,((Metas_Diarias[[#This Row],[tipo_equipe_id]]=Metas[equipe])*(Metas_Diarias[[#This Row],[data]]&gt;Metas[data_inicio])*(Metas_Diarias[[#This Row],[data]]&lt;Metas[data_fim])),Metas[meta_mensal],0)</f>
        <v>68250</v>
      </c>
      <c r="L2128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129" spans="2:12" x14ac:dyDescent="0.3">
      <c r="B2129" s="34">
        <v>46320</v>
      </c>
      <c r="C2129" s="34" t="str">
        <f>TEXT(Metas_Diarias[[#This Row],[data]],"dddd")</f>
        <v>domingo</v>
      </c>
      <c r="D2129" s="33">
        <v>5</v>
      </c>
      <c r="E2129" s="33">
        <v>5</v>
      </c>
      <c r="F2129" s="18"/>
      <c r="G2129" s="35">
        <f>WEEKDAY(Metas_Diarias[[#This Row],[data]])</f>
        <v>1</v>
      </c>
      <c r="H2129" s="35" t="str">
        <f>IF(Metas_Diarias[[#This Row],[dias_da_demana]]=1,"domingo",IF(Metas_Diarias[[#This Row],[dias_da_demana]]=7,0.5,1))</f>
        <v>domingo</v>
      </c>
      <c r="I2129" s="35">
        <f>_xlfn.XLOOKUP(Metas_Diarias[[#This Row],[data]],Feriados[Data],Feriados[Feriado],1)</f>
        <v>1</v>
      </c>
      <c r="J2129" s="33" cm="1">
        <f t="array" aca="1" ref="J2129" ca="1">SUMPRODUCT(IF((NOT(ISERROR(MATCH(ROW(INDIRECT(DATE(YEAR(B2129),MONTH(B2129),1)&amp;":"&amp;DATE(YEAR(B2129),MONTH(B2129)+1,0))),Feriados[Data],0))))=FALSE,
IF(WEEKDAY(ROW(INDIRECT(DATE(YEAR(B2129),MONTH(B2129),1)&amp;":"&amp;DATE(YEAR(B2129),MONTH(B2129)+1,0))),2)&lt;=5,1,IF(WEEKDAY(ROW(INDIRECT(DATE(YEAR(B2129),MONTH(B2129),1)&amp;":"&amp;DATE(YEAR(B2129),MONTH(B2129)+1,0))),2)=6,0.5,0)),0))</f>
        <v>23.5</v>
      </c>
      <c r="K2129" s="22" cm="1">
        <f t="array" ref="K2129">_xlfn.XLOOKUP(1,((Metas_Diarias[[#This Row],[tipo_equipe_id]]=Metas[equipe])*(Metas_Diarias[[#This Row],[data]]&gt;Metas[data_inicio])*(Metas_Diarias[[#This Row],[data]]&lt;Metas[data_fim])),Metas[meta_mensal],0)</f>
        <v>68250</v>
      </c>
      <c r="L212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30" spans="2:12" x14ac:dyDescent="0.3">
      <c r="B2130" s="34">
        <v>46321</v>
      </c>
      <c r="C2130" s="34" t="str">
        <f>TEXT(Metas_Diarias[[#This Row],[data]],"dddd")</f>
        <v>segunda-feira</v>
      </c>
      <c r="D2130" s="33">
        <v>5</v>
      </c>
      <c r="E2130" s="33">
        <v>5</v>
      </c>
      <c r="F2130" s="18"/>
      <c r="G2130" s="35">
        <f>WEEKDAY(Metas_Diarias[[#This Row],[data]])</f>
        <v>2</v>
      </c>
      <c r="H2130" s="35">
        <f>IF(Metas_Diarias[[#This Row],[dias_da_demana]]=1,"domingo",IF(Metas_Diarias[[#This Row],[dias_da_demana]]=7,0.5,1))</f>
        <v>1</v>
      </c>
      <c r="I2130" s="35">
        <f>_xlfn.XLOOKUP(Metas_Diarias[[#This Row],[data]],Feriados[Data],Feriados[Feriado],1)</f>
        <v>1</v>
      </c>
      <c r="J2130" s="33" cm="1">
        <f t="array" aca="1" ref="J2130" ca="1">SUMPRODUCT(IF((NOT(ISERROR(MATCH(ROW(INDIRECT(DATE(YEAR(B2130),MONTH(B2130),1)&amp;":"&amp;DATE(YEAR(B2130),MONTH(B2130)+1,0))),Feriados[Data],0))))=FALSE,
IF(WEEKDAY(ROW(INDIRECT(DATE(YEAR(B2130),MONTH(B2130),1)&amp;":"&amp;DATE(YEAR(B2130),MONTH(B2130)+1,0))),2)&lt;=5,1,IF(WEEKDAY(ROW(INDIRECT(DATE(YEAR(B2130),MONTH(B2130),1)&amp;":"&amp;DATE(YEAR(B2130),MONTH(B2130)+1,0))),2)=6,0.5,0)),0))</f>
        <v>23.5</v>
      </c>
      <c r="K2130" s="22" cm="1">
        <f t="array" ref="K2130">_xlfn.XLOOKUP(1,((Metas_Diarias[[#This Row],[tipo_equipe_id]]=Metas[equipe])*(Metas_Diarias[[#This Row],[data]]&gt;Metas[data_inicio])*(Metas_Diarias[[#This Row],[data]]&lt;Metas[data_fim])),Metas[meta_mensal],0)</f>
        <v>68250</v>
      </c>
      <c r="L2130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31" spans="2:12" x14ac:dyDescent="0.3">
      <c r="B2131" s="34">
        <v>46322</v>
      </c>
      <c r="C2131" s="34" t="str">
        <f>TEXT(Metas_Diarias[[#This Row],[data]],"dddd")</f>
        <v>terça-feira</v>
      </c>
      <c r="D2131" s="33">
        <v>5</v>
      </c>
      <c r="E2131" s="33">
        <v>5</v>
      </c>
      <c r="F2131" s="18"/>
      <c r="G2131" s="35">
        <f>WEEKDAY(Metas_Diarias[[#This Row],[data]])</f>
        <v>3</v>
      </c>
      <c r="H2131" s="35">
        <f>IF(Metas_Diarias[[#This Row],[dias_da_demana]]=1,"domingo",IF(Metas_Diarias[[#This Row],[dias_da_demana]]=7,0.5,1))</f>
        <v>1</v>
      </c>
      <c r="I2131" s="35">
        <f>_xlfn.XLOOKUP(Metas_Diarias[[#This Row],[data]],Feriados[Data],Feriados[Feriado],1)</f>
        <v>1</v>
      </c>
      <c r="J2131" s="33" cm="1">
        <f t="array" aca="1" ref="J2131" ca="1">SUMPRODUCT(IF((NOT(ISERROR(MATCH(ROW(INDIRECT(DATE(YEAR(B2131),MONTH(B2131),1)&amp;":"&amp;DATE(YEAR(B2131),MONTH(B2131)+1,0))),Feriados[Data],0))))=FALSE,
IF(WEEKDAY(ROW(INDIRECT(DATE(YEAR(B2131),MONTH(B2131),1)&amp;":"&amp;DATE(YEAR(B2131),MONTH(B2131)+1,0))),2)&lt;=5,1,IF(WEEKDAY(ROW(INDIRECT(DATE(YEAR(B2131),MONTH(B2131),1)&amp;":"&amp;DATE(YEAR(B2131),MONTH(B2131)+1,0))),2)=6,0.5,0)),0))</f>
        <v>23.5</v>
      </c>
      <c r="K2131" s="22" cm="1">
        <f t="array" ref="K2131">_xlfn.XLOOKUP(1,((Metas_Diarias[[#This Row],[tipo_equipe_id]]=Metas[equipe])*(Metas_Diarias[[#This Row],[data]]&gt;Metas[data_inicio])*(Metas_Diarias[[#This Row],[data]]&lt;Metas[data_fim])),Metas[meta_mensal],0)</f>
        <v>68250</v>
      </c>
      <c r="L2131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32" spans="2:12" x14ac:dyDescent="0.3">
      <c r="B2132" s="34">
        <v>46323</v>
      </c>
      <c r="C2132" s="34" t="str">
        <f>TEXT(Metas_Diarias[[#This Row],[data]],"dddd")</f>
        <v>quarta-feira</v>
      </c>
      <c r="D2132" s="33">
        <v>5</v>
      </c>
      <c r="E2132" s="33">
        <v>5</v>
      </c>
      <c r="F2132" s="18"/>
      <c r="G2132" s="35">
        <f>WEEKDAY(Metas_Diarias[[#This Row],[data]])</f>
        <v>4</v>
      </c>
      <c r="H2132" s="35">
        <f>IF(Metas_Diarias[[#This Row],[dias_da_demana]]=1,"domingo",IF(Metas_Diarias[[#This Row],[dias_da_demana]]=7,0.5,1))</f>
        <v>1</v>
      </c>
      <c r="I2132" s="35">
        <f>_xlfn.XLOOKUP(Metas_Diarias[[#This Row],[data]],Feriados[Data],Feriados[Feriado],1)</f>
        <v>1</v>
      </c>
      <c r="J2132" s="33" cm="1">
        <f t="array" aca="1" ref="J2132" ca="1">SUMPRODUCT(IF((NOT(ISERROR(MATCH(ROW(INDIRECT(DATE(YEAR(B2132),MONTH(B2132),1)&amp;":"&amp;DATE(YEAR(B2132),MONTH(B2132)+1,0))),Feriados[Data],0))))=FALSE,
IF(WEEKDAY(ROW(INDIRECT(DATE(YEAR(B2132),MONTH(B2132),1)&amp;":"&amp;DATE(YEAR(B2132),MONTH(B2132)+1,0))),2)&lt;=5,1,IF(WEEKDAY(ROW(INDIRECT(DATE(YEAR(B2132),MONTH(B2132),1)&amp;":"&amp;DATE(YEAR(B2132),MONTH(B2132)+1,0))),2)=6,0.5,0)),0))</f>
        <v>23.5</v>
      </c>
      <c r="K2132" s="22" cm="1">
        <f t="array" ref="K2132">_xlfn.XLOOKUP(1,((Metas_Diarias[[#This Row],[tipo_equipe_id]]=Metas[equipe])*(Metas_Diarias[[#This Row],[data]]&gt;Metas[data_inicio])*(Metas_Diarias[[#This Row],[data]]&lt;Metas[data_fim])),Metas[meta_mensal],0)</f>
        <v>68250</v>
      </c>
      <c r="L2132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33" spans="2:12" x14ac:dyDescent="0.3">
      <c r="B2133" s="34">
        <v>46324</v>
      </c>
      <c r="C2133" s="34" t="str">
        <f>TEXT(Metas_Diarias[[#This Row],[data]],"dddd")</f>
        <v>quinta-feira</v>
      </c>
      <c r="D2133" s="33">
        <v>5</v>
      </c>
      <c r="E2133" s="33">
        <v>5</v>
      </c>
      <c r="F2133" s="18"/>
      <c r="G2133" s="35">
        <f>WEEKDAY(Metas_Diarias[[#This Row],[data]])</f>
        <v>5</v>
      </c>
      <c r="H2133" s="35">
        <f>IF(Metas_Diarias[[#This Row],[dias_da_demana]]=1,"domingo",IF(Metas_Diarias[[#This Row],[dias_da_demana]]=7,0.5,1))</f>
        <v>1</v>
      </c>
      <c r="I2133" s="35">
        <f>_xlfn.XLOOKUP(Metas_Diarias[[#This Row],[data]],Feriados[Data],Feriados[Feriado],1)</f>
        <v>1</v>
      </c>
      <c r="J2133" s="33" cm="1">
        <f t="array" aca="1" ref="J2133" ca="1">SUMPRODUCT(IF((NOT(ISERROR(MATCH(ROW(INDIRECT(DATE(YEAR(B2133),MONTH(B2133),1)&amp;":"&amp;DATE(YEAR(B2133),MONTH(B2133)+1,0))),Feriados[Data],0))))=FALSE,
IF(WEEKDAY(ROW(INDIRECT(DATE(YEAR(B2133),MONTH(B2133),1)&amp;":"&amp;DATE(YEAR(B2133),MONTH(B2133)+1,0))),2)&lt;=5,1,IF(WEEKDAY(ROW(INDIRECT(DATE(YEAR(B2133),MONTH(B2133),1)&amp;":"&amp;DATE(YEAR(B2133),MONTH(B2133)+1,0))),2)=6,0.5,0)),0))</f>
        <v>23.5</v>
      </c>
      <c r="K2133" s="22" cm="1">
        <f t="array" ref="K2133">_xlfn.XLOOKUP(1,((Metas_Diarias[[#This Row],[tipo_equipe_id]]=Metas[equipe])*(Metas_Diarias[[#This Row],[data]]&gt;Metas[data_inicio])*(Metas_Diarias[[#This Row],[data]]&lt;Metas[data_fim])),Metas[meta_mensal],0)</f>
        <v>68250</v>
      </c>
      <c r="L2133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34" spans="2:12" x14ac:dyDescent="0.3">
      <c r="B2134" s="34">
        <v>46325</v>
      </c>
      <c r="C2134" s="34" t="str">
        <f>TEXT(Metas_Diarias[[#This Row],[data]],"dddd")</f>
        <v>sexta-feira</v>
      </c>
      <c r="D2134" s="33">
        <v>5</v>
      </c>
      <c r="E2134" s="33">
        <v>5</v>
      </c>
      <c r="F2134" s="18"/>
      <c r="G2134" s="35">
        <f>WEEKDAY(Metas_Diarias[[#This Row],[data]])</f>
        <v>6</v>
      </c>
      <c r="H2134" s="35">
        <f>IF(Metas_Diarias[[#This Row],[dias_da_demana]]=1,"domingo",IF(Metas_Diarias[[#This Row],[dias_da_demana]]=7,0.5,1))</f>
        <v>1</v>
      </c>
      <c r="I2134" s="35">
        <f>_xlfn.XLOOKUP(Metas_Diarias[[#This Row],[data]],Feriados[Data],Feriados[Feriado],1)</f>
        <v>1</v>
      </c>
      <c r="J2134" s="33" cm="1">
        <f t="array" aca="1" ref="J2134" ca="1">SUMPRODUCT(IF((NOT(ISERROR(MATCH(ROW(INDIRECT(DATE(YEAR(B2134),MONTH(B2134),1)&amp;":"&amp;DATE(YEAR(B2134),MONTH(B2134)+1,0))),Feriados[Data],0))))=FALSE,
IF(WEEKDAY(ROW(INDIRECT(DATE(YEAR(B2134),MONTH(B2134),1)&amp;":"&amp;DATE(YEAR(B2134),MONTH(B2134)+1,0))),2)&lt;=5,1,IF(WEEKDAY(ROW(INDIRECT(DATE(YEAR(B2134),MONTH(B2134),1)&amp;":"&amp;DATE(YEAR(B2134),MONTH(B2134)+1,0))),2)=6,0.5,0)),0))</f>
        <v>23.5</v>
      </c>
      <c r="K2134" s="22" cm="1">
        <f t="array" ref="K2134">_xlfn.XLOOKUP(1,((Metas_Diarias[[#This Row],[tipo_equipe_id]]=Metas[equipe])*(Metas_Diarias[[#This Row],[data]]&gt;Metas[data_inicio])*(Metas_Diarias[[#This Row],[data]]&lt;Metas[data_fim])),Metas[meta_mensal],0)</f>
        <v>68250</v>
      </c>
      <c r="L2134" s="24">
        <f ca="1">Metas_Diarias[[#This Row],[meta_mensal]]*IF(Metas_Diarias[[#This Row],[semana]]="domingo",0,Metas_Diarias[[#This Row],[semana]])*IF(Metas_Diarias[[#This Row],[feriado]]&lt;&gt;1,0,1)/Metas_Diarias[[#This Row],[dias_úteis_Mês]]</f>
        <v>2904.255319148936</v>
      </c>
    </row>
    <row r="2135" spans="2:12" x14ac:dyDescent="0.3">
      <c r="B2135" s="34">
        <v>46326</v>
      </c>
      <c r="C2135" s="34" t="str">
        <f>TEXT(Metas_Diarias[[#This Row],[data]],"dddd")</f>
        <v>sábado</v>
      </c>
      <c r="D2135" s="33">
        <v>5</v>
      </c>
      <c r="E2135" s="33">
        <v>5</v>
      </c>
      <c r="F2135" s="18"/>
      <c r="G2135" s="35">
        <f>WEEKDAY(Metas_Diarias[[#This Row],[data]])</f>
        <v>7</v>
      </c>
      <c r="H2135" s="35">
        <f>IF(Metas_Diarias[[#This Row],[dias_da_demana]]=1,"domingo",IF(Metas_Diarias[[#This Row],[dias_da_demana]]=7,0.5,1))</f>
        <v>0.5</v>
      </c>
      <c r="I2135" s="35">
        <f>_xlfn.XLOOKUP(Metas_Diarias[[#This Row],[data]],Feriados[Data],Feriados[Feriado],1)</f>
        <v>1</v>
      </c>
      <c r="J2135" s="33" cm="1">
        <f t="array" aca="1" ref="J2135" ca="1">SUMPRODUCT(IF((NOT(ISERROR(MATCH(ROW(INDIRECT(DATE(YEAR(B2135),MONTH(B2135),1)&amp;":"&amp;DATE(YEAR(B2135),MONTH(B2135)+1,0))),Feriados[Data],0))))=FALSE,
IF(WEEKDAY(ROW(INDIRECT(DATE(YEAR(B2135),MONTH(B2135),1)&amp;":"&amp;DATE(YEAR(B2135),MONTH(B2135)+1,0))),2)&lt;=5,1,IF(WEEKDAY(ROW(INDIRECT(DATE(YEAR(B2135),MONTH(B2135),1)&amp;":"&amp;DATE(YEAR(B2135),MONTH(B2135)+1,0))),2)=6,0.5,0)),0))</f>
        <v>23.5</v>
      </c>
      <c r="K2135" s="22" cm="1">
        <f t="array" ref="K2135">_xlfn.XLOOKUP(1,((Metas_Diarias[[#This Row],[tipo_equipe_id]]=Metas[equipe])*(Metas_Diarias[[#This Row],[data]]&gt;Metas[data_inicio])*(Metas_Diarias[[#This Row],[data]]&lt;Metas[data_fim])),Metas[meta_mensal],0)</f>
        <v>68250</v>
      </c>
      <c r="L2135" s="24">
        <f ca="1">Metas_Diarias[[#This Row],[meta_mensal]]*IF(Metas_Diarias[[#This Row],[semana]]="domingo",0,Metas_Diarias[[#This Row],[semana]])*IF(Metas_Diarias[[#This Row],[feriado]]&lt;&gt;1,0,1)/Metas_Diarias[[#This Row],[dias_úteis_Mês]]</f>
        <v>1452.127659574468</v>
      </c>
    </row>
    <row r="2136" spans="2:12" x14ac:dyDescent="0.3">
      <c r="B2136" s="34">
        <v>46327</v>
      </c>
      <c r="C2136" s="34" t="str">
        <f>TEXT(Metas_Diarias[[#This Row],[data]],"dddd")</f>
        <v>domingo</v>
      </c>
      <c r="D2136" s="33">
        <v>5</v>
      </c>
      <c r="E2136" s="33">
        <v>5</v>
      </c>
      <c r="F2136" s="18"/>
      <c r="G2136" s="35">
        <f>WEEKDAY(Metas_Diarias[[#This Row],[data]])</f>
        <v>1</v>
      </c>
      <c r="H2136" s="35" t="str">
        <f>IF(Metas_Diarias[[#This Row],[dias_da_demana]]=1,"domingo",IF(Metas_Diarias[[#This Row],[dias_da_demana]]=7,0.5,1))</f>
        <v>domingo</v>
      </c>
      <c r="I2136" s="35">
        <f>_xlfn.XLOOKUP(Metas_Diarias[[#This Row],[data]],Feriados[Data],Feriados[Feriado],1)</f>
        <v>1</v>
      </c>
      <c r="J2136" s="33" cm="1">
        <f t="array" aca="1" ref="J2136" ca="1">SUMPRODUCT(IF((NOT(ISERROR(MATCH(ROW(INDIRECT(DATE(YEAR(B2136),MONTH(B2136),1)&amp;":"&amp;DATE(YEAR(B2136),MONTH(B2136)+1,0))),Feriados[Data],0))))=FALSE,
IF(WEEKDAY(ROW(INDIRECT(DATE(YEAR(B2136),MONTH(B2136),1)&amp;":"&amp;DATE(YEAR(B2136),MONTH(B2136)+1,0))),2)&lt;=5,1,IF(WEEKDAY(ROW(INDIRECT(DATE(YEAR(B2136),MONTH(B2136),1)&amp;":"&amp;DATE(YEAR(B2136),MONTH(B2136)+1,0))),2)=6,0.5,0)),0))</f>
        <v>22</v>
      </c>
      <c r="K2136" s="22" cm="1">
        <f t="array" ref="K2136">_xlfn.XLOOKUP(1,((Metas_Diarias[[#This Row],[tipo_equipe_id]]=Metas[equipe])*(Metas_Diarias[[#This Row],[data]]&gt;Metas[data_inicio])*(Metas_Diarias[[#This Row],[data]]&lt;Metas[data_fim])),Metas[meta_mensal],0)</f>
        <v>68250</v>
      </c>
      <c r="L213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37" spans="2:12" x14ac:dyDescent="0.3">
      <c r="B2137" s="34">
        <v>46328</v>
      </c>
      <c r="C2137" s="34" t="str">
        <f>TEXT(Metas_Diarias[[#This Row],[data]],"dddd")</f>
        <v>segunda-feira</v>
      </c>
      <c r="D2137" s="33">
        <v>5</v>
      </c>
      <c r="E2137" s="33">
        <v>5</v>
      </c>
      <c r="F2137" s="18"/>
      <c r="G2137" s="35">
        <f>WEEKDAY(Metas_Diarias[[#This Row],[data]])</f>
        <v>2</v>
      </c>
      <c r="H2137" s="35">
        <f>IF(Metas_Diarias[[#This Row],[dias_da_demana]]=1,"domingo",IF(Metas_Diarias[[#This Row],[dias_da_demana]]=7,0.5,1))</f>
        <v>1</v>
      </c>
      <c r="I2137" s="35" t="str">
        <f>_xlfn.XLOOKUP(Metas_Diarias[[#This Row],[data]],Feriados[Data],Feriados[Feriado],1)</f>
        <v>Finados</v>
      </c>
      <c r="J2137" s="33" cm="1">
        <f t="array" aca="1" ref="J2137" ca="1">SUMPRODUCT(IF((NOT(ISERROR(MATCH(ROW(INDIRECT(DATE(YEAR(B2137),MONTH(B2137),1)&amp;":"&amp;DATE(YEAR(B2137),MONTH(B2137)+1,0))),Feriados[Data],0))))=FALSE,
IF(WEEKDAY(ROW(INDIRECT(DATE(YEAR(B2137),MONTH(B2137),1)&amp;":"&amp;DATE(YEAR(B2137),MONTH(B2137)+1,0))),2)&lt;=5,1,IF(WEEKDAY(ROW(INDIRECT(DATE(YEAR(B2137),MONTH(B2137),1)&amp;":"&amp;DATE(YEAR(B2137),MONTH(B2137)+1,0))),2)=6,0.5,0)),0))</f>
        <v>22</v>
      </c>
      <c r="K2137" s="22" cm="1">
        <f t="array" ref="K2137">_xlfn.XLOOKUP(1,((Metas_Diarias[[#This Row],[tipo_equipe_id]]=Metas[equipe])*(Metas_Diarias[[#This Row],[data]]&gt;Metas[data_inicio])*(Metas_Diarias[[#This Row],[data]]&lt;Metas[data_fim])),Metas[meta_mensal],0)</f>
        <v>68250</v>
      </c>
      <c r="L213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38" spans="2:12" x14ac:dyDescent="0.3">
      <c r="B2138" s="34">
        <v>46329</v>
      </c>
      <c r="C2138" s="34" t="str">
        <f>TEXT(Metas_Diarias[[#This Row],[data]],"dddd")</f>
        <v>terça-feira</v>
      </c>
      <c r="D2138" s="33">
        <v>5</v>
      </c>
      <c r="E2138" s="33">
        <v>5</v>
      </c>
      <c r="F2138" s="18"/>
      <c r="G2138" s="35">
        <f>WEEKDAY(Metas_Diarias[[#This Row],[data]])</f>
        <v>3</v>
      </c>
      <c r="H2138" s="35">
        <f>IF(Metas_Diarias[[#This Row],[dias_da_demana]]=1,"domingo",IF(Metas_Diarias[[#This Row],[dias_da_demana]]=7,0.5,1))</f>
        <v>1</v>
      </c>
      <c r="I2138" s="35">
        <f>_xlfn.XLOOKUP(Metas_Diarias[[#This Row],[data]],Feriados[Data],Feriados[Feriado],1)</f>
        <v>1</v>
      </c>
      <c r="J2138" s="33" cm="1">
        <f t="array" aca="1" ref="J2138" ca="1">SUMPRODUCT(IF((NOT(ISERROR(MATCH(ROW(INDIRECT(DATE(YEAR(B2138),MONTH(B2138),1)&amp;":"&amp;DATE(YEAR(B2138),MONTH(B2138)+1,0))),Feriados[Data],0))))=FALSE,
IF(WEEKDAY(ROW(INDIRECT(DATE(YEAR(B2138),MONTH(B2138),1)&amp;":"&amp;DATE(YEAR(B2138),MONTH(B2138)+1,0))),2)&lt;=5,1,IF(WEEKDAY(ROW(INDIRECT(DATE(YEAR(B2138),MONTH(B2138),1)&amp;":"&amp;DATE(YEAR(B2138),MONTH(B2138)+1,0))),2)=6,0.5,0)),0))</f>
        <v>22</v>
      </c>
      <c r="K2138" s="22" cm="1">
        <f t="array" ref="K2138">_xlfn.XLOOKUP(1,((Metas_Diarias[[#This Row],[tipo_equipe_id]]=Metas[equipe])*(Metas_Diarias[[#This Row],[data]]&gt;Metas[data_inicio])*(Metas_Diarias[[#This Row],[data]]&lt;Metas[data_fim])),Metas[meta_mensal],0)</f>
        <v>68250</v>
      </c>
      <c r="L2138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39" spans="2:12" x14ac:dyDescent="0.3">
      <c r="B2139" s="34">
        <v>46330</v>
      </c>
      <c r="C2139" s="34" t="str">
        <f>TEXT(Metas_Diarias[[#This Row],[data]],"dddd")</f>
        <v>quarta-feira</v>
      </c>
      <c r="D2139" s="33">
        <v>5</v>
      </c>
      <c r="E2139" s="33">
        <v>5</v>
      </c>
      <c r="F2139" s="18"/>
      <c r="G2139" s="35">
        <f>WEEKDAY(Metas_Diarias[[#This Row],[data]])</f>
        <v>4</v>
      </c>
      <c r="H2139" s="35">
        <f>IF(Metas_Diarias[[#This Row],[dias_da_demana]]=1,"domingo",IF(Metas_Diarias[[#This Row],[dias_da_demana]]=7,0.5,1))</f>
        <v>1</v>
      </c>
      <c r="I2139" s="35">
        <f>_xlfn.XLOOKUP(Metas_Diarias[[#This Row],[data]],Feriados[Data],Feriados[Feriado],1)</f>
        <v>1</v>
      </c>
      <c r="J2139" s="33" cm="1">
        <f t="array" aca="1" ref="J2139" ca="1">SUMPRODUCT(IF((NOT(ISERROR(MATCH(ROW(INDIRECT(DATE(YEAR(B2139),MONTH(B2139),1)&amp;":"&amp;DATE(YEAR(B2139),MONTH(B2139)+1,0))),Feriados[Data],0))))=FALSE,
IF(WEEKDAY(ROW(INDIRECT(DATE(YEAR(B2139),MONTH(B2139),1)&amp;":"&amp;DATE(YEAR(B2139),MONTH(B2139)+1,0))),2)&lt;=5,1,IF(WEEKDAY(ROW(INDIRECT(DATE(YEAR(B2139),MONTH(B2139),1)&amp;":"&amp;DATE(YEAR(B2139),MONTH(B2139)+1,0))),2)=6,0.5,0)),0))</f>
        <v>22</v>
      </c>
      <c r="K2139" s="22" cm="1">
        <f t="array" ref="K2139">_xlfn.XLOOKUP(1,((Metas_Diarias[[#This Row],[tipo_equipe_id]]=Metas[equipe])*(Metas_Diarias[[#This Row],[data]]&gt;Metas[data_inicio])*(Metas_Diarias[[#This Row],[data]]&lt;Metas[data_fim])),Metas[meta_mensal],0)</f>
        <v>68250</v>
      </c>
      <c r="L2139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40" spans="2:12" x14ac:dyDescent="0.3">
      <c r="B2140" s="34">
        <v>46331</v>
      </c>
      <c r="C2140" s="34" t="str">
        <f>TEXT(Metas_Diarias[[#This Row],[data]],"dddd")</f>
        <v>quinta-feira</v>
      </c>
      <c r="D2140" s="33">
        <v>5</v>
      </c>
      <c r="E2140" s="33">
        <v>5</v>
      </c>
      <c r="F2140" s="18"/>
      <c r="G2140" s="35">
        <f>WEEKDAY(Metas_Diarias[[#This Row],[data]])</f>
        <v>5</v>
      </c>
      <c r="H2140" s="35">
        <f>IF(Metas_Diarias[[#This Row],[dias_da_demana]]=1,"domingo",IF(Metas_Diarias[[#This Row],[dias_da_demana]]=7,0.5,1))</f>
        <v>1</v>
      </c>
      <c r="I2140" s="35">
        <f>_xlfn.XLOOKUP(Metas_Diarias[[#This Row],[data]],Feriados[Data],Feriados[Feriado],1)</f>
        <v>1</v>
      </c>
      <c r="J2140" s="33" cm="1">
        <f t="array" aca="1" ref="J2140" ca="1">SUMPRODUCT(IF((NOT(ISERROR(MATCH(ROW(INDIRECT(DATE(YEAR(B2140),MONTH(B2140),1)&amp;":"&amp;DATE(YEAR(B2140),MONTH(B2140)+1,0))),Feriados[Data],0))))=FALSE,
IF(WEEKDAY(ROW(INDIRECT(DATE(YEAR(B2140),MONTH(B2140),1)&amp;":"&amp;DATE(YEAR(B2140),MONTH(B2140)+1,0))),2)&lt;=5,1,IF(WEEKDAY(ROW(INDIRECT(DATE(YEAR(B2140),MONTH(B2140),1)&amp;":"&amp;DATE(YEAR(B2140),MONTH(B2140)+1,0))),2)=6,0.5,0)),0))</f>
        <v>22</v>
      </c>
      <c r="K2140" s="22" cm="1">
        <f t="array" ref="K2140">_xlfn.XLOOKUP(1,((Metas_Diarias[[#This Row],[tipo_equipe_id]]=Metas[equipe])*(Metas_Diarias[[#This Row],[data]]&gt;Metas[data_inicio])*(Metas_Diarias[[#This Row],[data]]&lt;Metas[data_fim])),Metas[meta_mensal],0)</f>
        <v>68250</v>
      </c>
      <c r="L2140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41" spans="2:12" x14ac:dyDescent="0.3">
      <c r="B2141" s="34">
        <v>46332</v>
      </c>
      <c r="C2141" s="34" t="str">
        <f>TEXT(Metas_Diarias[[#This Row],[data]],"dddd")</f>
        <v>sexta-feira</v>
      </c>
      <c r="D2141" s="33">
        <v>5</v>
      </c>
      <c r="E2141" s="33">
        <v>5</v>
      </c>
      <c r="F2141" s="18"/>
      <c r="G2141" s="35">
        <f>WEEKDAY(Metas_Diarias[[#This Row],[data]])</f>
        <v>6</v>
      </c>
      <c r="H2141" s="35">
        <f>IF(Metas_Diarias[[#This Row],[dias_da_demana]]=1,"domingo",IF(Metas_Diarias[[#This Row],[dias_da_demana]]=7,0.5,1))</f>
        <v>1</v>
      </c>
      <c r="I2141" s="35">
        <f>_xlfn.XLOOKUP(Metas_Diarias[[#This Row],[data]],Feriados[Data],Feriados[Feriado],1)</f>
        <v>1</v>
      </c>
      <c r="J2141" s="33" cm="1">
        <f t="array" aca="1" ref="J2141" ca="1">SUMPRODUCT(IF((NOT(ISERROR(MATCH(ROW(INDIRECT(DATE(YEAR(B2141),MONTH(B2141),1)&amp;":"&amp;DATE(YEAR(B2141),MONTH(B2141)+1,0))),Feriados[Data],0))))=FALSE,
IF(WEEKDAY(ROW(INDIRECT(DATE(YEAR(B2141),MONTH(B2141),1)&amp;":"&amp;DATE(YEAR(B2141),MONTH(B2141)+1,0))),2)&lt;=5,1,IF(WEEKDAY(ROW(INDIRECT(DATE(YEAR(B2141),MONTH(B2141),1)&amp;":"&amp;DATE(YEAR(B2141),MONTH(B2141)+1,0))),2)=6,0.5,0)),0))</f>
        <v>22</v>
      </c>
      <c r="K2141" s="22" cm="1">
        <f t="array" ref="K2141">_xlfn.XLOOKUP(1,((Metas_Diarias[[#This Row],[tipo_equipe_id]]=Metas[equipe])*(Metas_Diarias[[#This Row],[data]]&gt;Metas[data_inicio])*(Metas_Diarias[[#This Row],[data]]&lt;Metas[data_fim])),Metas[meta_mensal],0)</f>
        <v>68250</v>
      </c>
      <c r="L2141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42" spans="2:12" x14ac:dyDescent="0.3">
      <c r="B2142" s="34">
        <v>46333</v>
      </c>
      <c r="C2142" s="34" t="str">
        <f>TEXT(Metas_Diarias[[#This Row],[data]],"dddd")</f>
        <v>sábado</v>
      </c>
      <c r="D2142" s="33">
        <v>5</v>
      </c>
      <c r="E2142" s="33">
        <v>5</v>
      </c>
      <c r="F2142" s="18"/>
      <c r="G2142" s="35">
        <f>WEEKDAY(Metas_Diarias[[#This Row],[data]])</f>
        <v>7</v>
      </c>
      <c r="H2142" s="35">
        <f>IF(Metas_Diarias[[#This Row],[dias_da_demana]]=1,"domingo",IF(Metas_Diarias[[#This Row],[dias_da_demana]]=7,0.5,1))</f>
        <v>0.5</v>
      </c>
      <c r="I2142" s="35">
        <f>_xlfn.XLOOKUP(Metas_Diarias[[#This Row],[data]],Feriados[Data],Feriados[Feriado],1)</f>
        <v>1</v>
      </c>
      <c r="J2142" s="33" cm="1">
        <f t="array" aca="1" ref="J2142" ca="1">SUMPRODUCT(IF((NOT(ISERROR(MATCH(ROW(INDIRECT(DATE(YEAR(B2142),MONTH(B2142),1)&amp;":"&amp;DATE(YEAR(B2142),MONTH(B2142)+1,0))),Feriados[Data],0))))=FALSE,
IF(WEEKDAY(ROW(INDIRECT(DATE(YEAR(B2142),MONTH(B2142),1)&amp;":"&amp;DATE(YEAR(B2142),MONTH(B2142)+1,0))),2)&lt;=5,1,IF(WEEKDAY(ROW(INDIRECT(DATE(YEAR(B2142),MONTH(B2142),1)&amp;":"&amp;DATE(YEAR(B2142),MONTH(B2142)+1,0))),2)=6,0.5,0)),0))</f>
        <v>22</v>
      </c>
      <c r="K2142" s="22" cm="1">
        <f t="array" ref="K2142">_xlfn.XLOOKUP(1,((Metas_Diarias[[#This Row],[tipo_equipe_id]]=Metas[equipe])*(Metas_Diarias[[#This Row],[data]]&gt;Metas[data_inicio])*(Metas_Diarias[[#This Row],[data]]&lt;Metas[data_fim])),Metas[meta_mensal],0)</f>
        <v>68250</v>
      </c>
      <c r="L2142" s="24">
        <f ca="1">Metas_Diarias[[#This Row],[meta_mensal]]*IF(Metas_Diarias[[#This Row],[semana]]="domingo",0,Metas_Diarias[[#This Row],[semana]])*IF(Metas_Diarias[[#This Row],[feriado]]&lt;&gt;1,0,1)/Metas_Diarias[[#This Row],[dias_úteis_Mês]]</f>
        <v>1551.1363636363637</v>
      </c>
    </row>
    <row r="2143" spans="2:12" x14ac:dyDescent="0.3">
      <c r="B2143" s="34">
        <v>46334</v>
      </c>
      <c r="C2143" s="34" t="str">
        <f>TEXT(Metas_Diarias[[#This Row],[data]],"dddd")</f>
        <v>domingo</v>
      </c>
      <c r="D2143" s="33">
        <v>5</v>
      </c>
      <c r="E2143" s="33">
        <v>5</v>
      </c>
      <c r="F2143" s="18"/>
      <c r="G2143" s="35">
        <f>WEEKDAY(Metas_Diarias[[#This Row],[data]])</f>
        <v>1</v>
      </c>
      <c r="H2143" s="35" t="str">
        <f>IF(Metas_Diarias[[#This Row],[dias_da_demana]]=1,"domingo",IF(Metas_Diarias[[#This Row],[dias_da_demana]]=7,0.5,1))</f>
        <v>domingo</v>
      </c>
      <c r="I2143" s="35">
        <f>_xlfn.XLOOKUP(Metas_Diarias[[#This Row],[data]],Feriados[Data],Feriados[Feriado],1)</f>
        <v>1</v>
      </c>
      <c r="J2143" s="33" cm="1">
        <f t="array" aca="1" ref="J2143" ca="1">SUMPRODUCT(IF((NOT(ISERROR(MATCH(ROW(INDIRECT(DATE(YEAR(B2143),MONTH(B2143),1)&amp;":"&amp;DATE(YEAR(B2143),MONTH(B2143)+1,0))),Feriados[Data],0))))=FALSE,
IF(WEEKDAY(ROW(INDIRECT(DATE(YEAR(B2143),MONTH(B2143),1)&amp;":"&amp;DATE(YEAR(B2143),MONTH(B2143)+1,0))),2)&lt;=5,1,IF(WEEKDAY(ROW(INDIRECT(DATE(YEAR(B2143),MONTH(B2143),1)&amp;":"&amp;DATE(YEAR(B2143),MONTH(B2143)+1,0))),2)=6,0.5,0)),0))</f>
        <v>22</v>
      </c>
      <c r="K2143" s="22" cm="1">
        <f t="array" ref="K2143">_xlfn.XLOOKUP(1,((Metas_Diarias[[#This Row],[tipo_equipe_id]]=Metas[equipe])*(Metas_Diarias[[#This Row],[data]]&gt;Metas[data_inicio])*(Metas_Diarias[[#This Row],[data]]&lt;Metas[data_fim])),Metas[meta_mensal],0)</f>
        <v>68250</v>
      </c>
      <c r="L21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44" spans="2:12" x14ac:dyDescent="0.3">
      <c r="B2144" s="34">
        <v>46335</v>
      </c>
      <c r="C2144" s="34" t="str">
        <f>TEXT(Metas_Diarias[[#This Row],[data]],"dddd")</f>
        <v>segunda-feira</v>
      </c>
      <c r="D2144" s="33">
        <v>5</v>
      </c>
      <c r="E2144" s="33">
        <v>5</v>
      </c>
      <c r="F2144" s="18"/>
      <c r="G2144" s="35">
        <f>WEEKDAY(Metas_Diarias[[#This Row],[data]])</f>
        <v>2</v>
      </c>
      <c r="H2144" s="35">
        <f>IF(Metas_Diarias[[#This Row],[dias_da_demana]]=1,"domingo",IF(Metas_Diarias[[#This Row],[dias_da_demana]]=7,0.5,1))</f>
        <v>1</v>
      </c>
      <c r="I2144" s="35">
        <f>_xlfn.XLOOKUP(Metas_Diarias[[#This Row],[data]],Feriados[Data],Feriados[Feriado],1)</f>
        <v>1</v>
      </c>
      <c r="J2144" s="33" cm="1">
        <f t="array" aca="1" ref="J2144" ca="1">SUMPRODUCT(IF((NOT(ISERROR(MATCH(ROW(INDIRECT(DATE(YEAR(B2144),MONTH(B2144),1)&amp;":"&amp;DATE(YEAR(B2144),MONTH(B2144)+1,0))),Feriados[Data],0))))=FALSE,
IF(WEEKDAY(ROW(INDIRECT(DATE(YEAR(B2144),MONTH(B2144),1)&amp;":"&amp;DATE(YEAR(B2144),MONTH(B2144)+1,0))),2)&lt;=5,1,IF(WEEKDAY(ROW(INDIRECT(DATE(YEAR(B2144),MONTH(B2144),1)&amp;":"&amp;DATE(YEAR(B2144),MONTH(B2144)+1,0))),2)=6,0.5,0)),0))</f>
        <v>22</v>
      </c>
      <c r="K2144" s="22" cm="1">
        <f t="array" ref="K2144">_xlfn.XLOOKUP(1,((Metas_Diarias[[#This Row],[tipo_equipe_id]]=Metas[equipe])*(Metas_Diarias[[#This Row],[data]]&gt;Metas[data_inicio])*(Metas_Diarias[[#This Row],[data]]&lt;Metas[data_fim])),Metas[meta_mensal],0)</f>
        <v>68250</v>
      </c>
      <c r="L2144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45" spans="2:12" x14ac:dyDescent="0.3">
      <c r="B2145" s="34">
        <v>46336</v>
      </c>
      <c r="C2145" s="34" t="str">
        <f>TEXT(Metas_Diarias[[#This Row],[data]],"dddd")</f>
        <v>terça-feira</v>
      </c>
      <c r="D2145" s="33">
        <v>5</v>
      </c>
      <c r="E2145" s="33">
        <v>5</v>
      </c>
      <c r="F2145" s="18"/>
      <c r="G2145" s="35">
        <f>WEEKDAY(Metas_Diarias[[#This Row],[data]])</f>
        <v>3</v>
      </c>
      <c r="H2145" s="35">
        <f>IF(Metas_Diarias[[#This Row],[dias_da_demana]]=1,"domingo",IF(Metas_Diarias[[#This Row],[dias_da_demana]]=7,0.5,1))</f>
        <v>1</v>
      </c>
      <c r="I2145" s="35">
        <f>_xlfn.XLOOKUP(Metas_Diarias[[#This Row],[data]],Feriados[Data],Feriados[Feriado],1)</f>
        <v>1</v>
      </c>
      <c r="J2145" s="33" cm="1">
        <f t="array" aca="1" ref="J2145" ca="1">SUMPRODUCT(IF((NOT(ISERROR(MATCH(ROW(INDIRECT(DATE(YEAR(B2145),MONTH(B2145),1)&amp;":"&amp;DATE(YEAR(B2145),MONTH(B2145)+1,0))),Feriados[Data],0))))=FALSE,
IF(WEEKDAY(ROW(INDIRECT(DATE(YEAR(B2145),MONTH(B2145),1)&amp;":"&amp;DATE(YEAR(B2145),MONTH(B2145)+1,0))),2)&lt;=5,1,IF(WEEKDAY(ROW(INDIRECT(DATE(YEAR(B2145),MONTH(B2145),1)&amp;":"&amp;DATE(YEAR(B2145),MONTH(B2145)+1,0))),2)=6,0.5,0)),0))</f>
        <v>22</v>
      </c>
      <c r="K2145" s="22" cm="1">
        <f t="array" ref="K2145">_xlfn.XLOOKUP(1,((Metas_Diarias[[#This Row],[tipo_equipe_id]]=Metas[equipe])*(Metas_Diarias[[#This Row],[data]]&gt;Metas[data_inicio])*(Metas_Diarias[[#This Row],[data]]&lt;Metas[data_fim])),Metas[meta_mensal],0)</f>
        <v>68250</v>
      </c>
      <c r="L2145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46" spans="2:12" x14ac:dyDescent="0.3">
      <c r="B2146" s="34">
        <v>46337</v>
      </c>
      <c r="C2146" s="34" t="str">
        <f>TEXT(Metas_Diarias[[#This Row],[data]],"dddd")</f>
        <v>quarta-feira</v>
      </c>
      <c r="D2146" s="33">
        <v>5</v>
      </c>
      <c r="E2146" s="33">
        <v>5</v>
      </c>
      <c r="F2146" s="18"/>
      <c r="G2146" s="35">
        <f>WEEKDAY(Metas_Diarias[[#This Row],[data]])</f>
        <v>4</v>
      </c>
      <c r="H2146" s="35">
        <f>IF(Metas_Diarias[[#This Row],[dias_da_demana]]=1,"domingo",IF(Metas_Diarias[[#This Row],[dias_da_demana]]=7,0.5,1))</f>
        <v>1</v>
      </c>
      <c r="I2146" s="35">
        <f>_xlfn.XLOOKUP(Metas_Diarias[[#This Row],[data]],Feriados[Data],Feriados[Feriado],1)</f>
        <v>1</v>
      </c>
      <c r="J2146" s="33" cm="1">
        <f t="array" aca="1" ref="J2146" ca="1">SUMPRODUCT(IF((NOT(ISERROR(MATCH(ROW(INDIRECT(DATE(YEAR(B2146),MONTH(B2146),1)&amp;":"&amp;DATE(YEAR(B2146),MONTH(B2146)+1,0))),Feriados[Data],0))))=FALSE,
IF(WEEKDAY(ROW(INDIRECT(DATE(YEAR(B2146),MONTH(B2146),1)&amp;":"&amp;DATE(YEAR(B2146),MONTH(B2146)+1,0))),2)&lt;=5,1,IF(WEEKDAY(ROW(INDIRECT(DATE(YEAR(B2146),MONTH(B2146),1)&amp;":"&amp;DATE(YEAR(B2146),MONTH(B2146)+1,0))),2)=6,0.5,0)),0))</f>
        <v>22</v>
      </c>
      <c r="K2146" s="22" cm="1">
        <f t="array" ref="K2146">_xlfn.XLOOKUP(1,((Metas_Diarias[[#This Row],[tipo_equipe_id]]=Metas[equipe])*(Metas_Diarias[[#This Row],[data]]&gt;Metas[data_inicio])*(Metas_Diarias[[#This Row],[data]]&lt;Metas[data_fim])),Metas[meta_mensal],0)</f>
        <v>68250</v>
      </c>
      <c r="L2146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47" spans="2:12" x14ac:dyDescent="0.3">
      <c r="B2147" s="34">
        <v>46338</v>
      </c>
      <c r="C2147" s="34" t="str">
        <f>TEXT(Metas_Diarias[[#This Row],[data]],"dddd")</f>
        <v>quinta-feira</v>
      </c>
      <c r="D2147" s="33">
        <v>5</v>
      </c>
      <c r="E2147" s="33">
        <v>5</v>
      </c>
      <c r="F2147" s="18"/>
      <c r="G2147" s="35">
        <f>WEEKDAY(Metas_Diarias[[#This Row],[data]])</f>
        <v>5</v>
      </c>
      <c r="H2147" s="35">
        <f>IF(Metas_Diarias[[#This Row],[dias_da_demana]]=1,"domingo",IF(Metas_Diarias[[#This Row],[dias_da_demana]]=7,0.5,1))</f>
        <v>1</v>
      </c>
      <c r="I2147" s="35">
        <f>_xlfn.XLOOKUP(Metas_Diarias[[#This Row],[data]],Feriados[Data],Feriados[Feriado],1)</f>
        <v>1</v>
      </c>
      <c r="J2147" s="33" cm="1">
        <f t="array" aca="1" ref="J2147" ca="1">SUMPRODUCT(IF((NOT(ISERROR(MATCH(ROW(INDIRECT(DATE(YEAR(B2147),MONTH(B2147),1)&amp;":"&amp;DATE(YEAR(B2147),MONTH(B2147)+1,0))),Feriados[Data],0))))=FALSE,
IF(WEEKDAY(ROW(INDIRECT(DATE(YEAR(B2147),MONTH(B2147),1)&amp;":"&amp;DATE(YEAR(B2147),MONTH(B2147)+1,0))),2)&lt;=5,1,IF(WEEKDAY(ROW(INDIRECT(DATE(YEAR(B2147),MONTH(B2147),1)&amp;":"&amp;DATE(YEAR(B2147),MONTH(B2147)+1,0))),2)=6,0.5,0)),0))</f>
        <v>22</v>
      </c>
      <c r="K2147" s="22" cm="1">
        <f t="array" ref="K2147">_xlfn.XLOOKUP(1,((Metas_Diarias[[#This Row],[tipo_equipe_id]]=Metas[equipe])*(Metas_Diarias[[#This Row],[data]]&gt;Metas[data_inicio])*(Metas_Diarias[[#This Row],[data]]&lt;Metas[data_fim])),Metas[meta_mensal],0)</f>
        <v>68250</v>
      </c>
      <c r="L2147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48" spans="2:12" x14ac:dyDescent="0.3">
      <c r="B2148" s="34">
        <v>46339</v>
      </c>
      <c r="C2148" s="34" t="str">
        <f>TEXT(Metas_Diarias[[#This Row],[data]],"dddd")</f>
        <v>sexta-feira</v>
      </c>
      <c r="D2148" s="33">
        <v>5</v>
      </c>
      <c r="E2148" s="33">
        <v>5</v>
      </c>
      <c r="F2148" s="18"/>
      <c r="G2148" s="35">
        <f>WEEKDAY(Metas_Diarias[[#This Row],[data]])</f>
        <v>6</v>
      </c>
      <c r="H2148" s="35">
        <f>IF(Metas_Diarias[[#This Row],[dias_da_demana]]=1,"domingo",IF(Metas_Diarias[[#This Row],[dias_da_demana]]=7,0.5,1))</f>
        <v>1</v>
      </c>
      <c r="I2148" s="35">
        <f>_xlfn.XLOOKUP(Metas_Diarias[[#This Row],[data]],Feriados[Data],Feriados[Feriado],1)</f>
        <v>1</v>
      </c>
      <c r="J2148" s="33" cm="1">
        <f t="array" aca="1" ref="J2148" ca="1">SUMPRODUCT(IF((NOT(ISERROR(MATCH(ROW(INDIRECT(DATE(YEAR(B2148),MONTH(B2148),1)&amp;":"&amp;DATE(YEAR(B2148),MONTH(B2148)+1,0))),Feriados[Data],0))))=FALSE,
IF(WEEKDAY(ROW(INDIRECT(DATE(YEAR(B2148),MONTH(B2148),1)&amp;":"&amp;DATE(YEAR(B2148),MONTH(B2148)+1,0))),2)&lt;=5,1,IF(WEEKDAY(ROW(INDIRECT(DATE(YEAR(B2148),MONTH(B2148),1)&amp;":"&amp;DATE(YEAR(B2148),MONTH(B2148)+1,0))),2)=6,0.5,0)),0))</f>
        <v>22</v>
      </c>
      <c r="K2148" s="22" cm="1">
        <f t="array" ref="K2148">_xlfn.XLOOKUP(1,((Metas_Diarias[[#This Row],[tipo_equipe_id]]=Metas[equipe])*(Metas_Diarias[[#This Row],[data]]&gt;Metas[data_inicio])*(Metas_Diarias[[#This Row],[data]]&lt;Metas[data_fim])),Metas[meta_mensal],0)</f>
        <v>68250</v>
      </c>
      <c r="L2148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49" spans="2:12" x14ac:dyDescent="0.3">
      <c r="B2149" s="34">
        <v>46340</v>
      </c>
      <c r="C2149" s="34" t="str">
        <f>TEXT(Metas_Diarias[[#This Row],[data]],"dddd")</f>
        <v>sábado</v>
      </c>
      <c r="D2149" s="33">
        <v>5</v>
      </c>
      <c r="E2149" s="33">
        <v>5</v>
      </c>
      <c r="F2149" s="18"/>
      <c r="G2149" s="35">
        <f>WEEKDAY(Metas_Diarias[[#This Row],[data]])</f>
        <v>7</v>
      </c>
      <c r="H2149" s="35">
        <f>IF(Metas_Diarias[[#This Row],[dias_da_demana]]=1,"domingo",IF(Metas_Diarias[[#This Row],[dias_da_demana]]=7,0.5,1))</f>
        <v>0.5</v>
      </c>
      <c r="I2149" s="35">
        <f>_xlfn.XLOOKUP(Metas_Diarias[[#This Row],[data]],Feriados[Data],Feriados[Feriado],1)</f>
        <v>1</v>
      </c>
      <c r="J2149" s="33" cm="1">
        <f t="array" aca="1" ref="J2149" ca="1">SUMPRODUCT(IF((NOT(ISERROR(MATCH(ROW(INDIRECT(DATE(YEAR(B2149),MONTH(B2149),1)&amp;":"&amp;DATE(YEAR(B2149),MONTH(B2149)+1,0))),Feriados[Data],0))))=FALSE,
IF(WEEKDAY(ROW(INDIRECT(DATE(YEAR(B2149),MONTH(B2149),1)&amp;":"&amp;DATE(YEAR(B2149),MONTH(B2149)+1,0))),2)&lt;=5,1,IF(WEEKDAY(ROW(INDIRECT(DATE(YEAR(B2149),MONTH(B2149),1)&amp;":"&amp;DATE(YEAR(B2149),MONTH(B2149)+1,0))),2)=6,0.5,0)),0))</f>
        <v>22</v>
      </c>
      <c r="K2149" s="22" cm="1">
        <f t="array" ref="K2149">_xlfn.XLOOKUP(1,((Metas_Diarias[[#This Row],[tipo_equipe_id]]=Metas[equipe])*(Metas_Diarias[[#This Row],[data]]&gt;Metas[data_inicio])*(Metas_Diarias[[#This Row],[data]]&lt;Metas[data_fim])),Metas[meta_mensal],0)</f>
        <v>68250</v>
      </c>
      <c r="L2149" s="24">
        <f ca="1">Metas_Diarias[[#This Row],[meta_mensal]]*IF(Metas_Diarias[[#This Row],[semana]]="domingo",0,Metas_Diarias[[#This Row],[semana]])*IF(Metas_Diarias[[#This Row],[feriado]]&lt;&gt;1,0,1)/Metas_Diarias[[#This Row],[dias_úteis_Mês]]</f>
        <v>1551.1363636363637</v>
      </c>
    </row>
    <row r="2150" spans="2:12" x14ac:dyDescent="0.3">
      <c r="B2150" s="34">
        <v>46341</v>
      </c>
      <c r="C2150" s="34" t="str">
        <f>TEXT(Metas_Diarias[[#This Row],[data]],"dddd")</f>
        <v>domingo</v>
      </c>
      <c r="D2150" s="33">
        <v>5</v>
      </c>
      <c r="E2150" s="33">
        <v>5</v>
      </c>
      <c r="F2150" s="18"/>
      <c r="G2150" s="35">
        <f>WEEKDAY(Metas_Diarias[[#This Row],[data]])</f>
        <v>1</v>
      </c>
      <c r="H2150" s="35" t="str">
        <f>IF(Metas_Diarias[[#This Row],[dias_da_demana]]=1,"domingo",IF(Metas_Diarias[[#This Row],[dias_da_demana]]=7,0.5,1))</f>
        <v>domingo</v>
      </c>
      <c r="I2150" s="35" t="str">
        <f>_xlfn.XLOOKUP(Metas_Diarias[[#This Row],[data]],Feriados[Data],Feriados[Feriado],1)</f>
        <v>Proclamação da República</v>
      </c>
      <c r="J2150" s="33" cm="1">
        <f t="array" aca="1" ref="J2150" ca="1">SUMPRODUCT(IF((NOT(ISERROR(MATCH(ROW(INDIRECT(DATE(YEAR(B2150),MONTH(B2150),1)&amp;":"&amp;DATE(YEAR(B2150),MONTH(B2150)+1,0))),Feriados[Data],0))))=FALSE,
IF(WEEKDAY(ROW(INDIRECT(DATE(YEAR(B2150),MONTH(B2150),1)&amp;":"&amp;DATE(YEAR(B2150),MONTH(B2150)+1,0))),2)&lt;=5,1,IF(WEEKDAY(ROW(INDIRECT(DATE(YEAR(B2150),MONTH(B2150),1)&amp;":"&amp;DATE(YEAR(B2150),MONTH(B2150)+1,0))),2)=6,0.5,0)),0))</f>
        <v>22</v>
      </c>
      <c r="K2150" s="22" cm="1">
        <f t="array" ref="K2150">_xlfn.XLOOKUP(1,((Metas_Diarias[[#This Row],[tipo_equipe_id]]=Metas[equipe])*(Metas_Diarias[[#This Row],[data]]&gt;Metas[data_inicio])*(Metas_Diarias[[#This Row],[data]]&lt;Metas[data_fim])),Metas[meta_mensal],0)</f>
        <v>68250</v>
      </c>
      <c r="L215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51" spans="2:12" x14ac:dyDescent="0.3">
      <c r="B2151" s="34">
        <v>46342</v>
      </c>
      <c r="C2151" s="34" t="str">
        <f>TEXT(Metas_Diarias[[#This Row],[data]],"dddd")</f>
        <v>segunda-feira</v>
      </c>
      <c r="D2151" s="33">
        <v>5</v>
      </c>
      <c r="E2151" s="33">
        <v>5</v>
      </c>
      <c r="F2151" s="18"/>
      <c r="G2151" s="35">
        <f>WEEKDAY(Metas_Diarias[[#This Row],[data]])</f>
        <v>2</v>
      </c>
      <c r="H2151" s="35">
        <f>IF(Metas_Diarias[[#This Row],[dias_da_demana]]=1,"domingo",IF(Metas_Diarias[[#This Row],[dias_da_demana]]=7,0.5,1))</f>
        <v>1</v>
      </c>
      <c r="I2151" s="35">
        <f>_xlfn.XLOOKUP(Metas_Diarias[[#This Row],[data]],Feriados[Data],Feriados[Feriado],1)</f>
        <v>1</v>
      </c>
      <c r="J2151" s="33" cm="1">
        <f t="array" aca="1" ref="J2151" ca="1">SUMPRODUCT(IF((NOT(ISERROR(MATCH(ROW(INDIRECT(DATE(YEAR(B2151),MONTH(B2151),1)&amp;":"&amp;DATE(YEAR(B2151),MONTH(B2151)+1,0))),Feriados[Data],0))))=FALSE,
IF(WEEKDAY(ROW(INDIRECT(DATE(YEAR(B2151),MONTH(B2151),1)&amp;":"&amp;DATE(YEAR(B2151),MONTH(B2151)+1,0))),2)&lt;=5,1,IF(WEEKDAY(ROW(INDIRECT(DATE(YEAR(B2151),MONTH(B2151),1)&amp;":"&amp;DATE(YEAR(B2151),MONTH(B2151)+1,0))),2)=6,0.5,0)),0))</f>
        <v>22</v>
      </c>
      <c r="K2151" s="22" cm="1">
        <f t="array" ref="K2151">_xlfn.XLOOKUP(1,((Metas_Diarias[[#This Row],[tipo_equipe_id]]=Metas[equipe])*(Metas_Diarias[[#This Row],[data]]&gt;Metas[data_inicio])*(Metas_Diarias[[#This Row],[data]]&lt;Metas[data_fim])),Metas[meta_mensal],0)</f>
        <v>68250</v>
      </c>
      <c r="L2151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52" spans="2:12" x14ac:dyDescent="0.3">
      <c r="B2152" s="34">
        <v>46343</v>
      </c>
      <c r="C2152" s="34" t="str">
        <f>TEXT(Metas_Diarias[[#This Row],[data]],"dddd")</f>
        <v>terça-feira</v>
      </c>
      <c r="D2152" s="33">
        <v>5</v>
      </c>
      <c r="E2152" s="33">
        <v>5</v>
      </c>
      <c r="F2152" s="18"/>
      <c r="G2152" s="35">
        <f>WEEKDAY(Metas_Diarias[[#This Row],[data]])</f>
        <v>3</v>
      </c>
      <c r="H2152" s="35">
        <f>IF(Metas_Diarias[[#This Row],[dias_da_demana]]=1,"domingo",IF(Metas_Diarias[[#This Row],[dias_da_demana]]=7,0.5,1))</f>
        <v>1</v>
      </c>
      <c r="I2152" s="35">
        <f>_xlfn.XLOOKUP(Metas_Diarias[[#This Row],[data]],Feriados[Data],Feriados[Feriado],1)</f>
        <v>1</v>
      </c>
      <c r="J2152" s="33" cm="1">
        <f t="array" aca="1" ref="J2152" ca="1">SUMPRODUCT(IF((NOT(ISERROR(MATCH(ROW(INDIRECT(DATE(YEAR(B2152),MONTH(B2152),1)&amp;":"&amp;DATE(YEAR(B2152),MONTH(B2152)+1,0))),Feriados[Data],0))))=FALSE,
IF(WEEKDAY(ROW(INDIRECT(DATE(YEAR(B2152),MONTH(B2152),1)&amp;":"&amp;DATE(YEAR(B2152),MONTH(B2152)+1,0))),2)&lt;=5,1,IF(WEEKDAY(ROW(INDIRECT(DATE(YEAR(B2152),MONTH(B2152),1)&amp;":"&amp;DATE(YEAR(B2152),MONTH(B2152)+1,0))),2)=6,0.5,0)),0))</f>
        <v>22</v>
      </c>
      <c r="K2152" s="22" cm="1">
        <f t="array" ref="K2152">_xlfn.XLOOKUP(1,((Metas_Diarias[[#This Row],[tipo_equipe_id]]=Metas[equipe])*(Metas_Diarias[[#This Row],[data]]&gt;Metas[data_inicio])*(Metas_Diarias[[#This Row],[data]]&lt;Metas[data_fim])),Metas[meta_mensal],0)</f>
        <v>68250</v>
      </c>
      <c r="L2152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53" spans="2:12" x14ac:dyDescent="0.3">
      <c r="B2153" s="34">
        <v>46344</v>
      </c>
      <c r="C2153" s="34" t="str">
        <f>TEXT(Metas_Diarias[[#This Row],[data]],"dddd")</f>
        <v>quarta-feira</v>
      </c>
      <c r="D2153" s="33">
        <v>5</v>
      </c>
      <c r="E2153" s="33">
        <v>5</v>
      </c>
      <c r="F2153" s="18"/>
      <c r="G2153" s="35">
        <f>WEEKDAY(Metas_Diarias[[#This Row],[data]])</f>
        <v>4</v>
      </c>
      <c r="H2153" s="35">
        <f>IF(Metas_Diarias[[#This Row],[dias_da_demana]]=1,"domingo",IF(Metas_Diarias[[#This Row],[dias_da_demana]]=7,0.5,1))</f>
        <v>1</v>
      </c>
      <c r="I2153" s="35">
        <f>_xlfn.XLOOKUP(Metas_Diarias[[#This Row],[data]],Feriados[Data],Feriados[Feriado],1)</f>
        <v>1</v>
      </c>
      <c r="J2153" s="33" cm="1">
        <f t="array" aca="1" ref="J2153" ca="1">SUMPRODUCT(IF((NOT(ISERROR(MATCH(ROW(INDIRECT(DATE(YEAR(B2153),MONTH(B2153),1)&amp;":"&amp;DATE(YEAR(B2153),MONTH(B2153)+1,0))),Feriados[Data],0))))=FALSE,
IF(WEEKDAY(ROW(INDIRECT(DATE(YEAR(B2153),MONTH(B2153),1)&amp;":"&amp;DATE(YEAR(B2153),MONTH(B2153)+1,0))),2)&lt;=5,1,IF(WEEKDAY(ROW(INDIRECT(DATE(YEAR(B2153),MONTH(B2153),1)&amp;":"&amp;DATE(YEAR(B2153),MONTH(B2153)+1,0))),2)=6,0.5,0)),0))</f>
        <v>22</v>
      </c>
      <c r="K2153" s="22" cm="1">
        <f t="array" ref="K2153">_xlfn.XLOOKUP(1,((Metas_Diarias[[#This Row],[tipo_equipe_id]]=Metas[equipe])*(Metas_Diarias[[#This Row],[data]]&gt;Metas[data_inicio])*(Metas_Diarias[[#This Row],[data]]&lt;Metas[data_fim])),Metas[meta_mensal],0)</f>
        <v>68250</v>
      </c>
      <c r="L2153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54" spans="2:12" x14ac:dyDescent="0.3">
      <c r="B2154" s="34">
        <v>46345</v>
      </c>
      <c r="C2154" s="34" t="str">
        <f>TEXT(Metas_Diarias[[#This Row],[data]],"dddd")</f>
        <v>quinta-feira</v>
      </c>
      <c r="D2154" s="33">
        <v>5</v>
      </c>
      <c r="E2154" s="33">
        <v>5</v>
      </c>
      <c r="F2154" s="18"/>
      <c r="G2154" s="35">
        <f>WEEKDAY(Metas_Diarias[[#This Row],[data]])</f>
        <v>5</v>
      </c>
      <c r="H2154" s="35">
        <f>IF(Metas_Diarias[[#This Row],[dias_da_demana]]=1,"domingo",IF(Metas_Diarias[[#This Row],[dias_da_demana]]=7,0.5,1))</f>
        <v>1</v>
      </c>
      <c r="I2154" s="35">
        <f>_xlfn.XLOOKUP(Metas_Diarias[[#This Row],[data]],Feriados[Data],Feriados[Feriado],1)</f>
        <v>1</v>
      </c>
      <c r="J2154" s="33" cm="1">
        <f t="array" aca="1" ref="J2154" ca="1">SUMPRODUCT(IF((NOT(ISERROR(MATCH(ROW(INDIRECT(DATE(YEAR(B2154),MONTH(B2154),1)&amp;":"&amp;DATE(YEAR(B2154),MONTH(B2154)+1,0))),Feriados[Data],0))))=FALSE,
IF(WEEKDAY(ROW(INDIRECT(DATE(YEAR(B2154),MONTH(B2154),1)&amp;":"&amp;DATE(YEAR(B2154),MONTH(B2154)+1,0))),2)&lt;=5,1,IF(WEEKDAY(ROW(INDIRECT(DATE(YEAR(B2154),MONTH(B2154),1)&amp;":"&amp;DATE(YEAR(B2154),MONTH(B2154)+1,0))),2)=6,0.5,0)),0))</f>
        <v>22</v>
      </c>
      <c r="K2154" s="22" cm="1">
        <f t="array" ref="K2154">_xlfn.XLOOKUP(1,((Metas_Diarias[[#This Row],[tipo_equipe_id]]=Metas[equipe])*(Metas_Diarias[[#This Row],[data]]&gt;Metas[data_inicio])*(Metas_Diarias[[#This Row],[data]]&lt;Metas[data_fim])),Metas[meta_mensal],0)</f>
        <v>68250</v>
      </c>
      <c r="L2154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55" spans="2:12" x14ac:dyDescent="0.3">
      <c r="B2155" s="34">
        <v>46346</v>
      </c>
      <c r="C2155" s="34" t="str">
        <f>TEXT(Metas_Diarias[[#This Row],[data]],"dddd")</f>
        <v>sexta-feira</v>
      </c>
      <c r="D2155" s="33">
        <v>5</v>
      </c>
      <c r="E2155" s="33">
        <v>5</v>
      </c>
      <c r="F2155" s="18"/>
      <c r="G2155" s="35">
        <f>WEEKDAY(Metas_Diarias[[#This Row],[data]])</f>
        <v>6</v>
      </c>
      <c r="H2155" s="35">
        <f>IF(Metas_Diarias[[#This Row],[dias_da_demana]]=1,"domingo",IF(Metas_Diarias[[#This Row],[dias_da_demana]]=7,0.5,1))</f>
        <v>1</v>
      </c>
      <c r="I2155" s="35">
        <f>_xlfn.XLOOKUP(Metas_Diarias[[#This Row],[data]],Feriados[Data],Feriados[Feriado],1)</f>
        <v>1</v>
      </c>
      <c r="J2155" s="33" cm="1">
        <f t="array" aca="1" ref="J2155" ca="1">SUMPRODUCT(IF((NOT(ISERROR(MATCH(ROW(INDIRECT(DATE(YEAR(B2155),MONTH(B2155),1)&amp;":"&amp;DATE(YEAR(B2155),MONTH(B2155)+1,0))),Feriados[Data],0))))=FALSE,
IF(WEEKDAY(ROW(INDIRECT(DATE(YEAR(B2155),MONTH(B2155),1)&amp;":"&amp;DATE(YEAR(B2155),MONTH(B2155)+1,0))),2)&lt;=5,1,IF(WEEKDAY(ROW(INDIRECT(DATE(YEAR(B2155),MONTH(B2155),1)&amp;":"&amp;DATE(YEAR(B2155),MONTH(B2155)+1,0))),2)=6,0.5,0)),0))</f>
        <v>22</v>
      </c>
      <c r="K2155" s="22" cm="1">
        <f t="array" ref="K2155">_xlfn.XLOOKUP(1,((Metas_Diarias[[#This Row],[tipo_equipe_id]]=Metas[equipe])*(Metas_Diarias[[#This Row],[data]]&gt;Metas[data_inicio])*(Metas_Diarias[[#This Row],[data]]&lt;Metas[data_fim])),Metas[meta_mensal],0)</f>
        <v>68250</v>
      </c>
      <c r="L2155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56" spans="2:12" x14ac:dyDescent="0.3">
      <c r="B2156" s="34">
        <v>46347</v>
      </c>
      <c r="C2156" s="34" t="str">
        <f>TEXT(Metas_Diarias[[#This Row],[data]],"dddd")</f>
        <v>sábado</v>
      </c>
      <c r="D2156" s="33">
        <v>5</v>
      </c>
      <c r="E2156" s="33">
        <v>5</v>
      </c>
      <c r="F2156" s="18"/>
      <c r="G2156" s="35">
        <f>WEEKDAY(Metas_Diarias[[#This Row],[data]])</f>
        <v>7</v>
      </c>
      <c r="H2156" s="35">
        <f>IF(Metas_Diarias[[#This Row],[dias_da_demana]]=1,"domingo",IF(Metas_Diarias[[#This Row],[dias_da_demana]]=7,0.5,1))</f>
        <v>0.5</v>
      </c>
      <c r="I2156" s="35">
        <f>_xlfn.XLOOKUP(Metas_Diarias[[#This Row],[data]],Feriados[Data],Feriados[Feriado],1)</f>
        <v>1</v>
      </c>
      <c r="J2156" s="33" cm="1">
        <f t="array" aca="1" ref="J2156" ca="1">SUMPRODUCT(IF((NOT(ISERROR(MATCH(ROW(INDIRECT(DATE(YEAR(B2156),MONTH(B2156),1)&amp;":"&amp;DATE(YEAR(B2156),MONTH(B2156)+1,0))),Feriados[Data],0))))=FALSE,
IF(WEEKDAY(ROW(INDIRECT(DATE(YEAR(B2156),MONTH(B2156),1)&amp;":"&amp;DATE(YEAR(B2156),MONTH(B2156)+1,0))),2)&lt;=5,1,IF(WEEKDAY(ROW(INDIRECT(DATE(YEAR(B2156),MONTH(B2156),1)&amp;":"&amp;DATE(YEAR(B2156),MONTH(B2156)+1,0))),2)=6,0.5,0)),0))</f>
        <v>22</v>
      </c>
      <c r="K2156" s="22" cm="1">
        <f t="array" ref="K2156">_xlfn.XLOOKUP(1,((Metas_Diarias[[#This Row],[tipo_equipe_id]]=Metas[equipe])*(Metas_Diarias[[#This Row],[data]]&gt;Metas[data_inicio])*(Metas_Diarias[[#This Row],[data]]&lt;Metas[data_fim])),Metas[meta_mensal],0)</f>
        <v>68250</v>
      </c>
      <c r="L2156" s="24">
        <f ca="1">Metas_Diarias[[#This Row],[meta_mensal]]*IF(Metas_Diarias[[#This Row],[semana]]="domingo",0,Metas_Diarias[[#This Row],[semana]])*IF(Metas_Diarias[[#This Row],[feriado]]&lt;&gt;1,0,1)/Metas_Diarias[[#This Row],[dias_úteis_Mês]]</f>
        <v>1551.1363636363637</v>
      </c>
    </row>
    <row r="2157" spans="2:12" x14ac:dyDescent="0.3">
      <c r="B2157" s="34">
        <v>46348</v>
      </c>
      <c r="C2157" s="34" t="str">
        <f>TEXT(Metas_Diarias[[#This Row],[data]],"dddd")</f>
        <v>domingo</v>
      </c>
      <c r="D2157" s="33">
        <v>5</v>
      </c>
      <c r="E2157" s="33">
        <v>5</v>
      </c>
      <c r="F2157" s="18"/>
      <c r="G2157" s="35">
        <f>WEEKDAY(Metas_Diarias[[#This Row],[data]])</f>
        <v>1</v>
      </c>
      <c r="H2157" s="35" t="str">
        <f>IF(Metas_Diarias[[#This Row],[dias_da_demana]]=1,"domingo",IF(Metas_Diarias[[#This Row],[dias_da_demana]]=7,0.5,1))</f>
        <v>domingo</v>
      </c>
      <c r="I2157" s="35">
        <f>_xlfn.XLOOKUP(Metas_Diarias[[#This Row],[data]],Feriados[Data],Feriados[Feriado],1)</f>
        <v>1</v>
      </c>
      <c r="J2157" s="33" cm="1">
        <f t="array" aca="1" ref="J2157" ca="1">SUMPRODUCT(IF((NOT(ISERROR(MATCH(ROW(INDIRECT(DATE(YEAR(B2157),MONTH(B2157),1)&amp;":"&amp;DATE(YEAR(B2157),MONTH(B2157)+1,0))),Feriados[Data],0))))=FALSE,
IF(WEEKDAY(ROW(INDIRECT(DATE(YEAR(B2157),MONTH(B2157),1)&amp;":"&amp;DATE(YEAR(B2157),MONTH(B2157)+1,0))),2)&lt;=5,1,IF(WEEKDAY(ROW(INDIRECT(DATE(YEAR(B2157),MONTH(B2157),1)&amp;":"&amp;DATE(YEAR(B2157),MONTH(B2157)+1,0))),2)=6,0.5,0)),0))</f>
        <v>22</v>
      </c>
      <c r="K2157" s="22" cm="1">
        <f t="array" ref="K2157">_xlfn.XLOOKUP(1,((Metas_Diarias[[#This Row],[tipo_equipe_id]]=Metas[equipe])*(Metas_Diarias[[#This Row],[data]]&gt;Metas[data_inicio])*(Metas_Diarias[[#This Row],[data]]&lt;Metas[data_fim])),Metas[meta_mensal],0)</f>
        <v>68250</v>
      </c>
      <c r="L215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58" spans="2:12" x14ac:dyDescent="0.3">
      <c r="B2158" s="34">
        <v>46349</v>
      </c>
      <c r="C2158" s="34" t="str">
        <f>TEXT(Metas_Diarias[[#This Row],[data]],"dddd")</f>
        <v>segunda-feira</v>
      </c>
      <c r="D2158" s="33">
        <v>5</v>
      </c>
      <c r="E2158" s="33">
        <v>5</v>
      </c>
      <c r="F2158" s="18"/>
      <c r="G2158" s="35">
        <f>WEEKDAY(Metas_Diarias[[#This Row],[data]])</f>
        <v>2</v>
      </c>
      <c r="H2158" s="35">
        <f>IF(Metas_Diarias[[#This Row],[dias_da_demana]]=1,"domingo",IF(Metas_Diarias[[#This Row],[dias_da_demana]]=7,0.5,1))</f>
        <v>1</v>
      </c>
      <c r="I2158" s="35">
        <f>_xlfn.XLOOKUP(Metas_Diarias[[#This Row],[data]],Feriados[Data],Feriados[Feriado],1)</f>
        <v>1</v>
      </c>
      <c r="J2158" s="33" cm="1">
        <f t="array" aca="1" ref="J2158" ca="1">SUMPRODUCT(IF((NOT(ISERROR(MATCH(ROW(INDIRECT(DATE(YEAR(B2158),MONTH(B2158),1)&amp;":"&amp;DATE(YEAR(B2158),MONTH(B2158)+1,0))),Feriados[Data],0))))=FALSE,
IF(WEEKDAY(ROW(INDIRECT(DATE(YEAR(B2158),MONTH(B2158),1)&amp;":"&amp;DATE(YEAR(B2158),MONTH(B2158)+1,0))),2)&lt;=5,1,IF(WEEKDAY(ROW(INDIRECT(DATE(YEAR(B2158),MONTH(B2158),1)&amp;":"&amp;DATE(YEAR(B2158),MONTH(B2158)+1,0))),2)=6,0.5,0)),0))</f>
        <v>22</v>
      </c>
      <c r="K2158" s="22" cm="1">
        <f t="array" ref="K2158">_xlfn.XLOOKUP(1,((Metas_Diarias[[#This Row],[tipo_equipe_id]]=Metas[equipe])*(Metas_Diarias[[#This Row],[data]]&gt;Metas[data_inicio])*(Metas_Diarias[[#This Row],[data]]&lt;Metas[data_fim])),Metas[meta_mensal],0)</f>
        <v>68250</v>
      </c>
      <c r="L2158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59" spans="2:12" x14ac:dyDescent="0.3">
      <c r="B2159" s="34">
        <v>46350</v>
      </c>
      <c r="C2159" s="34" t="str">
        <f>TEXT(Metas_Diarias[[#This Row],[data]],"dddd")</f>
        <v>terça-feira</v>
      </c>
      <c r="D2159" s="33">
        <v>5</v>
      </c>
      <c r="E2159" s="33">
        <v>5</v>
      </c>
      <c r="F2159" s="18"/>
      <c r="G2159" s="35">
        <f>WEEKDAY(Metas_Diarias[[#This Row],[data]])</f>
        <v>3</v>
      </c>
      <c r="H2159" s="35">
        <f>IF(Metas_Diarias[[#This Row],[dias_da_demana]]=1,"domingo",IF(Metas_Diarias[[#This Row],[dias_da_demana]]=7,0.5,1))</f>
        <v>1</v>
      </c>
      <c r="I2159" s="35">
        <f>_xlfn.XLOOKUP(Metas_Diarias[[#This Row],[data]],Feriados[Data],Feriados[Feriado],1)</f>
        <v>1</v>
      </c>
      <c r="J2159" s="33" cm="1">
        <f t="array" aca="1" ref="J2159" ca="1">SUMPRODUCT(IF((NOT(ISERROR(MATCH(ROW(INDIRECT(DATE(YEAR(B2159),MONTH(B2159),1)&amp;":"&amp;DATE(YEAR(B2159),MONTH(B2159)+1,0))),Feriados[Data],0))))=FALSE,
IF(WEEKDAY(ROW(INDIRECT(DATE(YEAR(B2159),MONTH(B2159),1)&amp;":"&amp;DATE(YEAR(B2159),MONTH(B2159)+1,0))),2)&lt;=5,1,IF(WEEKDAY(ROW(INDIRECT(DATE(YEAR(B2159),MONTH(B2159),1)&amp;":"&amp;DATE(YEAR(B2159),MONTH(B2159)+1,0))),2)=6,0.5,0)),0))</f>
        <v>22</v>
      </c>
      <c r="K2159" s="22" cm="1">
        <f t="array" ref="K2159">_xlfn.XLOOKUP(1,((Metas_Diarias[[#This Row],[tipo_equipe_id]]=Metas[equipe])*(Metas_Diarias[[#This Row],[data]]&gt;Metas[data_inicio])*(Metas_Diarias[[#This Row],[data]]&lt;Metas[data_fim])),Metas[meta_mensal],0)</f>
        <v>68250</v>
      </c>
      <c r="L2159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60" spans="2:12" x14ac:dyDescent="0.3">
      <c r="B2160" s="34">
        <v>46351</v>
      </c>
      <c r="C2160" s="34" t="str">
        <f>TEXT(Metas_Diarias[[#This Row],[data]],"dddd")</f>
        <v>quarta-feira</v>
      </c>
      <c r="D2160" s="33">
        <v>5</v>
      </c>
      <c r="E2160" s="33">
        <v>5</v>
      </c>
      <c r="F2160" s="18"/>
      <c r="G2160" s="35">
        <f>WEEKDAY(Metas_Diarias[[#This Row],[data]])</f>
        <v>4</v>
      </c>
      <c r="H2160" s="35">
        <f>IF(Metas_Diarias[[#This Row],[dias_da_demana]]=1,"domingo",IF(Metas_Diarias[[#This Row],[dias_da_demana]]=7,0.5,1))</f>
        <v>1</v>
      </c>
      <c r="I2160" s="35">
        <f>_xlfn.XLOOKUP(Metas_Diarias[[#This Row],[data]],Feriados[Data],Feriados[Feriado],1)</f>
        <v>1</v>
      </c>
      <c r="J2160" s="33" cm="1">
        <f t="array" aca="1" ref="J2160" ca="1">SUMPRODUCT(IF((NOT(ISERROR(MATCH(ROW(INDIRECT(DATE(YEAR(B2160),MONTH(B2160),1)&amp;":"&amp;DATE(YEAR(B2160),MONTH(B2160)+1,0))),Feriados[Data],0))))=FALSE,
IF(WEEKDAY(ROW(INDIRECT(DATE(YEAR(B2160),MONTH(B2160),1)&amp;":"&amp;DATE(YEAR(B2160),MONTH(B2160)+1,0))),2)&lt;=5,1,IF(WEEKDAY(ROW(INDIRECT(DATE(YEAR(B2160),MONTH(B2160),1)&amp;":"&amp;DATE(YEAR(B2160),MONTH(B2160)+1,0))),2)=6,0.5,0)),0))</f>
        <v>22</v>
      </c>
      <c r="K2160" s="22" cm="1">
        <f t="array" ref="K2160">_xlfn.XLOOKUP(1,((Metas_Diarias[[#This Row],[tipo_equipe_id]]=Metas[equipe])*(Metas_Diarias[[#This Row],[data]]&gt;Metas[data_inicio])*(Metas_Diarias[[#This Row],[data]]&lt;Metas[data_fim])),Metas[meta_mensal],0)</f>
        <v>68250</v>
      </c>
      <c r="L2160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61" spans="2:12" x14ac:dyDescent="0.3">
      <c r="B2161" s="34">
        <v>46352</v>
      </c>
      <c r="C2161" s="34" t="str">
        <f>TEXT(Metas_Diarias[[#This Row],[data]],"dddd")</f>
        <v>quinta-feira</v>
      </c>
      <c r="D2161" s="33">
        <v>5</v>
      </c>
      <c r="E2161" s="33">
        <v>5</v>
      </c>
      <c r="F2161" s="18"/>
      <c r="G2161" s="35">
        <f>WEEKDAY(Metas_Diarias[[#This Row],[data]])</f>
        <v>5</v>
      </c>
      <c r="H2161" s="35">
        <f>IF(Metas_Diarias[[#This Row],[dias_da_demana]]=1,"domingo",IF(Metas_Diarias[[#This Row],[dias_da_demana]]=7,0.5,1))</f>
        <v>1</v>
      </c>
      <c r="I2161" s="35">
        <f>_xlfn.XLOOKUP(Metas_Diarias[[#This Row],[data]],Feriados[Data],Feriados[Feriado],1)</f>
        <v>1</v>
      </c>
      <c r="J2161" s="33" cm="1">
        <f t="array" aca="1" ref="J2161" ca="1">SUMPRODUCT(IF((NOT(ISERROR(MATCH(ROW(INDIRECT(DATE(YEAR(B2161),MONTH(B2161),1)&amp;":"&amp;DATE(YEAR(B2161),MONTH(B2161)+1,0))),Feriados[Data],0))))=FALSE,
IF(WEEKDAY(ROW(INDIRECT(DATE(YEAR(B2161),MONTH(B2161),1)&amp;":"&amp;DATE(YEAR(B2161),MONTH(B2161)+1,0))),2)&lt;=5,1,IF(WEEKDAY(ROW(INDIRECT(DATE(YEAR(B2161),MONTH(B2161),1)&amp;":"&amp;DATE(YEAR(B2161),MONTH(B2161)+1,0))),2)=6,0.5,0)),0))</f>
        <v>22</v>
      </c>
      <c r="K2161" s="22" cm="1">
        <f t="array" ref="K2161">_xlfn.XLOOKUP(1,((Metas_Diarias[[#This Row],[tipo_equipe_id]]=Metas[equipe])*(Metas_Diarias[[#This Row],[data]]&gt;Metas[data_inicio])*(Metas_Diarias[[#This Row],[data]]&lt;Metas[data_fim])),Metas[meta_mensal],0)</f>
        <v>68250</v>
      </c>
      <c r="L2161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62" spans="2:12" x14ac:dyDescent="0.3">
      <c r="B2162" s="34">
        <v>46353</v>
      </c>
      <c r="C2162" s="34" t="str">
        <f>TEXT(Metas_Diarias[[#This Row],[data]],"dddd")</f>
        <v>sexta-feira</v>
      </c>
      <c r="D2162" s="33">
        <v>5</v>
      </c>
      <c r="E2162" s="33">
        <v>5</v>
      </c>
      <c r="F2162" s="18"/>
      <c r="G2162" s="35">
        <f>WEEKDAY(Metas_Diarias[[#This Row],[data]])</f>
        <v>6</v>
      </c>
      <c r="H2162" s="35">
        <f>IF(Metas_Diarias[[#This Row],[dias_da_demana]]=1,"domingo",IF(Metas_Diarias[[#This Row],[dias_da_demana]]=7,0.5,1))</f>
        <v>1</v>
      </c>
      <c r="I2162" s="35">
        <f>_xlfn.XLOOKUP(Metas_Diarias[[#This Row],[data]],Feriados[Data],Feriados[Feriado],1)</f>
        <v>1</v>
      </c>
      <c r="J2162" s="33" cm="1">
        <f t="array" aca="1" ref="J2162" ca="1">SUMPRODUCT(IF((NOT(ISERROR(MATCH(ROW(INDIRECT(DATE(YEAR(B2162),MONTH(B2162),1)&amp;":"&amp;DATE(YEAR(B2162),MONTH(B2162)+1,0))),Feriados[Data],0))))=FALSE,
IF(WEEKDAY(ROW(INDIRECT(DATE(YEAR(B2162),MONTH(B2162),1)&amp;":"&amp;DATE(YEAR(B2162),MONTH(B2162)+1,0))),2)&lt;=5,1,IF(WEEKDAY(ROW(INDIRECT(DATE(YEAR(B2162),MONTH(B2162),1)&amp;":"&amp;DATE(YEAR(B2162),MONTH(B2162)+1,0))),2)=6,0.5,0)),0))</f>
        <v>22</v>
      </c>
      <c r="K2162" s="22" cm="1">
        <f t="array" ref="K2162">_xlfn.XLOOKUP(1,((Metas_Diarias[[#This Row],[tipo_equipe_id]]=Metas[equipe])*(Metas_Diarias[[#This Row],[data]]&gt;Metas[data_inicio])*(Metas_Diarias[[#This Row],[data]]&lt;Metas[data_fim])),Metas[meta_mensal],0)</f>
        <v>68250</v>
      </c>
      <c r="L2162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63" spans="2:12" x14ac:dyDescent="0.3">
      <c r="B2163" s="34">
        <v>46354</v>
      </c>
      <c r="C2163" s="34" t="str">
        <f>TEXT(Metas_Diarias[[#This Row],[data]],"dddd")</f>
        <v>sábado</v>
      </c>
      <c r="D2163" s="33">
        <v>5</v>
      </c>
      <c r="E2163" s="33">
        <v>5</v>
      </c>
      <c r="F2163" s="18"/>
      <c r="G2163" s="35">
        <f>WEEKDAY(Metas_Diarias[[#This Row],[data]])</f>
        <v>7</v>
      </c>
      <c r="H2163" s="35">
        <f>IF(Metas_Diarias[[#This Row],[dias_da_demana]]=1,"domingo",IF(Metas_Diarias[[#This Row],[dias_da_demana]]=7,0.5,1))</f>
        <v>0.5</v>
      </c>
      <c r="I2163" s="35">
        <f>_xlfn.XLOOKUP(Metas_Diarias[[#This Row],[data]],Feriados[Data],Feriados[Feriado],1)</f>
        <v>1</v>
      </c>
      <c r="J2163" s="33" cm="1">
        <f t="array" aca="1" ref="J2163" ca="1">SUMPRODUCT(IF((NOT(ISERROR(MATCH(ROW(INDIRECT(DATE(YEAR(B2163),MONTH(B2163),1)&amp;":"&amp;DATE(YEAR(B2163),MONTH(B2163)+1,0))),Feriados[Data],0))))=FALSE,
IF(WEEKDAY(ROW(INDIRECT(DATE(YEAR(B2163),MONTH(B2163),1)&amp;":"&amp;DATE(YEAR(B2163),MONTH(B2163)+1,0))),2)&lt;=5,1,IF(WEEKDAY(ROW(INDIRECT(DATE(YEAR(B2163),MONTH(B2163),1)&amp;":"&amp;DATE(YEAR(B2163),MONTH(B2163)+1,0))),2)=6,0.5,0)),0))</f>
        <v>22</v>
      </c>
      <c r="K2163" s="22" cm="1">
        <f t="array" ref="K2163">_xlfn.XLOOKUP(1,((Metas_Diarias[[#This Row],[tipo_equipe_id]]=Metas[equipe])*(Metas_Diarias[[#This Row],[data]]&gt;Metas[data_inicio])*(Metas_Diarias[[#This Row],[data]]&lt;Metas[data_fim])),Metas[meta_mensal],0)</f>
        <v>68250</v>
      </c>
      <c r="L2163" s="24">
        <f ca="1">Metas_Diarias[[#This Row],[meta_mensal]]*IF(Metas_Diarias[[#This Row],[semana]]="domingo",0,Metas_Diarias[[#This Row],[semana]])*IF(Metas_Diarias[[#This Row],[feriado]]&lt;&gt;1,0,1)/Metas_Diarias[[#This Row],[dias_úteis_Mês]]</f>
        <v>1551.1363636363637</v>
      </c>
    </row>
    <row r="2164" spans="2:12" x14ac:dyDescent="0.3">
      <c r="B2164" s="34">
        <v>46355</v>
      </c>
      <c r="C2164" s="34" t="str">
        <f>TEXT(Metas_Diarias[[#This Row],[data]],"dddd")</f>
        <v>domingo</v>
      </c>
      <c r="D2164" s="33">
        <v>5</v>
      </c>
      <c r="E2164" s="33">
        <v>5</v>
      </c>
      <c r="F2164" s="18"/>
      <c r="G2164" s="35">
        <f>WEEKDAY(Metas_Diarias[[#This Row],[data]])</f>
        <v>1</v>
      </c>
      <c r="H2164" s="35" t="str">
        <f>IF(Metas_Diarias[[#This Row],[dias_da_demana]]=1,"domingo",IF(Metas_Diarias[[#This Row],[dias_da_demana]]=7,0.5,1))</f>
        <v>domingo</v>
      </c>
      <c r="I2164" s="35">
        <f>_xlfn.XLOOKUP(Metas_Diarias[[#This Row],[data]],Feriados[Data],Feriados[Feriado],1)</f>
        <v>1</v>
      </c>
      <c r="J2164" s="33" cm="1">
        <f t="array" aca="1" ref="J2164" ca="1">SUMPRODUCT(IF((NOT(ISERROR(MATCH(ROW(INDIRECT(DATE(YEAR(B2164),MONTH(B2164),1)&amp;":"&amp;DATE(YEAR(B2164),MONTH(B2164)+1,0))),Feriados[Data],0))))=FALSE,
IF(WEEKDAY(ROW(INDIRECT(DATE(YEAR(B2164),MONTH(B2164),1)&amp;":"&amp;DATE(YEAR(B2164),MONTH(B2164)+1,0))),2)&lt;=5,1,IF(WEEKDAY(ROW(INDIRECT(DATE(YEAR(B2164),MONTH(B2164),1)&amp;":"&amp;DATE(YEAR(B2164),MONTH(B2164)+1,0))),2)=6,0.5,0)),0))</f>
        <v>22</v>
      </c>
      <c r="K2164" s="22" cm="1">
        <f t="array" ref="K2164">_xlfn.XLOOKUP(1,((Metas_Diarias[[#This Row],[tipo_equipe_id]]=Metas[equipe])*(Metas_Diarias[[#This Row],[data]]&gt;Metas[data_inicio])*(Metas_Diarias[[#This Row],[data]]&lt;Metas[data_fim])),Metas[meta_mensal],0)</f>
        <v>68250</v>
      </c>
      <c r="L216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65" spans="2:12" x14ac:dyDescent="0.3">
      <c r="B2165" s="34">
        <v>46356</v>
      </c>
      <c r="C2165" s="34" t="str">
        <f>TEXT(Metas_Diarias[[#This Row],[data]],"dddd")</f>
        <v>segunda-feira</v>
      </c>
      <c r="D2165" s="33">
        <v>5</v>
      </c>
      <c r="E2165" s="33">
        <v>5</v>
      </c>
      <c r="F2165" s="18"/>
      <c r="G2165" s="35">
        <f>WEEKDAY(Metas_Diarias[[#This Row],[data]])</f>
        <v>2</v>
      </c>
      <c r="H2165" s="35">
        <f>IF(Metas_Diarias[[#This Row],[dias_da_demana]]=1,"domingo",IF(Metas_Diarias[[#This Row],[dias_da_demana]]=7,0.5,1))</f>
        <v>1</v>
      </c>
      <c r="I2165" s="35">
        <f>_xlfn.XLOOKUP(Metas_Diarias[[#This Row],[data]],Feriados[Data],Feriados[Feriado],1)</f>
        <v>1</v>
      </c>
      <c r="J2165" s="33" cm="1">
        <f t="array" aca="1" ref="J2165" ca="1">SUMPRODUCT(IF((NOT(ISERROR(MATCH(ROW(INDIRECT(DATE(YEAR(B2165),MONTH(B2165),1)&amp;":"&amp;DATE(YEAR(B2165),MONTH(B2165)+1,0))),Feriados[Data],0))))=FALSE,
IF(WEEKDAY(ROW(INDIRECT(DATE(YEAR(B2165),MONTH(B2165),1)&amp;":"&amp;DATE(YEAR(B2165),MONTH(B2165)+1,0))),2)&lt;=5,1,IF(WEEKDAY(ROW(INDIRECT(DATE(YEAR(B2165),MONTH(B2165),1)&amp;":"&amp;DATE(YEAR(B2165),MONTH(B2165)+1,0))),2)=6,0.5,0)),0))</f>
        <v>22</v>
      </c>
      <c r="K2165" s="22" cm="1">
        <f t="array" ref="K2165">_xlfn.XLOOKUP(1,((Metas_Diarias[[#This Row],[tipo_equipe_id]]=Metas[equipe])*(Metas_Diarias[[#This Row],[data]]&gt;Metas[data_inicio])*(Metas_Diarias[[#This Row],[data]]&lt;Metas[data_fim])),Metas[meta_mensal],0)</f>
        <v>68250</v>
      </c>
      <c r="L2165" s="24">
        <f ca="1">Metas_Diarias[[#This Row],[meta_mensal]]*IF(Metas_Diarias[[#This Row],[semana]]="domingo",0,Metas_Diarias[[#This Row],[semana]])*IF(Metas_Diarias[[#This Row],[feriado]]&lt;&gt;1,0,1)/Metas_Diarias[[#This Row],[dias_úteis_Mês]]</f>
        <v>3102.2727272727275</v>
      </c>
    </row>
    <row r="2166" spans="2:12" x14ac:dyDescent="0.3">
      <c r="B2166" s="34">
        <v>46357</v>
      </c>
      <c r="C2166" s="34" t="str">
        <f>TEXT(Metas_Diarias[[#This Row],[data]],"dddd")</f>
        <v>terça-feira</v>
      </c>
      <c r="D2166" s="33">
        <v>5</v>
      </c>
      <c r="E2166" s="33">
        <v>5</v>
      </c>
      <c r="F2166" s="18"/>
      <c r="G2166" s="35">
        <f>WEEKDAY(Metas_Diarias[[#This Row],[data]])</f>
        <v>3</v>
      </c>
      <c r="H2166" s="35">
        <f>IF(Metas_Diarias[[#This Row],[dias_da_demana]]=1,"domingo",IF(Metas_Diarias[[#This Row],[dias_da_demana]]=7,0.5,1))</f>
        <v>1</v>
      </c>
      <c r="I2166" s="35">
        <f>_xlfn.XLOOKUP(Metas_Diarias[[#This Row],[data]],Feriados[Data],Feriados[Feriado],1)</f>
        <v>1</v>
      </c>
      <c r="J2166" s="33" cm="1">
        <f t="array" aca="1" ref="J2166" ca="1">SUMPRODUCT(IF((NOT(ISERROR(MATCH(ROW(INDIRECT(DATE(YEAR(B2166),MONTH(B2166),1)&amp;":"&amp;DATE(YEAR(B2166),MONTH(B2166)+1,0))),Feriados[Data],0))))=FALSE,
IF(WEEKDAY(ROW(INDIRECT(DATE(YEAR(B2166),MONTH(B2166),1)&amp;":"&amp;DATE(YEAR(B2166),MONTH(B2166)+1,0))),2)&lt;=5,1,IF(WEEKDAY(ROW(INDIRECT(DATE(YEAR(B2166),MONTH(B2166),1)&amp;":"&amp;DATE(YEAR(B2166),MONTH(B2166)+1,0))),2)=6,0.5,0)),0))</f>
        <v>24</v>
      </c>
      <c r="K2166" s="22" cm="1">
        <f t="array" ref="K2166">_xlfn.XLOOKUP(1,((Metas_Diarias[[#This Row],[tipo_equipe_id]]=Metas[equipe])*(Metas_Diarias[[#This Row],[data]]&gt;Metas[data_inicio])*(Metas_Diarias[[#This Row],[data]]&lt;Metas[data_fim])),Metas[meta_mensal],0)</f>
        <v>68250</v>
      </c>
      <c r="L2166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67" spans="2:12" x14ac:dyDescent="0.3">
      <c r="B2167" s="34">
        <v>46358</v>
      </c>
      <c r="C2167" s="34" t="str">
        <f>TEXT(Metas_Diarias[[#This Row],[data]],"dddd")</f>
        <v>quarta-feira</v>
      </c>
      <c r="D2167" s="33">
        <v>5</v>
      </c>
      <c r="E2167" s="33">
        <v>5</v>
      </c>
      <c r="F2167" s="18"/>
      <c r="G2167" s="35">
        <f>WEEKDAY(Metas_Diarias[[#This Row],[data]])</f>
        <v>4</v>
      </c>
      <c r="H2167" s="35">
        <f>IF(Metas_Diarias[[#This Row],[dias_da_demana]]=1,"domingo",IF(Metas_Diarias[[#This Row],[dias_da_demana]]=7,0.5,1))</f>
        <v>1</v>
      </c>
      <c r="I2167" s="35">
        <f>_xlfn.XLOOKUP(Metas_Diarias[[#This Row],[data]],Feriados[Data],Feriados[Feriado],1)</f>
        <v>1</v>
      </c>
      <c r="J2167" s="33" cm="1">
        <f t="array" aca="1" ref="J2167" ca="1">SUMPRODUCT(IF((NOT(ISERROR(MATCH(ROW(INDIRECT(DATE(YEAR(B2167),MONTH(B2167),1)&amp;":"&amp;DATE(YEAR(B2167),MONTH(B2167)+1,0))),Feriados[Data],0))))=FALSE,
IF(WEEKDAY(ROW(INDIRECT(DATE(YEAR(B2167),MONTH(B2167),1)&amp;":"&amp;DATE(YEAR(B2167),MONTH(B2167)+1,0))),2)&lt;=5,1,IF(WEEKDAY(ROW(INDIRECT(DATE(YEAR(B2167),MONTH(B2167),1)&amp;":"&amp;DATE(YEAR(B2167),MONTH(B2167)+1,0))),2)=6,0.5,0)),0))</f>
        <v>24</v>
      </c>
      <c r="K2167" s="22" cm="1">
        <f t="array" ref="K2167">_xlfn.XLOOKUP(1,((Metas_Diarias[[#This Row],[tipo_equipe_id]]=Metas[equipe])*(Metas_Diarias[[#This Row],[data]]&gt;Metas[data_inicio])*(Metas_Diarias[[#This Row],[data]]&lt;Metas[data_fim])),Metas[meta_mensal],0)</f>
        <v>68250</v>
      </c>
      <c r="L2167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68" spans="2:12" x14ac:dyDescent="0.3">
      <c r="B2168" s="34">
        <v>46359</v>
      </c>
      <c r="C2168" s="34" t="str">
        <f>TEXT(Metas_Diarias[[#This Row],[data]],"dddd")</f>
        <v>quinta-feira</v>
      </c>
      <c r="D2168" s="33">
        <v>5</v>
      </c>
      <c r="E2168" s="33">
        <v>5</v>
      </c>
      <c r="F2168" s="18"/>
      <c r="G2168" s="35">
        <f>WEEKDAY(Metas_Diarias[[#This Row],[data]])</f>
        <v>5</v>
      </c>
      <c r="H2168" s="35">
        <f>IF(Metas_Diarias[[#This Row],[dias_da_demana]]=1,"domingo",IF(Metas_Diarias[[#This Row],[dias_da_demana]]=7,0.5,1))</f>
        <v>1</v>
      </c>
      <c r="I2168" s="35">
        <f>_xlfn.XLOOKUP(Metas_Diarias[[#This Row],[data]],Feriados[Data],Feriados[Feriado],1)</f>
        <v>1</v>
      </c>
      <c r="J2168" s="33" cm="1">
        <f t="array" aca="1" ref="J2168" ca="1">SUMPRODUCT(IF((NOT(ISERROR(MATCH(ROW(INDIRECT(DATE(YEAR(B2168),MONTH(B2168),1)&amp;":"&amp;DATE(YEAR(B2168),MONTH(B2168)+1,0))),Feriados[Data],0))))=FALSE,
IF(WEEKDAY(ROW(INDIRECT(DATE(YEAR(B2168),MONTH(B2168),1)&amp;":"&amp;DATE(YEAR(B2168),MONTH(B2168)+1,0))),2)&lt;=5,1,IF(WEEKDAY(ROW(INDIRECT(DATE(YEAR(B2168),MONTH(B2168),1)&amp;":"&amp;DATE(YEAR(B2168),MONTH(B2168)+1,0))),2)=6,0.5,0)),0))</f>
        <v>24</v>
      </c>
      <c r="K2168" s="22" cm="1">
        <f t="array" ref="K2168">_xlfn.XLOOKUP(1,((Metas_Diarias[[#This Row],[tipo_equipe_id]]=Metas[equipe])*(Metas_Diarias[[#This Row],[data]]&gt;Metas[data_inicio])*(Metas_Diarias[[#This Row],[data]]&lt;Metas[data_fim])),Metas[meta_mensal],0)</f>
        <v>68250</v>
      </c>
      <c r="L2168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69" spans="2:12" x14ac:dyDescent="0.3">
      <c r="B2169" s="34">
        <v>46360</v>
      </c>
      <c r="C2169" s="34" t="str">
        <f>TEXT(Metas_Diarias[[#This Row],[data]],"dddd")</f>
        <v>sexta-feira</v>
      </c>
      <c r="D2169" s="33">
        <v>5</v>
      </c>
      <c r="E2169" s="33">
        <v>5</v>
      </c>
      <c r="F2169" s="18"/>
      <c r="G2169" s="35">
        <f>WEEKDAY(Metas_Diarias[[#This Row],[data]])</f>
        <v>6</v>
      </c>
      <c r="H2169" s="35">
        <f>IF(Metas_Diarias[[#This Row],[dias_da_demana]]=1,"domingo",IF(Metas_Diarias[[#This Row],[dias_da_demana]]=7,0.5,1))</f>
        <v>1</v>
      </c>
      <c r="I2169" s="35">
        <f>_xlfn.XLOOKUP(Metas_Diarias[[#This Row],[data]],Feriados[Data],Feriados[Feriado],1)</f>
        <v>1</v>
      </c>
      <c r="J2169" s="33" cm="1">
        <f t="array" aca="1" ref="J2169" ca="1">SUMPRODUCT(IF((NOT(ISERROR(MATCH(ROW(INDIRECT(DATE(YEAR(B2169),MONTH(B2169),1)&amp;":"&amp;DATE(YEAR(B2169),MONTH(B2169)+1,0))),Feriados[Data],0))))=FALSE,
IF(WEEKDAY(ROW(INDIRECT(DATE(YEAR(B2169),MONTH(B2169),1)&amp;":"&amp;DATE(YEAR(B2169),MONTH(B2169)+1,0))),2)&lt;=5,1,IF(WEEKDAY(ROW(INDIRECT(DATE(YEAR(B2169),MONTH(B2169),1)&amp;":"&amp;DATE(YEAR(B2169),MONTH(B2169)+1,0))),2)=6,0.5,0)),0))</f>
        <v>24</v>
      </c>
      <c r="K2169" s="22" cm="1">
        <f t="array" ref="K2169">_xlfn.XLOOKUP(1,((Metas_Diarias[[#This Row],[tipo_equipe_id]]=Metas[equipe])*(Metas_Diarias[[#This Row],[data]]&gt;Metas[data_inicio])*(Metas_Diarias[[#This Row],[data]]&lt;Metas[data_fim])),Metas[meta_mensal],0)</f>
        <v>68250</v>
      </c>
      <c r="L2169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70" spans="2:12" x14ac:dyDescent="0.3">
      <c r="B2170" s="34">
        <v>46361</v>
      </c>
      <c r="C2170" s="34" t="str">
        <f>TEXT(Metas_Diarias[[#This Row],[data]],"dddd")</f>
        <v>sábado</v>
      </c>
      <c r="D2170" s="33">
        <v>5</v>
      </c>
      <c r="E2170" s="33">
        <v>5</v>
      </c>
      <c r="F2170" s="18"/>
      <c r="G2170" s="35">
        <f>WEEKDAY(Metas_Diarias[[#This Row],[data]])</f>
        <v>7</v>
      </c>
      <c r="H2170" s="35">
        <f>IF(Metas_Diarias[[#This Row],[dias_da_demana]]=1,"domingo",IF(Metas_Diarias[[#This Row],[dias_da_demana]]=7,0.5,1))</f>
        <v>0.5</v>
      </c>
      <c r="I2170" s="35">
        <f>_xlfn.XLOOKUP(Metas_Diarias[[#This Row],[data]],Feriados[Data],Feriados[Feriado],1)</f>
        <v>1</v>
      </c>
      <c r="J2170" s="33" cm="1">
        <f t="array" aca="1" ref="J2170" ca="1">SUMPRODUCT(IF((NOT(ISERROR(MATCH(ROW(INDIRECT(DATE(YEAR(B2170),MONTH(B2170),1)&amp;":"&amp;DATE(YEAR(B2170),MONTH(B2170)+1,0))),Feriados[Data],0))))=FALSE,
IF(WEEKDAY(ROW(INDIRECT(DATE(YEAR(B2170),MONTH(B2170),1)&amp;":"&amp;DATE(YEAR(B2170),MONTH(B2170)+1,0))),2)&lt;=5,1,IF(WEEKDAY(ROW(INDIRECT(DATE(YEAR(B2170),MONTH(B2170),1)&amp;":"&amp;DATE(YEAR(B2170),MONTH(B2170)+1,0))),2)=6,0.5,0)),0))</f>
        <v>24</v>
      </c>
      <c r="K2170" s="22" cm="1">
        <f t="array" ref="K2170">_xlfn.XLOOKUP(1,((Metas_Diarias[[#This Row],[tipo_equipe_id]]=Metas[equipe])*(Metas_Diarias[[#This Row],[data]]&gt;Metas[data_inicio])*(Metas_Diarias[[#This Row],[data]]&lt;Metas[data_fim])),Metas[meta_mensal],0)</f>
        <v>68250</v>
      </c>
      <c r="L2170" s="24">
        <f ca="1">Metas_Diarias[[#This Row],[meta_mensal]]*IF(Metas_Diarias[[#This Row],[semana]]="domingo",0,Metas_Diarias[[#This Row],[semana]])*IF(Metas_Diarias[[#This Row],[feriado]]&lt;&gt;1,0,1)/Metas_Diarias[[#This Row],[dias_úteis_Mês]]</f>
        <v>1421.875</v>
      </c>
    </row>
    <row r="2171" spans="2:12" x14ac:dyDescent="0.3">
      <c r="B2171" s="34">
        <v>46362</v>
      </c>
      <c r="C2171" s="34" t="str">
        <f>TEXT(Metas_Diarias[[#This Row],[data]],"dddd")</f>
        <v>domingo</v>
      </c>
      <c r="D2171" s="33">
        <v>5</v>
      </c>
      <c r="E2171" s="33">
        <v>5</v>
      </c>
      <c r="F2171" s="18"/>
      <c r="G2171" s="35">
        <f>WEEKDAY(Metas_Diarias[[#This Row],[data]])</f>
        <v>1</v>
      </c>
      <c r="H2171" s="35" t="str">
        <f>IF(Metas_Diarias[[#This Row],[dias_da_demana]]=1,"domingo",IF(Metas_Diarias[[#This Row],[dias_da_demana]]=7,0.5,1))</f>
        <v>domingo</v>
      </c>
      <c r="I2171" s="35">
        <f>_xlfn.XLOOKUP(Metas_Diarias[[#This Row],[data]],Feriados[Data],Feriados[Feriado],1)</f>
        <v>1</v>
      </c>
      <c r="J2171" s="33" cm="1">
        <f t="array" aca="1" ref="J2171" ca="1">SUMPRODUCT(IF((NOT(ISERROR(MATCH(ROW(INDIRECT(DATE(YEAR(B2171),MONTH(B2171),1)&amp;":"&amp;DATE(YEAR(B2171),MONTH(B2171)+1,0))),Feriados[Data],0))))=FALSE,
IF(WEEKDAY(ROW(INDIRECT(DATE(YEAR(B2171),MONTH(B2171),1)&amp;":"&amp;DATE(YEAR(B2171),MONTH(B2171)+1,0))),2)&lt;=5,1,IF(WEEKDAY(ROW(INDIRECT(DATE(YEAR(B2171),MONTH(B2171),1)&amp;":"&amp;DATE(YEAR(B2171),MONTH(B2171)+1,0))),2)=6,0.5,0)),0))</f>
        <v>24</v>
      </c>
      <c r="K2171" s="22" cm="1">
        <f t="array" ref="K2171">_xlfn.XLOOKUP(1,((Metas_Diarias[[#This Row],[tipo_equipe_id]]=Metas[equipe])*(Metas_Diarias[[#This Row],[data]]&gt;Metas[data_inicio])*(Metas_Diarias[[#This Row],[data]]&lt;Metas[data_fim])),Metas[meta_mensal],0)</f>
        <v>68250</v>
      </c>
      <c r="L21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72" spans="2:12" x14ac:dyDescent="0.3">
      <c r="B2172" s="34">
        <v>46363</v>
      </c>
      <c r="C2172" s="34" t="str">
        <f>TEXT(Metas_Diarias[[#This Row],[data]],"dddd")</f>
        <v>segunda-feira</v>
      </c>
      <c r="D2172" s="33">
        <v>5</v>
      </c>
      <c r="E2172" s="33">
        <v>5</v>
      </c>
      <c r="F2172" s="18"/>
      <c r="G2172" s="35">
        <f>WEEKDAY(Metas_Diarias[[#This Row],[data]])</f>
        <v>2</v>
      </c>
      <c r="H2172" s="35">
        <f>IF(Metas_Diarias[[#This Row],[dias_da_demana]]=1,"domingo",IF(Metas_Diarias[[#This Row],[dias_da_demana]]=7,0.5,1))</f>
        <v>1</v>
      </c>
      <c r="I2172" s="35">
        <f>_xlfn.XLOOKUP(Metas_Diarias[[#This Row],[data]],Feriados[Data],Feriados[Feriado],1)</f>
        <v>1</v>
      </c>
      <c r="J2172" s="33" cm="1">
        <f t="array" aca="1" ref="J2172" ca="1">SUMPRODUCT(IF((NOT(ISERROR(MATCH(ROW(INDIRECT(DATE(YEAR(B2172),MONTH(B2172),1)&amp;":"&amp;DATE(YEAR(B2172),MONTH(B2172)+1,0))),Feriados[Data],0))))=FALSE,
IF(WEEKDAY(ROW(INDIRECT(DATE(YEAR(B2172),MONTH(B2172),1)&amp;":"&amp;DATE(YEAR(B2172),MONTH(B2172)+1,0))),2)&lt;=5,1,IF(WEEKDAY(ROW(INDIRECT(DATE(YEAR(B2172),MONTH(B2172),1)&amp;":"&amp;DATE(YEAR(B2172),MONTH(B2172)+1,0))),2)=6,0.5,0)),0))</f>
        <v>24</v>
      </c>
      <c r="K2172" s="22" cm="1">
        <f t="array" ref="K2172">_xlfn.XLOOKUP(1,((Metas_Diarias[[#This Row],[tipo_equipe_id]]=Metas[equipe])*(Metas_Diarias[[#This Row],[data]]&gt;Metas[data_inicio])*(Metas_Diarias[[#This Row],[data]]&lt;Metas[data_fim])),Metas[meta_mensal],0)</f>
        <v>68250</v>
      </c>
      <c r="L2172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73" spans="2:12" x14ac:dyDescent="0.3">
      <c r="B2173" s="34">
        <v>46364</v>
      </c>
      <c r="C2173" s="34" t="str">
        <f>TEXT(Metas_Diarias[[#This Row],[data]],"dddd")</f>
        <v>terça-feira</v>
      </c>
      <c r="D2173" s="33">
        <v>5</v>
      </c>
      <c r="E2173" s="33">
        <v>5</v>
      </c>
      <c r="F2173" s="18"/>
      <c r="G2173" s="35">
        <f>WEEKDAY(Metas_Diarias[[#This Row],[data]])</f>
        <v>3</v>
      </c>
      <c r="H2173" s="35">
        <f>IF(Metas_Diarias[[#This Row],[dias_da_demana]]=1,"domingo",IF(Metas_Diarias[[#This Row],[dias_da_demana]]=7,0.5,1))</f>
        <v>1</v>
      </c>
      <c r="I2173" s="35">
        <f>_xlfn.XLOOKUP(Metas_Diarias[[#This Row],[data]],Feriados[Data],Feriados[Feriado],1)</f>
        <v>1</v>
      </c>
      <c r="J2173" s="33" cm="1">
        <f t="array" aca="1" ref="J2173" ca="1">SUMPRODUCT(IF((NOT(ISERROR(MATCH(ROW(INDIRECT(DATE(YEAR(B2173),MONTH(B2173),1)&amp;":"&amp;DATE(YEAR(B2173),MONTH(B2173)+1,0))),Feriados[Data],0))))=FALSE,
IF(WEEKDAY(ROW(INDIRECT(DATE(YEAR(B2173),MONTH(B2173),1)&amp;":"&amp;DATE(YEAR(B2173),MONTH(B2173)+1,0))),2)&lt;=5,1,IF(WEEKDAY(ROW(INDIRECT(DATE(YEAR(B2173),MONTH(B2173),1)&amp;":"&amp;DATE(YEAR(B2173),MONTH(B2173)+1,0))),2)=6,0.5,0)),0))</f>
        <v>24</v>
      </c>
      <c r="K2173" s="22" cm="1">
        <f t="array" ref="K2173">_xlfn.XLOOKUP(1,((Metas_Diarias[[#This Row],[tipo_equipe_id]]=Metas[equipe])*(Metas_Diarias[[#This Row],[data]]&gt;Metas[data_inicio])*(Metas_Diarias[[#This Row],[data]]&lt;Metas[data_fim])),Metas[meta_mensal],0)</f>
        <v>68250</v>
      </c>
      <c r="L2173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74" spans="2:12" x14ac:dyDescent="0.3">
      <c r="B2174" s="34">
        <v>46365</v>
      </c>
      <c r="C2174" s="34" t="str">
        <f>TEXT(Metas_Diarias[[#This Row],[data]],"dddd")</f>
        <v>quarta-feira</v>
      </c>
      <c r="D2174" s="33">
        <v>5</v>
      </c>
      <c r="E2174" s="33">
        <v>5</v>
      </c>
      <c r="F2174" s="18"/>
      <c r="G2174" s="35">
        <f>WEEKDAY(Metas_Diarias[[#This Row],[data]])</f>
        <v>4</v>
      </c>
      <c r="H2174" s="35">
        <f>IF(Metas_Diarias[[#This Row],[dias_da_demana]]=1,"domingo",IF(Metas_Diarias[[#This Row],[dias_da_demana]]=7,0.5,1))</f>
        <v>1</v>
      </c>
      <c r="I2174" s="35">
        <f>_xlfn.XLOOKUP(Metas_Diarias[[#This Row],[data]],Feriados[Data],Feriados[Feriado],1)</f>
        <v>1</v>
      </c>
      <c r="J2174" s="33" cm="1">
        <f t="array" aca="1" ref="J2174" ca="1">SUMPRODUCT(IF((NOT(ISERROR(MATCH(ROW(INDIRECT(DATE(YEAR(B2174),MONTH(B2174),1)&amp;":"&amp;DATE(YEAR(B2174),MONTH(B2174)+1,0))),Feriados[Data],0))))=FALSE,
IF(WEEKDAY(ROW(INDIRECT(DATE(YEAR(B2174),MONTH(B2174),1)&amp;":"&amp;DATE(YEAR(B2174),MONTH(B2174)+1,0))),2)&lt;=5,1,IF(WEEKDAY(ROW(INDIRECT(DATE(YEAR(B2174),MONTH(B2174),1)&amp;":"&amp;DATE(YEAR(B2174),MONTH(B2174)+1,0))),2)=6,0.5,0)),0))</f>
        <v>24</v>
      </c>
      <c r="K2174" s="22" cm="1">
        <f t="array" ref="K2174">_xlfn.XLOOKUP(1,((Metas_Diarias[[#This Row],[tipo_equipe_id]]=Metas[equipe])*(Metas_Diarias[[#This Row],[data]]&gt;Metas[data_inicio])*(Metas_Diarias[[#This Row],[data]]&lt;Metas[data_fim])),Metas[meta_mensal],0)</f>
        <v>68250</v>
      </c>
      <c r="L2174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75" spans="2:12" x14ac:dyDescent="0.3">
      <c r="B2175" s="34">
        <v>46366</v>
      </c>
      <c r="C2175" s="34" t="str">
        <f>TEXT(Metas_Diarias[[#This Row],[data]],"dddd")</f>
        <v>quinta-feira</v>
      </c>
      <c r="D2175" s="33">
        <v>5</v>
      </c>
      <c r="E2175" s="33">
        <v>5</v>
      </c>
      <c r="F2175" s="18"/>
      <c r="G2175" s="35">
        <f>WEEKDAY(Metas_Diarias[[#This Row],[data]])</f>
        <v>5</v>
      </c>
      <c r="H2175" s="35">
        <f>IF(Metas_Diarias[[#This Row],[dias_da_demana]]=1,"domingo",IF(Metas_Diarias[[#This Row],[dias_da_demana]]=7,0.5,1))</f>
        <v>1</v>
      </c>
      <c r="I2175" s="35">
        <f>_xlfn.XLOOKUP(Metas_Diarias[[#This Row],[data]],Feriados[Data],Feriados[Feriado],1)</f>
        <v>1</v>
      </c>
      <c r="J2175" s="33" cm="1">
        <f t="array" aca="1" ref="J2175" ca="1">SUMPRODUCT(IF((NOT(ISERROR(MATCH(ROW(INDIRECT(DATE(YEAR(B2175),MONTH(B2175),1)&amp;":"&amp;DATE(YEAR(B2175),MONTH(B2175)+1,0))),Feriados[Data],0))))=FALSE,
IF(WEEKDAY(ROW(INDIRECT(DATE(YEAR(B2175),MONTH(B2175),1)&amp;":"&amp;DATE(YEAR(B2175),MONTH(B2175)+1,0))),2)&lt;=5,1,IF(WEEKDAY(ROW(INDIRECT(DATE(YEAR(B2175),MONTH(B2175),1)&amp;":"&amp;DATE(YEAR(B2175),MONTH(B2175)+1,0))),2)=6,0.5,0)),0))</f>
        <v>24</v>
      </c>
      <c r="K2175" s="22" cm="1">
        <f t="array" ref="K2175">_xlfn.XLOOKUP(1,((Metas_Diarias[[#This Row],[tipo_equipe_id]]=Metas[equipe])*(Metas_Diarias[[#This Row],[data]]&gt;Metas[data_inicio])*(Metas_Diarias[[#This Row],[data]]&lt;Metas[data_fim])),Metas[meta_mensal],0)</f>
        <v>68250</v>
      </c>
      <c r="L2175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76" spans="2:12" x14ac:dyDescent="0.3">
      <c r="B2176" s="34">
        <v>46367</v>
      </c>
      <c r="C2176" s="34" t="str">
        <f>TEXT(Metas_Diarias[[#This Row],[data]],"dddd")</f>
        <v>sexta-feira</v>
      </c>
      <c r="D2176" s="33">
        <v>5</v>
      </c>
      <c r="E2176" s="33">
        <v>5</v>
      </c>
      <c r="F2176" s="18"/>
      <c r="G2176" s="35">
        <f>WEEKDAY(Metas_Diarias[[#This Row],[data]])</f>
        <v>6</v>
      </c>
      <c r="H2176" s="35">
        <f>IF(Metas_Diarias[[#This Row],[dias_da_demana]]=1,"domingo",IF(Metas_Diarias[[#This Row],[dias_da_demana]]=7,0.5,1))</f>
        <v>1</v>
      </c>
      <c r="I2176" s="35">
        <f>_xlfn.XLOOKUP(Metas_Diarias[[#This Row],[data]],Feriados[Data],Feriados[Feriado],1)</f>
        <v>1</v>
      </c>
      <c r="J2176" s="33" cm="1">
        <f t="array" aca="1" ref="J2176" ca="1">SUMPRODUCT(IF((NOT(ISERROR(MATCH(ROW(INDIRECT(DATE(YEAR(B2176),MONTH(B2176),1)&amp;":"&amp;DATE(YEAR(B2176),MONTH(B2176)+1,0))),Feriados[Data],0))))=FALSE,
IF(WEEKDAY(ROW(INDIRECT(DATE(YEAR(B2176),MONTH(B2176),1)&amp;":"&amp;DATE(YEAR(B2176),MONTH(B2176)+1,0))),2)&lt;=5,1,IF(WEEKDAY(ROW(INDIRECT(DATE(YEAR(B2176),MONTH(B2176),1)&amp;":"&amp;DATE(YEAR(B2176),MONTH(B2176)+1,0))),2)=6,0.5,0)),0))</f>
        <v>24</v>
      </c>
      <c r="K2176" s="22" cm="1">
        <f t="array" ref="K2176">_xlfn.XLOOKUP(1,((Metas_Diarias[[#This Row],[tipo_equipe_id]]=Metas[equipe])*(Metas_Diarias[[#This Row],[data]]&gt;Metas[data_inicio])*(Metas_Diarias[[#This Row],[data]]&lt;Metas[data_fim])),Metas[meta_mensal],0)</f>
        <v>68250</v>
      </c>
      <c r="L2176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77" spans="2:12" x14ac:dyDescent="0.3">
      <c r="B2177" s="34">
        <v>46368</v>
      </c>
      <c r="C2177" s="34" t="str">
        <f>TEXT(Metas_Diarias[[#This Row],[data]],"dddd")</f>
        <v>sábado</v>
      </c>
      <c r="D2177" s="33">
        <v>5</v>
      </c>
      <c r="E2177" s="33">
        <v>5</v>
      </c>
      <c r="F2177" s="18"/>
      <c r="G2177" s="35">
        <f>WEEKDAY(Metas_Diarias[[#This Row],[data]])</f>
        <v>7</v>
      </c>
      <c r="H2177" s="35">
        <f>IF(Metas_Diarias[[#This Row],[dias_da_demana]]=1,"domingo",IF(Metas_Diarias[[#This Row],[dias_da_demana]]=7,0.5,1))</f>
        <v>0.5</v>
      </c>
      <c r="I2177" s="35">
        <f>_xlfn.XLOOKUP(Metas_Diarias[[#This Row],[data]],Feriados[Data],Feriados[Feriado],1)</f>
        <v>1</v>
      </c>
      <c r="J2177" s="33" cm="1">
        <f t="array" aca="1" ref="J2177" ca="1">SUMPRODUCT(IF((NOT(ISERROR(MATCH(ROW(INDIRECT(DATE(YEAR(B2177),MONTH(B2177),1)&amp;":"&amp;DATE(YEAR(B2177),MONTH(B2177)+1,0))),Feriados[Data],0))))=FALSE,
IF(WEEKDAY(ROW(INDIRECT(DATE(YEAR(B2177),MONTH(B2177),1)&amp;":"&amp;DATE(YEAR(B2177),MONTH(B2177)+1,0))),2)&lt;=5,1,IF(WEEKDAY(ROW(INDIRECT(DATE(YEAR(B2177),MONTH(B2177),1)&amp;":"&amp;DATE(YEAR(B2177),MONTH(B2177)+1,0))),2)=6,0.5,0)),0))</f>
        <v>24</v>
      </c>
      <c r="K2177" s="22" cm="1">
        <f t="array" ref="K2177">_xlfn.XLOOKUP(1,((Metas_Diarias[[#This Row],[tipo_equipe_id]]=Metas[equipe])*(Metas_Diarias[[#This Row],[data]]&gt;Metas[data_inicio])*(Metas_Diarias[[#This Row],[data]]&lt;Metas[data_fim])),Metas[meta_mensal],0)</f>
        <v>68250</v>
      </c>
      <c r="L2177" s="24">
        <f ca="1">Metas_Diarias[[#This Row],[meta_mensal]]*IF(Metas_Diarias[[#This Row],[semana]]="domingo",0,Metas_Diarias[[#This Row],[semana]])*IF(Metas_Diarias[[#This Row],[feriado]]&lt;&gt;1,0,1)/Metas_Diarias[[#This Row],[dias_úteis_Mês]]</f>
        <v>1421.875</v>
      </c>
    </row>
    <row r="2178" spans="2:12" x14ac:dyDescent="0.3">
      <c r="B2178" s="34">
        <v>46369</v>
      </c>
      <c r="C2178" s="34" t="str">
        <f>TEXT(Metas_Diarias[[#This Row],[data]],"dddd")</f>
        <v>domingo</v>
      </c>
      <c r="D2178" s="33">
        <v>5</v>
      </c>
      <c r="E2178" s="33">
        <v>5</v>
      </c>
      <c r="F2178" s="18"/>
      <c r="G2178" s="35">
        <f>WEEKDAY(Metas_Diarias[[#This Row],[data]])</f>
        <v>1</v>
      </c>
      <c r="H2178" s="35" t="str">
        <f>IF(Metas_Diarias[[#This Row],[dias_da_demana]]=1,"domingo",IF(Metas_Diarias[[#This Row],[dias_da_demana]]=7,0.5,1))</f>
        <v>domingo</v>
      </c>
      <c r="I2178" s="35">
        <f>_xlfn.XLOOKUP(Metas_Diarias[[#This Row],[data]],Feriados[Data],Feriados[Feriado],1)</f>
        <v>1</v>
      </c>
      <c r="J2178" s="33" cm="1">
        <f t="array" aca="1" ref="J2178" ca="1">SUMPRODUCT(IF((NOT(ISERROR(MATCH(ROW(INDIRECT(DATE(YEAR(B2178),MONTH(B2178),1)&amp;":"&amp;DATE(YEAR(B2178),MONTH(B2178)+1,0))),Feriados[Data],0))))=FALSE,
IF(WEEKDAY(ROW(INDIRECT(DATE(YEAR(B2178),MONTH(B2178),1)&amp;":"&amp;DATE(YEAR(B2178),MONTH(B2178)+1,0))),2)&lt;=5,1,IF(WEEKDAY(ROW(INDIRECT(DATE(YEAR(B2178),MONTH(B2178),1)&amp;":"&amp;DATE(YEAR(B2178),MONTH(B2178)+1,0))),2)=6,0.5,0)),0))</f>
        <v>24</v>
      </c>
      <c r="K2178" s="22" cm="1">
        <f t="array" ref="K2178">_xlfn.XLOOKUP(1,((Metas_Diarias[[#This Row],[tipo_equipe_id]]=Metas[equipe])*(Metas_Diarias[[#This Row],[data]]&gt;Metas[data_inicio])*(Metas_Diarias[[#This Row],[data]]&lt;Metas[data_fim])),Metas[meta_mensal],0)</f>
        <v>68250</v>
      </c>
      <c r="L21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79" spans="2:12" x14ac:dyDescent="0.3">
      <c r="B2179" s="34">
        <v>46370</v>
      </c>
      <c r="C2179" s="34" t="str">
        <f>TEXT(Metas_Diarias[[#This Row],[data]],"dddd")</f>
        <v>segunda-feira</v>
      </c>
      <c r="D2179" s="33">
        <v>5</v>
      </c>
      <c r="E2179" s="33">
        <v>5</v>
      </c>
      <c r="F2179" s="18"/>
      <c r="G2179" s="35">
        <f>WEEKDAY(Metas_Diarias[[#This Row],[data]])</f>
        <v>2</v>
      </c>
      <c r="H2179" s="35">
        <f>IF(Metas_Diarias[[#This Row],[dias_da_demana]]=1,"domingo",IF(Metas_Diarias[[#This Row],[dias_da_demana]]=7,0.5,1))</f>
        <v>1</v>
      </c>
      <c r="I2179" s="35">
        <f>_xlfn.XLOOKUP(Metas_Diarias[[#This Row],[data]],Feriados[Data],Feriados[Feriado],1)</f>
        <v>1</v>
      </c>
      <c r="J2179" s="33" cm="1">
        <f t="array" aca="1" ref="J2179" ca="1">SUMPRODUCT(IF((NOT(ISERROR(MATCH(ROW(INDIRECT(DATE(YEAR(B2179),MONTH(B2179),1)&amp;":"&amp;DATE(YEAR(B2179),MONTH(B2179)+1,0))),Feriados[Data],0))))=FALSE,
IF(WEEKDAY(ROW(INDIRECT(DATE(YEAR(B2179),MONTH(B2179),1)&amp;":"&amp;DATE(YEAR(B2179),MONTH(B2179)+1,0))),2)&lt;=5,1,IF(WEEKDAY(ROW(INDIRECT(DATE(YEAR(B2179),MONTH(B2179),1)&amp;":"&amp;DATE(YEAR(B2179),MONTH(B2179)+1,0))),2)=6,0.5,0)),0))</f>
        <v>24</v>
      </c>
      <c r="K2179" s="22" cm="1">
        <f t="array" ref="K2179">_xlfn.XLOOKUP(1,((Metas_Diarias[[#This Row],[tipo_equipe_id]]=Metas[equipe])*(Metas_Diarias[[#This Row],[data]]&gt;Metas[data_inicio])*(Metas_Diarias[[#This Row],[data]]&lt;Metas[data_fim])),Metas[meta_mensal],0)</f>
        <v>68250</v>
      </c>
      <c r="L2179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80" spans="2:12" x14ac:dyDescent="0.3">
      <c r="B2180" s="34">
        <v>46371</v>
      </c>
      <c r="C2180" s="34" t="str">
        <f>TEXT(Metas_Diarias[[#This Row],[data]],"dddd")</f>
        <v>terça-feira</v>
      </c>
      <c r="D2180" s="33">
        <v>5</v>
      </c>
      <c r="E2180" s="33">
        <v>5</v>
      </c>
      <c r="F2180" s="18"/>
      <c r="G2180" s="35">
        <f>WEEKDAY(Metas_Diarias[[#This Row],[data]])</f>
        <v>3</v>
      </c>
      <c r="H2180" s="35">
        <f>IF(Metas_Diarias[[#This Row],[dias_da_demana]]=1,"domingo",IF(Metas_Diarias[[#This Row],[dias_da_demana]]=7,0.5,1))</f>
        <v>1</v>
      </c>
      <c r="I2180" s="35">
        <f>_xlfn.XLOOKUP(Metas_Diarias[[#This Row],[data]],Feriados[Data],Feriados[Feriado],1)</f>
        <v>1</v>
      </c>
      <c r="J2180" s="33" cm="1">
        <f t="array" aca="1" ref="J2180" ca="1">SUMPRODUCT(IF((NOT(ISERROR(MATCH(ROW(INDIRECT(DATE(YEAR(B2180),MONTH(B2180),1)&amp;":"&amp;DATE(YEAR(B2180),MONTH(B2180)+1,0))),Feriados[Data],0))))=FALSE,
IF(WEEKDAY(ROW(INDIRECT(DATE(YEAR(B2180),MONTH(B2180),1)&amp;":"&amp;DATE(YEAR(B2180),MONTH(B2180)+1,0))),2)&lt;=5,1,IF(WEEKDAY(ROW(INDIRECT(DATE(YEAR(B2180),MONTH(B2180),1)&amp;":"&amp;DATE(YEAR(B2180),MONTH(B2180)+1,0))),2)=6,0.5,0)),0))</f>
        <v>24</v>
      </c>
      <c r="K2180" s="22" cm="1">
        <f t="array" ref="K2180">_xlfn.XLOOKUP(1,((Metas_Diarias[[#This Row],[tipo_equipe_id]]=Metas[equipe])*(Metas_Diarias[[#This Row],[data]]&gt;Metas[data_inicio])*(Metas_Diarias[[#This Row],[data]]&lt;Metas[data_fim])),Metas[meta_mensal],0)</f>
        <v>68250</v>
      </c>
      <c r="L2180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81" spans="2:12" x14ac:dyDescent="0.3">
      <c r="B2181" s="34">
        <v>46372</v>
      </c>
      <c r="C2181" s="34" t="str">
        <f>TEXT(Metas_Diarias[[#This Row],[data]],"dddd")</f>
        <v>quarta-feira</v>
      </c>
      <c r="D2181" s="33">
        <v>5</v>
      </c>
      <c r="E2181" s="33">
        <v>5</v>
      </c>
      <c r="F2181" s="18"/>
      <c r="G2181" s="35">
        <f>WEEKDAY(Metas_Diarias[[#This Row],[data]])</f>
        <v>4</v>
      </c>
      <c r="H2181" s="35">
        <f>IF(Metas_Diarias[[#This Row],[dias_da_demana]]=1,"domingo",IF(Metas_Diarias[[#This Row],[dias_da_demana]]=7,0.5,1))</f>
        <v>1</v>
      </c>
      <c r="I2181" s="35">
        <f>_xlfn.XLOOKUP(Metas_Diarias[[#This Row],[data]],Feriados[Data],Feriados[Feriado],1)</f>
        <v>1</v>
      </c>
      <c r="J2181" s="33" cm="1">
        <f t="array" aca="1" ref="J2181" ca="1">SUMPRODUCT(IF((NOT(ISERROR(MATCH(ROW(INDIRECT(DATE(YEAR(B2181),MONTH(B2181),1)&amp;":"&amp;DATE(YEAR(B2181),MONTH(B2181)+1,0))),Feriados[Data],0))))=FALSE,
IF(WEEKDAY(ROW(INDIRECT(DATE(YEAR(B2181),MONTH(B2181),1)&amp;":"&amp;DATE(YEAR(B2181),MONTH(B2181)+1,0))),2)&lt;=5,1,IF(WEEKDAY(ROW(INDIRECT(DATE(YEAR(B2181),MONTH(B2181),1)&amp;":"&amp;DATE(YEAR(B2181),MONTH(B2181)+1,0))),2)=6,0.5,0)),0))</f>
        <v>24</v>
      </c>
      <c r="K2181" s="22" cm="1">
        <f t="array" ref="K2181">_xlfn.XLOOKUP(1,((Metas_Diarias[[#This Row],[tipo_equipe_id]]=Metas[equipe])*(Metas_Diarias[[#This Row],[data]]&gt;Metas[data_inicio])*(Metas_Diarias[[#This Row],[data]]&lt;Metas[data_fim])),Metas[meta_mensal],0)</f>
        <v>68250</v>
      </c>
      <c r="L2181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82" spans="2:12" x14ac:dyDescent="0.3">
      <c r="B2182" s="34">
        <v>46373</v>
      </c>
      <c r="C2182" s="34" t="str">
        <f>TEXT(Metas_Diarias[[#This Row],[data]],"dddd")</f>
        <v>quinta-feira</v>
      </c>
      <c r="D2182" s="33">
        <v>5</v>
      </c>
      <c r="E2182" s="33">
        <v>5</v>
      </c>
      <c r="F2182" s="18"/>
      <c r="G2182" s="35">
        <f>WEEKDAY(Metas_Diarias[[#This Row],[data]])</f>
        <v>5</v>
      </c>
      <c r="H2182" s="35">
        <f>IF(Metas_Diarias[[#This Row],[dias_da_demana]]=1,"domingo",IF(Metas_Diarias[[#This Row],[dias_da_demana]]=7,0.5,1))</f>
        <v>1</v>
      </c>
      <c r="I2182" s="35">
        <f>_xlfn.XLOOKUP(Metas_Diarias[[#This Row],[data]],Feriados[Data],Feriados[Feriado],1)</f>
        <v>1</v>
      </c>
      <c r="J2182" s="33" cm="1">
        <f t="array" aca="1" ref="J2182" ca="1">SUMPRODUCT(IF((NOT(ISERROR(MATCH(ROW(INDIRECT(DATE(YEAR(B2182),MONTH(B2182),1)&amp;":"&amp;DATE(YEAR(B2182),MONTH(B2182)+1,0))),Feriados[Data],0))))=FALSE,
IF(WEEKDAY(ROW(INDIRECT(DATE(YEAR(B2182),MONTH(B2182),1)&amp;":"&amp;DATE(YEAR(B2182),MONTH(B2182)+1,0))),2)&lt;=5,1,IF(WEEKDAY(ROW(INDIRECT(DATE(YEAR(B2182),MONTH(B2182),1)&amp;":"&amp;DATE(YEAR(B2182),MONTH(B2182)+1,0))),2)=6,0.5,0)),0))</f>
        <v>24</v>
      </c>
      <c r="K2182" s="22" cm="1">
        <f t="array" ref="K2182">_xlfn.XLOOKUP(1,((Metas_Diarias[[#This Row],[tipo_equipe_id]]=Metas[equipe])*(Metas_Diarias[[#This Row],[data]]&gt;Metas[data_inicio])*(Metas_Diarias[[#This Row],[data]]&lt;Metas[data_fim])),Metas[meta_mensal],0)</f>
        <v>68250</v>
      </c>
      <c r="L2182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83" spans="2:12" x14ac:dyDescent="0.3">
      <c r="B2183" s="34">
        <v>46374</v>
      </c>
      <c r="C2183" s="34" t="str">
        <f>TEXT(Metas_Diarias[[#This Row],[data]],"dddd")</f>
        <v>sexta-feira</v>
      </c>
      <c r="D2183" s="33">
        <v>5</v>
      </c>
      <c r="E2183" s="33">
        <v>5</v>
      </c>
      <c r="F2183" s="18"/>
      <c r="G2183" s="35">
        <f>WEEKDAY(Metas_Diarias[[#This Row],[data]])</f>
        <v>6</v>
      </c>
      <c r="H2183" s="35">
        <f>IF(Metas_Diarias[[#This Row],[dias_da_demana]]=1,"domingo",IF(Metas_Diarias[[#This Row],[dias_da_demana]]=7,0.5,1))</f>
        <v>1</v>
      </c>
      <c r="I2183" s="35">
        <f>_xlfn.XLOOKUP(Metas_Diarias[[#This Row],[data]],Feriados[Data],Feriados[Feriado],1)</f>
        <v>1</v>
      </c>
      <c r="J2183" s="33" cm="1">
        <f t="array" aca="1" ref="J2183" ca="1">SUMPRODUCT(IF((NOT(ISERROR(MATCH(ROW(INDIRECT(DATE(YEAR(B2183),MONTH(B2183),1)&amp;":"&amp;DATE(YEAR(B2183),MONTH(B2183)+1,0))),Feriados[Data],0))))=FALSE,
IF(WEEKDAY(ROW(INDIRECT(DATE(YEAR(B2183),MONTH(B2183),1)&amp;":"&amp;DATE(YEAR(B2183),MONTH(B2183)+1,0))),2)&lt;=5,1,IF(WEEKDAY(ROW(INDIRECT(DATE(YEAR(B2183),MONTH(B2183),1)&amp;":"&amp;DATE(YEAR(B2183),MONTH(B2183)+1,0))),2)=6,0.5,0)),0))</f>
        <v>24</v>
      </c>
      <c r="K2183" s="22" cm="1">
        <f t="array" ref="K2183">_xlfn.XLOOKUP(1,((Metas_Diarias[[#This Row],[tipo_equipe_id]]=Metas[equipe])*(Metas_Diarias[[#This Row],[data]]&gt;Metas[data_inicio])*(Metas_Diarias[[#This Row],[data]]&lt;Metas[data_fim])),Metas[meta_mensal],0)</f>
        <v>68250</v>
      </c>
      <c r="L2183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84" spans="2:12" x14ac:dyDescent="0.3">
      <c r="B2184" s="34">
        <v>46375</v>
      </c>
      <c r="C2184" s="34" t="str">
        <f>TEXT(Metas_Diarias[[#This Row],[data]],"dddd")</f>
        <v>sábado</v>
      </c>
      <c r="D2184" s="33">
        <v>5</v>
      </c>
      <c r="E2184" s="33">
        <v>5</v>
      </c>
      <c r="F2184" s="18"/>
      <c r="G2184" s="35">
        <f>WEEKDAY(Metas_Diarias[[#This Row],[data]])</f>
        <v>7</v>
      </c>
      <c r="H2184" s="35">
        <f>IF(Metas_Diarias[[#This Row],[dias_da_demana]]=1,"domingo",IF(Metas_Diarias[[#This Row],[dias_da_demana]]=7,0.5,1))</f>
        <v>0.5</v>
      </c>
      <c r="I2184" s="35">
        <f>_xlfn.XLOOKUP(Metas_Diarias[[#This Row],[data]],Feriados[Data],Feriados[Feriado],1)</f>
        <v>1</v>
      </c>
      <c r="J2184" s="33" cm="1">
        <f t="array" aca="1" ref="J2184" ca="1">SUMPRODUCT(IF((NOT(ISERROR(MATCH(ROW(INDIRECT(DATE(YEAR(B2184),MONTH(B2184),1)&amp;":"&amp;DATE(YEAR(B2184),MONTH(B2184)+1,0))),Feriados[Data],0))))=FALSE,
IF(WEEKDAY(ROW(INDIRECT(DATE(YEAR(B2184),MONTH(B2184),1)&amp;":"&amp;DATE(YEAR(B2184),MONTH(B2184)+1,0))),2)&lt;=5,1,IF(WEEKDAY(ROW(INDIRECT(DATE(YEAR(B2184),MONTH(B2184),1)&amp;":"&amp;DATE(YEAR(B2184),MONTH(B2184)+1,0))),2)=6,0.5,0)),0))</f>
        <v>24</v>
      </c>
      <c r="K2184" s="22" cm="1">
        <f t="array" ref="K2184">_xlfn.XLOOKUP(1,((Metas_Diarias[[#This Row],[tipo_equipe_id]]=Metas[equipe])*(Metas_Diarias[[#This Row],[data]]&gt;Metas[data_inicio])*(Metas_Diarias[[#This Row],[data]]&lt;Metas[data_fim])),Metas[meta_mensal],0)</f>
        <v>68250</v>
      </c>
      <c r="L2184" s="24">
        <f ca="1">Metas_Diarias[[#This Row],[meta_mensal]]*IF(Metas_Diarias[[#This Row],[semana]]="domingo",0,Metas_Diarias[[#This Row],[semana]])*IF(Metas_Diarias[[#This Row],[feriado]]&lt;&gt;1,0,1)/Metas_Diarias[[#This Row],[dias_úteis_Mês]]</f>
        <v>1421.875</v>
      </c>
    </row>
    <row r="2185" spans="2:12" x14ac:dyDescent="0.3">
      <c r="B2185" s="34">
        <v>46376</v>
      </c>
      <c r="C2185" s="34" t="str">
        <f>TEXT(Metas_Diarias[[#This Row],[data]],"dddd")</f>
        <v>domingo</v>
      </c>
      <c r="D2185" s="33">
        <v>5</v>
      </c>
      <c r="E2185" s="33">
        <v>5</v>
      </c>
      <c r="F2185" s="18"/>
      <c r="G2185" s="35">
        <f>WEEKDAY(Metas_Diarias[[#This Row],[data]])</f>
        <v>1</v>
      </c>
      <c r="H2185" s="35" t="str">
        <f>IF(Metas_Diarias[[#This Row],[dias_da_demana]]=1,"domingo",IF(Metas_Diarias[[#This Row],[dias_da_demana]]=7,0.5,1))</f>
        <v>domingo</v>
      </c>
      <c r="I2185" s="35">
        <f>_xlfn.XLOOKUP(Metas_Diarias[[#This Row],[data]],Feriados[Data],Feriados[Feriado],1)</f>
        <v>1</v>
      </c>
      <c r="J2185" s="33" cm="1">
        <f t="array" aca="1" ref="J2185" ca="1">SUMPRODUCT(IF((NOT(ISERROR(MATCH(ROW(INDIRECT(DATE(YEAR(B2185),MONTH(B2185),1)&amp;":"&amp;DATE(YEAR(B2185),MONTH(B2185)+1,0))),Feriados[Data],0))))=FALSE,
IF(WEEKDAY(ROW(INDIRECT(DATE(YEAR(B2185),MONTH(B2185),1)&amp;":"&amp;DATE(YEAR(B2185),MONTH(B2185)+1,0))),2)&lt;=5,1,IF(WEEKDAY(ROW(INDIRECT(DATE(YEAR(B2185),MONTH(B2185),1)&amp;":"&amp;DATE(YEAR(B2185),MONTH(B2185)+1,0))),2)=6,0.5,0)),0))</f>
        <v>24</v>
      </c>
      <c r="K2185" s="22" cm="1">
        <f t="array" ref="K2185">_xlfn.XLOOKUP(1,((Metas_Diarias[[#This Row],[tipo_equipe_id]]=Metas[equipe])*(Metas_Diarias[[#This Row],[data]]&gt;Metas[data_inicio])*(Metas_Diarias[[#This Row],[data]]&lt;Metas[data_fim])),Metas[meta_mensal],0)</f>
        <v>68250</v>
      </c>
      <c r="L218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86" spans="2:12" x14ac:dyDescent="0.3">
      <c r="B2186" s="34">
        <v>46377</v>
      </c>
      <c r="C2186" s="34" t="str">
        <f>TEXT(Metas_Diarias[[#This Row],[data]],"dddd")</f>
        <v>segunda-feira</v>
      </c>
      <c r="D2186" s="33">
        <v>5</v>
      </c>
      <c r="E2186" s="33">
        <v>5</v>
      </c>
      <c r="F2186" s="18"/>
      <c r="G2186" s="35">
        <f>WEEKDAY(Metas_Diarias[[#This Row],[data]])</f>
        <v>2</v>
      </c>
      <c r="H2186" s="35">
        <f>IF(Metas_Diarias[[#This Row],[dias_da_demana]]=1,"domingo",IF(Metas_Diarias[[#This Row],[dias_da_demana]]=7,0.5,1))</f>
        <v>1</v>
      </c>
      <c r="I2186" s="35">
        <f>_xlfn.XLOOKUP(Metas_Diarias[[#This Row],[data]],Feriados[Data],Feriados[Feriado],1)</f>
        <v>1</v>
      </c>
      <c r="J2186" s="33" cm="1">
        <f t="array" aca="1" ref="J2186" ca="1">SUMPRODUCT(IF((NOT(ISERROR(MATCH(ROW(INDIRECT(DATE(YEAR(B2186),MONTH(B2186),1)&amp;":"&amp;DATE(YEAR(B2186),MONTH(B2186)+1,0))),Feriados[Data],0))))=FALSE,
IF(WEEKDAY(ROW(INDIRECT(DATE(YEAR(B2186),MONTH(B2186),1)&amp;":"&amp;DATE(YEAR(B2186),MONTH(B2186)+1,0))),2)&lt;=5,1,IF(WEEKDAY(ROW(INDIRECT(DATE(YEAR(B2186),MONTH(B2186),1)&amp;":"&amp;DATE(YEAR(B2186),MONTH(B2186)+1,0))),2)=6,0.5,0)),0))</f>
        <v>24</v>
      </c>
      <c r="K2186" s="22" cm="1">
        <f t="array" ref="K2186">_xlfn.XLOOKUP(1,((Metas_Diarias[[#This Row],[tipo_equipe_id]]=Metas[equipe])*(Metas_Diarias[[#This Row],[data]]&gt;Metas[data_inicio])*(Metas_Diarias[[#This Row],[data]]&lt;Metas[data_fim])),Metas[meta_mensal],0)</f>
        <v>68250</v>
      </c>
      <c r="L2186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87" spans="2:12" x14ac:dyDescent="0.3">
      <c r="B2187" s="34">
        <v>46378</v>
      </c>
      <c r="C2187" s="34" t="str">
        <f>TEXT(Metas_Diarias[[#This Row],[data]],"dddd")</f>
        <v>terça-feira</v>
      </c>
      <c r="D2187" s="33">
        <v>5</v>
      </c>
      <c r="E2187" s="33">
        <v>5</v>
      </c>
      <c r="F2187" s="18"/>
      <c r="G2187" s="35">
        <f>WEEKDAY(Metas_Diarias[[#This Row],[data]])</f>
        <v>3</v>
      </c>
      <c r="H2187" s="35">
        <f>IF(Metas_Diarias[[#This Row],[dias_da_demana]]=1,"domingo",IF(Metas_Diarias[[#This Row],[dias_da_demana]]=7,0.5,1))</f>
        <v>1</v>
      </c>
      <c r="I2187" s="35">
        <f>_xlfn.XLOOKUP(Metas_Diarias[[#This Row],[data]],Feriados[Data],Feriados[Feriado],1)</f>
        <v>1</v>
      </c>
      <c r="J2187" s="33" cm="1">
        <f t="array" aca="1" ref="J2187" ca="1">SUMPRODUCT(IF((NOT(ISERROR(MATCH(ROW(INDIRECT(DATE(YEAR(B2187),MONTH(B2187),1)&amp;":"&amp;DATE(YEAR(B2187),MONTH(B2187)+1,0))),Feriados[Data],0))))=FALSE,
IF(WEEKDAY(ROW(INDIRECT(DATE(YEAR(B2187),MONTH(B2187),1)&amp;":"&amp;DATE(YEAR(B2187),MONTH(B2187)+1,0))),2)&lt;=5,1,IF(WEEKDAY(ROW(INDIRECT(DATE(YEAR(B2187),MONTH(B2187),1)&amp;":"&amp;DATE(YEAR(B2187),MONTH(B2187)+1,0))),2)=6,0.5,0)),0))</f>
        <v>24</v>
      </c>
      <c r="K2187" s="22" cm="1">
        <f t="array" ref="K2187">_xlfn.XLOOKUP(1,((Metas_Diarias[[#This Row],[tipo_equipe_id]]=Metas[equipe])*(Metas_Diarias[[#This Row],[data]]&gt;Metas[data_inicio])*(Metas_Diarias[[#This Row],[data]]&lt;Metas[data_fim])),Metas[meta_mensal],0)</f>
        <v>68250</v>
      </c>
      <c r="L2187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88" spans="2:12" x14ac:dyDescent="0.3">
      <c r="B2188" s="34">
        <v>46379</v>
      </c>
      <c r="C2188" s="34" t="str">
        <f>TEXT(Metas_Diarias[[#This Row],[data]],"dddd")</f>
        <v>quarta-feira</v>
      </c>
      <c r="D2188" s="33">
        <v>5</v>
      </c>
      <c r="E2188" s="33">
        <v>5</v>
      </c>
      <c r="F2188" s="18"/>
      <c r="G2188" s="35">
        <f>WEEKDAY(Metas_Diarias[[#This Row],[data]])</f>
        <v>4</v>
      </c>
      <c r="H2188" s="35">
        <f>IF(Metas_Diarias[[#This Row],[dias_da_demana]]=1,"domingo",IF(Metas_Diarias[[#This Row],[dias_da_demana]]=7,0.5,1))</f>
        <v>1</v>
      </c>
      <c r="I2188" s="35">
        <f>_xlfn.XLOOKUP(Metas_Diarias[[#This Row],[data]],Feriados[Data],Feriados[Feriado],1)</f>
        <v>1</v>
      </c>
      <c r="J2188" s="33" cm="1">
        <f t="array" aca="1" ref="J2188" ca="1">SUMPRODUCT(IF((NOT(ISERROR(MATCH(ROW(INDIRECT(DATE(YEAR(B2188),MONTH(B2188),1)&amp;":"&amp;DATE(YEAR(B2188),MONTH(B2188)+1,0))),Feriados[Data],0))))=FALSE,
IF(WEEKDAY(ROW(INDIRECT(DATE(YEAR(B2188),MONTH(B2188),1)&amp;":"&amp;DATE(YEAR(B2188),MONTH(B2188)+1,0))),2)&lt;=5,1,IF(WEEKDAY(ROW(INDIRECT(DATE(YEAR(B2188),MONTH(B2188),1)&amp;":"&amp;DATE(YEAR(B2188),MONTH(B2188)+1,0))),2)=6,0.5,0)),0))</f>
        <v>24</v>
      </c>
      <c r="K2188" s="22" cm="1">
        <f t="array" ref="K2188">_xlfn.XLOOKUP(1,((Metas_Diarias[[#This Row],[tipo_equipe_id]]=Metas[equipe])*(Metas_Diarias[[#This Row],[data]]&gt;Metas[data_inicio])*(Metas_Diarias[[#This Row],[data]]&lt;Metas[data_fim])),Metas[meta_mensal],0)</f>
        <v>68250</v>
      </c>
      <c r="L2188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89" spans="2:12" x14ac:dyDescent="0.3">
      <c r="B2189" s="34">
        <v>46380</v>
      </c>
      <c r="C2189" s="34" t="str">
        <f>TEXT(Metas_Diarias[[#This Row],[data]],"dddd")</f>
        <v>quinta-feira</v>
      </c>
      <c r="D2189" s="33">
        <v>5</v>
      </c>
      <c r="E2189" s="33">
        <v>5</v>
      </c>
      <c r="F2189" s="18"/>
      <c r="G2189" s="35">
        <f>WEEKDAY(Metas_Diarias[[#This Row],[data]])</f>
        <v>5</v>
      </c>
      <c r="H2189" s="35">
        <f>IF(Metas_Diarias[[#This Row],[dias_da_demana]]=1,"domingo",IF(Metas_Diarias[[#This Row],[dias_da_demana]]=7,0.5,1))</f>
        <v>1</v>
      </c>
      <c r="I2189" s="35">
        <f>_xlfn.XLOOKUP(Metas_Diarias[[#This Row],[data]],Feriados[Data],Feriados[Feriado],1)</f>
        <v>1</v>
      </c>
      <c r="J2189" s="33" cm="1">
        <f t="array" aca="1" ref="J2189" ca="1">SUMPRODUCT(IF((NOT(ISERROR(MATCH(ROW(INDIRECT(DATE(YEAR(B2189),MONTH(B2189),1)&amp;":"&amp;DATE(YEAR(B2189),MONTH(B2189)+1,0))),Feriados[Data],0))))=FALSE,
IF(WEEKDAY(ROW(INDIRECT(DATE(YEAR(B2189),MONTH(B2189),1)&amp;":"&amp;DATE(YEAR(B2189),MONTH(B2189)+1,0))),2)&lt;=5,1,IF(WEEKDAY(ROW(INDIRECT(DATE(YEAR(B2189),MONTH(B2189),1)&amp;":"&amp;DATE(YEAR(B2189),MONTH(B2189)+1,0))),2)=6,0.5,0)),0))</f>
        <v>24</v>
      </c>
      <c r="K2189" s="22" cm="1">
        <f t="array" ref="K2189">_xlfn.XLOOKUP(1,((Metas_Diarias[[#This Row],[tipo_equipe_id]]=Metas[equipe])*(Metas_Diarias[[#This Row],[data]]&gt;Metas[data_inicio])*(Metas_Diarias[[#This Row],[data]]&lt;Metas[data_fim])),Metas[meta_mensal],0)</f>
        <v>68250</v>
      </c>
      <c r="L2189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90" spans="2:12" x14ac:dyDescent="0.3">
      <c r="B2190" s="34">
        <v>46381</v>
      </c>
      <c r="C2190" s="34" t="str">
        <f>TEXT(Metas_Diarias[[#This Row],[data]],"dddd")</f>
        <v>sexta-feira</v>
      </c>
      <c r="D2190" s="33">
        <v>5</v>
      </c>
      <c r="E2190" s="33">
        <v>5</v>
      </c>
      <c r="F2190" s="18"/>
      <c r="G2190" s="35">
        <f>WEEKDAY(Metas_Diarias[[#This Row],[data]])</f>
        <v>6</v>
      </c>
      <c r="H2190" s="35">
        <f>IF(Metas_Diarias[[#This Row],[dias_da_demana]]=1,"domingo",IF(Metas_Diarias[[#This Row],[dias_da_demana]]=7,0.5,1))</f>
        <v>1</v>
      </c>
      <c r="I2190" s="35" t="str">
        <f>_xlfn.XLOOKUP(Metas_Diarias[[#This Row],[data]],Feriados[Data],Feriados[Feriado],1)</f>
        <v>Natal</v>
      </c>
      <c r="J2190" s="33" cm="1">
        <f t="array" aca="1" ref="J2190" ca="1">SUMPRODUCT(IF((NOT(ISERROR(MATCH(ROW(INDIRECT(DATE(YEAR(B2190),MONTH(B2190),1)&amp;":"&amp;DATE(YEAR(B2190),MONTH(B2190)+1,0))),Feriados[Data],0))))=FALSE,
IF(WEEKDAY(ROW(INDIRECT(DATE(YEAR(B2190),MONTH(B2190),1)&amp;":"&amp;DATE(YEAR(B2190),MONTH(B2190)+1,0))),2)&lt;=5,1,IF(WEEKDAY(ROW(INDIRECT(DATE(YEAR(B2190),MONTH(B2190),1)&amp;":"&amp;DATE(YEAR(B2190),MONTH(B2190)+1,0))),2)=6,0.5,0)),0))</f>
        <v>24</v>
      </c>
      <c r="K2190" s="22" cm="1">
        <f t="array" ref="K2190">_xlfn.XLOOKUP(1,((Metas_Diarias[[#This Row],[tipo_equipe_id]]=Metas[equipe])*(Metas_Diarias[[#This Row],[data]]&gt;Metas[data_inicio])*(Metas_Diarias[[#This Row],[data]]&lt;Metas[data_fim])),Metas[meta_mensal],0)</f>
        <v>68250</v>
      </c>
      <c r="L219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91" spans="2:12" x14ac:dyDescent="0.3">
      <c r="B2191" s="34">
        <v>46382</v>
      </c>
      <c r="C2191" s="34" t="str">
        <f>TEXT(Metas_Diarias[[#This Row],[data]],"dddd")</f>
        <v>sábado</v>
      </c>
      <c r="D2191" s="33">
        <v>5</v>
      </c>
      <c r="E2191" s="33">
        <v>5</v>
      </c>
      <c r="F2191" s="18"/>
      <c r="G2191" s="35">
        <f>WEEKDAY(Metas_Diarias[[#This Row],[data]])</f>
        <v>7</v>
      </c>
      <c r="H2191" s="35">
        <f>IF(Metas_Diarias[[#This Row],[dias_da_demana]]=1,"domingo",IF(Metas_Diarias[[#This Row],[dias_da_demana]]=7,0.5,1))</f>
        <v>0.5</v>
      </c>
      <c r="I2191" s="35">
        <f>_xlfn.XLOOKUP(Metas_Diarias[[#This Row],[data]],Feriados[Data],Feriados[Feriado],1)</f>
        <v>1</v>
      </c>
      <c r="J2191" s="33" cm="1">
        <f t="array" aca="1" ref="J2191" ca="1">SUMPRODUCT(IF((NOT(ISERROR(MATCH(ROW(INDIRECT(DATE(YEAR(B2191),MONTH(B2191),1)&amp;":"&amp;DATE(YEAR(B2191),MONTH(B2191)+1,0))),Feriados[Data],0))))=FALSE,
IF(WEEKDAY(ROW(INDIRECT(DATE(YEAR(B2191),MONTH(B2191),1)&amp;":"&amp;DATE(YEAR(B2191),MONTH(B2191)+1,0))),2)&lt;=5,1,IF(WEEKDAY(ROW(INDIRECT(DATE(YEAR(B2191),MONTH(B2191),1)&amp;":"&amp;DATE(YEAR(B2191),MONTH(B2191)+1,0))),2)=6,0.5,0)),0))</f>
        <v>24</v>
      </c>
      <c r="K2191" s="22" cm="1">
        <f t="array" ref="K2191">_xlfn.XLOOKUP(1,((Metas_Diarias[[#This Row],[tipo_equipe_id]]=Metas[equipe])*(Metas_Diarias[[#This Row],[data]]&gt;Metas[data_inicio])*(Metas_Diarias[[#This Row],[data]]&lt;Metas[data_fim])),Metas[meta_mensal],0)</f>
        <v>68250</v>
      </c>
      <c r="L2191" s="24">
        <f ca="1">Metas_Diarias[[#This Row],[meta_mensal]]*IF(Metas_Diarias[[#This Row],[semana]]="domingo",0,Metas_Diarias[[#This Row],[semana]])*IF(Metas_Diarias[[#This Row],[feriado]]&lt;&gt;1,0,1)/Metas_Diarias[[#This Row],[dias_úteis_Mês]]</f>
        <v>1421.875</v>
      </c>
    </row>
    <row r="2192" spans="2:12" x14ac:dyDescent="0.3">
      <c r="B2192" s="34">
        <v>46383</v>
      </c>
      <c r="C2192" s="34" t="str">
        <f>TEXT(Metas_Diarias[[#This Row],[data]],"dddd")</f>
        <v>domingo</v>
      </c>
      <c r="D2192" s="33">
        <v>5</v>
      </c>
      <c r="E2192" s="33">
        <v>5</v>
      </c>
      <c r="F2192" s="18"/>
      <c r="G2192" s="35">
        <f>WEEKDAY(Metas_Diarias[[#This Row],[data]])</f>
        <v>1</v>
      </c>
      <c r="H2192" s="35" t="str">
        <f>IF(Metas_Diarias[[#This Row],[dias_da_demana]]=1,"domingo",IF(Metas_Diarias[[#This Row],[dias_da_demana]]=7,0.5,1))</f>
        <v>domingo</v>
      </c>
      <c r="I2192" s="35">
        <f>_xlfn.XLOOKUP(Metas_Diarias[[#This Row],[data]],Feriados[Data],Feriados[Feriado],1)</f>
        <v>1</v>
      </c>
      <c r="J2192" s="33" cm="1">
        <f t="array" aca="1" ref="J2192" ca="1">SUMPRODUCT(IF((NOT(ISERROR(MATCH(ROW(INDIRECT(DATE(YEAR(B2192),MONTH(B2192),1)&amp;":"&amp;DATE(YEAR(B2192),MONTH(B2192)+1,0))),Feriados[Data],0))))=FALSE,
IF(WEEKDAY(ROW(INDIRECT(DATE(YEAR(B2192),MONTH(B2192),1)&amp;":"&amp;DATE(YEAR(B2192),MONTH(B2192)+1,0))),2)&lt;=5,1,IF(WEEKDAY(ROW(INDIRECT(DATE(YEAR(B2192),MONTH(B2192),1)&amp;":"&amp;DATE(YEAR(B2192),MONTH(B2192)+1,0))),2)=6,0.5,0)),0))</f>
        <v>24</v>
      </c>
      <c r="K2192" s="22" cm="1">
        <f t="array" ref="K2192">_xlfn.XLOOKUP(1,((Metas_Diarias[[#This Row],[tipo_equipe_id]]=Metas[equipe])*(Metas_Diarias[[#This Row],[data]]&gt;Metas[data_inicio])*(Metas_Diarias[[#This Row],[data]]&lt;Metas[data_fim])),Metas[meta_mensal],0)</f>
        <v>68250</v>
      </c>
      <c r="L219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93" spans="2:12" x14ac:dyDescent="0.3">
      <c r="B2193" s="34">
        <v>46384</v>
      </c>
      <c r="C2193" s="34" t="str">
        <f>TEXT(Metas_Diarias[[#This Row],[data]],"dddd")</f>
        <v>segunda-feira</v>
      </c>
      <c r="D2193" s="33">
        <v>5</v>
      </c>
      <c r="E2193" s="33">
        <v>5</v>
      </c>
      <c r="F2193" s="18"/>
      <c r="G2193" s="35">
        <f>WEEKDAY(Metas_Diarias[[#This Row],[data]])</f>
        <v>2</v>
      </c>
      <c r="H2193" s="35">
        <f>IF(Metas_Diarias[[#This Row],[dias_da_demana]]=1,"domingo",IF(Metas_Diarias[[#This Row],[dias_da_demana]]=7,0.5,1))</f>
        <v>1</v>
      </c>
      <c r="I2193" s="35">
        <f>_xlfn.XLOOKUP(Metas_Diarias[[#This Row],[data]],Feriados[Data],Feriados[Feriado],1)</f>
        <v>1</v>
      </c>
      <c r="J2193" s="33" cm="1">
        <f t="array" aca="1" ref="J2193" ca="1">SUMPRODUCT(IF((NOT(ISERROR(MATCH(ROW(INDIRECT(DATE(YEAR(B2193),MONTH(B2193),1)&amp;":"&amp;DATE(YEAR(B2193),MONTH(B2193)+1,0))),Feriados[Data],0))))=FALSE,
IF(WEEKDAY(ROW(INDIRECT(DATE(YEAR(B2193),MONTH(B2193),1)&amp;":"&amp;DATE(YEAR(B2193),MONTH(B2193)+1,0))),2)&lt;=5,1,IF(WEEKDAY(ROW(INDIRECT(DATE(YEAR(B2193),MONTH(B2193),1)&amp;":"&amp;DATE(YEAR(B2193),MONTH(B2193)+1,0))),2)=6,0.5,0)),0))</f>
        <v>24</v>
      </c>
      <c r="K2193" s="22" cm="1">
        <f t="array" ref="K2193">_xlfn.XLOOKUP(1,((Metas_Diarias[[#This Row],[tipo_equipe_id]]=Metas[equipe])*(Metas_Diarias[[#This Row],[data]]&gt;Metas[data_inicio])*(Metas_Diarias[[#This Row],[data]]&lt;Metas[data_fim])),Metas[meta_mensal],0)</f>
        <v>68250</v>
      </c>
      <c r="L2193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94" spans="2:12" x14ac:dyDescent="0.3">
      <c r="B2194" s="34">
        <v>46385</v>
      </c>
      <c r="C2194" s="34" t="str">
        <f>TEXT(Metas_Diarias[[#This Row],[data]],"dddd")</f>
        <v>terça-feira</v>
      </c>
      <c r="D2194" s="33">
        <v>5</v>
      </c>
      <c r="E2194" s="33">
        <v>5</v>
      </c>
      <c r="F2194" s="18"/>
      <c r="G2194" s="35">
        <f>WEEKDAY(Metas_Diarias[[#This Row],[data]])</f>
        <v>3</v>
      </c>
      <c r="H2194" s="35">
        <f>IF(Metas_Diarias[[#This Row],[dias_da_demana]]=1,"domingo",IF(Metas_Diarias[[#This Row],[dias_da_demana]]=7,0.5,1))</f>
        <v>1</v>
      </c>
      <c r="I2194" s="35">
        <f>_xlfn.XLOOKUP(Metas_Diarias[[#This Row],[data]],Feriados[Data],Feriados[Feriado],1)</f>
        <v>1</v>
      </c>
      <c r="J2194" s="33" cm="1">
        <f t="array" aca="1" ref="J2194" ca="1">SUMPRODUCT(IF((NOT(ISERROR(MATCH(ROW(INDIRECT(DATE(YEAR(B2194),MONTH(B2194),1)&amp;":"&amp;DATE(YEAR(B2194),MONTH(B2194)+1,0))),Feriados[Data],0))))=FALSE,
IF(WEEKDAY(ROW(INDIRECT(DATE(YEAR(B2194),MONTH(B2194),1)&amp;":"&amp;DATE(YEAR(B2194),MONTH(B2194)+1,0))),2)&lt;=5,1,IF(WEEKDAY(ROW(INDIRECT(DATE(YEAR(B2194),MONTH(B2194),1)&amp;":"&amp;DATE(YEAR(B2194),MONTH(B2194)+1,0))),2)=6,0.5,0)),0))</f>
        <v>24</v>
      </c>
      <c r="K2194" s="22" cm="1">
        <f t="array" ref="K2194">_xlfn.XLOOKUP(1,((Metas_Diarias[[#This Row],[tipo_equipe_id]]=Metas[equipe])*(Metas_Diarias[[#This Row],[data]]&gt;Metas[data_inicio])*(Metas_Diarias[[#This Row],[data]]&lt;Metas[data_fim])),Metas[meta_mensal],0)</f>
        <v>68250</v>
      </c>
      <c r="L2194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95" spans="2:12" x14ac:dyDescent="0.3">
      <c r="B2195" s="34">
        <v>46386</v>
      </c>
      <c r="C2195" s="34" t="str">
        <f>TEXT(Metas_Diarias[[#This Row],[data]],"dddd")</f>
        <v>quarta-feira</v>
      </c>
      <c r="D2195" s="33">
        <v>5</v>
      </c>
      <c r="E2195" s="33">
        <v>5</v>
      </c>
      <c r="F2195" s="18"/>
      <c r="G2195" s="35">
        <f>WEEKDAY(Metas_Diarias[[#This Row],[data]])</f>
        <v>4</v>
      </c>
      <c r="H2195" s="35">
        <f>IF(Metas_Diarias[[#This Row],[dias_da_demana]]=1,"domingo",IF(Metas_Diarias[[#This Row],[dias_da_demana]]=7,0.5,1))</f>
        <v>1</v>
      </c>
      <c r="I2195" s="35">
        <f>_xlfn.XLOOKUP(Metas_Diarias[[#This Row],[data]],Feriados[Data],Feriados[Feriado],1)</f>
        <v>1</v>
      </c>
      <c r="J2195" s="33" cm="1">
        <f t="array" aca="1" ref="J2195" ca="1">SUMPRODUCT(IF((NOT(ISERROR(MATCH(ROW(INDIRECT(DATE(YEAR(B2195),MONTH(B2195),1)&amp;":"&amp;DATE(YEAR(B2195),MONTH(B2195)+1,0))),Feriados[Data],0))))=FALSE,
IF(WEEKDAY(ROW(INDIRECT(DATE(YEAR(B2195),MONTH(B2195),1)&amp;":"&amp;DATE(YEAR(B2195),MONTH(B2195)+1,0))),2)&lt;=5,1,IF(WEEKDAY(ROW(INDIRECT(DATE(YEAR(B2195),MONTH(B2195),1)&amp;":"&amp;DATE(YEAR(B2195),MONTH(B2195)+1,0))),2)=6,0.5,0)),0))</f>
        <v>24</v>
      </c>
      <c r="K2195" s="22" cm="1">
        <f t="array" ref="K2195">_xlfn.XLOOKUP(1,((Metas_Diarias[[#This Row],[tipo_equipe_id]]=Metas[equipe])*(Metas_Diarias[[#This Row],[data]]&gt;Metas[data_inicio])*(Metas_Diarias[[#This Row],[data]]&lt;Metas[data_fim])),Metas[meta_mensal],0)</f>
        <v>68250</v>
      </c>
      <c r="L2195" s="24">
        <f ca="1">Metas_Diarias[[#This Row],[meta_mensal]]*IF(Metas_Diarias[[#This Row],[semana]]="domingo",0,Metas_Diarias[[#This Row],[semana]])*IF(Metas_Diarias[[#This Row],[feriado]]&lt;&gt;1,0,1)/Metas_Diarias[[#This Row],[dias_úteis_Mês]]</f>
        <v>2843.75</v>
      </c>
    </row>
    <row r="2196" spans="2:12" x14ac:dyDescent="0.3">
      <c r="B2196" s="34">
        <v>46387</v>
      </c>
      <c r="C2196" s="34" t="str">
        <f>TEXT(Metas_Diarias[[#This Row],[data]],"dddd")</f>
        <v>quinta-feira</v>
      </c>
      <c r="D2196" s="33">
        <v>5</v>
      </c>
      <c r="E2196" s="33">
        <v>5</v>
      </c>
      <c r="F2196" s="18"/>
      <c r="G2196" s="35">
        <f>WEEKDAY(Metas_Diarias[[#This Row],[data]])</f>
        <v>5</v>
      </c>
      <c r="H2196" s="35">
        <f>IF(Metas_Diarias[[#This Row],[dias_da_demana]]=1,"domingo",IF(Metas_Diarias[[#This Row],[dias_da_demana]]=7,0.5,1))</f>
        <v>1</v>
      </c>
      <c r="I2196" s="35">
        <f>_xlfn.XLOOKUP(Metas_Diarias[[#This Row],[data]],Feriados[Data],Feriados[Feriado],1)</f>
        <v>1</v>
      </c>
      <c r="J2196" s="33" cm="1">
        <f t="array" aca="1" ref="J2196" ca="1">SUMPRODUCT(IF((NOT(ISERROR(MATCH(ROW(INDIRECT(DATE(YEAR(B2196),MONTH(B2196),1)&amp;":"&amp;DATE(YEAR(B2196),MONTH(B2196)+1,0))),Feriados[Data],0))))=FALSE,
IF(WEEKDAY(ROW(INDIRECT(DATE(YEAR(B2196),MONTH(B2196),1)&amp;":"&amp;DATE(YEAR(B2196),MONTH(B2196)+1,0))),2)&lt;=5,1,IF(WEEKDAY(ROW(INDIRECT(DATE(YEAR(B2196),MONTH(B2196),1)&amp;":"&amp;DATE(YEAR(B2196),MONTH(B2196)+1,0))),2)=6,0.5,0)),0))</f>
        <v>24</v>
      </c>
      <c r="K2196" s="22" cm="1">
        <f t="array" ref="K2196">_xlfn.XLOOKUP(1,((Metas_Diarias[[#This Row],[tipo_equipe_id]]=Metas[equipe])*(Metas_Diarias[[#This Row],[data]]&gt;Metas[data_inicio])*(Metas_Diarias[[#This Row],[data]]&lt;Metas[data_fim])),Metas[meta_mensal],0)</f>
        <v>0</v>
      </c>
      <c r="L21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97" spans="2:12" x14ac:dyDescent="0.3">
      <c r="B2197" s="34">
        <v>46023</v>
      </c>
      <c r="C2197" s="34" t="str">
        <f>TEXT(Metas_Diarias[[#This Row],[data]],"dddd")</f>
        <v>quinta-feira</v>
      </c>
      <c r="D2197" s="33">
        <v>3</v>
      </c>
      <c r="E2197" s="33">
        <v>3</v>
      </c>
      <c r="F2197" s="18"/>
      <c r="G2197" s="35">
        <f>WEEKDAY(Metas_Diarias[[#This Row],[data]])</f>
        <v>5</v>
      </c>
      <c r="H2197" s="35">
        <f>IF(Metas_Diarias[[#This Row],[dias_da_demana]]=1,"domingo",IF(Metas_Diarias[[#This Row],[dias_da_demana]]=7,0.5,1))</f>
        <v>1</v>
      </c>
      <c r="I2197" s="35" t="str">
        <f>_xlfn.XLOOKUP(Metas_Diarias[[#This Row],[data]],Feriados[Data],Feriados[Feriado],1)</f>
        <v>Confraternização Universal</v>
      </c>
      <c r="J2197" s="33" cm="1">
        <f t="array" aca="1" ref="J2197" ca="1">SUMPRODUCT(IF((NOT(ISERROR(MATCH(ROW(INDIRECT(DATE(YEAR(B2197),MONTH(B2197),1)&amp;":"&amp;DATE(YEAR(B2197),MONTH(B2197)+1,0))),Feriados[Data],0))))=FALSE,
IF(WEEKDAY(ROW(INDIRECT(DATE(YEAR(B2197),MONTH(B2197),1)&amp;":"&amp;DATE(YEAR(B2197),MONTH(B2197)+1,0))),2)&lt;=5,1,IF(WEEKDAY(ROW(INDIRECT(DATE(YEAR(B2197),MONTH(B2197),1)&amp;":"&amp;DATE(YEAR(B2197),MONTH(B2197)+1,0))),2)=6,0.5,0)),0))</f>
        <v>23.5</v>
      </c>
      <c r="K2197" s="22" cm="1">
        <f t="array" ref="K2197">_xlfn.XLOOKUP(1,((Metas_Diarias[[#This Row],[tipo_equipe_id]]=Metas[equipe])*(Metas_Diarias[[#This Row],[data]]&gt;Metas[data_inicio])*(Metas_Diarias[[#This Row],[data]]&lt;Metas[data_fim])),Metas[meta_mensal],0)</f>
        <v>0</v>
      </c>
      <c r="L219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198" spans="2:12" x14ac:dyDescent="0.3">
      <c r="B2198" s="34">
        <v>46024</v>
      </c>
      <c r="C2198" s="34" t="str">
        <f>TEXT(Metas_Diarias[[#This Row],[data]],"dddd")</f>
        <v>sexta-feira</v>
      </c>
      <c r="D2198" s="33">
        <v>3</v>
      </c>
      <c r="E2198" s="33">
        <v>3</v>
      </c>
      <c r="F2198" s="18"/>
      <c r="G2198" s="35">
        <f>WEEKDAY(Metas_Diarias[[#This Row],[data]])</f>
        <v>6</v>
      </c>
      <c r="H2198" s="35">
        <f>IF(Metas_Diarias[[#This Row],[dias_da_demana]]=1,"domingo",IF(Metas_Diarias[[#This Row],[dias_da_demana]]=7,0.5,1))</f>
        <v>1</v>
      </c>
      <c r="I2198" s="35">
        <f>_xlfn.XLOOKUP(Metas_Diarias[[#This Row],[data]],Feriados[Data],Feriados[Feriado],1)</f>
        <v>1</v>
      </c>
      <c r="J2198" s="33" cm="1">
        <f t="array" aca="1" ref="J2198" ca="1">SUMPRODUCT(IF((NOT(ISERROR(MATCH(ROW(INDIRECT(DATE(YEAR(B2198),MONTH(B2198),1)&amp;":"&amp;DATE(YEAR(B2198),MONTH(B2198)+1,0))),Feriados[Data],0))))=FALSE,
IF(WEEKDAY(ROW(INDIRECT(DATE(YEAR(B2198),MONTH(B2198),1)&amp;":"&amp;DATE(YEAR(B2198),MONTH(B2198)+1,0))),2)&lt;=5,1,IF(WEEKDAY(ROW(INDIRECT(DATE(YEAR(B2198),MONTH(B2198),1)&amp;":"&amp;DATE(YEAR(B2198),MONTH(B2198)+1,0))),2)=6,0.5,0)),0))</f>
        <v>23.5</v>
      </c>
      <c r="K2198" s="22" cm="1">
        <f t="array" ref="K2198">_xlfn.XLOOKUP(1,((Metas_Diarias[[#This Row],[tipo_equipe_id]]=Metas[equipe])*(Metas_Diarias[[#This Row],[data]]&gt;Metas[data_inicio])*(Metas_Diarias[[#This Row],[data]]&lt;Metas[data_fim])),Metas[meta_mensal],0)</f>
        <v>110000</v>
      </c>
      <c r="L219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199" spans="2:12" x14ac:dyDescent="0.3">
      <c r="B2199" s="34">
        <v>46025</v>
      </c>
      <c r="C2199" s="34" t="str">
        <f>TEXT(Metas_Diarias[[#This Row],[data]],"dddd")</f>
        <v>sábado</v>
      </c>
      <c r="D2199" s="33">
        <v>3</v>
      </c>
      <c r="E2199" s="33">
        <v>3</v>
      </c>
      <c r="F2199" s="18"/>
      <c r="G2199" s="35">
        <f>WEEKDAY(Metas_Diarias[[#This Row],[data]])</f>
        <v>7</v>
      </c>
      <c r="H2199" s="35">
        <f>IF(Metas_Diarias[[#This Row],[dias_da_demana]]=1,"domingo",IF(Metas_Diarias[[#This Row],[dias_da_demana]]=7,0.5,1))</f>
        <v>0.5</v>
      </c>
      <c r="I2199" s="35">
        <f>_xlfn.XLOOKUP(Metas_Diarias[[#This Row],[data]],Feriados[Data],Feriados[Feriado],1)</f>
        <v>1</v>
      </c>
      <c r="J2199" s="33" cm="1">
        <f t="array" aca="1" ref="J2199" ca="1">SUMPRODUCT(IF((NOT(ISERROR(MATCH(ROW(INDIRECT(DATE(YEAR(B2199),MONTH(B2199),1)&amp;":"&amp;DATE(YEAR(B2199),MONTH(B2199)+1,0))),Feriados[Data],0))))=FALSE,
IF(WEEKDAY(ROW(INDIRECT(DATE(YEAR(B2199),MONTH(B2199),1)&amp;":"&amp;DATE(YEAR(B2199),MONTH(B2199)+1,0))),2)&lt;=5,1,IF(WEEKDAY(ROW(INDIRECT(DATE(YEAR(B2199),MONTH(B2199),1)&amp;":"&amp;DATE(YEAR(B2199),MONTH(B2199)+1,0))),2)=6,0.5,0)),0))</f>
        <v>23.5</v>
      </c>
      <c r="K2199" s="22" cm="1">
        <f t="array" ref="K2199">_xlfn.XLOOKUP(1,((Metas_Diarias[[#This Row],[tipo_equipe_id]]=Metas[equipe])*(Metas_Diarias[[#This Row],[data]]&gt;Metas[data_inicio])*(Metas_Diarias[[#This Row],[data]]&lt;Metas[data_fim])),Metas[meta_mensal],0)</f>
        <v>110000</v>
      </c>
      <c r="L2199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200" spans="2:12" x14ac:dyDescent="0.3">
      <c r="B2200" s="34">
        <v>46026</v>
      </c>
      <c r="C2200" s="34" t="str">
        <f>TEXT(Metas_Diarias[[#This Row],[data]],"dddd")</f>
        <v>domingo</v>
      </c>
      <c r="D2200" s="33">
        <v>3</v>
      </c>
      <c r="E2200" s="33">
        <v>3</v>
      </c>
      <c r="F2200" s="18"/>
      <c r="G2200" s="35">
        <f>WEEKDAY(Metas_Diarias[[#This Row],[data]])</f>
        <v>1</v>
      </c>
      <c r="H2200" s="35" t="str">
        <f>IF(Metas_Diarias[[#This Row],[dias_da_demana]]=1,"domingo",IF(Metas_Diarias[[#This Row],[dias_da_demana]]=7,0.5,1))</f>
        <v>domingo</v>
      </c>
      <c r="I2200" s="35">
        <f>_xlfn.XLOOKUP(Metas_Diarias[[#This Row],[data]],Feriados[Data],Feriados[Feriado],1)</f>
        <v>1</v>
      </c>
      <c r="J2200" s="33" cm="1">
        <f t="array" aca="1" ref="J2200" ca="1">SUMPRODUCT(IF((NOT(ISERROR(MATCH(ROW(INDIRECT(DATE(YEAR(B2200),MONTH(B2200),1)&amp;":"&amp;DATE(YEAR(B2200),MONTH(B2200)+1,0))),Feriados[Data],0))))=FALSE,
IF(WEEKDAY(ROW(INDIRECT(DATE(YEAR(B2200),MONTH(B2200),1)&amp;":"&amp;DATE(YEAR(B2200),MONTH(B2200)+1,0))),2)&lt;=5,1,IF(WEEKDAY(ROW(INDIRECT(DATE(YEAR(B2200),MONTH(B2200),1)&amp;":"&amp;DATE(YEAR(B2200),MONTH(B2200)+1,0))),2)=6,0.5,0)),0))</f>
        <v>23.5</v>
      </c>
      <c r="K2200" s="22" cm="1">
        <f t="array" ref="K2200">_xlfn.XLOOKUP(1,((Metas_Diarias[[#This Row],[tipo_equipe_id]]=Metas[equipe])*(Metas_Diarias[[#This Row],[data]]&gt;Metas[data_inicio])*(Metas_Diarias[[#This Row],[data]]&lt;Metas[data_fim])),Metas[meta_mensal],0)</f>
        <v>110000</v>
      </c>
      <c r="L220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01" spans="2:12" x14ac:dyDescent="0.3">
      <c r="B2201" s="34">
        <v>46027</v>
      </c>
      <c r="C2201" s="34" t="str">
        <f>TEXT(Metas_Diarias[[#This Row],[data]],"dddd")</f>
        <v>segunda-feira</v>
      </c>
      <c r="D2201" s="33">
        <v>3</v>
      </c>
      <c r="E2201" s="33">
        <v>3</v>
      </c>
      <c r="F2201" s="18"/>
      <c r="G2201" s="35">
        <f>WEEKDAY(Metas_Diarias[[#This Row],[data]])</f>
        <v>2</v>
      </c>
      <c r="H2201" s="35">
        <f>IF(Metas_Diarias[[#This Row],[dias_da_demana]]=1,"domingo",IF(Metas_Diarias[[#This Row],[dias_da_demana]]=7,0.5,1))</f>
        <v>1</v>
      </c>
      <c r="I2201" s="35">
        <f>_xlfn.XLOOKUP(Metas_Diarias[[#This Row],[data]],Feriados[Data],Feriados[Feriado],1)</f>
        <v>1</v>
      </c>
      <c r="J2201" s="33" cm="1">
        <f t="array" aca="1" ref="J2201" ca="1">SUMPRODUCT(IF((NOT(ISERROR(MATCH(ROW(INDIRECT(DATE(YEAR(B2201),MONTH(B2201),1)&amp;":"&amp;DATE(YEAR(B2201),MONTH(B2201)+1,0))),Feriados[Data],0))))=FALSE,
IF(WEEKDAY(ROW(INDIRECT(DATE(YEAR(B2201),MONTH(B2201),1)&amp;":"&amp;DATE(YEAR(B2201),MONTH(B2201)+1,0))),2)&lt;=5,1,IF(WEEKDAY(ROW(INDIRECT(DATE(YEAR(B2201),MONTH(B2201),1)&amp;":"&amp;DATE(YEAR(B2201),MONTH(B2201)+1,0))),2)=6,0.5,0)),0))</f>
        <v>23.5</v>
      </c>
      <c r="K2201" s="22" cm="1">
        <f t="array" ref="K2201">_xlfn.XLOOKUP(1,((Metas_Diarias[[#This Row],[tipo_equipe_id]]=Metas[equipe])*(Metas_Diarias[[#This Row],[data]]&gt;Metas[data_inicio])*(Metas_Diarias[[#This Row],[data]]&lt;Metas[data_fim])),Metas[meta_mensal],0)</f>
        <v>110000</v>
      </c>
      <c r="L2201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02" spans="2:12" x14ac:dyDescent="0.3">
      <c r="B2202" s="34">
        <v>46028</v>
      </c>
      <c r="C2202" s="34" t="str">
        <f>TEXT(Metas_Diarias[[#This Row],[data]],"dddd")</f>
        <v>terça-feira</v>
      </c>
      <c r="D2202" s="33">
        <v>3</v>
      </c>
      <c r="E2202" s="33">
        <v>3</v>
      </c>
      <c r="F2202" s="18"/>
      <c r="G2202" s="35">
        <f>WEEKDAY(Metas_Diarias[[#This Row],[data]])</f>
        <v>3</v>
      </c>
      <c r="H2202" s="35">
        <f>IF(Metas_Diarias[[#This Row],[dias_da_demana]]=1,"domingo",IF(Metas_Diarias[[#This Row],[dias_da_demana]]=7,0.5,1))</f>
        <v>1</v>
      </c>
      <c r="I2202" s="35">
        <f>_xlfn.XLOOKUP(Metas_Diarias[[#This Row],[data]],Feriados[Data],Feriados[Feriado],1)</f>
        <v>1</v>
      </c>
      <c r="J2202" s="33" cm="1">
        <f t="array" aca="1" ref="J2202" ca="1">SUMPRODUCT(IF((NOT(ISERROR(MATCH(ROW(INDIRECT(DATE(YEAR(B2202),MONTH(B2202),1)&amp;":"&amp;DATE(YEAR(B2202),MONTH(B2202)+1,0))),Feriados[Data],0))))=FALSE,
IF(WEEKDAY(ROW(INDIRECT(DATE(YEAR(B2202),MONTH(B2202),1)&amp;":"&amp;DATE(YEAR(B2202),MONTH(B2202)+1,0))),2)&lt;=5,1,IF(WEEKDAY(ROW(INDIRECT(DATE(YEAR(B2202),MONTH(B2202),1)&amp;":"&amp;DATE(YEAR(B2202),MONTH(B2202)+1,0))),2)=6,0.5,0)),0))</f>
        <v>23.5</v>
      </c>
      <c r="K2202" s="22" cm="1">
        <f t="array" ref="K2202">_xlfn.XLOOKUP(1,((Metas_Diarias[[#This Row],[tipo_equipe_id]]=Metas[equipe])*(Metas_Diarias[[#This Row],[data]]&gt;Metas[data_inicio])*(Metas_Diarias[[#This Row],[data]]&lt;Metas[data_fim])),Metas[meta_mensal],0)</f>
        <v>110000</v>
      </c>
      <c r="L220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03" spans="2:12" x14ac:dyDescent="0.3">
      <c r="B2203" s="34">
        <v>46029</v>
      </c>
      <c r="C2203" s="34" t="str">
        <f>TEXT(Metas_Diarias[[#This Row],[data]],"dddd")</f>
        <v>quarta-feira</v>
      </c>
      <c r="D2203" s="33">
        <v>3</v>
      </c>
      <c r="E2203" s="33">
        <v>3</v>
      </c>
      <c r="F2203" s="18"/>
      <c r="G2203" s="35">
        <f>WEEKDAY(Metas_Diarias[[#This Row],[data]])</f>
        <v>4</v>
      </c>
      <c r="H2203" s="35">
        <f>IF(Metas_Diarias[[#This Row],[dias_da_demana]]=1,"domingo",IF(Metas_Diarias[[#This Row],[dias_da_demana]]=7,0.5,1))</f>
        <v>1</v>
      </c>
      <c r="I2203" s="35">
        <f>_xlfn.XLOOKUP(Metas_Diarias[[#This Row],[data]],Feriados[Data],Feriados[Feriado],1)</f>
        <v>1</v>
      </c>
      <c r="J2203" s="33" cm="1">
        <f t="array" aca="1" ref="J2203" ca="1">SUMPRODUCT(IF((NOT(ISERROR(MATCH(ROW(INDIRECT(DATE(YEAR(B2203),MONTH(B2203),1)&amp;":"&amp;DATE(YEAR(B2203),MONTH(B2203)+1,0))),Feriados[Data],0))))=FALSE,
IF(WEEKDAY(ROW(INDIRECT(DATE(YEAR(B2203),MONTH(B2203),1)&amp;":"&amp;DATE(YEAR(B2203),MONTH(B2203)+1,0))),2)&lt;=5,1,IF(WEEKDAY(ROW(INDIRECT(DATE(YEAR(B2203),MONTH(B2203),1)&amp;":"&amp;DATE(YEAR(B2203),MONTH(B2203)+1,0))),2)=6,0.5,0)),0))</f>
        <v>23.5</v>
      </c>
      <c r="K2203" s="22" cm="1">
        <f t="array" ref="K2203">_xlfn.XLOOKUP(1,((Metas_Diarias[[#This Row],[tipo_equipe_id]]=Metas[equipe])*(Metas_Diarias[[#This Row],[data]]&gt;Metas[data_inicio])*(Metas_Diarias[[#This Row],[data]]&lt;Metas[data_fim])),Metas[meta_mensal],0)</f>
        <v>110000</v>
      </c>
      <c r="L2203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04" spans="2:12" x14ac:dyDescent="0.3">
      <c r="B2204" s="34">
        <v>46030</v>
      </c>
      <c r="C2204" s="34" t="str">
        <f>TEXT(Metas_Diarias[[#This Row],[data]],"dddd")</f>
        <v>quinta-feira</v>
      </c>
      <c r="D2204" s="33">
        <v>3</v>
      </c>
      <c r="E2204" s="33">
        <v>3</v>
      </c>
      <c r="F2204" s="18"/>
      <c r="G2204" s="35">
        <f>WEEKDAY(Metas_Diarias[[#This Row],[data]])</f>
        <v>5</v>
      </c>
      <c r="H2204" s="35">
        <f>IF(Metas_Diarias[[#This Row],[dias_da_demana]]=1,"domingo",IF(Metas_Diarias[[#This Row],[dias_da_demana]]=7,0.5,1))</f>
        <v>1</v>
      </c>
      <c r="I2204" s="35">
        <f>_xlfn.XLOOKUP(Metas_Diarias[[#This Row],[data]],Feriados[Data],Feriados[Feriado],1)</f>
        <v>1</v>
      </c>
      <c r="J2204" s="33" cm="1">
        <f t="array" aca="1" ref="J2204" ca="1">SUMPRODUCT(IF((NOT(ISERROR(MATCH(ROW(INDIRECT(DATE(YEAR(B2204),MONTH(B2204),1)&amp;":"&amp;DATE(YEAR(B2204),MONTH(B2204)+1,0))),Feriados[Data],0))))=FALSE,
IF(WEEKDAY(ROW(INDIRECT(DATE(YEAR(B2204),MONTH(B2204),1)&amp;":"&amp;DATE(YEAR(B2204),MONTH(B2204)+1,0))),2)&lt;=5,1,IF(WEEKDAY(ROW(INDIRECT(DATE(YEAR(B2204),MONTH(B2204),1)&amp;":"&amp;DATE(YEAR(B2204),MONTH(B2204)+1,0))),2)=6,0.5,0)),0))</f>
        <v>23.5</v>
      </c>
      <c r="K2204" s="22" cm="1">
        <f t="array" ref="K2204">_xlfn.XLOOKUP(1,((Metas_Diarias[[#This Row],[tipo_equipe_id]]=Metas[equipe])*(Metas_Diarias[[#This Row],[data]]&gt;Metas[data_inicio])*(Metas_Diarias[[#This Row],[data]]&lt;Metas[data_fim])),Metas[meta_mensal],0)</f>
        <v>110000</v>
      </c>
      <c r="L2204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05" spans="2:12" x14ac:dyDescent="0.3">
      <c r="B2205" s="34">
        <v>46031</v>
      </c>
      <c r="C2205" s="34" t="str">
        <f>TEXT(Metas_Diarias[[#This Row],[data]],"dddd")</f>
        <v>sexta-feira</v>
      </c>
      <c r="D2205" s="33">
        <v>3</v>
      </c>
      <c r="E2205" s="33">
        <v>3</v>
      </c>
      <c r="F2205" s="18"/>
      <c r="G2205" s="35">
        <f>WEEKDAY(Metas_Diarias[[#This Row],[data]])</f>
        <v>6</v>
      </c>
      <c r="H2205" s="35">
        <f>IF(Metas_Diarias[[#This Row],[dias_da_demana]]=1,"domingo",IF(Metas_Diarias[[#This Row],[dias_da_demana]]=7,0.5,1))</f>
        <v>1</v>
      </c>
      <c r="I2205" s="35">
        <f>_xlfn.XLOOKUP(Metas_Diarias[[#This Row],[data]],Feriados[Data],Feriados[Feriado],1)</f>
        <v>1</v>
      </c>
      <c r="J2205" s="33" cm="1">
        <f t="array" aca="1" ref="J2205" ca="1">SUMPRODUCT(IF((NOT(ISERROR(MATCH(ROW(INDIRECT(DATE(YEAR(B2205),MONTH(B2205),1)&amp;":"&amp;DATE(YEAR(B2205),MONTH(B2205)+1,0))),Feriados[Data],0))))=FALSE,
IF(WEEKDAY(ROW(INDIRECT(DATE(YEAR(B2205),MONTH(B2205),1)&amp;":"&amp;DATE(YEAR(B2205),MONTH(B2205)+1,0))),2)&lt;=5,1,IF(WEEKDAY(ROW(INDIRECT(DATE(YEAR(B2205),MONTH(B2205),1)&amp;":"&amp;DATE(YEAR(B2205),MONTH(B2205)+1,0))),2)=6,0.5,0)),0))</f>
        <v>23.5</v>
      </c>
      <c r="K2205" s="22" cm="1">
        <f t="array" ref="K2205">_xlfn.XLOOKUP(1,((Metas_Diarias[[#This Row],[tipo_equipe_id]]=Metas[equipe])*(Metas_Diarias[[#This Row],[data]]&gt;Metas[data_inicio])*(Metas_Diarias[[#This Row],[data]]&lt;Metas[data_fim])),Metas[meta_mensal],0)</f>
        <v>110000</v>
      </c>
      <c r="L220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06" spans="2:12" x14ac:dyDescent="0.3">
      <c r="B2206" s="34">
        <v>46032</v>
      </c>
      <c r="C2206" s="34" t="str">
        <f>TEXT(Metas_Diarias[[#This Row],[data]],"dddd")</f>
        <v>sábado</v>
      </c>
      <c r="D2206" s="33">
        <v>3</v>
      </c>
      <c r="E2206" s="33">
        <v>3</v>
      </c>
      <c r="F2206" s="18"/>
      <c r="G2206" s="35">
        <f>WEEKDAY(Metas_Diarias[[#This Row],[data]])</f>
        <v>7</v>
      </c>
      <c r="H2206" s="35">
        <f>IF(Metas_Diarias[[#This Row],[dias_da_demana]]=1,"domingo",IF(Metas_Diarias[[#This Row],[dias_da_demana]]=7,0.5,1))</f>
        <v>0.5</v>
      </c>
      <c r="I2206" s="35">
        <f>_xlfn.XLOOKUP(Metas_Diarias[[#This Row],[data]],Feriados[Data],Feriados[Feriado],1)</f>
        <v>1</v>
      </c>
      <c r="J2206" s="33" cm="1">
        <f t="array" aca="1" ref="J2206" ca="1">SUMPRODUCT(IF((NOT(ISERROR(MATCH(ROW(INDIRECT(DATE(YEAR(B2206),MONTH(B2206),1)&amp;":"&amp;DATE(YEAR(B2206),MONTH(B2206)+1,0))),Feriados[Data],0))))=FALSE,
IF(WEEKDAY(ROW(INDIRECT(DATE(YEAR(B2206),MONTH(B2206),1)&amp;":"&amp;DATE(YEAR(B2206),MONTH(B2206)+1,0))),2)&lt;=5,1,IF(WEEKDAY(ROW(INDIRECT(DATE(YEAR(B2206),MONTH(B2206),1)&amp;":"&amp;DATE(YEAR(B2206),MONTH(B2206)+1,0))),2)=6,0.5,0)),0))</f>
        <v>23.5</v>
      </c>
      <c r="K2206" s="22" cm="1">
        <f t="array" ref="K2206">_xlfn.XLOOKUP(1,((Metas_Diarias[[#This Row],[tipo_equipe_id]]=Metas[equipe])*(Metas_Diarias[[#This Row],[data]]&gt;Metas[data_inicio])*(Metas_Diarias[[#This Row],[data]]&lt;Metas[data_fim])),Metas[meta_mensal],0)</f>
        <v>110000</v>
      </c>
      <c r="L2206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207" spans="2:12" x14ac:dyDescent="0.3">
      <c r="B2207" s="34">
        <v>46033</v>
      </c>
      <c r="C2207" s="34" t="str">
        <f>TEXT(Metas_Diarias[[#This Row],[data]],"dddd")</f>
        <v>domingo</v>
      </c>
      <c r="D2207" s="33">
        <v>3</v>
      </c>
      <c r="E2207" s="33">
        <v>3</v>
      </c>
      <c r="F2207" s="18"/>
      <c r="G2207" s="35">
        <f>WEEKDAY(Metas_Diarias[[#This Row],[data]])</f>
        <v>1</v>
      </c>
      <c r="H2207" s="35" t="str">
        <f>IF(Metas_Diarias[[#This Row],[dias_da_demana]]=1,"domingo",IF(Metas_Diarias[[#This Row],[dias_da_demana]]=7,0.5,1))</f>
        <v>domingo</v>
      </c>
      <c r="I2207" s="35">
        <f>_xlfn.XLOOKUP(Metas_Diarias[[#This Row],[data]],Feriados[Data],Feriados[Feriado],1)</f>
        <v>1</v>
      </c>
      <c r="J2207" s="33" cm="1">
        <f t="array" aca="1" ref="J2207" ca="1">SUMPRODUCT(IF((NOT(ISERROR(MATCH(ROW(INDIRECT(DATE(YEAR(B2207),MONTH(B2207),1)&amp;":"&amp;DATE(YEAR(B2207),MONTH(B2207)+1,0))),Feriados[Data],0))))=FALSE,
IF(WEEKDAY(ROW(INDIRECT(DATE(YEAR(B2207),MONTH(B2207),1)&amp;":"&amp;DATE(YEAR(B2207),MONTH(B2207)+1,0))),2)&lt;=5,1,IF(WEEKDAY(ROW(INDIRECT(DATE(YEAR(B2207),MONTH(B2207),1)&amp;":"&amp;DATE(YEAR(B2207),MONTH(B2207)+1,0))),2)=6,0.5,0)),0))</f>
        <v>23.5</v>
      </c>
      <c r="K2207" s="22" cm="1">
        <f t="array" ref="K2207">_xlfn.XLOOKUP(1,((Metas_Diarias[[#This Row],[tipo_equipe_id]]=Metas[equipe])*(Metas_Diarias[[#This Row],[data]]&gt;Metas[data_inicio])*(Metas_Diarias[[#This Row],[data]]&lt;Metas[data_fim])),Metas[meta_mensal],0)</f>
        <v>110000</v>
      </c>
      <c r="L22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08" spans="2:12" x14ac:dyDescent="0.3">
      <c r="B2208" s="34">
        <v>46034</v>
      </c>
      <c r="C2208" s="34" t="str">
        <f>TEXT(Metas_Diarias[[#This Row],[data]],"dddd")</f>
        <v>segunda-feira</v>
      </c>
      <c r="D2208" s="33">
        <v>3</v>
      </c>
      <c r="E2208" s="33">
        <v>3</v>
      </c>
      <c r="F2208" s="18"/>
      <c r="G2208" s="35">
        <f>WEEKDAY(Metas_Diarias[[#This Row],[data]])</f>
        <v>2</v>
      </c>
      <c r="H2208" s="35">
        <f>IF(Metas_Diarias[[#This Row],[dias_da_demana]]=1,"domingo",IF(Metas_Diarias[[#This Row],[dias_da_demana]]=7,0.5,1))</f>
        <v>1</v>
      </c>
      <c r="I2208" s="35">
        <f>_xlfn.XLOOKUP(Metas_Diarias[[#This Row],[data]],Feriados[Data],Feriados[Feriado],1)</f>
        <v>1</v>
      </c>
      <c r="J2208" s="33" cm="1">
        <f t="array" aca="1" ref="J2208" ca="1">SUMPRODUCT(IF((NOT(ISERROR(MATCH(ROW(INDIRECT(DATE(YEAR(B2208),MONTH(B2208),1)&amp;":"&amp;DATE(YEAR(B2208),MONTH(B2208)+1,0))),Feriados[Data],0))))=FALSE,
IF(WEEKDAY(ROW(INDIRECT(DATE(YEAR(B2208),MONTH(B2208),1)&amp;":"&amp;DATE(YEAR(B2208),MONTH(B2208)+1,0))),2)&lt;=5,1,IF(WEEKDAY(ROW(INDIRECT(DATE(YEAR(B2208),MONTH(B2208),1)&amp;":"&amp;DATE(YEAR(B2208),MONTH(B2208)+1,0))),2)=6,0.5,0)),0))</f>
        <v>23.5</v>
      </c>
      <c r="K2208" s="22" cm="1">
        <f t="array" ref="K2208">_xlfn.XLOOKUP(1,((Metas_Diarias[[#This Row],[tipo_equipe_id]]=Metas[equipe])*(Metas_Diarias[[#This Row],[data]]&gt;Metas[data_inicio])*(Metas_Diarias[[#This Row],[data]]&lt;Metas[data_fim])),Metas[meta_mensal],0)</f>
        <v>110000</v>
      </c>
      <c r="L220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09" spans="2:12" x14ac:dyDescent="0.3">
      <c r="B2209" s="34">
        <v>46035</v>
      </c>
      <c r="C2209" s="34" t="str">
        <f>TEXT(Metas_Diarias[[#This Row],[data]],"dddd")</f>
        <v>terça-feira</v>
      </c>
      <c r="D2209" s="33">
        <v>3</v>
      </c>
      <c r="E2209" s="33">
        <v>3</v>
      </c>
      <c r="F2209" s="18"/>
      <c r="G2209" s="35">
        <f>WEEKDAY(Metas_Diarias[[#This Row],[data]])</f>
        <v>3</v>
      </c>
      <c r="H2209" s="35">
        <f>IF(Metas_Diarias[[#This Row],[dias_da_demana]]=1,"domingo",IF(Metas_Diarias[[#This Row],[dias_da_demana]]=7,0.5,1))</f>
        <v>1</v>
      </c>
      <c r="I2209" s="35">
        <f>_xlfn.XLOOKUP(Metas_Diarias[[#This Row],[data]],Feriados[Data],Feriados[Feriado],1)</f>
        <v>1</v>
      </c>
      <c r="J2209" s="33" cm="1">
        <f t="array" aca="1" ref="J2209" ca="1">SUMPRODUCT(IF((NOT(ISERROR(MATCH(ROW(INDIRECT(DATE(YEAR(B2209),MONTH(B2209),1)&amp;":"&amp;DATE(YEAR(B2209),MONTH(B2209)+1,0))),Feriados[Data],0))))=FALSE,
IF(WEEKDAY(ROW(INDIRECT(DATE(YEAR(B2209),MONTH(B2209),1)&amp;":"&amp;DATE(YEAR(B2209),MONTH(B2209)+1,0))),2)&lt;=5,1,IF(WEEKDAY(ROW(INDIRECT(DATE(YEAR(B2209),MONTH(B2209),1)&amp;":"&amp;DATE(YEAR(B2209),MONTH(B2209)+1,0))),2)=6,0.5,0)),0))</f>
        <v>23.5</v>
      </c>
      <c r="K2209" s="22" cm="1">
        <f t="array" ref="K2209">_xlfn.XLOOKUP(1,((Metas_Diarias[[#This Row],[tipo_equipe_id]]=Metas[equipe])*(Metas_Diarias[[#This Row],[data]]&gt;Metas[data_inicio])*(Metas_Diarias[[#This Row],[data]]&lt;Metas[data_fim])),Metas[meta_mensal],0)</f>
        <v>110000</v>
      </c>
      <c r="L220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10" spans="2:12" x14ac:dyDescent="0.3">
      <c r="B2210" s="34">
        <v>46036</v>
      </c>
      <c r="C2210" s="34" t="str">
        <f>TEXT(Metas_Diarias[[#This Row],[data]],"dddd")</f>
        <v>quarta-feira</v>
      </c>
      <c r="D2210" s="33">
        <v>3</v>
      </c>
      <c r="E2210" s="33">
        <v>3</v>
      </c>
      <c r="F2210" s="18"/>
      <c r="G2210" s="35">
        <f>WEEKDAY(Metas_Diarias[[#This Row],[data]])</f>
        <v>4</v>
      </c>
      <c r="H2210" s="35">
        <f>IF(Metas_Diarias[[#This Row],[dias_da_demana]]=1,"domingo",IF(Metas_Diarias[[#This Row],[dias_da_demana]]=7,0.5,1))</f>
        <v>1</v>
      </c>
      <c r="I2210" s="35">
        <f>_xlfn.XLOOKUP(Metas_Diarias[[#This Row],[data]],Feriados[Data],Feriados[Feriado],1)</f>
        <v>1</v>
      </c>
      <c r="J2210" s="33" cm="1">
        <f t="array" aca="1" ref="J2210" ca="1">SUMPRODUCT(IF((NOT(ISERROR(MATCH(ROW(INDIRECT(DATE(YEAR(B2210),MONTH(B2210),1)&amp;":"&amp;DATE(YEAR(B2210),MONTH(B2210)+1,0))),Feriados[Data],0))))=FALSE,
IF(WEEKDAY(ROW(INDIRECT(DATE(YEAR(B2210),MONTH(B2210),1)&amp;":"&amp;DATE(YEAR(B2210),MONTH(B2210)+1,0))),2)&lt;=5,1,IF(WEEKDAY(ROW(INDIRECT(DATE(YEAR(B2210),MONTH(B2210),1)&amp;":"&amp;DATE(YEAR(B2210),MONTH(B2210)+1,0))),2)=6,0.5,0)),0))</f>
        <v>23.5</v>
      </c>
      <c r="K2210" s="22" cm="1">
        <f t="array" ref="K2210">_xlfn.XLOOKUP(1,((Metas_Diarias[[#This Row],[tipo_equipe_id]]=Metas[equipe])*(Metas_Diarias[[#This Row],[data]]&gt;Metas[data_inicio])*(Metas_Diarias[[#This Row],[data]]&lt;Metas[data_fim])),Metas[meta_mensal],0)</f>
        <v>110000</v>
      </c>
      <c r="L2210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11" spans="2:12" x14ac:dyDescent="0.3">
      <c r="B2211" s="34">
        <v>46037</v>
      </c>
      <c r="C2211" s="34" t="str">
        <f>TEXT(Metas_Diarias[[#This Row],[data]],"dddd")</f>
        <v>quinta-feira</v>
      </c>
      <c r="D2211" s="33">
        <v>3</v>
      </c>
      <c r="E2211" s="33">
        <v>3</v>
      </c>
      <c r="F2211" s="18"/>
      <c r="G2211" s="35">
        <f>WEEKDAY(Metas_Diarias[[#This Row],[data]])</f>
        <v>5</v>
      </c>
      <c r="H2211" s="35">
        <f>IF(Metas_Diarias[[#This Row],[dias_da_demana]]=1,"domingo",IF(Metas_Diarias[[#This Row],[dias_da_demana]]=7,0.5,1))</f>
        <v>1</v>
      </c>
      <c r="I2211" s="35">
        <f>_xlfn.XLOOKUP(Metas_Diarias[[#This Row],[data]],Feriados[Data],Feriados[Feriado],1)</f>
        <v>1</v>
      </c>
      <c r="J2211" s="33" cm="1">
        <f t="array" aca="1" ref="J2211" ca="1">SUMPRODUCT(IF((NOT(ISERROR(MATCH(ROW(INDIRECT(DATE(YEAR(B2211),MONTH(B2211),1)&amp;":"&amp;DATE(YEAR(B2211),MONTH(B2211)+1,0))),Feriados[Data],0))))=FALSE,
IF(WEEKDAY(ROW(INDIRECT(DATE(YEAR(B2211),MONTH(B2211),1)&amp;":"&amp;DATE(YEAR(B2211),MONTH(B2211)+1,0))),2)&lt;=5,1,IF(WEEKDAY(ROW(INDIRECT(DATE(YEAR(B2211),MONTH(B2211),1)&amp;":"&amp;DATE(YEAR(B2211),MONTH(B2211)+1,0))),2)=6,0.5,0)),0))</f>
        <v>23.5</v>
      </c>
      <c r="K2211" s="22" cm="1">
        <f t="array" ref="K2211">_xlfn.XLOOKUP(1,((Metas_Diarias[[#This Row],[tipo_equipe_id]]=Metas[equipe])*(Metas_Diarias[[#This Row],[data]]&gt;Metas[data_inicio])*(Metas_Diarias[[#This Row],[data]]&lt;Metas[data_fim])),Metas[meta_mensal],0)</f>
        <v>110000</v>
      </c>
      <c r="L2211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12" spans="2:12" x14ac:dyDescent="0.3">
      <c r="B2212" s="34">
        <v>46038</v>
      </c>
      <c r="C2212" s="34" t="str">
        <f>TEXT(Metas_Diarias[[#This Row],[data]],"dddd")</f>
        <v>sexta-feira</v>
      </c>
      <c r="D2212" s="33">
        <v>3</v>
      </c>
      <c r="E2212" s="33">
        <v>3</v>
      </c>
      <c r="F2212" s="18"/>
      <c r="G2212" s="35">
        <f>WEEKDAY(Metas_Diarias[[#This Row],[data]])</f>
        <v>6</v>
      </c>
      <c r="H2212" s="35">
        <f>IF(Metas_Diarias[[#This Row],[dias_da_demana]]=1,"domingo",IF(Metas_Diarias[[#This Row],[dias_da_demana]]=7,0.5,1))</f>
        <v>1</v>
      </c>
      <c r="I2212" s="35">
        <f>_xlfn.XLOOKUP(Metas_Diarias[[#This Row],[data]],Feriados[Data],Feriados[Feriado],1)</f>
        <v>1</v>
      </c>
      <c r="J2212" s="33" cm="1">
        <f t="array" aca="1" ref="J2212" ca="1">SUMPRODUCT(IF((NOT(ISERROR(MATCH(ROW(INDIRECT(DATE(YEAR(B2212),MONTH(B2212),1)&amp;":"&amp;DATE(YEAR(B2212),MONTH(B2212)+1,0))),Feriados[Data],0))))=FALSE,
IF(WEEKDAY(ROW(INDIRECT(DATE(YEAR(B2212),MONTH(B2212),1)&amp;":"&amp;DATE(YEAR(B2212),MONTH(B2212)+1,0))),2)&lt;=5,1,IF(WEEKDAY(ROW(INDIRECT(DATE(YEAR(B2212),MONTH(B2212),1)&amp;":"&amp;DATE(YEAR(B2212),MONTH(B2212)+1,0))),2)=6,0.5,0)),0))</f>
        <v>23.5</v>
      </c>
      <c r="K2212" s="22" cm="1">
        <f t="array" ref="K2212">_xlfn.XLOOKUP(1,((Metas_Diarias[[#This Row],[tipo_equipe_id]]=Metas[equipe])*(Metas_Diarias[[#This Row],[data]]&gt;Metas[data_inicio])*(Metas_Diarias[[#This Row],[data]]&lt;Metas[data_fim])),Metas[meta_mensal],0)</f>
        <v>110000</v>
      </c>
      <c r="L221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13" spans="2:12" x14ac:dyDescent="0.3">
      <c r="B2213" s="34">
        <v>46039</v>
      </c>
      <c r="C2213" s="34" t="str">
        <f>TEXT(Metas_Diarias[[#This Row],[data]],"dddd")</f>
        <v>sábado</v>
      </c>
      <c r="D2213" s="33">
        <v>3</v>
      </c>
      <c r="E2213" s="33">
        <v>3</v>
      </c>
      <c r="F2213" s="18"/>
      <c r="G2213" s="35">
        <f>WEEKDAY(Metas_Diarias[[#This Row],[data]])</f>
        <v>7</v>
      </c>
      <c r="H2213" s="35">
        <f>IF(Metas_Diarias[[#This Row],[dias_da_demana]]=1,"domingo",IF(Metas_Diarias[[#This Row],[dias_da_demana]]=7,0.5,1))</f>
        <v>0.5</v>
      </c>
      <c r="I2213" s="35">
        <f>_xlfn.XLOOKUP(Metas_Diarias[[#This Row],[data]],Feriados[Data],Feriados[Feriado],1)</f>
        <v>1</v>
      </c>
      <c r="J2213" s="33" cm="1">
        <f t="array" aca="1" ref="J2213" ca="1">SUMPRODUCT(IF((NOT(ISERROR(MATCH(ROW(INDIRECT(DATE(YEAR(B2213),MONTH(B2213),1)&amp;":"&amp;DATE(YEAR(B2213),MONTH(B2213)+1,0))),Feriados[Data],0))))=FALSE,
IF(WEEKDAY(ROW(INDIRECT(DATE(YEAR(B2213),MONTH(B2213),1)&amp;":"&amp;DATE(YEAR(B2213),MONTH(B2213)+1,0))),2)&lt;=5,1,IF(WEEKDAY(ROW(INDIRECT(DATE(YEAR(B2213),MONTH(B2213),1)&amp;":"&amp;DATE(YEAR(B2213),MONTH(B2213)+1,0))),2)=6,0.5,0)),0))</f>
        <v>23.5</v>
      </c>
      <c r="K2213" s="22" cm="1">
        <f t="array" ref="K2213">_xlfn.XLOOKUP(1,((Metas_Diarias[[#This Row],[tipo_equipe_id]]=Metas[equipe])*(Metas_Diarias[[#This Row],[data]]&gt;Metas[data_inicio])*(Metas_Diarias[[#This Row],[data]]&lt;Metas[data_fim])),Metas[meta_mensal],0)</f>
        <v>110000</v>
      </c>
      <c r="L2213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214" spans="2:12" x14ac:dyDescent="0.3">
      <c r="B2214" s="34">
        <v>46040</v>
      </c>
      <c r="C2214" s="34" t="str">
        <f>TEXT(Metas_Diarias[[#This Row],[data]],"dddd")</f>
        <v>domingo</v>
      </c>
      <c r="D2214" s="33">
        <v>3</v>
      </c>
      <c r="E2214" s="33">
        <v>3</v>
      </c>
      <c r="F2214" s="18"/>
      <c r="G2214" s="35">
        <f>WEEKDAY(Metas_Diarias[[#This Row],[data]])</f>
        <v>1</v>
      </c>
      <c r="H2214" s="35" t="str">
        <f>IF(Metas_Diarias[[#This Row],[dias_da_demana]]=1,"domingo",IF(Metas_Diarias[[#This Row],[dias_da_demana]]=7,0.5,1))</f>
        <v>domingo</v>
      </c>
      <c r="I2214" s="35">
        <f>_xlfn.XLOOKUP(Metas_Diarias[[#This Row],[data]],Feriados[Data],Feriados[Feriado],1)</f>
        <v>1</v>
      </c>
      <c r="J2214" s="33" cm="1">
        <f t="array" aca="1" ref="J2214" ca="1">SUMPRODUCT(IF((NOT(ISERROR(MATCH(ROW(INDIRECT(DATE(YEAR(B2214),MONTH(B2214),1)&amp;":"&amp;DATE(YEAR(B2214),MONTH(B2214)+1,0))),Feriados[Data],0))))=FALSE,
IF(WEEKDAY(ROW(INDIRECT(DATE(YEAR(B2214),MONTH(B2214),1)&amp;":"&amp;DATE(YEAR(B2214),MONTH(B2214)+1,0))),2)&lt;=5,1,IF(WEEKDAY(ROW(INDIRECT(DATE(YEAR(B2214),MONTH(B2214),1)&amp;":"&amp;DATE(YEAR(B2214),MONTH(B2214)+1,0))),2)=6,0.5,0)),0))</f>
        <v>23.5</v>
      </c>
      <c r="K2214" s="22" cm="1">
        <f t="array" ref="K2214">_xlfn.XLOOKUP(1,((Metas_Diarias[[#This Row],[tipo_equipe_id]]=Metas[equipe])*(Metas_Diarias[[#This Row],[data]]&gt;Metas[data_inicio])*(Metas_Diarias[[#This Row],[data]]&lt;Metas[data_fim])),Metas[meta_mensal],0)</f>
        <v>110000</v>
      </c>
      <c r="L22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15" spans="2:12" x14ac:dyDescent="0.3">
      <c r="B2215" s="34">
        <v>46041</v>
      </c>
      <c r="C2215" s="34" t="str">
        <f>TEXT(Metas_Diarias[[#This Row],[data]],"dddd")</f>
        <v>segunda-feira</v>
      </c>
      <c r="D2215" s="33">
        <v>3</v>
      </c>
      <c r="E2215" s="33">
        <v>3</v>
      </c>
      <c r="F2215" s="18"/>
      <c r="G2215" s="35">
        <f>WEEKDAY(Metas_Diarias[[#This Row],[data]])</f>
        <v>2</v>
      </c>
      <c r="H2215" s="35">
        <f>IF(Metas_Diarias[[#This Row],[dias_da_demana]]=1,"domingo",IF(Metas_Diarias[[#This Row],[dias_da_demana]]=7,0.5,1))</f>
        <v>1</v>
      </c>
      <c r="I2215" s="35">
        <f>_xlfn.XLOOKUP(Metas_Diarias[[#This Row],[data]],Feriados[Data],Feriados[Feriado],1)</f>
        <v>1</v>
      </c>
      <c r="J2215" s="33" cm="1">
        <f t="array" aca="1" ref="J2215" ca="1">SUMPRODUCT(IF((NOT(ISERROR(MATCH(ROW(INDIRECT(DATE(YEAR(B2215),MONTH(B2215),1)&amp;":"&amp;DATE(YEAR(B2215),MONTH(B2215)+1,0))),Feriados[Data],0))))=FALSE,
IF(WEEKDAY(ROW(INDIRECT(DATE(YEAR(B2215),MONTH(B2215),1)&amp;":"&amp;DATE(YEAR(B2215),MONTH(B2215)+1,0))),2)&lt;=5,1,IF(WEEKDAY(ROW(INDIRECT(DATE(YEAR(B2215),MONTH(B2215),1)&amp;":"&amp;DATE(YEAR(B2215),MONTH(B2215)+1,0))),2)=6,0.5,0)),0))</f>
        <v>23.5</v>
      </c>
      <c r="K2215" s="22" cm="1">
        <f t="array" ref="K2215">_xlfn.XLOOKUP(1,((Metas_Diarias[[#This Row],[tipo_equipe_id]]=Metas[equipe])*(Metas_Diarias[[#This Row],[data]]&gt;Metas[data_inicio])*(Metas_Diarias[[#This Row],[data]]&lt;Metas[data_fim])),Metas[meta_mensal],0)</f>
        <v>110000</v>
      </c>
      <c r="L221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16" spans="2:12" x14ac:dyDescent="0.3">
      <c r="B2216" s="34">
        <v>46042</v>
      </c>
      <c r="C2216" s="34" t="str">
        <f>TEXT(Metas_Diarias[[#This Row],[data]],"dddd")</f>
        <v>terça-feira</v>
      </c>
      <c r="D2216" s="33">
        <v>3</v>
      </c>
      <c r="E2216" s="33">
        <v>3</v>
      </c>
      <c r="F2216" s="18"/>
      <c r="G2216" s="35">
        <f>WEEKDAY(Metas_Diarias[[#This Row],[data]])</f>
        <v>3</v>
      </c>
      <c r="H2216" s="35">
        <f>IF(Metas_Diarias[[#This Row],[dias_da_demana]]=1,"domingo",IF(Metas_Diarias[[#This Row],[dias_da_demana]]=7,0.5,1))</f>
        <v>1</v>
      </c>
      <c r="I2216" s="35">
        <f>_xlfn.XLOOKUP(Metas_Diarias[[#This Row],[data]],Feriados[Data],Feriados[Feriado],1)</f>
        <v>1</v>
      </c>
      <c r="J2216" s="33" cm="1">
        <f t="array" aca="1" ref="J2216" ca="1">SUMPRODUCT(IF((NOT(ISERROR(MATCH(ROW(INDIRECT(DATE(YEAR(B2216),MONTH(B2216),1)&amp;":"&amp;DATE(YEAR(B2216),MONTH(B2216)+1,0))),Feriados[Data],0))))=FALSE,
IF(WEEKDAY(ROW(INDIRECT(DATE(YEAR(B2216),MONTH(B2216),1)&amp;":"&amp;DATE(YEAR(B2216),MONTH(B2216)+1,0))),2)&lt;=5,1,IF(WEEKDAY(ROW(INDIRECT(DATE(YEAR(B2216),MONTH(B2216),1)&amp;":"&amp;DATE(YEAR(B2216),MONTH(B2216)+1,0))),2)=6,0.5,0)),0))</f>
        <v>23.5</v>
      </c>
      <c r="K2216" s="22" cm="1">
        <f t="array" ref="K2216">_xlfn.XLOOKUP(1,((Metas_Diarias[[#This Row],[tipo_equipe_id]]=Metas[equipe])*(Metas_Diarias[[#This Row],[data]]&gt;Metas[data_inicio])*(Metas_Diarias[[#This Row],[data]]&lt;Metas[data_fim])),Metas[meta_mensal],0)</f>
        <v>110000</v>
      </c>
      <c r="L2216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17" spans="2:12" x14ac:dyDescent="0.3">
      <c r="B2217" s="34">
        <v>46043</v>
      </c>
      <c r="C2217" s="34" t="str">
        <f>TEXT(Metas_Diarias[[#This Row],[data]],"dddd")</f>
        <v>quarta-feira</v>
      </c>
      <c r="D2217" s="33">
        <v>3</v>
      </c>
      <c r="E2217" s="33">
        <v>3</v>
      </c>
      <c r="F2217" s="18"/>
      <c r="G2217" s="35">
        <f>WEEKDAY(Metas_Diarias[[#This Row],[data]])</f>
        <v>4</v>
      </c>
      <c r="H2217" s="35">
        <f>IF(Metas_Diarias[[#This Row],[dias_da_demana]]=1,"domingo",IF(Metas_Diarias[[#This Row],[dias_da_demana]]=7,0.5,1))</f>
        <v>1</v>
      </c>
      <c r="I2217" s="35">
        <f>_xlfn.XLOOKUP(Metas_Diarias[[#This Row],[data]],Feriados[Data],Feriados[Feriado],1)</f>
        <v>1</v>
      </c>
      <c r="J2217" s="33" cm="1">
        <f t="array" aca="1" ref="J2217" ca="1">SUMPRODUCT(IF((NOT(ISERROR(MATCH(ROW(INDIRECT(DATE(YEAR(B2217),MONTH(B2217),1)&amp;":"&amp;DATE(YEAR(B2217),MONTH(B2217)+1,0))),Feriados[Data],0))))=FALSE,
IF(WEEKDAY(ROW(INDIRECT(DATE(YEAR(B2217),MONTH(B2217),1)&amp;":"&amp;DATE(YEAR(B2217),MONTH(B2217)+1,0))),2)&lt;=5,1,IF(WEEKDAY(ROW(INDIRECT(DATE(YEAR(B2217),MONTH(B2217),1)&amp;":"&amp;DATE(YEAR(B2217),MONTH(B2217)+1,0))),2)=6,0.5,0)),0))</f>
        <v>23.5</v>
      </c>
      <c r="K2217" s="22" cm="1">
        <f t="array" ref="K2217">_xlfn.XLOOKUP(1,((Metas_Diarias[[#This Row],[tipo_equipe_id]]=Metas[equipe])*(Metas_Diarias[[#This Row],[data]]&gt;Metas[data_inicio])*(Metas_Diarias[[#This Row],[data]]&lt;Metas[data_fim])),Metas[meta_mensal],0)</f>
        <v>110000</v>
      </c>
      <c r="L2217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18" spans="2:12" x14ac:dyDescent="0.3">
      <c r="B2218" s="34">
        <v>46044</v>
      </c>
      <c r="C2218" s="34" t="str">
        <f>TEXT(Metas_Diarias[[#This Row],[data]],"dddd")</f>
        <v>quinta-feira</v>
      </c>
      <c r="D2218" s="33">
        <v>3</v>
      </c>
      <c r="E2218" s="33">
        <v>3</v>
      </c>
      <c r="F2218" s="18"/>
      <c r="G2218" s="35">
        <f>WEEKDAY(Metas_Diarias[[#This Row],[data]])</f>
        <v>5</v>
      </c>
      <c r="H2218" s="35">
        <f>IF(Metas_Diarias[[#This Row],[dias_da_demana]]=1,"domingo",IF(Metas_Diarias[[#This Row],[dias_da_demana]]=7,0.5,1))</f>
        <v>1</v>
      </c>
      <c r="I2218" s="35">
        <f>_xlfn.XLOOKUP(Metas_Diarias[[#This Row],[data]],Feriados[Data],Feriados[Feriado],1)</f>
        <v>1</v>
      </c>
      <c r="J2218" s="33" cm="1">
        <f t="array" aca="1" ref="J2218" ca="1">SUMPRODUCT(IF((NOT(ISERROR(MATCH(ROW(INDIRECT(DATE(YEAR(B2218),MONTH(B2218),1)&amp;":"&amp;DATE(YEAR(B2218),MONTH(B2218)+1,0))),Feriados[Data],0))))=FALSE,
IF(WEEKDAY(ROW(INDIRECT(DATE(YEAR(B2218),MONTH(B2218),1)&amp;":"&amp;DATE(YEAR(B2218),MONTH(B2218)+1,0))),2)&lt;=5,1,IF(WEEKDAY(ROW(INDIRECT(DATE(YEAR(B2218),MONTH(B2218),1)&amp;":"&amp;DATE(YEAR(B2218),MONTH(B2218)+1,0))),2)=6,0.5,0)),0))</f>
        <v>23.5</v>
      </c>
      <c r="K2218" s="22" cm="1">
        <f t="array" ref="K2218">_xlfn.XLOOKUP(1,((Metas_Diarias[[#This Row],[tipo_equipe_id]]=Metas[equipe])*(Metas_Diarias[[#This Row],[data]]&gt;Metas[data_inicio])*(Metas_Diarias[[#This Row],[data]]&lt;Metas[data_fim])),Metas[meta_mensal],0)</f>
        <v>110000</v>
      </c>
      <c r="L221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19" spans="2:12" x14ac:dyDescent="0.3">
      <c r="B2219" s="34">
        <v>46045</v>
      </c>
      <c r="C2219" s="34" t="str">
        <f>TEXT(Metas_Diarias[[#This Row],[data]],"dddd")</f>
        <v>sexta-feira</v>
      </c>
      <c r="D2219" s="33">
        <v>3</v>
      </c>
      <c r="E2219" s="33">
        <v>3</v>
      </c>
      <c r="F2219" s="18"/>
      <c r="G2219" s="35">
        <f>WEEKDAY(Metas_Diarias[[#This Row],[data]])</f>
        <v>6</v>
      </c>
      <c r="H2219" s="35">
        <f>IF(Metas_Diarias[[#This Row],[dias_da_demana]]=1,"domingo",IF(Metas_Diarias[[#This Row],[dias_da_demana]]=7,0.5,1))</f>
        <v>1</v>
      </c>
      <c r="I2219" s="35">
        <f>_xlfn.XLOOKUP(Metas_Diarias[[#This Row],[data]],Feriados[Data],Feriados[Feriado],1)</f>
        <v>1</v>
      </c>
      <c r="J2219" s="33" cm="1">
        <f t="array" aca="1" ref="J2219" ca="1">SUMPRODUCT(IF((NOT(ISERROR(MATCH(ROW(INDIRECT(DATE(YEAR(B2219),MONTH(B2219),1)&amp;":"&amp;DATE(YEAR(B2219),MONTH(B2219)+1,0))),Feriados[Data],0))))=FALSE,
IF(WEEKDAY(ROW(INDIRECT(DATE(YEAR(B2219),MONTH(B2219),1)&amp;":"&amp;DATE(YEAR(B2219),MONTH(B2219)+1,0))),2)&lt;=5,1,IF(WEEKDAY(ROW(INDIRECT(DATE(YEAR(B2219),MONTH(B2219),1)&amp;":"&amp;DATE(YEAR(B2219),MONTH(B2219)+1,0))),2)=6,0.5,0)),0))</f>
        <v>23.5</v>
      </c>
      <c r="K2219" s="22" cm="1">
        <f t="array" ref="K2219">_xlfn.XLOOKUP(1,((Metas_Diarias[[#This Row],[tipo_equipe_id]]=Metas[equipe])*(Metas_Diarias[[#This Row],[data]]&gt;Metas[data_inicio])*(Metas_Diarias[[#This Row],[data]]&lt;Metas[data_fim])),Metas[meta_mensal],0)</f>
        <v>110000</v>
      </c>
      <c r="L221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20" spans="2:12" x14ac:dyDescent="0.3">
      <c r="B2220" s="34">
        <v>46046</v>
      </c>
      <c r="C2220" s="34" t="str">
        <f>TEXT(Metas_Diarias[[#This Row],[data]],"dddd")</f>
        <v>sábado</v>
      </c>
      <c r="D2220" s="33">
        <v>3</v>
      </c>
      <c r="E2220" s="33">
        <v>3</v>
      </c>
      <c r="F2220" s="18"/>
      <c r="G2220" s="35">
        <f>WEEKDAY(Metas_Diarias[[#This Row],[data]])</f>
        <v>7</v>
      </c>
      <c r="H2220" s="35">
        <f>IF(Metas_Diarias[[#This Row],[dias_da_demana]]=1,"domingo",IF(Metas_Diarias[[#This Row],[dias_da_demana]]=7,0.5,1))</f>
        <v>0.5</v>
      </c>
      <c r="I2220" s="35">
        <f>_xlfn.XLOOKUP(Metas_Diarias[[#This Row],[data]],Feriados[Data],Feriados[Feriado],1)</f>
        <v>1</v>
      </c>
      <c r="J2220" s="33" cm="1">
        <f t="array" aca="1" ref="J2220" ca="1">SUMPRODUCT(IF((NOT(ISERROR(MATCH(ROW(INDIRECT(DATE(YEAR(B2220),MONTH(B2220),1)&amp;":"&amp;DATE(YEAR(B2220),MONTH(B2220)+1,0))),Feriados[Data],0))))=FALSE,
IF(WEEKDAY(ROW(INDIRECT(DATE(YEAR(B2220),MONTH(B2220),1)&amp;":"&amp;DATE(YEAR(B2220),MONTH(B2220)+1,0))),2)&lt;=5,1,IF(WEEKDAY(ROW(INDIRECT(DATE(YEAR(B2220),MONTH(B2220),1)&amp;":"&amp;DATE(YEAR(B2220),MONTH(B2220)+1,0))),2)=6,0.5,0)),0))</f>
        <v>23.5</v>
      </c>
      <c r="K2220" s="22" cm="1">
        <f t="array" ref="K2220">_xlfn.XLOOKUP(1,((Metas_Diarias[[#This Row],[tipo_equipe_id]]=Metas[equipe])*(Metas_Diarias[[#This Row],[data]]&gt;Metas[data_inicio])*(Metas_Diarias[[#This Row],[data]]&lt;Metas[data_fim])),Metas[meta_mensal],0)</f>
        <v>110000</v>
      </c>
      <c r="L2220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221" spans="2:12" x14ac:dyDescent="0.3">
      <c r="B2221" s="34">
        <v>46047</v>
      </c>
      <c r="C2221" s="34" t="str">
        <f>TEXT(Metas_Diarias[[#This Row],[data]],"dddd")</f>
        <v>domingo</v>
      </c>
      <c r="D2221" s="33">
        <v>3</v>
      </c>
      <c r="E2221" s="33">
        <v>3</v>
      </c>
      <c r="F2221" s="18"/>
      <c r="G2221" s="35">
        <f>WEEKDAY(Metas_Diarias[[#This Row],[data]])</f>
        <v>1</v>
      </c>
      <c r="H2221" s="35" t="str">
        <f>IF(Metas_Diarias[[#This Row],[dias_da_demana]]=1,"domingo",IF(Metas_Diarias[[#This Row],[dias_da_demana]]=7,0.5,1))</f>
        <v>domingo</v>
      </c>
      <c r="I2221" s="35">
        <f>_xlfn.XLOOKUP(Metas_Diarias[[#This Row],[data]],Feriados[Data],Feriados[Feriado],1)</f>
        <v>1</v>
      </c>
      <c r="J2221" s="33" cm="1">
        <f t="array" aca="1" ref="J2221" ca="1">SUMPRODUCT(IF((NOT(ISERROR(MATCH(ROW(INDIRECT(DATE(YEAR(B2221),MONTH(B2221),1)&amp;":"&amp;DATE(YEAR(B2221),MONTH(B2221)+1,0))),Feriados[Data],0))))=FALSE,
IF(WEEKDAY(ROW(INDIRECT(DATE(YEAR(B2221),MONTH(B2221),1)&amp;":"&amp;DATE(YEAR(B2221),MONTH(B2221)+1,0))),2)&lt;=5,1,IF(WEEKDAY(ROW(INDIRECT(DATE(YEAR(B2221),MONTH(B2221),1)&amp;":"&amp;DATE(YEAR(B2221),MONTH(B2221)+1,0))),2)=6,0.5,0)),0))</f>
        <v>23.5</v>
      </c>
      <c r="K2221" s="22" cm="1">
        <f t="array" ref="K2221">_xlfn.XLOOKUP(1,((Metas_Diarias[[#This Row],[tipo_equipe_id]]=Metas[equipe])*(Metas_Diarias[[#This Row],[data]]&gt;Metas[data_inicio])*(Metas_Diarias[[#This Row],[data]]&lt;Metas[data_fim])),Metas[meta_mensal],0)</f>
        <v>110000</v>
      </c>
      <c r="L222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22" spans="2:12" x14ac:dyDescent="0.3">
      <c r="B2222" s="34">
        <v>46048</v>
      </c>
      <c r="C2222" s="34" t="str">
        <f>TEXT(Metas_Diarias[[#This Row],[data]],"dddd")</f>
        <v>segunda-feira</v>
      </c>
      <c r="D2222" s="33">
        <v>3</v>
      </c>
      <c r="E2222" s="33">
        <v>3</v>
      </c>
      <c r="F2222" s="18"/>
      <c r="G2222" s="35">
        <f>WEEKDAY(Metas_Diarias[[#This Row],[data]])</f>
        <v>2</v>
      </c>
      <c r="H2222" s="35">
        <f>IF(Metas_Diarias[[#This Row],[dias_da_demana]]=1,"domingo",IF(Metas_Diarias[[#This Row],[dias_da_demana]]=7,0.5,1))</f>
        <v>1</v>
      </c>
      <c r="I2222" s="35">
        <f>_xlfn.XLOOKUP(Metas_Diarias[[#This Row],[data]],Feriados[Data],Feriados[Feriado],1)</f>
        <v>1</v>
      </c>
      <c r="J2222" s="33" cm="1">
        <f t="array" aca="1" ref="J2222" ca="1">SUMPRODUCT(IF((NOT(ISERROR(MATCH(ROW(INDIRECT(DATE(YEAR(B2222),MONTH(B2222),1)&amp;":"&amp;DATE(YEAR(B2222),MONTH(B2222)+1,0))),Feriados[Data],0))))=FALSE,
IF(WEEKDAY(ROW(INDIRECT(DATE(YEAR(B2222),MONTH(B2222),1)&amp;":"&amp;DATE(YEAR(B2222),MONTH(B2222)+1,0))),2)&lt;=5,1,IF(WEEKDAY(ROW(INDIRECT(DATE(YEAR(B2222),MONTH(B2222),1)&amp;":"&amp;DATE(YEAR(B2222),MONTH(B2222)+1,0))),2)=6,0.5,0)),0))</f>
        <v>23.5</v>
      </c>
      <c r="K2222" s="22" cm="1">
        <f t="array" ref="K2222">_xlfn.XLOOKUP(1,((Metas_Diarias[[#This Row],[tipo_equipe_id]]=Metas[equipe])*(Metas_Diarias[[#This Row],[data]]&gt;Metas[data_inicio])*(Metas_Diarias[[#This Row],[data]]&lt;Metas[data_fim])),Metas[meta_mensal],0)</f>
        <v>110000</v>
      </c>
      <c r="L222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23" spans="2:12" x14ac:dyDescent="0.3">
      <c r="B2223" s="34">
        <v>46049</v>
      </c>
      <c r="C2223" s="34" t="str">
        <f>TEXT(Metas_Diarias[[#This Row],[data]],"dddd")</f>
        <v>terça-feira</v>
      </c>
      <c r="D2223" s="33">
        <v>3</v>
      </c>
      <c r="E2223" s="33">
        <v>3</v>
      </c>
      <c r="F2223" s="18"/>
      <c r="G2223" s="35">
        <f>WEEKDAY(Metas_Diarias[[#This Row],[data]])</f>
        <v>3</v>
      </c>
      <c r="H2223" s="35">
        <f>IF(Metas_Diarias[[#This Row],[dias_da_demana]]=1,"domingo",IF(Metas_Diarias[[#This Row],[dias_da_demana]]=7,0.5,1))</f>
        <v>1</v>
      </c>
      <c r="I2223" s="35">
        <f>_xlfn.XLOOKUP(Metas_Diarias[[#This Row],[data]],Feriados[Data],Feriados[Feriado],1)</f>
        <v>1</v>
      </c>
      <c r="J2223" s="33" cm="1">
        <f t="array" aca="1" ref="J2223" ca="1">SUMPRODUCT(IF((NOT(ISERROR(MATCH(ROW(INDIRECT(DATE(YEAR(B2223),MONTH(B2223),1)&amp;":"&amp;DATE(YEAR(B2223),MONTH(B2223)+1,0))),Feriados[Data],0))))=FALSE,
IF(WEEKDAY(ROW(INDIRECT(DATE(YEAR(B2223),MONTH(B2223),1)&amp;":"&amp;DATE(YEAR(B2223),MONTH(B2223)+1,0))),2)&lt;=5,1,IF(WEEKDAY(ROW(INDIRECT(DATE(YEAR(B2223),MONTH(B2223),1)&amp;":"&amp;DATE(YEAR(B2223),MONTH(B2223)+1,0))),2)=6,0.5,0)),0))</f>
        <v>23.5</v>
      </c>
      <c r="K2223" s="22" cm="1">
        <f t="array" ref="K2223">_xlfn.XLOOKUP(1,((Metas_Diarias[[#This Row],[tipo_equipe_id]]=Metas[equipe])*(Metas_Diarias[[#This Row],[data]]&gt;Metas[data_inicio])*(Metas_Diarias[[#This Row],[data]]&lt;Metas[data_fim])),Metas[meta_mensal],0)</f>
        <v>110000</v>
      </c>
      <c r="L2223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24" spans="2:12" x14ac:dyDescent="0.3">
      <c r="B2224" s="34">
        <v>46050</v>
      </c>
      <c r="C2224" s="34" t="str">
        <f>TEXT(Metas_Diarias[[#This Row],[data]],"dddd")</f>
        <v>quarta-feira</v>
      </c>
      <c r="D2224" s="33">
        <v>3</v>
      </c>
      <c r="E2224" s="33">
        <v>3</v>
      </c>
      <c r="F2224" s="18"/>
      <c r="G2224" s="35">
        <f>WEEKDAY(Metas_Diarias[[#This Row],[data]])</f>
        <v>4</v>
      </c>
      <c r="H2224" s="35">
        <f>IF(Metas_Diarias[[#This Row],[dias_da_demana]]=1,"domingo",IF(Metas_Diarias[[#This Row],[dias_da_demana]]=7,0.5,1))</f>
        <v>1</v>
      </c>
      <c r="I2224" s="35">
        <f>_xlfn.XLOOKUP(Metas_Diarias[[#This Row],[data]],Feriados[Data],Feriados[Feriado],1)</f>
        <v>1</v>
      </c>
      <c r="J2224" s="33" cm="1">
        <f t="array" aca="1" ref="J2224" ca="1">SUMPRODUCT(IF((NOT(ISERROR(MATCH(ROW(INDIRECT(DATE(YEAR(B2224),MONTH(B2224),1)&amp;":"&amp;DATE(YEAR(B2224),MONTH(B2224)+1,0))),Feriados[Data],0))))=FALSE,
IF(WEEKDAY(ROW(INDIRECT(DATE(YEAR(B2224),MONTH(B2224),1)&amp;":"&amp;DATE(YEAR(B2224),MONTH(B2224)+1,0))),2)&lt;=5,1,IF(WEEKDAY(ROW(INDIRECT(DATE(YEAR(B2224),MONTH(B2224),1)&amp;":"&amp;DATE(YEAR(B2224),MONTH(B2224)+1,0))),2)=6,0.5,0)),0))</f>
        <v>23.5</v>
      </c>
      <c r="K2224" s="22" cm="1">
        <f t="array" ref="K2224">_xlfn.XLOOKUP(1,((Metas_Diarias[[#This Row],[tipo_equipe_id]]=Metas[equipe])*(Metas_Diarias[[#This Row],[data]]&gt;Metas[data_inicio])*(Metas_Diarias[[#This Row],[data]]&lt;Metas[data_fim])),Metas[meta_mensal],0)</f>
        <v>110000</v>
      </c>
      <c r="L2224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25" spans="2:12" x14ac:dyDescent="0.3">
      <c r="B2225" s="34">
        <v>46051</v>
      </c>
      <c r="C2225" s="34" t="str">
        <f>TEXT(Metas_Diarias[[#This Row],[data]],"dddd")</f>
        <v>quinta-feira</v>
      </c>
      <c r="D2225" s="33">
        <v>3</v>
      </c>
      <c r="E2225" s="33">
        <v>3</v>
      </c>
      <c r="F2225" s="18"/>
      <c r="G2225" s="35">
        <f>WEEKDAY(Metas_Diarias[[#This Row],[data]])</f>
        <v>5</v>
      </c>
      <c r="H2225" s="35">
        <f>IF(Metas_Diarias[[#This Row],[dias_da_demana]]=1,"domingo",IF(Metas_Diarias[[#This Row],[dias_da_demana]]=7,0.5,1))</f>
        <v>1</v>
      </c>
      <c r="I2225" s="35">
        <f>_xlfn.XLOOKUP(Metas_Diarias[[#This Row],[data]],Feriados[Data],Feriados[Feriado],1)</f>
        <v>1</v>
      </c>
      <c r="J2225" s="33" cm="1">
        <f t="array" aca="1" ref="J2225" ca="1">SUMPRODUCT(IF((NOT(ISERROR(MATCH(ROW(INDIRECT(DATE(YEAR(B2225),MONTH(B2225),1)&amp;":"&amp;DATE(YEAR(B2225),MONTH(B2225)+1,0))),Feriados[Data],0))))=FALSE,
IF(WEEKDAY(ROW(INDIRECT(DATE(YEAR(B2225),MONTH(B2225),1)&amp;":"&amp;DATE(YEAR(B2225),MONTH(B2225)+1,0))),2)&lt;=5,1,IF(WEEKDAY(ROW(INDIRECT(DATE(YEAR(B2225),MONTH(B2225),1)&amp;":"&amp;DATE(YEAR(B2225),MONTH(B2225)+1,0))),2)=6,0.5,0)),0))</f>
        <v>23.5</v>
      </c>
      <c r="K2225" s="22" cm="1">
        <f t="array" ref="K2225">_xlfn.XLOOKUP(1,((Metas_Diarias[[#This Row],[tipo_equipe_id]]=Metas[equipe])*(Metas_Diarias[[#This Row],[data]]&gt;Metas[data_inicio])*(Metas_Diarias[[#This Row],[data]]&lt;Metas[data_fim])),Metas[meta_mensal],0)</f>
        <v>110000</v>
      </c>
      <c r="L222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26" spans="2:12" x14ac:dyDescent="0.3">
      <c r="B2226" s="34">
        <v>46052</v>
      </c>
      <c r="C2226" s="34" t="str">
        <f>TEXT(Metas_Diarias[[#This Row],[data]],"dddd")</f>
        <v>sexta-feira</v>
      </c>
      <c r="D2226" s="33">
        <v>3</v>
      </c>
      <c r="E2226" s="33">
        <v>3</v>
      </c>
      <c r="F2226" s="18"/>
      <c r="G2226" s="35">
        <f>WEEKDAY(Metas_Diarias[[#This Row],[data]])</f>
        <v>6</v>
      </c>
      <c r="H2226" s="35">
        <f>IF(Metas_Diarias[[#This Row],[dias_da_demana]]=1,"domingo",IF(Metas_Diarias[[#This Row],[dias_da_demana]]=7,0.5,1))</f>
        <v>1</v>
      </c>
      <c r="I2226" s="35">
        <f>_xlfn.XLOOKUP(Metas_Diarias[[#This Row],[data]],Feriados[Data],Feriados[Feriado],1)</f>
        <v>1</v>
      </c>
      <c r="J2226" s="33" cm="1">
        <f t="array" aca="1" ref="J2226" ca="1">SUMPRODUCT(IF((NOT(ISERROR(MATCH(ROW(INDIRECT(DATE(YEAR(B2226),MONTH(B2226),1)&amp;":"&amp;DATE(YEAR(B2226),MONTH(B2226)+1,0))),Feriados[Data],0))))=FALSE,
IF(WEEKDAY(ROW(INDIRECT(DATE(YEAR(B2226),MONTH(B2226),1)&amp;":"&amp;DATE(YEAR(B2226),MONTH(B2226)+1,0))),2)&lt;=5,1,IF(WEEKDAY(ROW(INDIRECT(DATE(YEAR(B2226),MONTH(B2226),1)&amp;":"&amp;DATE(YEAR(B2226),MONTH(B2226)+1,0))),2)=6,0.5,0)),0))</f>
        <v>23.5</v>
      </c>
      <c r="K2226" s="22" cm="1">
        <f t="array" ref="K2226">_xlfn.XLOOKUP(1,((Metas_Diarias[[#This Row],[tipo_equipe_id]]=Metas[equipe])*(Metas_Diarias[[#This Row],[data]]&gt;Metas[data_inicio])*(Metas_Diarias[[#This Row],[data]]&lt;Metas[data_fim])),Metas[meta_mensal],0)</f>
        <v>110000</v>
      </c>
      <c r="L2226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227" spans="2:12" x14ac:dyDescent="0.3">
      <c r="B2227" s="34">
        <v>46053</v>
      </c>
      <c r="C2227" s="34" t="str">
        <f>TEXT(Metas_Diarias[[#This Row],[data]],"dddd")</f>
        <v>sábado</v>
      </c>
      <c r="D2227" s="33">
        <v>3</v>
      </c>
      <c r="E2227" s="33">
        <v>3</v>
      </c>
      <c r="F2227" s="18"/>
      <c r="G2227" s="35">
        <f>WEEKDAY(Metas_Diarias[[#This Row],[data]])</f>
        <v>7</v>
      </c>
      <c r="H2227" s="35">
        <f>IF(Metas_Diarias[[#This Row],[dias_da_demana]]=1,"domingo",IF(Metas_Diarias[[#This Row],[dias_da_demana]]=7,0.5,1))</f>
        <v>0.5</v>
      </c>
      <c r="I2227" s="35">
        <f>_xlfn.XLOOKUP(Metas_Diarias[[#This Row],[data]],Feriados[Data],Feriados[Feriado],1)</f>
        <v>1</v>
      </c>
      <c r="J2227" s="33" cm="1">
        <f t="array" aca="1" ref="J2227" ca="1">SUMPRODUCT(IF((NOT(ISERROR(MATCH(ROW(INDIRECT(DATE(YEAR(B2227),MONTH(B2227),1)&amp;":"&amp;DATE(YEAR(B2227),MONTH(B2227)+1,0))),Feriados[Data],0))))=FALSE,
IF(WEEKDAY(ROW(INDIRECT(DATE(YEAR(B2227),MONTH(B2227),1)&amp;":"&amp;DATE(YEAR(B2227),MONTH(B2227)+1,0))),2)&lt;=5,1,IF(WEEKDAY(ROW(INDIRECT(DATE(YEAR(B2227),MONTH(B2227),1)&amp;":"&amp;DATE(YEAR(B2227),MONTH(B2227)+1,0))),2)=6,0.5,0)),0))</f>
        <v>23.5</v>
      </c>
      <c r="K2227" s="22" cm="1">
        <f t="array" ref="K2227">_xlfn.XLOOKUP(1,((Metas_Diarias[[#This Row],[tipo_equipe_id]]=Metas[equipe])*(Metas_Diarias[[#This Row],[data]]&gt;Metas[data_inicio])*(Metas_Diarias[[#This Row],[data]]&lt;Metas[data_fim])),Metas[meta_mensal],0)</f>
        <v>110000</v>
      </c>
      <c r="L2227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228" spans="2:12" x14ac:dyDescent="0.3">
      <c r="B2228" s="34">
        <v>46054</v>
      </c>
      <c r="C2228" s="34" t="str">
        <f>TEXT(Metas_Diarias[[#This Row],[data]],"dddd")</f>
        <v>domingo</v>
      </c>
      <c r="D2228" s="33">
        <v>3</v>
      </c>
      <c r="E2228" s="33">
        <v>3</v>
      </c>
      <c r="F2228" s="18"/>
      <c r="G2228" s="35">
        <f>WEEKDAY(Metas_Diarias[[#This Row],[data]])</f>
        <v>1</v>
      </c>
      <c r="H2228" s="35" t="str">
        <f>IF(Metas_Diarias[[#This Row],[dias_da_demana]]=1,"domingo",IF(Metas_Diarias[[#This Row],[dias_da_demana]]=7,0.5,1))</f>
        <v>domingo</v>
      </c>
      <c r="I2228" s="35">
        <f>_xlfn.XLOOKUP(Metas_Diarias[[#This Row],[data]],Feriados[Data],Feriados[Feriado],1)</f>
        <v>1</v>
      </c>
      <c r="J2228" s="33" cm="1">
        <f t="array" aca="1" ref="J2228" ca="1">SUMPRODUCT(IF((NOT(ISERROR(MATCH(ROW(INDIRECT(DATE(YEAR(B2228),MONTH(B2228),1)&amp;":"&amp;DATE(YEAR(B2228),MONTH(B2228)+1,0))),Feriados[Data],0))))=FALSE,
IF(WEEKDAY(ROW(INDIRECT(DATE(YEAR(B2228),MONTH(B2228),1)&amp;":"&amp;DATE(YEAR(B2228),MONTH(B2228)+1,0))),2)&lt;=5,1,IF(WEEKDAY(ROW(INDIRECT(DATE(YEAR(B2228),MONTH(B2228),1)&amp;":"&amp;DATE(YEAR(B2228),MONTH(B2228)+1,0))),2)=6,0.5,0)),0))</f>
        <v>20</v>
      </c>
      <c r="K2228" s="22" cm="1">
        <f t="array" ref="K2228">_xlfn.XLOOKUP(1,((Metas_Diarias[[#This Row],[tipo_equipe_id]]=Metas[equipe])*(Metas_Diarias[[#This Row],[data]]&gt;Metas[data_inicio])*(Metas_Diarias[[#This Row],[data]]&lt;Metas[data_fim])),Metas[meta_mensal],0)</f>
        <v>110000</v>
      </c>
      <c r="L222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29" spans="2:12" x14ac:dyDescent="0.3">
      <c r="B2229" s="34">
        <v>46055</v>
      </c>
      <c r="C2229" s="34" t="str">
        <f>TEXT(Metas_Diarias[[#This Row],[data]],"dddd")</f>
        <v>segunda-feira</v>
      </c>
      <c r="D2229" s="33">
        <v>3</v>
      </c>
      <c r="E2229" s="33">
        <v>3</v>
      </c>
      <c r="F2229" s="18"/>
      <c r="G2229" s="35">
        <f>WEEKDAY(Metas_Diarias[[#This Row],[data]])</f>
        <v>2</v>
      </c>
      <c r="H2229" s="35">
        <f>IF(Metas_Diarias[[#This Row],[dias_da_demana]]=1,"domingo",IF(Metas_Diarias[[#This Row],[dias_da_demana]]=7,0.5,1))</f>
        <v>1</v>
      </c>
      <c r="I2229" s="35">
        <f>_xlfn.XLOOKUP(Metas_Diarias[[#This Row],[data]],Feriados[Data],Feriados[Feriado],1)</f>
        <v>1</v>
      </c>
      <c r="J2229" s="33" cm="1">
        <f t="array" aca="1" ref="J2229" ca="1">SUMPRODUCT(IF((NOT(ISERROR(MATCH(ROW(INDIRECT(DATE(YEAR(B2229),MONTH(B2229),1)&amp;":"&amp;DATE(YEAR(B2229),MONTH(B2229)+1,0))),Feriados[Data],0))))=FALSE,
IF(WEEKDAY(ROW(INDIRECT(DATE(YEAR(B2229),MONTH(B2229),1)&amp;":"&amp;DATE(YEAR(B2229),MONTH(B2229)+1,0))),2)&lt;=5,1,IF(WEEKDAY(ROW(INDIRECT(DATE(YEAR(B2229),MONTH(B2229),1)&amp;":"&amp;DATE(YEAR(B2229),MONTH(B2229)+1,0))),2)=6,0.5,0)),0))</f>
        <v>20</v>
      </c>
      <c r="K2229" s="22" cm="1">
        <f t="array" ref="K2229">_xlfn.XLOOKUP(1,((Metas_Diarias[[#This Row],[tipo_equipe_id]]=Metas[equipe])*(Metas_Diarias[[#This Row],[data]]&gt;Metas[data_inicio])*(Metas_Diarias[[#This Row],[data]]&lt;Metas[data_fim])),Metas[meta_mensal],0)</f>
        <v>110000</v>
      </c>
      <c r="L2229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30" spans="2:12" x14ac:dyDescent="0.3">
      <c r="B2230" s="34">
        <v>46056</v>
      </c>
      <c r="C2230" s="34" t="str">
        <f>TEXT(Metas_Diarias[[#This Row],[data]],"dddd")</f>
        <v>terça-feira</v>
      </c>
      <c r="D2230" s="33">
        <v>3</v>
      </c>
      <c r="E2230" s="33">
        <v>3</v>
      </c>
      <c r="F2230" s="18"/>
      <c r="G2230" s="35">
        <f>WEEKDAY(Metas_Diarias[[#This Row],[data]])</f>
        <v>3</v>
      </c>
      <c r="H2230" s="35">
        <f>IF(Metas_Diarias[[#This Row],[dias_da_demana]]=1,"domingo",IF(Metas_Diarias[[#This Row],[dias_da_demana]]=7,0.5,1))</f>
        <v>1</v>
      </c>
      <c r="I2230" s="35">
        <f>_xlfn.XLOOKUP(Metas_Diarias[[#This Row],[data]],Feriados[Data],Feriados[Feriado],1)</f>
        <v>1</v>
      </c>
      <c r="J2230" s="33" cm="1">
        <f t="array" aca="1" ref="J2230" ca="1">SUMPRODUCT(IF((NOT(ISERROR(MATCH(ROW(INDIRECT(DATE(YEAR(B2230),MONTH(B2230),1)&amp;":"&amp;DATE(YEAR(B2230),MONTH(B2230)+1,0))),Feriados[Data],0))))=FALSE,
IF(WEEKDAY(ROW(INDIRECT(DATE(YEAR(B2230),MONTH(B2230),1)&amp;":"&amp;DATE(YEAR(B2230),MONTH(B2230)+1,0))),2)&lt;=5,1,IF(WEEKDAY(ROW(INDIRECT(DATE(YEAR(B2230),MONTH(B2230),1)&amp;":"&amp;DATE(YEAR(B2230),MONTH(B2230)+1,0))),2)=6,0.5,0)),0))</f>
        <v>20</v>
      </c>
      <c r="K2230" s="22" cm="1">
        <f t="array" ref="K2230">_xlfn.XLOOKUP(1,((Metas_Diarias[[#This Row],[tipo_equipe_id]]=Metas[equipe])*(Metas_Diarias[[#This Row],[data]]&gt;Metas[data_inicio])*(Metas_Diarias[[#This Row],[data]]&lt;Metas[data_fim])),Metas[meta_mensal],0)</f>
        <v>110000</v>
      </c>
      <c r="L2230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31" spans="2:12" x14ac:dyDescent="0.3">
      <c r="B2231" s="34">
        <v>46057</v>
      </c>
      <c r="C2231" s="34" t="str">
        <f>TEXT(Metas_Diarias[[#This Row],[data]],"dddd")</f>
        <v>quarta-feira</v>
      </c>
      <c r="D2231" s="33">
        <v>3</v>
      </c>
      <c r="E2231" s="33">
        <v>3</v>
      </c>
      <c r="F2231" s="18"/>
      <c r="G2231" s="35">
        <f>WEEKDAY(Metas_Diarias[[#This Row],[data]])</f>
        <v>4</v>
      </c>
      <c r="H2231" s="35">
        <f>IF(Metas_Diarias[[#This Row],[dias_da_demana]]=1,"domingo",IF(Metas_Diarias[[#This Row],[dias_da_demana]]=7,0.5,1))</f>
        <v>1</v>
      </c>
      <c r="I2231" s="35">
        <f>_xlfn.XLOOKUP(Metas_Diarias[[#This Row],[data]],Feriados[Data],Feriados[Feriado],1)</f>
        <v>1</v>
      </c>
      <c r="J2231" s="33" cm="1">
        <f t="array" aca="1" ref="J2231" ca="1">SUMPRODUCT(IF((NOT(ISERROR(MATCH(ROW(INDIRECT(DATE(YEAR(B2231),MONTH(B2231),1)&amp;":"&amp;DATE(YEAR(B2231),MONTH(B2231)+1,0))),Feriados[Data],0))))=FALSE,
IF(WEEKDAY(ROW(INDIRECT(DATE(YEAR(B2231),MONTH(B2231),1)&amp;":"&amp;DATE(YEAR(B2231),MONTH(B2231)+1,0))),2)&lt;=5,1,IF(WEEKDAY(ROW(INDIRECT(DATE(YEAR(B2231),MONTH(B2231),1)&amp;":"&amp;DATE(YEAR(B2231),MONTH(B2231)+1,0))),2)=6,0.5,0)),0))</f>
        <v>20</v>
      </c>
      <c r="K2231" s="22" cm="1">
        <f t="array" ref="K2231">_xlfn.XLOOKUP(1,((Metas_Diarias[[#This Row],[tipo_equipe_id]]=Metas[equipe])*(Metas_Diarias[[#This Row],[data]]&gt;Metas[data_inicio])*(Metas_Diarias[[#This Row],[data]]&lt;Metas[data_fim])),Metas[meta_mensal],0)</f>
        <v>110000</v>
      </c>
      <c r="L2231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32" spans="2:12" x14ac:dyDescent="0.3">
      <c r="B2232" s="34">
        <v>46058</v>
      </c>
      <c r="C2232" s="34" t="str">
        <f>TEXT(Metas_Diarias[[#This Row],[data]],"dddd")</f>
        <v>quinta-feira</v>
      </c>
      <c r="D2232" s="33">
        <v>3</v>
      </c>
      <c r="E2232" s="33">
        <v>3</v>
      </c>
      <c r="F2232" s="18"/>
      <c r="G2232" s="35">
        <f>WEEKDAY(Metas_Diarias[[#This Row],[data]])</f>
        <v>5</v>
      </c>
      <c r="H2232" s="35">
        <f>IF(Metas_Diarias[[#This Row],[dias_da_demana]]=1,"domingo",IF(Metas_Diarias[[#This Row],[dias_da_demana]]=7,0.5,1))</f>
        <v>1</v>
      </c>
      <c r="I2232" s="35">
        <f>_xlfn.XLOOKUP(Metas_Diarias[[#This Row],[data]],Feriados[Data],Feriados[Feriado],1)</f>
        <v>1</v>
      </c>
      <c r="J2232" s="33" cm="1">
        <f t="array" aca="1" ref="J2232" ca="1">SUMPRODUCT(IF((NOT(ISERROR(MATCH(ROW(INDIRECT(DATE(YEAR(B2232),MONTH(B2232),1)&amp;":"&amp;DATE(YEAR(B2232),MONTH(B2232)+1,0))),Feriados[Data],0))))=FALSE,
IF(WEEKDAY(ROW(INDIRECT(DATE(YEAR(B2232),MONTH(B2232),1)&amp;":"&amp;DATE(YEAR(B2232),MONTH(B2232)+1,0))),2)&lt;=5,1,IF(WEEKDAY(ROW(INDIRECT(DATE(YEAR(B2232),MONTH(B2232),1)&amp;":"&amp;DATE(YEAR(B2232),MONTH(B2232)+1,0))),2)=6,0.5,0)),0))</f>
        <v>20</v>
      </c>
      <c r="K2232" s="22" cm="1">
        <f t="array" ref="K2232">_xlfn.XLOOKUP(1,((Metas_Diarias[[#This Row],[tipo_equipe_id]]=Metas[equipe])*(Metas_Diarias[[#This Row],[data]]&gt;Metas[data_inicio])*(Metas_Diarias[[#This Row],[data]]&lt;Metas[data_fim])),Metas[meta_mensal],0)</f>
        <v>110000</v>
      </c>
      <c r="L2232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33" spans="2:12" x14ac:dyDescent="0.3">
      <c r="B2233" s="34">
        <v>46059</v>
      </c>
      <c r="C2233" s="34" t="str">
        <f>TEXT(Metas_Diarias[[#This Row],[data]],"dddd")</f>
        <v>sexta-feira</v>
      </c>
      <c r="D2233" s="33">
        <v>3</v>
      </c>
      <c r="E2233" s="33">
        <v>3</v>
      </c>
      <c r="F2233" s="18"/>
      <c r="G2233" s="35">
        <f>WEEKDAY(Metas_Diarias[[#This Row],[data]])</f>
        <v>6</v>
      </c>
      <c r="H2233" s="35">
        <f>IF(Metas_Diarias[[#This Row],[dias_da_demana]]=1,"domingo",IF(Metas_Diarias[[#This Row],[dias_da_demana]]=7,0.5,1))</f>
        <v>1</v>
      </c>
      <c r="I2233" s="35">
        <f>_xlfn.XLOOKUP(Metas_Diarias[[#This Row],[data]],Feriados[Data],Feriados[Feriado],1)</f>
        <v>1</v>
      </c>
      <c r="J2233" s="33" cm="1">
        <f t="array" aca="1" ref="J2233" ca="1">SUMPRODUCT(IF((NOT(ISERROR(MATCH(ROW(INDIRECT(DATE(YEAR(B2233),MONTH(B2233),1)&amp;":"&amp;DATE(YEAR(B2233),MONTH(B2233)+1,0))),Feriados[Data],0))))=FALSE,
IF(WEEKDAY(ROW(INDIRECT(DATE(YEAR(B2233),MONTH(B2233),1)&amp;":"&amp;DATE(YEAR(B2233),MONTH(B2233)+1,0))),2)&lt;=5,1,IF(WEEKDAY(ROW(INDIRECT(DATE(YEAR(B2233),MONTH(B2233),1)&amp;":"&amp;DATE(YEAR(B2233),MONTH(B2233)+1,0))),2)=6,0.5,0)),0))</f>
        <v>20</v>
      </c>
      <c r="K2233" s="22" cm="1">
        <f t="array" ref="K2233">_xlfn.XLOOKUP(1,((Metas_Diarias[[#This Row],[tipo_equipe_id]]=Metas[equipe])*(Metas_Diarias[[#This Row],[data]]&gt;Metas[data_inicio])*(Metas_Diarias[[#This Row],[data]]&lt;Metas[data_fim])),Metas[meta_mensal],0)</f>
        <v>110000</v>
      </c>
      <c r="L2233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34" spans="2:12" x14ac:dyDescent="0.3">
      <c r="B2234" s="34">
        <v>46060</v>
      </c>
      <c r="C2234" s="34" t="str">
        <f>TEXT(Metas_Diarias[[#This Row],[data]],"dddd")</f>
        <v>sábado</v>
      </c>
      <c r="D2234" s="33">
        <v>3</v>
      </c>
      <c r="E2234" s="33">
        <v>3</v>
      </c>
      <c r="F2234" s="18"/>
      <c r="G2234" s="35">
        <f>WEEKDAY(Metas_Diarias[[#This Row],[data]])</f>
        <v>7</v>
      </c>
      <c r="H2234" s="35">
        <f>IF(Metas_Diarias[[#This Row],[dias_da_demana]]=1,"domingo",IF(Metas_Diarias[[#This Row],[dias_da_demana]]=7,0.5,1))</f>
        <v>0.5</v>
      </c>
      <c r="I2234" s="35">
        <f>_xlfn.XLOOKUP(Metas_Diarias[[#This Row],[data]],Feriados[Data],Feriados[Feriado],1)</f>
        <v>1</v>
      </c>
      <c r="J2234" s="33" cm="1">
        <f t="array" aca="1" ref="J2234" ca="1">SUMPRODUCT(IF((NOT(ISERROR(MATCH(ROW(INDIRECT(DATE(YEAR(B2234),MONTH(B2234),1)&amp;":"&amp;DATE(YEAR(B2234),MONTH(B2234)+1,0))),Feriados[Data],0))))=FALSE,
IF(WEEKDAY(ROW(INDIRECT(DATE(YEAR(B2234),MONTH(B2234),1)&amp;":"&amp;DATE(YEAR(B2234),MONTH(B2234)+1,0))),2)&lt;=5,1,IF(WEEKDAY(ROW(INDIRECT(DATE(YEAR(B2234),MONTH(B2234),1)&amp;":"&amp;DATE(YEAR(B2234),MONTH(B2234)+1,0))),2)=6,0.5,0)),0))</f>
        <v>20</v>
      </c>
      <c r="K2234" s="22" cm="1">
        <f t="array" ref="K2234">_xlfn.XLOOKUP(1,((Metas_Diarias[[#This Row],[tipo_equipe_id]]=Metas[equipe])*(Metas_Diarias[[#This Row],[data]]&gt;Metas[data_inicio])*(Metas_Diarias[[#This Row],[data]]&lt;Metas[data_fim])),Metas[meta_mensal],0)</f>
        <v>110000</v>
      </c>
      <c r="L2234" s="24">
        <f ca="1">Metas_Diarias[[#This Row],[meta_mensal]]*IF(Metas_Diarias[[#This Row],[semana]]="domingo",0,Metas_Diarias[[#This Row],[semana]])*IF(Metas_Diarias[[#This Row],[feriado]]&lt;&gt;1,0,1)/Metas_Diarias[[#This Row],[dias_úteis_Mês]]</f>
        <v>2750</v>
      </c>
    </row>
    <row r="2235" spans="2:12" x14ac:dyDescent="0.3">
      <c r="B2235" s="34">
        <v>46061</v>
      </c>
      <c r="C2235" s="34" t="str">
        <f>TEXT(Metas_Diarias[[#This Row],[data]],"dddd")</f>
        <v>domingo</v>
      </c>
      <c r="D2235" s="33">
        <v>3</v>
      </c>
      <c r="E2235" s="33">
        <v>3</v>
      </c>
      <c r="F2235" s="18"/>
      <c r="G2235" s="35">
        <f>WEEKDAY(Metas_Diarias[[#This Row],[data]])</f>
        <v>1</v>
      </c>
      <c r="H2235" s="35" t="str">
        <f>IF(Metas_Diarias[[#This Row],[dias_da_demana]]=1,"domingo",IF(Metas_Diarias[[#This Row],[dias_da_demana]]=7,0.5,1))</f>
        <v>domingo</v>
      </c>
      <c r="I2235" s="35">
        <f>_xlfn.XLOOKUP(Metas_Diarias[[#This Row],[data]],Feriados[Data],Feriados[Feriado],1)</f>
        <v>1</v>
      </c>
      <c r="J2235" s="33" cm="1">
        <f t="array" aca="1" ref="J2235" ca="1">SUMPRODUCT(IF((NOT(ISERROR(MATCH(ROW(INDIRECT(DATE(YEAR(B2235),MONTH(B2235),1)&amp;":"&amp;DATE(YEAR(B2235),MONTH(B2235)+1,0))),Feriados[Data],0))))=FALSE,
IF(WEEKDAY(ROW(INDIRECT(DATE(YEAR(B2235),MONTH(B2235),1)&amp;":"&amp;DATE(YEAR(B2235),MONTH(B2235)+1,0))),2)&lt;=5,1,IF(WEEKDAY(ROW(INDIRECT(DATE(YEAR(B2235),MONTH(B2235),1)&amp;":"&amp;DATE(YEAR(B2235),MONTH(B2235)+1,0))),2)=6,0.5,0)),0))</f>
        <v>20</v>
      </c>
      <c r="K2235" s="22" cm="1">
        <f t="array" ref="K2235">_xlfn.XLOOKUP(1,((Metas_Diarias[[#This Row],[tipo_equipe_id]]=Metas[equipe])*(Metas_Diarias[[#This Row],[data]]&gt;Metas[data_inicio])*(Metas_Diarias[[#This Row],[data]]&lt;Metas[data_fim])),Metas[meta_mensal],0)</f>
        <v>110000</v>
      </c>
      <c r="L223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36" spans="2:12" x14ac:dyDescent="0.3">
      <c r="B2236" s="34">
        <v>46062</v>
      </c>
      <c r="C2236" s="34" t="str">
        <f>TEXT(Metas_Diarias[[#This Row],[data]],"dddd")</f>
        <v>segunda-feira</v>
      </c>
      <c r="D2236" s="33">
        <v>3</v>
      </c>
      <c r="E2236" s="33">
        <v>3</v>
      </c>
      <c r="F2236" s="18"/>
      <c r="G2236" s="35">
        <f>WEEKDAY(Metas_Diarias[[#This Row],[data]])</f>
        <v>2</v>
      </c>
      <c r="H2236" s="35">
        <f>IF(Metas_Diarias[[#This Row],[dias_da_demana]]=1,"domingo",IF(Metas_Diarias[[#This Row],[dias_da_demana]]=7,0.5,1))</f>
        <v>1</v>
      </c>
      <c r="I2236" s="35">
        <f>_xlfn.XLOOKUP(Metas_Diarias[[#This Row],[data]],Feriados[Data],Feriados[Feriado],1)</f>
        <v>1</v>
      </c>
      <c r="J2236" s="33" cm="1">
        <f t="array" aca="1" ref="J2236" ca="1">SUMPRODUCT(IF((NOT(ISERROR(MATCH(ROW(INDIRECT(DATE(YEAR(B2236),MONTH(B2236),1)&amp;":"&amp;DATE(YEAR(B2236),MONTH(B2236)+1,0))),Feriados[Data],0))))=FALSE,
IF(WEEKDAY(ROW(INDIRECT(DATE(YEAR(B2236),MONTH(B2236),1)&amp;":"&amp;DATE(YEAR(B2236),MONTH(B2236)+1,0))),2)&lt;=5,1,IF(WEEKDAY(ROW(INDIRECT(DATE(YEAR(B2236),MONTH(B2236),1)&amp;":"&amp;DATE(YEAR(B2236),MONTH(B2236)+1,0))),2)=6,0.5,0)),0))</f>
        <v>20</v>
      </c>
      <c r="K2236" s="22" cm="1">
        <f t="array" ref="K2236">_xlfn.XLOOKUP(1,((Metas_Diarias[[#This Row],[tipo_equipe_id]]=Metas[equipe])*(Metas_Diarias[[#This Row],[data]]&gt;Metas[data_inicio])*(Metas_Diarias[[#This Row],[data]]&lt;Metas[data_fim])),Metas[meta_mensal],0)</f>
        <v>110000</v>
      </c>
      <c r="L2236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37" spans="2:12" x14ac:dyDescent="0.3">
      <c r="B2237" s="34">
        <v>46063</v>
      </c>
      <c r="C2237" s="34" t="str">
        <f>TEXT(Metas_Diarias[[#This Row],[data]],"dddd")</f>
        <v>terça-feira</v>
      </c>
      <c r="D2237" s="33">
        <v>3</v>
      </c>
      <c r="E2237" s="33">
        <v>3</v>
      </c>
      <c r="F2237" s="18"/>
      <c r="G2237" s="35">
        <f>WEEKDAY(Metas_Diarias[[#This Row],[data]])</f>
        <v>3</v>
      </c>
      <c r="H2237" s="35">
        <f>IF(Metas_Diarias[[#This Row],[dias_da_demana]]=1,"domingo",IF(Metas_Diarias[[#This Row],[dias_da_demana]]=7,0.5,1))</f>
        <v>1</v>
      </c>
      <c r="I2237" s="35">
        <f>_xlfn.XLOOKUP(Metas_Diarias[[#This Row],[data]],Feriados[Data],Feriados[Feriado],1)</f>
        <v>1</v>
      </c>
      <c r="J2237" s="33" cm="1">
        <f t="array" aca="1" ref="J2237" ca="1">SUMPRODUCT(IF((NOT(ISERROR(MATCH(ROW(INDIRECT(DATE(YEAR(B2237),MONTH(B2237),1)&amp;":"&amp;DATE(YEAR(B2237),MONTH(B2237)+1,0))),Feriados[Data],0))))=FALSE,
IF(WEEKDAY(ROW(INDIRECT(DATE(YEAR(B2237),MONTH(B2237),1)&amp;":"&amp;DATE(YEAR(B2237),MONTH(B2237)+1,0))),2)&lt;=5,1,IF(WEEKDAY(ROW(INDIRECT(DATE(YEAR(B2237),MONTH(B2237),1)&amp;":"&amp;DATE(YEAR(B2237),MONTH(B2237)+1,0))),2)=6,0.5,0)),0))</f>
        <v>20</v>
      </c>
      <c r="K2237" s="22" cm="1">
        <f t="array" ref="K2237">_xlfn.XLOOKUP(1,((Metas_Diarias[[#This Row],[tipo_equipe_id]]=Metas[equipe])*(Metas_Diarias[[#This Row],[data]]&gt;Metas[data_inicio])*(Metas_Diarias[[#This Row],[data]]&lt;Metas[data_fim])),Metas[meta_mensal],0)</f>
        <v>110000</v>
      </c>
      <c r="L2237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38" spans="2:12" x14ac:dyDescent="0.3">
      <c r="B2238" s="34">
        <v>46064</v>
      </c>
      <c r="C2238" s="34" t="str">
        <f>TEXT(Metas_Diarias[[#This Row],[data]],"dddd")</f>
        <v>quarta-feira</v>
      </c>
      <c r="D2238" s="33">
        <v>3</v>
      </c>
      <c r="E2238" s="33">
        <v>3</v>
      </c>
      <c r="F2238" s="18"/>
      <c r="G2238" s="35">
        <f>WEEKDAY(Metas_Diarias[[#This Row],[data]])</f>
        <v>4</v>
      </c>
      <c r="H2238" s="35">
        <f>IF(Metas_Diarias[[#This Row],[dias_da_demana]]=1,"domingo",IF(Metas_Diarias[[#This Row],[dias_da_demana]]=7,0.5,1))</f>
        <v>1</v>
      </c>
      <c r="I2238" s="35">
        <f>_xlfn.XLOOKUP(Metas_Diarias[[#This Row],[data]],Feriados[Data],Feriados[Feriado],1)</f>
        <v>1</v>
      </c>
      <c r="J2238" s="33" cm="1">
        <f t="array" aca="1" ref="J2238" ca="1">SUMPRODUCT(IF((NOT(ISERROR(MATCH(ROW(INDIRECT(DATE(YEAR(B2238),MONTH(B2238),1)&amp;":"&amp;DATE(YEAR(B2238),MONTH(B2238)+1,0))),Feriados[Data],0))))=FALSE,
IF(WEEKDAY(ROW(INDIRECT(DATE(YEAR(B2238),MONTH(B2238),1)&amp;":"&amp;DATE(YEAR(B2238),MONTH(B2238)+1,0))),2)&lt;=5,1,IF(WEEKDAY(ROW(INDIRECT(DATE(YEAR(B2238),MONTH(B2238),1)&amp;":"&amp;DATE(YEAR(B2238),MONTH(B2238)+1,0))),2)=6,0.5,0)),0))</f>
        <v>20</v>
      </c>
      <c r="K2238" s="22" cm="1">
        <f t="array" ref="K2238">_xlfn.XLOOKUP(1,((Metas_Diarias[[#This Row],[tipo_equipe_id]]=Metas[equipe])*(Metas_Diarias[[#This Row],[data]]&gt;Metas[data_inicio])*(Metas_Diarias[[#This Row],[data]]&lt;Metas[data_fim])),Metas[meta_mensal],0)</f>
        <v>110000</v>
      </c>
      <c r="L2238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39" spans="2:12" x14ac:dyDescent="0.3">
      <c r="B2239" s="34">
        <v>46065</v>
      </c>
      <c r="C2239" s="34" t="str">
        <f>TEXT(Metas_Diarias[[#This Row],[data]],"dddd")</f>
        <v>quinta-feira</v>
      </c>
      <c r="D2239" s="33">
        <v>3</v>
      </c>
      <c r="E2239" s="33">
        <v>3</v>
      </c>
      <c r="F2239" s="18"/>
      <c r="G2239" s="35">
        <f>WEEKDAY(Metas_Diarias[[#This Row],[data]])</f>
        <v>5</v>
      </c>
      <c r="H2239" s="35">
        <f>IF(Metas_Diarias[[#This Row],[dias_da_demana]]=1,"domingo",IF(Metas_Diarias[[#This Row],[dias_da_demana]]=7,0.5,1))</f>
        <v>1</v>
      </c>
      <c r="I2239" s="35">
        <f>_xlfn.XLOOKUP(Metas_Diarias[[#This Row],[data]],Feriados[Data],Feriados[Feriado],1)</f>
        <v>1</v>
      </c>
      <c r="J2239" s="33" cm="1">
        <f t="array" aca="1" ref="J2239" ca="1">SUMPRODUCT(IF((NOT(ISERROR(MATCH(ROW(INDIRECT(DATE(YEAR(B2239),MONTH(B2239),1)&amp;":"&amp;DATE(YEAR(B2239),MONTH(B2239)+1,0))),Feriados[Data],0))))=FALSE,
IF(WEEKDAY(ROW(INDIRECT(DATE(YEAR(B2239),MONTH(B2239),1)&amp;":"&amp;DATE(YEAR(B2239),MONTH(B2239)+1,0))),2)&lt;=5,1,IF(WEEKDAY(ROW(INDIRECT(DATE(YEAR(B2239),MONTH(B2239),1)&amp;":"&amp;DATE(YEAR(B2239),MONTH(B2239)+1,0))),2)=6,0.5,0)),0))</f>
        <v>20</v>
      </c>
      <c r="K2239" s="22" cm="1">
        <f t="array" ref="K2239">_xlfn.XLOOKUP(1,((Metas_Diarias[[#This Row],[tipo_equipe_id]]=Metas[equipe])*(Metas_Diarias[[#This Row],[data]]&gt;Metas[data_inicio])*(Metas_Diarias[[#This Row],[data]]&lt;Metas[data_fim])),Metas[meta_mensal],0)</f>
        <v>110000</v>
      </c>
      <c r="L2239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40" spans="2:12" x14ac:dyDescent="0.3">
      <c r="B2240" s="34">
        <v>46066</v>
      </c>
      <c r="C2240" s="34" t="str">
        <f>TEXT(Metas_Diarias[[#This Row],[data]],"dddd")</f>
        <v>sexta-feira</v>
      </c>
      <c r="D2240" s="33">
        <v>3</v>
      </c>
      <c r="E2240" s="33">
        <v>3</v>
      </c>
      <c r="F2240" s="18"/>
      <c r="G2240" s="35">
        <f>WEEKDAY(Metas_Diarias[[#This Row],[data]])</f>
        <v>6</v>
      </c>
      <c r="H2240" s="35">
        <f>IF(Metas_Diarias[[#This Row],[dias_da_demana]]=1,"domingo",IF(Metas_Diarias[[#This Row],[dias_da_demana]]=7,0.5,1))</f>
        <v>1</v>
      </c>
      <c r="I2240" s="35">
        <f>_xlfn.XLOOKUP(Metas_Diarias[[#This Row],[data]],Feriados[Data],Feriados[Feriado],1)</f>
        <v>1</v>
      </c>
      <c r="J2240" s="33" cm="1">
        <f t="array" aca="1" ref="J2240" ca="1">SUMPRODUCT(IF((NOT(ISERROR(MATCH(ROW(INDIRECT(DATE(YEAR(B2240),MONTH(B2240),1)&amp;":"&amp;DATE(YEAR(B2240),MONTH(B2240)+1,0))),Feriados[Data],0))))=FALSE,
IF(WEEKDAY(ROW(INDIRECT(DATE(YEAR(B2240),MONTH(B2240),1)&amp;":"&amp;DATE(YEAR(B2240),MONTH(B2240)+1,0))),2)&lt;=5,1,IF(WEEKDAY(ROW(INDIRECT(DATE(YEAR(B2240),MONTH(B2240),1)&amp;":"&amp;DATE(YEAR(B2240),MONTH(B2240)+1,0))),2)=6,0.5,0)),0))</f>
        <v>20</v>
      </c>
      <c r="K2240" s="22" cm="1">
        <f t="array" ref="K2240">_xlfn.XLOOKUP(1,((Metas_Diarias[[#This Row],[tipo_equipe_id]]=Metas[equipe])*(Metas_Diarias[[#This Row],[data]]&gt;Metas[data_inicio])*(Metas_Diarias[[#This Row],[data]]&lt;Metas[data_fim])),Metas[meta_mensal],0)</f>
        <v>110000</v>
      </c>
      <c r="L2240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41" spans="2:12" x14ac:dyDescent="0.3">
      <c r="B2241" s="34">
        <v>46067</v>
      </c>
      <c r="C2241" s="34" t="str">
        <f>TEXT(Metas_Diarias[[#This Row],[data]],"dddd")</f>
        <v>sábado</v>
      </c>
      <c r="D2241" s="33">
        <v>3</v>
      </c>
      <c r="E2241" s="33">
        <v>3</v>
      </c>
      <c r="F2241" s="18"/>
      <c r="G2241" s="35">
        <f>WEEKDAY(Metas_Diarias[[#This Row],[data]])</f>
        <v>7</v>
      </c>
      <c r="H2241" s="35">
        <f>IF(Metas_Diarias[[#This Row],[dias_da_demana]]=1,"domingo",IF(Metas_Diarias[[#This Row],[dias_da_demana]]=7,0.5,1))</f>
        <v>0.5</v>
      </c>
      <c r="I2241" s="35">
        <f>_xlfn.XLOOKUP(Metas_Diarias[[#This Row],[data]],Feriados[Data],Feriados[Feriado],1)</f>
        <v>1</v>
      </c>
      <c r="J2241" s="33" cm="1">
        <f t="array" aca="1" ref="J2241" ca="1">SUMPRODUCT(IF((NOT(ISERROR(MATCH(ROW(INDIRECT(DATE(YEAR(B2241),MONTH(B2241),1)&amp;":"&amp;DATE(YEAR(B2241),MONTH(B2241)+1,0))),Feriados[Data],0))))=FALSE,
IF(WEEKDAY(ROW(INDIRECT(DATE(YEAR(B2241),MONTH(B2241),1)&amp;":"&amp;DATE(YEAR(B2241),MONTH(B2241)+1,0))),2)&lt;=5,1,IF(WEEKDAY(ROW(INDIRECT(DATE(YEAR(B2241),MONTH(B2241),1)&amp;":"&amp;DATE(YEAR(B2241),MONTH(B2241)+1,0))),2)=6,0.5,0)),0))</f>
        <v>20</v>
      </c>
      <c r="K2241" s="22" cm="1">
        <f t="array" ref="K2241">_xlfn.XLOOKUP(1,((Metas_Diarias[[#This Row],[tipo_equipe_id]]=Metas[equipe])*(Metas_Diarias[[#This Row],[data]]&gt;Metas[data_inicio])*(Metas_Diarias[[#This Row],[data]]&lt;Metas[data_fim])),Metas[meta_mensal],0)</f>
        <v>110000</v>
      </c>
      <c r="L2241" s="24">
        <f ca="1">Metas_Diarias[[#This Row],[meta_mensal]]*IF(Metas_Diarias[[#This Row],[semana]]="domingo",0,Metas_Diarias[[#This Row],[semana]])*IF(Metas_Diarias[[#This Row],[feriado]]&lt;&gt;1,0,1)/Metas_Diarias[[#This Row],[dias_úteis_Mês]]</f>
        <v>2750</v>
      </c>
    </row>
    <row r="2242" spans="2:12" x14ac:dyDescent="0.3">
      <c r="B2242" s="34">
        <v>46068</v>
      </c>
      <c r="C2242" s="34" t="str">
        <f>TEXT(Metas_Diarias[[#This Row],[data]],"dddd")</f>
        <v>domingo</v>
      </c>
      <c r="D2242" s="33">
        <v>3</v>
      </c>
      <c r="E2242" s="33">
        <v>3</v>
      </c>
      <c r="F2242" s="18"/>
      <c r="G2242" s="35">
        <f>WEEKDAY(Metas_Diarias[[#This Row],[data]])</f>
        <v>1</v>
      </c>
      <c r="H2242" s="35" t="str">
        <f>IF(Metas_Diarias[[#This Row],[dias_da_demana]]=1,"domingo",IF(Metas_Diarias[[#This Row],[dias_da_demana]]=7,0.5,1))</f>
        <v>domingo</v>
      </c>
      <c r="I2242" s="35">
        <f>_xlfn.XLOOKUP(Metas_Diarias[[#This Row],[data]],Feriados[Data],Feriados[Feriado],1)</f>
        <v>1</v>
      </c>
      <c r="J2242" s="33" cm="1">
        <f t="array" aca="1" ref="J2242" ca="1">SUMPRODUCT(IF((NOT(ISERROR(MATCH(ROW(INDIRECT(DATE(YEAR(B2242),MONTH(B2242),1)&amp;":"&amp;DATE(YEAR(B2242),MONTH(B2242)+1,0))),Feriados[Data],0))))=FALSE,
IF(WEEKDAY(ROW(INDIRECT(DATE(YEAR(B2242),MONTH(B2242),1)&amp;":"&amp;DATE(YEAR(B2242),MONTH(B2242)+1,0))),2)&lt;=5,1,IF(WEEKDAY(ROW(INDIRECT(DATE(YEAR(B2242),MONTH(B2242),1)&amp;":"&amp;DATE(YEAR(B2242),MONTH(B2242)+1,0))),2)=6,0.5,0)),0))</f>
        <v>20</v>
      </c>
      <c r="K2242" s="22" cm="1">
        <f t="array" ref="K2242">_xlfn.XLOOKUP(1,((Metas_Diarias[[#This Row],[tipo_equipe_id]]=Metas[equipe])*(Metas_Diarias[[#This Row],[data]]&gt;Metas[data_inicio])*(Metas_Diarias[[#This Row],[data]]&lt;Metas[data_fim])),Metas[meta_mensal],0)</f>
        <v>110000</v>
      </c>
      <c r="L224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43" spans="2:12" x14ac:dyDescent="0.3">
      <c r="B2243" s="34">
        <v>46069</v>
      </c>
      <c r="C2243" s="34" t="str">
        <f>TEXT(Metas_Diarias[[#This Row],[data]],"dddd")</f>
        <v>segunda-feira</v>
      </c>
      <c r="D2243" s="33">
        <v>3</v>
      </c>
      <c r="E2243" s="33">
        <v>3</v>
      </c>
      <c r="F2243" s="18"/>
      <c r="G2243" s="35">
        <f>WEEKDAY(Metas_Diarias[[#This Row],[data]])</f>
        <v>2</v>
      </c>
      <c r="H2243" s="35">
        <f>IF(Metas_Diarias[[#This Row],[dias_da_demana]]=1,"domingo",IF(Metas_Diarias[[#This Row],[dias_da_demana]]=7,0.5,1))</f>
        <v>1</v>
      </c>
      <c r="I2243" s="35" t="str">
        <f>_xlfn.XLOOKUP(Metas_Diarias[[#This Row],[data]],Feriados[Data],Feriados[Feriado],1)</f>
        <v>Carnaval</v>
      </c>
      <c r="J2243" s="33" cm="1">
        <f t="array" aca="1" ref="J2243" ca="1">SUMPRODUCT(IF((NOT(ISERROR(MATCH(ROW(INDIRECT(DATE(YEAR(B2243),MONTH(B2243),1)&amp;":"&amp;DATE(YEAR(B2243),MONTH(B2243)+1,0))),Feriados[Data],0))))=FALSE,
IF(WEEKDAY(ROW(INDIRECT(DATE(YEAR(B2243),MONTH(B2243),1)&amp;":"&amp;DATE(YEAR(B2243),MONTH(B2243)+1,0))),2)&lt;=5,1,IF(WEEKDAY(ROW(INDIRECT(DATE(YEAR(B2243),MONTH(B2243),1)&amp;":"&amp;DATE(YEAR(B2243),MONTH(B2243)+1,0))),2)=6,0.5,0)),0))</f>
        <v>20</v>
      </c>
      <c r="K2243" s="22" cm="1">
        <f t="array" ref="K2243">_xlfn.XLOOKUP(1,((Metas_Diarias[[#This Row],[tipo_equipe_id]]=Metas[equipe])*(Metas_Diarias[[#This Row],[data]]&gt;Metas[data_inicio])*(Metas_Diarias[[#This Row],[data]]&lt;Metas[data_fim])),Metas[meta_mensal],0)</f>
        <v>110000</v>
      </c>
      <c r="L22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44" spans="2:12" x14ac:dyDescent="0.3">
      <c r="B2244" s="34">
        <v>46070</v>
      </c>
      <c r="C2244" s="34" t="str">
        <f>TEXT(Metas_Diarias[[#This Row],[data]],"dddd")</f>
        <v>terça-feira</v>
      </c>
      <c r="D2244" s="33">
        <v>3</v>
      </c>
      <c r="E2244" s="33">
        <v>3</v>
      </c>
      <c r="F2244" s="18"/>
      <c r="G2244" s="35">
        <f>WEEKDAY(Metas_Diarias[[#This Row],[data]])</f>
        <v>3</v>
      </c>
      <c r="H2244" s="35">
        <f>IF(Metas_Diarias[[#This Row],[dias_da_demana]]=1,"domingo",IF(Metas_Diarias[[#This Row],[dias_da_demana]]=7,0.5,1))</f>
        <v>1</v>
      </c>
      <c r="I2244" s="35" t="str">
        <f>_xlfn.XLOOKUP(Metas_Diarias[[#This Row],[data]],Feriados[Data],Feriados[Feriado],1)</f>
        <v>Carnaval</v>
      </c>
      <c r="J2244" s="33" cm="1">
        <f t="array" aca="1" ref="J2244" ca="1">SUMPRODUCT(IF((NOT(ISERROR(MATCH(ROW(INDIRECT(DATE(YEAR(B2244),MONTH(B2244),1)&amp;":"&amp;DATE(YEAR(B2244),MONTH(B2244)+1,0))),Feriados[Data],0))))=FALSE,
IF(WEEKDAY(ROW(INDIRECT(DATE(YEAR(B2244),MONTH(B2244),1)&amp;":"&amp;DATE(YEAR(B2244),MONTH(B2244)+1,0))),2)&lt;=5,1,IF(WEEKDAY(ROW(INDIRECT(DATE(YEAR(B2244),MONTH(B2244),1)&amp;":"&amp;DATE(YEAR(B2244),MONTH(B2244)+1,0))),2)=6,0.5,0)),0))</f>
        <v>20</v>
      </c>
      <c r="K2244" s="22" cm="1">
        <f t="array" ref="K2244">_xlfn.XLOOKUP(1,((Metas_Diarias[[#This Row],[tipo_equipe_id]]=Metas[equipe])*(Metas_Diarias[[#This Row],[data]]&gt;Metas[data_inicio])*(Metas_Diarias[[#This Row],[data]]&lt;Metas[data_fim])),Metas[meta_mensal],0)</f>
        <v>110000</v>
      </c>
      <c r="L224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45" spans="2:12" x14ac:dyDescent="0.3">
      <c r="B2245" s="34">
        <v>46071</v>
      </c>
      <c r="C2245" s="34" t="str">
        <f>TEXT(Metas_Diarias[[#This Row],[data]],"dddd")</f>
        <v>quarta-feira</v>
      </c>
      <c r="D2245" s="33">
        <v>3</v>
      </c>
      <c r="E2245" s="33">
        <v>3</v>
      </c>
      <c r="F2245" s="18"/>
      <c r="G2245" s="35">
        <f>WEEKDAY(Metas_Diarias[[#This Row],[data]])</f>
        <v>4</v>
      </c>
      <c r="H2245" s="35">
        <f>IF(Metas_Diarias[[#This Row],[dias_da_demana]]=1,"domingo",IF(Metas_Diarias[[#This Row],[dias_da_demana]]=7,0.5,1))</f>
        <v>1</v>
      </c>
      <c r="I2245" s="35">
        <f>_xlfn.XLOOKUP(Metas_Diarias[[#This Row],[data]],Feriados[Data],Feriados[Feriado],1)</f>
        <v>1</v>
      </c>
      <c r="J2245" s="33" cm="1">
        <f t="array" aca="1" ref="J2245" ca="1">SUMPRODUCT(IF((NOT(ISERROR(MATCH(ROW(INDIRECT(DATE(YEAR(B2245),MONTH(B2245),1)&amp;":"&amp;DATE(YEAR(B2245),MONTH(B2245)+1,0))),Feriados[Data],0))))=FALSE,
IF(WEEKDAY(ROW(INDIRECT(DATE(YEAR(B2245),MONTH(B2245),1)&amp;":"&amp;DATE(YEAR(B2245),MONTH(B2245)+1,0))),2)&lt;=5,1,IF(WEEKDAY(ROW(INDIRECT(DATE(YEAR(B2245),MONTH(B2245),1)&amp;":"&amp;DATE(YEAR(B2245),MONTH(B2245)+1,0))),2)=6,0.5,0)),0))</f>
        <v>20</v>
      </c>
      <c r="K2245" s="22" cm="1">
        <f t="array" ref="K2245">_xlfn.XLOOKUP(1,((Metas_Diarias[[#This Row],[tipo_equipe_id]]=Metas[equipe])*(Metas_Diarias[[#This Row],[data]]&gt;Metas[data_inicio])*(Metas_Diarias[[#This Row],[data]]&lt;Metas[data_fim])),Metas[meta_mensal],0)</f>
        <v>110000</v>
      </c>
      <c r="L2245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46" spans="2:12" x14ac:dyDescent="0.3">
      <c r="B2246" s="34">
        <v>46072</v>
      </c>
      <c r="C2246" s="34" t="str">
        <f>TEXT(Metas_Diarias[[#This Row],[data]],"dddd")</f>
        <v>quinta-feira</v>
      </c>
      <c r="D2246" s="33">
        <v>3</v>
      </c>
      <c r="E2246" s="33">
        <v>3</v>
      </c>
      <c r="F2246" s="18"/>
      <c r="G2246" s="35">
        <f>WEEKDAY(Metas_Diarias[[#This Row],[data]])</f>
        <v>5</v>
      </c>
      <c r="H2246" s="35">
        <f>IF(Metas_Diarias[[#This Row],[dias_da_demana]]=1,"domingo",IF(Metas_Diarias[[#This Row],[dias_da_demana]]=7,0.5,1))</f>
        <v>1</v>
      </c>
      <c r="I2246" s="35">
        <f>_xlfn.XLOOKUP(Metas_Diarias[[#This Row],[data]],Feriados[Data],Feriados[Feriado],1)</f>
        <v>1</v>
      </c>
      <c r="J2246" s="33" cm="1">
        <f t="array" aca="1" ref="J2246" ca="1">SUMPRODUCT(IF((NOT(ISERROR(MATCH(ROW(INDIRECT(DATE(YEAR(B2246),MONTH(B2246),1)&amp;":"&amp;DATE(YEAR(B2246),MONTH(B2246)+1,0))),Feriados[Data],0))))=FALSE,
IF(WEEKDAY(ROW(INDIRECT(DATE(YEAR(B2246),MONTH(B2246),1)&amp;":"&amp;DATE(YEAR(B2246),MONTH(B2246)+1,0))),2)&lt;=5,1,IF(WEEKDAY(ROW(INDIRECT(DATE(YEAR(B2246),MONTH(B2246),1)&amp;":"&amp;DATE(YEAR(B2246),MONTH(B2246)+1,0))),2)=6,0.5,0)),0))</f>
        <v>20</v>
      </c>
      <c r="K2246" s="22" cm="1">
        <f t="array" ref="K2246">_xlfn.XLOOKUP(1,((Metas_Diarias[[#This Row],[tipo_equipe_id]]=Metas[equipe])*(Metas_Diarias[[#This Row],[data]]&gt;Metas[data_inicio])*(Metas_Diarias[[#This Row],[data]]&lt;Metas[data_fim])),Metas[meta_mensal],0)</f>
        <v>110000</v>
      </c>
      <c r="L2246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47" spans="2:12" x14ac:dyDescent="0.3">
      <c r="B2247" s="34">
        <v>46073</v>
      </c>
      <c r="C2247" s="34" t="str">
        <f>TEXT(Metas_Diarias[[#This Row],[data]],"dddd")</f>
        <v>sexta-feira</v>
      </c>
      <c r="D2247" s="33">
        <v>3</v>
      </c>
      <c r="E2247" s="33">
        <v>3</v>
      </c>
      <c r="F2247" s="18"/>
      <c r="G2247" s="35">
        <f>WEEKDAY(Metas_Diarias[[#This Row],[data]])</f>
        <v>6</v>
      </c>
      <c r="H2247" s="35">
        <f>IF(Metas_Diarias[[#This Row],[dias_da_demana]]=1,"domingo",IF(Metas_Diarias[[#This Row],[dias_da_demana]]=7,0.5,1))</f>
        <v>1</v>
      </c>
      <c r="I2247" s="35">
        <f>_xlfn.XLOOKUP(Metas_Diarias[[#This Row],[data]],Feriados[Data],Feriados[Feriado],1)</f>
        <v>1</v>
      </c>
      <c r="J2247" s="33" cm="1">
        <f t="array" aca="1" ref="J2247" ca="1">SUMPRODUCT(IF((NOT(ISERROR(MATCH(ROW(INDIRECT(DATE(YEAR(B2247),MONTH(B2247),1)&amp;":"&amp;DATE(YEAR(B2247),MONTH(B2247)+1,0))),Feriados[Data],0))))=FALSE,
IF(WEEKDAY(ROW(INDIRECT(DATE(YEAR(B2247),MONTH(B2247),1)&amp;":"&amp;DATE(YEAR(B2247),MONTH(B2247)+1,0))),2)&lt;=5,1,IF(WEEKDAY(ROW(INDIRECT(DATE(YEAR(B2247),MONTH(B2247),1)&amp;":"&amp;DATE(YEAR(B2247),MONTH(B2247)+1,0))),2)=6,0.5,0)),0))</f>
        <v>20</v>
      </c>
      <c r="K2247" s="22" cm="1">
        <f t="array" ref="K2247">_xlfn.XLOOKUP(1,((Metas_Diarias[[#This Row],[tipo_equipe_id]]=Metas[equipe])*(Metas_Diarias[[#This Row],[data]]&gt;Metas[data_inicio])*(Metas_Diarias[[#This Row],[data]]&lt;Metas[data_fim])),Metas[meta_mensal],0)</f>
        <v>110000</v>
      </c>
      <c r="L2247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48" spans="2:12" x14ac:dyDescent="0.3">
      <c r="B2248" s="34">
        <v>46074</v>
      </c>
      <c r="C2248" s="34" t="str">
        <f>TEXT(Metas_Diarias[[#This Row],[data]],"dddd")</f>
        <v>sábado</v>
      </c>
      <c r="D2248" s="33">
        <v>3</v>
      </c>
      <c r="E2248" s="33">
        <v>3</v>
      </c>
      <c r="F2248" s="18"/>
      <c r="G2248" s="35">
        <f>WEEKDAY(Metas_Diarias[[#This Row],[data]])</f>
        <v>7</v>
      </c>
      <c r="H2248" s="35">
        <f>IF(Metas_Diarias[[#This Row],[dias_da_demana]]=1,"domingo",IF(Metas_Diarias[[#This Row],[dias_da_demana]]=7,0.5,1))</f>
        <v>0.5</v>
      </c>
      <c r="I2248" s="35">
        <f>_xlfn.XLOOKUP(Metas_Diarias[[#This Row],[data]],Feriados[Data],Feriados[Feriado],1)</f>
        <v>1</v>
      </c>
      <c r="J2248" s="33" cm="1">
        <f t="array" aca="1" ref="J2248" ca="1">SUMPRODUCT(IF((NOT(ISERROR(MATCH(ROW(INDIRECT(DATE(YEAR(B2248),MONTH(B2248),1)&amp;":"&amp;DATE(YEAR(B2248),MONTH(B2248)+1,0))),Feriados[Data],0))))=FALSE,
IF(WEEKDAY(ROW(INDIRECT(DATE(YEAR(B2248),MONTH(B2248),1)&amp;":"&amp;DATE(YEAR(B2248),MONTH(B2248)+1,0))),2)&lt;=5,1,IF(WEEKDAY(ROW(INDIRECT(DATE(YEAR(B2248),MONTH(B2248),1)&amp;":"&amp;DATE(YEAR(B2248),MONTH(B2248)+1,0))),2)=6,0.5,0)),0))</f>
        <v>20</v>
      </c>
      <c r="K2248" s="22" cm="1">
        <f t="array" ref="K2248">_xlfn.XLOOKUP(1,((Metas_Diarias[[#This Row],[tipo_equipe_id]]=Metas[equipe])*(Metas_Diarias[[#This Row],[data]]&gt;Metas[data_inicio])*(Metas_Diarias[[#This Row],[data]]&lt;Metas[data_fim])),Metas[meta_mensal],0)</f>
        <v>110000</v>
      </c>
      <c r="L2248" s="24">
        <f ca="1">Metas_Diarias[[#This Row],[meta_mensal]]*IF(Metas_Diarias[[#This Row],[semana]]="domingo",0,Metas_Diarias[[#This Row],[semana]])*IF(Metas_Diarias[[#This Row],[feriado]]&lt;&gt;1,0,1)/Metas_Diarias[[#This Row],[dias_úteis_Mês]]</f>
        <v>2750</v>
      </c>
    </row>
    <row r="2249" spans="2:12" x14ac:dyDescent="0.3">
      <c r="B2249" s="34">
        <v>46075</v>
      </c>
      <c r="C2249" s="34" t="str">
        <f>TEXT(Metas_Diarias[[#This Row],[data]],"dddd")</f>
        <v>domingo</v>
      </c>
      <c r="D2249" s="33">
        <v>3</v>
      </c>
      <c r="E2249" s="33">
        <v>3</v>
      </c>
      <c r="F2249" s="18"/>
      <c r="G2249" s="35">
        <f>WEEKDAY(Metas_Diarias[[#This Row],[data]])</f>
        <v>1</v>
      </c>
      <c r="H2249" s="35" t="str">
        <f>IF(Metas_Diarias[[#This Row],[dias_da_demana]]=1,"domingo",IF(Metas_Diarias[[#This Row],[dias_da_demana]]=7,0.5,1))</f>
        <v>domingo</v>
      </c>
      <c r="I2249" s="35">
        <f>_xlfn.XLOOKUP(Metas_Diarias[[#This Row],[data]],Feriados[Data],Feriados[Feriado],1)</f>
        <v>1</v>
      </c>
      <c r="J2249" s="33" cm="1">
        <f t="array" aca="1" ref="J2249" ca="1">SUMPRODUCT(IF((NOT(ISERROR(MATCH(ROW(INDIRECT(DATE(YEAR(B2249),MONTH(B2249),1)&amp;":"&amp;DATE(YEAR(B2249),MONTH(B2249)+1,0))),Feriados[Data],0))))=FALSE,
IF(WEEKDAY(ROW(INDIRECT(DATE(YEAR(B2249),MONTH(B2249),1)&amp;":"&amp;DATE(YEAR(B2249),MONTH(B2249)+1,0))),2)&lt;=5,1,IF(WEEKDAY(ROW(INDIRECT(DATE(YEAR(B2249),MONTH(B2249),1)&amp;":"&amp;DATE(YEAR(B2249),MONTH(B2249)+1,0))),2)=6,0.5,0)),0))</f>
        <v>20</v>
      </c>
      <c r="K2249" s="22" cm="1">
        <f t="array" ref="K2249">_xlfn.XLOOKUP(1,((Metas_Diarias[[#This Row],[tipo_equipe_id]]=Metas[equipe])*(Metas_Diarias[[#This Row],[data]]&gt;Metas[data_inicio])*(Metas_Diarias[[#This Row],[data]]&lt;Metas[data_fim])),Metas[meta_mensal],0)</f>
        <v>110000</v>
      </c>
      <c r="L224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50" spans="2:12" x14ac:dyDescent="0.3">
      <c r="B2250" s="34">
        <v>46076</v>
      </c>
      <c r="C2250" s="34" t="str">
        <f>TEXT(Metas_Diarias[[#This Row],[data]],"dddd")</f>
        <v>segunda-feira</v>
      </c>
      <c r="D2250" s="33">
        <v>3</v>
      </c>
      <c r="E2250" s="33">
        <v>3</v>
      </c>
      <c r="F2250" s="18"/>
      <c r="G2250" s="35">
        <f>WEEKDAY(Metas_Diarias[[#This Row],[data]])</f>
        <v>2</v>
      </c>
      <c r="H2250" s="35">
        <f>IF(Metas_Diarias[[#This Row],[dias_da_demana]]=1,"domingo",IF(Metas_Diarias[[#This Row],[dias_da_demana]]=7,0.5,1))</f>
        <v>1</v>
      </c>
      <c r="I2250" s="35">
        <f>_xlfn.XLOOKUP(Metas_Diarias[[#This Row],[data]],Feriados[Data],Feriados[Feriado],1)</f>
        <v>1</v>
      </c>
      <c r="J2250" s="33" cm="1">
        <f t="array" aca="1" ref="J2250" ca="1">SUMPRODUCT(IF((NOT(ISERROR(MATCH(ROW(INDIRECT(DATE(YEAR(B2250),MONTH(B2250),1)&amp;":"&amp;DATE(YEAR(B2250),MONTH(B2250)+1,0))),Feriados[Data],0))))=FALSE,
IF(WEEKDAY(ROW(INDIRECT(DATE(YEAR(B2250),MONTH(B2250),1)&amp;":"&amp;DATE(YEAR(B2250),MONTH(B2250)+1,0))),2)&lt;=5,1,IF(WEEKDAY(ROW(INDIRECT(DATE(YEAR(B2250),MONTH(B2250),1)&amp;":"&amp;DATE(YEAR(B2250),MONTH(B2250)+1,0))),2)=6,0.5,0)),0))</f>
        <v>20</v>
      </c>
      <c r="K2250" s="22" cm="1">
        <f t="array" ref="K2250">_xlfn.XLOOKUP(1,((Metas_Diarias[[#This Row],[tipo_equipe_id]]=Metas[equipe])*(Metas_Diarias[[#This Row],[data]]&gt;Metas[data_inicio])*(Metas_Diarias[[#This Row],[data]]&lt;Metas[data_fim])),Metas[meta_mensal],0)</f>
        <v>110000</v>
      </c>
      <c r="L2250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51" spans="2:12" x14ac:dyDescent="0.3">
      <c r="B2251" s="34">
        <v>46077</v>
      </c>
      <c r="C2251" s="34" t="str">
        <f>TEXT(Metas_Diarias[[#This Row],[data]],"dddd")</f>
        <v>terça-feira</v>
      </c>
      <c r="D2251" s="33">
        <v>3</v>
      </c>
      <c r="E2251" s="33">
        <v>3</v>
      </c>
      <c r="F2251" s="18"/>
      <c r="G2251" s="35">
        <f>WEEKDAY(Metas_Diarias[[#This Row],[data]])</f>
        <v>3</v>
      </c>
      <c r="H2251" s="35">
        <f>IF(Metas_Diarias[[#This Row],[dias_da_demana]]=1,"domingo",IF(Metas_Diarias[[#This Row],[dias_da_demana]]=7,0.5,1))</f>
        <v>1</v>
      </c>
      <c r="I2251" s="35">
        <f>_xlfn.XLOOKUP(Metas_Diarias[[#This Row],[data]],Feriados[Data],Feriados[Feriado],1)</f>
        <v>1</v>
      </c>
      <c r="J2251" s="33" cm="1">
        <f t="array" aca="1" ref="J2251" ca="1">SUMPRODUCT(IF((NOT(ISERROR(MATCH(ROW(INDIRECT(DATE(YEAR(B2251),MONTH(B2251),1)&amp;":"&amp;DATE(YEAR(B2251),MONTH(B2251)+1,0))),Feriados[Data],0))))=FALSE,
IF(WEEKDAY(ROW(INDIRECT(DATE(YEAR(B2251),MONTH(B2251),1)&amp;":"&amp;DATE(YEAR(B2251),MONTH(B2251)+1,0))),2)&lt;=5,1,IF(WEEKDAY(ROW(INDIRECT(DATE(YEAR(B2251),MONTH(B2251),1)&amp;":"&amp;DATE(YEAR(B2251),MONTH(B2251)+1,0))),2)=6,0.5,0)),0))</f>
        <v>20</v>
      </c>
      <c r="K2251" s="22" cm="1">
        <f t="array" ref="K2251">_xlfn.XLOOKUP(1,((Metas_Diarias[[#This Row],[tipo_equipe_id]]=Metas[equipe])*(Metas_Diarias[[#This Row],[data]]&gt;Metas[data_inicio])*(Metas_Diarias[[#This Row],[data]]&lt;Metas[data_fim])),Metas[meta_mensal],0)</f>
        <v>110000</v>
      </c>
      <c r="L2251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52" spans="2:12" x14ac:dyDescent="0.3">
      <c r="B2252" s="34">
        <v>46078</v>
      </c>
      <c r="C2252" s="34" t="str">
        <f>TEXT(Metas_Diarias[[#This Row],[data]],"dddd")</f>
        <v>quarta-feira</v>
      </c>
      <c r="D2252" s="33">
        <v>3</v>
      </c>
      <c r="E2252" s="33">
        <v>3</v>
      </c>
      <c r="F2252" s="18"/>
      <c r="G2252" s="35">
        <f>WEEKDAY(Metas_Diarias[[#This Row],[data]])</f>
        <v>4</v>
      </c>
      <c r="H2252" s="35">
        <f>IF(Metas_Diarias[[#This Row],[dias_da_demana]]=1,"domingo",IF(Metas_Diarias[[#This Row],[dias_da_demana]]=7,0.5,1))</f>
        <v>1</v>
      </c>
      <c r="I2252" s="35">
        <f>_xlfn.XLOOKUP(Metas_Diarias[[#This Row],[data]],Feriados[Data],Feriados[Feriado],1)</f>
        <v>1</v>
      </c>
      <c r="J2252" s="33" cm="1">
        <f t="array" aca="1" ref="J2252" ca="1">SUMPRODUCT(IF((NOT(ISERROR(MATCH(ROW(INDIRECT(DATE(YEAR(B2252),MONTH(B2252),1)&amp;":"&amp;DATE(YEAR(B2252),MONTH(B2252)+1,0))),Feriados[Data],0))))=FALSE,
IF(WEEKDAY(ROW(INDIRECT(DATE(YEAR(B2252),MONTH(B2252),1)&amp;":"&amp;DATE(YEAR(B2252),MONTH(B2252)+1,0))),2)&lt;=5,1,IF(WEEKDAY(ROW(INDIRECT(DATE(YEAR(B2252),MONTH(B2252),1)&amp;":"&amp;DATE(YEAR(B2252),MONTH(B2252)+1,0))),2)=6,0.5,0)),0))</f>
        <v>20</v>
      </c>
      <c r="K2252" s="22" cm="1">
        <f t="array" ref="K2252">_xlfn.XLOOKUP(1,((Metas_Diarias[[#This Row],[tipo_equipe_id]]=Metas[equipe])*(Metas_Diarias[[#This Row],[data]]&gt;Metas[data_inicio])*(Metas_Diarias[[#This Row],[data]]&lt;Metas[data_fim])),Metas[meta_mensal],0)</f>
        <v>110000</v>
      </c>
      <c r="L2252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53" spans="2:12" x14ac:dyDescent="0.3">
      <c r="B2253" s="34">
        <v>46079</v>
      </c>
      <c r="C2253" s="34" t="str">
        <f>TEXT(Metas_Diarias[[#This Row],[data]],"dddd")</f>
        <v>quinta-feira</v>
      </c>
      <c r="D2253" s="33">
        <v>3</v>
      </c>
      <c r="E2253" s="33">
        <v>3</v>
      </c>
      <c r="F2253" s="18"/>
      <c r="G2253" s="35">
        <f>WEEKDAY(Metas_Diarias[[#This Row],[data]])</f>
        <v>5</v>
      </c>
      <c r="H2253" s="35">
        <f>IF(Metas_Diarias[[#This Row],[dias_da_demana]]=1,"domingo",IF(Metas_Diarias[[#This Row],[dias_da_demana]]=7,0.5,1))</f>
        <v>1</v>
      </c>
      <c r="I2253" s="35">
        <f>_xlfn.XLOOKUP(Metas_Diarias[[#This Row],[data]],Feriados[Data],Feriados[Feriado],1)</f>
        <v>1</v>
      </c>
      <c r="J2253" s="33" cm="1">
        <f t="array" aca="1" ref="J2253" ca="1">SUMPRODUCT(IF((NOT(ISERROR(MATCH(ROW(INDIRECT(DATE(YEAR(B2253),MONTH(B2253),1)&amp;":"&amp;DATE(YEAR(B2253),MONTH(B2253)+1,0))),Feriados[Data],0))))=FALSE,
IF(WEEKDAY(ROW(INDIRECT(DATE(YEAR(B2253),MONTH(B2253),1)&amp;":"&amp;DATE(YEAR(B2253),MONTH(B2253)+1,0))),2)&lt;=5,1,IF(WEEKDAY(ROW(INDIRECT(DATE(YEAR(B2253),MONTH(B2253),1)&amp;":"&amp;DATE(YEAR(B2253),MONTH(B2253)+1,0))),2)=6,0.5,0)),0))</f>
        <v>20</v>
      </c>
      <c r="K2253" s="22" cm="1">
        <f t="array" ref="K2253">_xlfn.XLOOKUP(1,((Metas_Diarias[[#This Row],[tipo_equipe_id]]=Metas[equipe])*(Metas_Diarias[[#This Row],[data]]&gt;Metas[data_inicio])*(Metas_Diarias[[#This Row],[data]]&lt;Metas[data_fim])),Metas[meta_mensal],0)</f>
        <v>110000</v>
      </c>
      <c r="L2253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54" spans="2:12" x14ac:dyDescent="0.3">
      <c r="B2254" s="34">
        <v>46080</v>
      </c>
      <c r="C2254" s="34" t="str">
        <f>TEXT(Metas_Diarias[[#This Row],[data]],"dddd")</f>
        <v>sexta-feira</v>
      </c>
      <c r="D2254" s="33">
        <v>3</v>
      </c>
      <c r="E2254" s="33">
        <v>3</v>
      </c>
      <c r="F2254" s="18"/>
      <c r="G2254" s="35">
        <f>WEEKDAY(Metas_Diarias[[#This Row],[data]])</f>
        <v>6</v>
      </c>
      <c r="H2254" s="35">
        <f>IF(Metas_Diarias[[#This Row],[dias_da_demana]]=1,"domingo",IF(Metas_Diarias[[#This Row],[dias_da_demana]]=7,0.5,1))</f>
        <v>1</v>
      </c>
      <c r="I2254" s="35">
        <f>_xlfn.XLOOKUP(Metas_Diarias[[#This Row],[data]],Feriados[Data],Feriados[Feriado],1)</f>
        <v>1</v>
      </c>
      <c r="J2254" s="33" cm="1">
        <f t="array" aca="1" ref="J2254" ca="1">SUMPRODUCT(IF((NOT(ISERROR(MATCH(ROW(INDIRECT(DATE(YEAR(B2254),MONTH(B2254),1)&amp;":"&amp;DATE(YEAR(B2254),MONTH(B2254)+1,0))),Feriados[Data],0))))=FALSE,
IF(WEEKDAY(ROW(INDIRECT(DATE(YEAR(B2254),MONTH(B2254),1)&amp;":"&amp;DATE(YEAR(B2254),MONTH(B2254)+1,0))),2)&lt;=5,1,IF(WEEKDAY(ROW(INDIRECT(DATE(YEAR(B2254),MONTH(B2254),1)&amp;":"&amp;DATE(YEAR(B2254),MONTH(B2254)+1,0))),2)=6,0.5,0)),0))</f>
        <v>20</v>
      </c>
      <c r="K2254" s="22" cm="1">
        <f t="array" ref="K2254">_xlfn.XLOOKUP(1,((Metas_Diarias[[#This Row],[tipo_equipe_id]]=Metas[equipe])*(Metas_Diarias[[#This Row],[data]]&gt;Metas[data_inicio])*(Metas_Diarias[[#This Row],[data]]&lt;Metas[data_fim])),Metas[meta_mensal],0)</f>
        <v>110000</v>
      </c>
      <c r="L2254" s="24">
        <f ca="1">Metas_Diarias[[#This Row],[meta_mensal]]*IF(Metas_Diarias[[#This Row],[semana]]="domingo",0,Metas_Diarias[[#This Row],[semana]])*IF(Metas_Diarias[[#This Row],[feriado]]&lt;&gt;1,0,1)/Metas_Diarias[[#This Row],[dias_úteis_Mês]]</f>
        <v>5500</v>
      </c>
    </row>
    <row r="2255" spans="2:12" x14ac:dyDescent="0.3">
      <c r="B2255" s="34">
        <v>46081</v>
      </c>
      <c r="C2255" s="34" t="str">
        <f>TEXT(Metas_Diarias[[#This Row],[data]],"dddd")</f>
        <v>sábado</v>
      </c>
      <c r="D2255" s="33">
        <v>3</v>
      </c>
      <c r="E2255" s="33">
        <v>3</v>
      </c>
      <c r="F2255" s="18"/>
      <c r="G2255" s="35">
        <f>WEEKDAY(Metas_Diarias[[#This Row],[data]])</f>
        <v>7</v>
      </c>
      <c r="H2255" s="35">
        <f>IF(Metas_Diarias[[#This Row],[dias_da_demana]]=1,"domingo",IF(Metas_Diarias[[#This Row],[dias_da_demana]]=7,0.5,1))</f>
        <v>0.5</v>
      </c>
      <c r="I2255" s="35">
        <f>_xlfn.XLOOKUP(Metas_Diarias[[#This Row],[data]],Feriados[Data],Feriados[Feriado],1)</f>
        <v>1</v>
      </c>
      <c r="J2255" s="33" cm="1">
        <f t="array" aca="1" ref="J2255" ca="1">SUMPRODUCT(IF((NOT(ISERROR(MATCH(ROW(INDIRECT(DATE(YEAR(B2255),MONTH(B2255),1)&amp;":"&amp;DATE(YEAR(B2255),MONTH(B2255)+1,0))),Feriados[Data],0))))=FALSE,
IF(WEEKDAY(ROW(INDIRECT(DATE(YEAR(B2255),MONTH(B2255),1)&amp;":"&amp;DATE(YEAR(B2255),MONTH(B2255)+1,0))),2)&lt;=5,1,IF(WEEKDAY(ROW(INDIRECT(DATE(YEAR(B2255),MONTH(B2255),1)&amp;":"&amp;DATE(YEAR(B2255),MONTH(B2255)+1,0))),2)=6,0.5,0)),0))</f>
        <v>20</v>
      </c>
      <c r="K2255" s="22" cm="1">
        <f t="array" ref="K2255">_xlfn.XLOOKUP(1,((Metas_Diarias[[#This Row],[tipo_equipe_id]]=Metas[equipe])*(Metas_Diarias[[#This Row],[data]]&gt;Metas[data_inicio])*(Metas_Diarias[[#This Row],[data]]&lt;Metas[data_fim])),Metas[meta_mensal],0)</f>
        <v>110000</v>
      </c>
      <c r="L2255" s="24">
        <f ca="1">Metas_Diarias[[#This Row],[meta_mensal]]*IF(Metas_Diarias[[#This Row],[semana]]="domingo",0,Metas_Diarias[[#This Row],[semana]])*IF(Metas_Diarias[[#This Row],[feriado]]&lt;&gt;1,0,1)/Metas_Diarias[[#This Row],[dias_úteis_Mês]]</f>
        <v>2750</v>
      </c>
    </row>
    <row r="2256" spans="2:12" x14ac:dyDescent="0.3">
      <c r="B2256" s="34">
        <v>46082</v>
      </c>
      <c r="C2256" s="34" t="str">
        <f>TEXT(Metas_Diarias[[#This Row],[data]],"dddd")</f>
        <v>domingo</v>
      </c>
      <c r="D2256" s="33">
        <v>3</v>
      </c>
      <c r="E2256" s="33">
        <v>3</v>
      </c>
      <c r="F2256" s="18"/>
      <c r="G2256" s="35">
        <f>WEEKDAY(Metas_Diarias[[#This Row],[data]])</f>
        <v>1</v>
      </c>
      <c r="H2256" s="35" t="str">
        <f>IF(Metas_Diarias[[#This Row],[dias_da_demana]]=1,"domingo",IF(Metas_Diarias[[#This Row],[dias_da_demana]]=7,0.5,1))</f>
        <v>domingo</v>
      </c>
      <c r="I2256" s="35">
        <f>_xlfn.XLOOKUP(Metas_Diarias[[#This Row],[data]],Feriados[Data],Feriados[Feriado],1)</f>
        <v>1</v>
      </c>
      <c r="J2256" s="33" cm="1">
        <f t="array" aca="1" ref="J2256" ca="1">SUMPRODUCT(IF((NOT(ISERROR(MATCH(ROW(INDIRECT(DATE(YEAR(B2256),MONTH(B2256),1)&amp;":"&amp;DATE(YEAR(B2256),MONTH(B2256)+1,0))),Feriados[Data],0))))=FALSE,
IF(WEEKDAY(ROW(INDIRECT(DATE(YEAR(B2256),MONTH(B2256),1)&amp;":"&amp;DATE(YEAR(B2256),MONTH(B2256)+1,0))),2)&lt;=5,1,IF(WEEKDAY(ROW(INDIRECT(DATE(YEAR(B2256),MONTH(B2256),1)&amp;":"&amp;DATE(YEAR(B2256),MONTH(B2256)+1,0))),2)=6,0.5,0)),0))</f>
        <v>24</v>
      </c>
      <c r="K2256" s="22" cm="1">
        <f t="array" ref="K2256">_xlfn.XLOOKUP(1,((Metas_Diarias[[#This Row],[tipo_equipe_id]]=Metas[equipe])*(Metas_Diarias[[#This Row],[data]]&gt;Metas[data_inicio])*(Metas_Diarias[[#This Row],[data]]&lt;Metas[data_fim])),Metas[meta_mensal],0)</f>
        <v>110000</v>
      </c>
      <c r="L225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57" spans="2:12" x14ac:dyDescent="0.3">
      <c r="B2257" s="34">
        <v>46083</v>
      </c>
      <c r="C2257" s="34" t="str">
        <f>TEXT(Metas_Diarias[[#This Row],[data]],"dddd")</f>
        <v>segunda-feira</v>
      </c>
      <c r="D2257" s="33">
        <v>3</v>
      </c>
      <c r="E2257" s="33">
        <v>3</v>
      </c>
      <c r="F2257" s="18"/>
      <c r="G2257" s="35">
        <f>WEEKDAY(Metas_Diarias[[#This Row],[data]])</f>
        <v>2</v>
      </c>
      <c r="H2257" s="35">
        <f>IF(Metas_Diarias[[#This Row],[dias_da_demana]]=1,"domingo",IF(Metas_Diarias[[#This Row],[dias_da_demana]]=7,0.5,1))</f>
        <v>1</v>
      </c>
      <c r="I2257" s="35">
        <f>_xlfn.XLOOKUP(Metas_Diarias[[#This Row],[data]],Feriados[Data],Feriados[Feriado],1)</f>
        <v>1</v>
      </c>
      <c r="J2257" s="33" cm="1">
        <f t="array" aca="1" ref="J2257" ca="1">SUMPRODUCT(IF((NOT(ISERROR(MATCH(ROW(INDIRECT(DATE(YEAR(B2257),MONTH(B2257),1)&amp;":"&amp;DATE(YEAR(B2257),MONTH(B2257)+1,0))),Feriados[Data],0))))=FALSE,
IF(WEEKDAY(ROW(INDIRECT(DATE(YEAR(B2257),MONTH(B2257),1)&amp;":"&amp;DATE(YEAR(B2257),MONTH(B2257)+1,0))),2)&lt;=5,1,IF(WEEKDAY(ROW(INDIRECT(DATE(YEAR(B2257),MONTH(B2257),1)&amp;":"&amp;DATE(YEAR(B2257),MONTH(B2257)+1,0))),2)=6,0.5,0)),0))</f>
        <v>24</v>
      </c>
      <c r="K2257" s="22" cm="1">
        <f t="array" ref="K2257">_xlfn.XLOOKUP(1,((Metas_Diarias[[#This Row],[tipo_equipe_id]]=Metas[equipe])*(Metas_Diarias[[#This Row],[data]]&gt;Metas[data_inicio])*(Metas_Diarias[[#This Row],[data]]&lt;Metas[data_fim])),Metas[meta_mensal],0)</f>
        <v>110000</v>
      </c>
      <c r="L225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58" spans="2:12" x14ac:dyDescent="0.3">
      <c r="B2258" s="34">
        <v>46084</v>
      </c>
      <c r="C2258" s="34" t="str">
        <f>TEXT(Metas_Diarias[[#This Row],[data]],"dddd")</f>
        <v>terça-feira</v>
      </c>
      <c r="D2258" s="33">
        <v>3</v>
      </c>
      <c r="E2258" s="33">
        <v>3</v>
      </c>
      <c r="F2258" s="18"/>
      <c r="G2258" s="35">
        <f>WEEKDAY(Metas_Diarias[[#This Row],[data]])</f>
        <v>3</v>
      </c>
      <c r="H2258" s="35">
        <f>IF(Metas_Diarias[[#This Row],[dias_da_demana]]=1,"domingo",IF(Metas_Diarias[[#This Row],[dias_da_demana]]=7,0.5,1))</f>
        <v>1</v>
      </c>
      <c r="I2258" s="35">
        <f>_xlfn.XLOOKUP(Metas_Diarias[[#This Row],[data]],Feriados[Data],Feriados[Feriado],1)</f>
        <v>1</v>
      </c>
      <c r="J2258" s="33" cm="1">
        <f t="array" aca="1" ref="J2258" ca="1">SUMPRODUCT(IF((NOT(ISERROR(MATCH(ROW(INDIRECT(DATE(YEAR(B2258),MONTH(B2258),1)&amp;":"&amp;DATE(YEAR(B2258),MONTH(B2258)+1,0))),Feriados[Data],0))))=FALSE,
IF(WEEKDAY(ROW(INDIRECT(DATE(YEAR(B2258),MONTH(B2258),1)&amp;":"&amp;DATE(YEAR(B2258),MONTH(B2258)+1,0))),2)&lt;=5,1,IF(WEEKDAY(ROW(INDIRECT(DATE(YEAR(B2258),MONTH(B2258),1)&amp;":"&amp;DATE(YEAR(B2258),MONTH(B2258)+1,0))),2)=6,0.5,0)),0))</f>
        <v>24</v>
      </c>
      <c r="K2258" s="22" cm="1">
        <f t="array" ref="K2258">_xlfn.XLOOKUP(1,((Metas_Diarias[[#This Row],[tipo_equipe_id]]=Metas[equipe])*(Metas_Diarias[[#This Row],[data]]&gt;Metas[data_inicio])*(Metas_Diarias[[#This Row],[data]]&lt;Metas[data_fim])),Metas[meta_mensal],0)</f>
        <v>110000</v>
      </c>
      <c r="L225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59" spans="2:12" x14ac:dyDescent="0.3">
      <c r="B2259" s="34">
        <v>46085</v>
      </c>
      <c r="C2259" s="34" t="str">
        <f>TEXT(Metas_Diarias[[#This Row],[data]],"dddd")</f>
        <v>quarta-feira</v>
      </c>
      <c r="D2259" s="33">
        <v>3</v>
      </c>
      <c r="E2259" s="33">
        <v>3</v>
      </c>
      <c r="F2259" s="18"/>
      <c r="G2259" s="35">
        <f>WEEKDAY(Metas_Diarias[[#This Row],[data]])</f>
        <v>4</v>
      </c>
      <c r="H2259" s="35">
        <f>IF(Metas_Diarias[[#This Row],[dias_da_demana]]=1,"domingo",IF(Metas_Diarias[[#This Row],[dias_da_demana]]=7,0.5,1))</f>
        <v>1</v>
      </c>
      <c r="I2259" s="35">
        <f>_xlfn.XLOOKUP(Metas_Diarias[[#This Row],[data]],Feriados[Data],Feriados[Feriado],1)</f>
        <v>1</v>
      </c>
      <c r="J2259" s="33" cm="1">
        <f t="array" aca="1" ref="J2259" ca="1">SUMPRODUCT(IF((NOT(ISERROR(MATCH(ROW(INDIRECT(DATE(YEAR(B2259),MONTH(B2259),1)&amp;":"&amp;DATE(YEAR(B2259),MONTH(B2259)+1,0))),Feriados[Data],0))))=FALSE,
IF(WEEKDAY(ROW(INDIRECT(DATE(YEAR(B2259),MONTH(B2259),1)&amp;":"&amp;DATE(YEAR(B2259),MONTH(B2259)+1,0))),2)&lt;=5,1,IF(WEEKDAY(ROW(INDIRECT(DATE(YEAR(B2259),MONTH(B2259),1)&amp;":"&amp;DATE(YEAR(B2259),MONTH(B2259)+1,0))),2)=6,0.5,0)),0))</f>
        <v>24</v>
      </c>
      <c r="K2259" s="22" cm="1">
        <f t="array" ref="K2259">_xlfn.XLOOKUP(1,((Metas_Diarias[[#This Row],[tipo_equipe_id]]=Metas[equipe])*(Metas_Diarias[[#This Row],[data]]&gt;Metas[data_inicio])*(Metas_Diarias[[#This Row],[data]]&lt;Metas[data_fim])),Metas[meta_mensal],0)</f>
        <v>110000</v>
      </c>
      <c r="L2259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60" spans="2:12" x14ac:dyDescent="0.3">
      <c r="B2260" s="34">
        <v>46086</v>
      </c>
      <c r="C2260" s="34" t="str">
        <f>TEXT(Metas_Diarias[[#This Row],[data]],"dddd")</f>
        <v>quinta-feira</v>
      </c>
      <c r="D2260" s="33">
        <v>3</v>
      </c>
      <c r="E2260" s="33">
        <v>3</v>
      </c>
      <c r="F2260" s="18"/>
      <c r="G2260" s="35">
        <f>WEEKDAY(Metas_Diarias[[#This Row],[data]])</f>
        <v>5</v>
      </c>
      <c r="H2260" s="35">
        <f>IF(Metas_Diarias[[#This Row],[dias_da_demana]]=1,"domingo",IF(Metas_Diarias[[#This Row],[dias_da_demana]]=7,0.5,1))</f>
        <v>1</v>
      </c>
      <c r="I2260" s="35">
        <f>_xlfn.XLOOKUP(Metas_Diarias[[#This Row],[data]],Feriados[Data],Feriados[Feriado],1)</f>
        <v>1</v>
      </c>
      <c r="J2260" s="33" cm="1">
        <f t="array" aca="1" ref="J2260" ca="1">SUMPRODUCT(IF((NOT(ISERROR(MATCH(ROW(INDIRECT(DATE(YEAR(B2260),MONTH(B2260),1)&amp;":"&amp;DATE(YEAR(B2260),MONTH(B2260)+1,0))),Feriados[Data],0))))=FALSE,
IF(WEEKDAY(ROW(INDIRECT(DATE(YEAR(B2260),MONTH(B2260),1)&amp;":"&amp;DATE(YEAR(B2260),MONTH(B2260)+1,0))),2)&lt;=5,1,IF(WEEKDAY(ROW(INDIRECT(DATE(YEAR(B2260),MONTH(B2260),1)&amp;":"&amp;DATE(YEAR(B2260),MONTH(B2260)+1,0))),2)=6,0.5,0)),0))</f>
        <v>24</v>
      </c>
      <c r="K2260" s="22" cm="1">
        <f t="array" ref="K2260">_xlfn.XLOOKUP(1,((Metas_Diarias[[#This Row],[tipo_equipe_id]]=Metas[equipe])*(Metas_Diarias[[#This Row],[data]]&gt;Metas[data_inicio])*(Metas_Diarias[[#This Row],[data]]&lt;Metas[data_fim])),Metas[meta_mensal],0)</f>
        <v>110000</v>
      </c>
      <c r="L226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61" spans="2:12" x14ac:dyDescent="0.3">
      <c r="B2261" s="34">
        <v>46087</v>
      </c>
      <c r="C2261" s="34" t="str">
        <f>TEXT(Metas_Diarias[[#This Row],[data]],"dddd")</f>
        <v>sexta-feira</v>
      </c>
      <c r="D2261" s="33">
        <v>3</v>
      </c>
      <c r="E2261" s="33">
        <v>3</v>
      </c>
      <c r="F2261" s="18"/>
      <c r="G2261" s="35">
        <f>WEEKDAY(Metas_Diarias[[#This Row],[data]])</f>
        <v>6</v>
      </c>
      <c r="H2261" s="35">
        <f>IF(Metas_Diarias[[#This Row],[dias_da_demana]]=1,"domingo",IF(Metas_Diarias[[#This Row],[dias_da_demana]]=7,0.5,1))</f>
        <v>1</v>
      </c>
      <c r="I2261" s="35">
        <f>_xlfn.XLOOKUP(Metas_Diarias[[#This Row],[data]],Feriados[Data],Feriados[Feriado],1)</f>
        <v>1</v>
      </c>
      <c r="J2261" s="33" cm="1">
        <f t="array" aca="1" ref="J2261" ca="1">SUMPRODUCT(IF((NOT(ISERROR(MATCH(ROW(INDIRECT(DATE(YEAR(B2261),MONTH(B2261),1)&amp;":"&amp;DATE(YEAR(B2261),MONTH(B2261)+1,0))),Feriados[Data],0))))=FALSE,
IF(WEEKDAY(ROW(INDIRECT(DATE(YEAR(B2261),MONTH(B2261),1)&amp;":"&amp;DATE(YEAR(B2261),MONTH(B2261)+1,0))),2)&lt;=5,1,IF(WEEKDAY(ROW(INDIRECT(DATE(YEAR(B2261),MONTH(B2261),1)&amp;":"&amp;DATE(YEAR(B2261),MONTH(B2261)+1,0))),2)=6,0.5,0)),0))</f>
        <v>24</v>
      </c>
      <c r="K2261" s="22" cm="1">
        <f t="array" ref="K2261">_xlfn.XLOOKUP(1,((Metas_Diarias[[#This Row],[tipo_equipe_id]]=Metas[equipe])*(Metas_Diarias[[#This Row],[data]]&gt;Metas[data_inicio])*(Metas_Diarias[[#This Row],[data]]&lt;Metas[data_fim])),Metas[meta_mensal],0)</f>
        <v>110000</v>
      </c>
      <c r="L226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62" spans="2:12" x14ac:dyDescent="0.3">
      <c r="B2262" s="34">
        <v>46088</v>
      </c>
      <c r="C2262" s="34" t="str">
        <f>TEXT(Metas_Diarias[[#This Row],[data]],"dddd")</f>
        <v>sábado</v>
      </c>
      <c r="D2262" s="33">
        <v>3</v>
      </c>
      <c r="E2262" s="33">
        <v>3</v>
      </c>
      <c r="F2262" s="18"/>
      <c r="G2262" s="35">
        <f>WEEKDAY(Metas_Diarias[[#This Row],[data]])</f>
        <v>7</v>
      </c>
      <c r="H2262" s="35">
        <f>IF(Metas_Diarias[[#This Row],[dias_da_demana]]=1,"domingo",IF(Metas_Diarias[[#This Row],[dias_da_demana]]=7,0.5,1))</f>
        <v>0.5</v>
      </c>
      <c r="I2262" s="35">
        <f>_xlfn.XLOOKUP(Metas_Diarias[[#This Row],[data]],Feriados[Data],Feriados[Feriado],1)</f>
        <v>1</v>
      </c>
      <c r="J2262" s="33" cm="1">
        <f t="array" aca="1" ref="J2262" ca="1">SUMPRODUCT(IF((NOT(ISERROR(MATCH(ROW(INDIRECT(DATE(YEAR(B2262),MONTH(B2262),1)&amp;":"&amp;DATE(YEAR(B2262),MONTH(B2262)+1,0))),Feriados[Data],0))))=FALSE,
IF(WEEKDAY(ROW(INDIRECT(DATE(YEAR(B2262),MONTH(B2262),1)&amp;":"&amp;DATE(YEAR(B2262),MONTH(B2262)+1,0))),2)&lt;=5,1,IF(WEEKDAY(ROW(INDIRECT(DATE(YEAR(B2262),MONTH(B2262),1)&amp;":"&amp;DATE(YEAR(B2262),MONTH(B2262)+1,0))),2)=6,0.5,0)),0))</f>
        <v>24</v>
      </c>
      <c r="K2262" s="22" cm="1">
        <f t="array" ref="K2262">_xlfn.XLOOKUP(1,((Metas_Diarias[[#This Row],[tipo_equipe_id]]=Metas[equipe])*(Metas_Diarias[[#This Row],[data]]&gt;Metas[data_inicio])*(Metas_Diarias[[#This Row],[data]]&lt;Metas[data_fim])),Metas[meta_mensal],0)</f>
        <v>110000</v>
      </c>
      <c r="L2262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2263" spans="2:12" x14ac:dyDescent="0.3">
      <c r="B2263" s="34">
        <v>46089</v>
      </c>
      <c r="C2263" s="34" t="str">
        <f>TEXT(Metas_Diarias[[#This Row],[data]],"dddd")</f>
        <v>domingo</v>
      </c>
      <c r="D2263" s="33">
        <v>3</v>
      </c>
      <c r="E2263" s="33">
        <v>3</v>
      </c>
      <c r="F2263" s="18"/>
      <c r="G2263" s="35">
        <f>WEEKDAY(Metas_Diarias[[#This Row],[data]])</f>
        <v>1</v>
      </c>
      <c r="H2263" s="35" t="str">
        <f>IF(Metas_Diarias[[#This Row],[dias_da_demana]]=1,"domingo",IF(Metas_Diarias[[#This Row],[dias_da_demana]]=7,0.5,1))</f>
        <v>domingo</v>
      </c>
      <c r="I2263" s="35">
        <f>_xlfn.XLOOKUP(Metas_Diarias[[#This Row],[data]],Feriados[Data],Feriados[Feriado],1)</f>
        <v>1</v>
      </c>
      <c r="J2263" s="33" cm="1">
        <f t="array" aca="1" ref="J2263" ca="1">SUMPRODUCT(IF((NOT(ISERROR(MATCH(ROW(INDIRECT(DATE(YEAR(B2263),MONTH(B2263),1)&amp;":"&amp;DATE(YEAR(B2263),MONTH(B2263)+1,0))),Feriados[Data],0))))=FALSE,
IF(WEEKDAY(ROW(INDIRECT(DATE(YEAR(B2263),MONTH(B2263),1)&amp;":"&amp;DATE(YEAR(B2263),MONTH(B2263)+1,0))),2)&lt;=5,1,IF(WEEKDAY(ROW(INDIRECT(DATE(YEAR(B2263),MONTH(B2263),1)&amp;":"&amp;DATE(YEAR(B2263),MONTH(B2263)+1,0))),2)=6,0.5,0)),0))</f>
        <v>24</v>
      </c>
      <c r="K2263" s="22" cm="1">
        <f t="array" ref="K2263">_xlfn.XLOOKUP(1,((Metas_Diarias[[#This Row],[tipo_equipe_id]]=Metas[equipe])*(Metas_Diarias[[#This Row],[data]]&gt;Metas[data_inicio])*(Metas_Diarias[[#This Row],[data]]&lt;Metas[data_fim])),Metas[meta_mensal],0)</f>
        <v>110000</v>
      </c>
      <c r="L226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64" spans="2:12" x14ac:dyDescent="0.3">
      <c r="B2264" s="34">
        <v>46090</v>
      </c>
      <c r="C2264" s="34" t="str">
        <f>TEXT(Metas_Diarias[[#This Row],[data]],"dddd")</f>
        <v>segunda-feira</v>
      </c>
      <c r="D2264" s="33">
        <v>3</v>
      </c>
      <c r="E2264" s="33">
        <v>3</v>
      </c>
      <c r="F2264" s="18"/>
      <c r="G2264" s="35">
        <f>WEEKDAY(Metas_Diarias[[#This Row],[data]])</f>
        <v>2</v>
      </c>
      <c r="H2264" s="35">
        <f>IF(Metas_Diarias[[#This Row],[dias_da_demana]]=1,"domingo",IF(Metas_Diarias[[#This Row],[dias_da_demana]]=7,0.5,1))</f>
        <v>1</v>
      </c>
      <c r="I2264" s="35">
        <f>_xlfn.XLOOKUP(Metas_Diarias[[#This Row],[data]],Feriados[Data],Feriados[Feriado],1)</f>
        <v>1</v>
      </c>
      <c r="J2264" s="33" cm="1">
        <f t="array" aca="1" ref="J2264" ca="1">SUMPRODUCT(IF((NOT(ISERROR(MATCH(ROW(INDIRECT(DATE(YEAR(B2264),MONTH(B2264),1)&amp;":"&amp;DATE(YEAR(B2264),MONTH(B2264)+1,0))),Feriados[Data],0))))=FALSE,
IF(WEEKDAY(ROW(INDIRECT(DATE(YEAR(B2264),MONTH(B2264),1)&amp;":"&amp;DATE(YEAR(B2264),MONTH(B2264)+1,0))),2)&lt;=5,1,IF(WEEKDAY(ROW(INDIRECT(DATE(YEAR(B2264),MONTH(B2264),1)&amp;":"&amp;DATE(YEAR(B2264),MONTH(B2264)+1,0))),2)=6,0.5,0)),0))</f>
        <v>24</v>
      </c>
      <c r="K2264" s="22" cm="1">
        <f t="array" ref="K2264">_xlfn.XLOOKUP(1,((Metas_Diarias[[#This Row],[tipo_equipe_id]]=Metas[equipe])*(Metas_Diarias[[#This Row],[data]]&gt;Metas[data_inicio])*(Metas_Diarias[[#This Row],[data]]&lt;Metas[data_fim])),Metas[meta_mensal],0)</f>
        <v>110000</v>
      </c>
      <c r="L226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65" spans="2:12" x14ac:dyDescent="0.3">
      <c r="B2265" s="34">
        <v>46091</v>
      </c>
      <c r="C2265" s="34" t="str">
        <f>TEXT(Metas_Diarias[[#This Row],[data]],"dddd")</f>
        <v>terça-feira</v>
      </c>
      <c r="D2265" s="33">
        <v>3</v>
      </c>
      <c r="E2265" s="33">
        <v>3</v>
      </c>
      <c r="F2265" s="18"/>
      <c r="G2265" s="35">
        <f>WEEKDAY(Metas_Diarias[[#This Row],[data]])</f>
        <v>3</v>
      </c>
      <c r="H2265" s="35">
        <f>IF(Metas_Diarias[[#This Row],[dias_da_demana]]=1,"domingo",IF(Metas_Diarias[[#This Row],[dias_da_demana]]=7,0.5,1))</f>
        <v>1</v>
      </c>
      <c r="I2265" s="35">
        <f>_xlfn.XLOOKUP(Metas_Diarias[[#This Row],[data]],Feriados[Data],Feriados[Feriado],1)</f>
        <v>1</v>
      </c>
      <c r="J2265" s="33" cm="1">
        <f t="array" aca="1" ref="J2265" ca="1">SUMPRODUCT(IF((NOT(ISERROR(MATCH(ROW(INDIRECT(DATE(YEAR(B2265),MONTH(B2265),1)&amp;":"&amp;DATE(YEAR(B2265),MONTH(B2265)+1,0))),Feriados[Data],0))))=FALSE,
IF(WEEKDAY(ROW(INDIRECT(DATE(YEAR(B2265),MONTH(B2265),1)&amp;":"&amp;DATE(YEAR(B2265),MONTH(B2265)+1,0))),2)&lt;=5,1,IF(WEEKDAY(ROW(INDIRECT(DATE(YEAR(B2265),MONTH(B2265),1)&amp;":"&amp;DATE(YEAR(B2265),MONTH(B2265)+1,0))),2)=6,0.5,0)),0))</f>
        <v>24</v>
      </c>
      <c r="K2265" s="22" cm="1">
        <f t="array" ref="K2265">_xlfn.XLOOKUP(1,((Metas_Diarias[[#This Row],[tipo_equipe_id]]=Metas[equipe])*(Metas_Diarias[[#This Row],[data]]&gt;Metas[data_inicio])*(Metas_Diarias[[#This Row],[data]]&lt;Metas[data_fim])),Metas[meta_mensal],0)</f>
        <v>110000</v>
      </c>
      <c r="L226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66" spans="2:12" x14ac:dyDescent="0.3">
      <c r="B2266" s="34">
        <v>46092</v>
      </c>
      <c r="C2266" s="34" t="str">
        <f>TEXT(Metas_Diarias[[#This Row],[data]],"dddd")</f>
        <v>quarta-feira</v>
      </c>
      <c r="D2266" s="33">
        <v>3</v>
      </c>
      <c r="E2266" s="33">
        <v>3</v>
      </c>
      <c r="F2266" s="18"/>
      <c r="G2266" s="35">
        <f>WEEKDAY(Metas_Diarias[[#This Row],[data]])</f>
        <v>4</v>
      </c>
      <c r="H2266" s="35">
        <f>IF(Metas_Diarias[[#This Row],[dias_da_demana]]=1,"domingo",IF(Metas_Diarias[[#This Row],[dias_da_demana]]=7,0.5,1))</f>
        <v>1</v>
      </c>
      <c r="I2266" s="35">
        <f>_xlfn.XLOOKUP(Metas_Diarias[[#This Row],[data]],Feriados[Data],Feriados[Feriado],1)</f>
        <v>1</v>
      </c>
      <c r="J2266" s="33" cm="1">
        <f t="array" aca="1" ref="J2266" ca="1">SUMPRODUCT(IF((NOT(ISERROR(MATCH(ROW(INDIRECT(DATE(YEAR(B2266),MONTH(B2266),1)&amp;":"&amp;DATE(YEAR(B2266),MONTH(B2266)+1,0))),Feriados[Data],0))))=FALSE,
IF(WEEKDAY(ROW(INDIRECT(DATE(YEAR(B2266),MONTH(B2266),1)&amp;":"&amp;DATE(YEAR(B2266),MONTH(B2266)+1,0))),2)&lt;=5,1,IF(WEEKDAY(ROW(INDIRECT(DATE(YEAR(B2266),MONTH(B2266),1)&amp;":"&amp;DATE(YEAR(B2266),MONTH(B2266)+1,0))),2)=6,0.5,0)),0))</f>
        <v>24</v>
      </c>
      <c r="K2266" s="22" cm="1">
        <f t="array" ref="K2266">_xlfn.XLOOKUP(1,((Metas_Diarias[[#This Row],[tipo_equipe_id]]=Metas[equipe])*(Metas_Diarias[[#This Row],[data]]&gt;Metas[data_inicio])*(Metas_Diarias[[#This Row],[data]]&lt;Metas[data_fim])),Metas[meta_mensal],0)</f>
        <v>110000</v>
      </c>
      <c r="L2266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67" spans="2:12" x14ac:dyDescent="0.3">
      <c r="B2267" s="34">
        <v>46093</v>
      </c>
      <c r="C2267" s="34" t="str">
        <f>TEXT(Metas_Diarias[[#This Row],[data]],"dddd")</f>
        <v>quinta-feira</v>
      </c>
      <c r="D2267" s="33">
        <v>3</v>
      </c>
      <c r="E2267" s="33">
        <v>3</v>
      </c>
      <c r="F2267" s="18"/>
      <c r="G2267" s="35">
        <f>WEEKDAY(Metas_Diarias[[#This Row],[data]])</f>
        <v>5</v>
      </c>
      <c r="H2267" s="35">
        <f>IF(Metas_Diarias[[#This Row],[dias_da_demana]]=1,"domingo",IF(Metas_Diarias[[#This Row],[dias_da_demana]]=7,0.5,1))</f>
        <v>1</v>
      </c>
      <c r="I2267" s="35">
        <f>_xlfn.XLOOKUP(Metas_Diarias[[#This Row],[data]],Feriados[Data],Feriados[Feriado],1)</f>
        <v>1</v>
      </c>
      <c r="J2267" s="33" cm="1">
        <f t="array" aca="1" ref="J2267" ca="1">SUMPRODUCT(IF((NOT(ISERROR(MATCH(ROW(INDIRECT(DATE(YEAR(B2267),MONTH(B2267),1)&amp;":"&amp;DATE(YEAR(B2267),MONTH(B2267)+1,0))),Feriados[Data],0))))=FALSE,
IF(WEEKDAY(ROW(INDIRECT(DATE(YEAR(B2267),MONTH(B2267),1)&amp;":"&amp;DATE(YEAR(B2267),MONTH(B2267)+1,0))),2)&lt;=5,1,IF(WEEKDAY(ROW(INDIRECT(DATE(YEAR(B2267),MONTH(B2267),1)&amp;":"&amp;DATE(YEAR(B2267),MONTH(B2267)+1,0))),2)=6,0.5,0)),0))</f>
        <v>24</v>
      </c>
      <c r="K2267" s="22" cm="1">
        <f t="array" ref="K2267">_xlfn.XLOOKUP(1,((Metas_Diarias[[#This Row],[tipo_equipe_id]]=Metas[equipe])*(Metas_Diarias[[#This Row],[data]]&gt;Metas[data_inicio])*(Metas_Diarias[[#This Row],[data]]&lt;Metas[data_fim])),Metas[meta_mensal],0)</f>
        <v>110000</v>
      </c>
      <c r="L226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68" spans="2:12" x14ac:dyDescent="0.3">
      <c r="B2268" s="34">
        <v>46094</v>
      </c>
      <c r="C2268" s="34" t="str">
        <f>TEXT(Metas_Diarias[[#This Row],[data]],"dddd")</f>
        <v>sexta-feira</v>
      </c>
      <c r="D2268" s="33">
        <v>3</v>
      </c>
      <c r="E2268" s="33">
        <v>3</v>
      </c>
      <c r="F2268" s="18"/>
      <c r="G2268" s="35">
        <f>WEEKDAY(Metas_Diarias[[#This Row],[data]])</f>
        <v>6</v>
      </c>
      <c r="H2268" s="35">
        <f>IF(Metas_Diarias[[#This Row],[dias_da_demana]]=1,"domingo",IF(Metas_Diarias[[#This Row],[dias_da_demana]]=7,0.5,1))</f>
        <v>1</v>
      </c>
      <c r="I2268" s="35">
        <f>_xlfn.XLOOKUP(Metas_Diarias[[#This Row],[data]],Feriados[Data],Feriados[Feriado],1)</f>
        <v>1</v>
      </c>
      <c r="J2268" s="33" cm="1">
        <f t="array" aca="1" ref="J2268" ca="1">SUMPRODUCT(IF((NOT(ISERROR(MATCH(ROW(INDIRECT(DATE(YEAR(B2268),MONTH(B2268),1)&amp;":"&amp;DATE(YEAR(B2268),MONTH(B2268)+1,0))),Feriados[Data],0))))=FALSE,
IF(WEEKDAY(ROW(INDIRECT(DATE(YEAR(B2268),MONTH(B2268),1)&amp;":"&amp;DATE(YEAR(B2268),MONTH(B2268)+1,0))),2)&lt;=5,1,IF(WEEKDAY(ROW(INDIRECT(DATE(YEAR(B2268),MONTH(B2268),1)&amp;":"&amp;DATE(YEAR(B2268),MONTH(B2268)+1,0))),2)=6,0.5,0)),0))</f>
        <v>24</v>
      </c>
      <c r="K2268" s="22" cm="1">
        <f t="array" ref="K2268">_xlfn.XLOOKUP(1,((Metas_Diarias[[#This Row],[tipo_equipe_id]]=Metas[equipe])*(Metas_Diarias[[#This Row],[data]]&gt;Metas[data_inicio])*(Metas_Diarias[[#This Row],[data]]&lt;Metas[data_fim])),Metas[meta_mensal],0)</f>
        <v>110000</v>
      </c>
      <c r="L226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69" spans="2:12" x14ac:dyDescent="0.3">
      <c r="B2269" s="34">
        <v>46095</v>
      </c>
      <c r="C2269" s="34" t="str">
        <f>TEXT(Metas_Diarias[[#This Row],[data]],"dddd")</f>
        <v>sábado</v>
      </c>
      <c r="D2269" s="33">
        <v>3</v>
      </c>
      <c r="E2269" s="33">
        <v>3</v>
      </c>
      <c r="F2269" s="18"/>
      <c r="G2269" s="35">
        <f>WEEKDAY(Metas_Diarias[[#This Row],[data]])</f>
        <v>7</v>
      </c>
      <c r="H2269" s="35">
        <f>IF(Metas_Diarias[[#This Row],[dias_da_demana]]=1,"domingo",IF(Metas_Diarias[[#This Row],[dias_da_demana]]=7,0.5,1))</f>
        <v>0.5</v>
      </c>
      <c r="I2269" s="35">
        <f>_xlfn.XLOOKUP(Metas_Diarias[[#This Row],[data]],Feriados[Data],Feriados[Feriado],1)</f>
        <v>1</v>
      </c>
      <c r="J2269" s="33" cm="1">
        <f t="array" aca="1" ref="J2269" ca="1">SUMPRODUCT(IF((NOT(ISERROR(MATCH(ROW(INDIRECT(DATE(YEAR(B2269),MONTH(B2269),1)&amp;":"&amp;DATE(YEAR(B2269),MONTH(B2269)+1,0))),Feriados[Data],0))))=FALSE,
IF(WEEKDAY(ROW(INDIRECT(DATE(YEAR(B2269),MONTH(B2269),1)&amp;":"&amp;DATE(YEAR(B2269),MONTH(B2269)+1,0))),2)&lt;=5,1,IF(WEEKDAY(ROW(INDIRECT(DATE(YEAR(B2269),MONTH(B2269),1)&amp;":"&amp;DATE(YEAR(B2269),MONTH(B2269)+1,0))),2)=6,0.5,0)),0))</f>
        <v>24</v>
      </c>
      <c r="K2269" s="22" cm="1">
        <f t="array" ref="K2269">_xlfn.XLOOKUP(1,((Metas_Diarias[[#This Row],[tipo_equipe_id]]=Metas[equipe])*(Metas_Diarias[[#This Row],[data]]&gt;Metas[data_inicio])*(Metas_Diarias[[#This Row],[data]]&lt;Metas[data_fim])),Metas[meta_mensal],0)</f>
        <v>110000</v>
      </c>
      <c r="L2269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2270" spans="2:12" x14ac:dyDescent="0.3">
      <c r="B2270" s="34">
        <v>46096</v>
      </c>
      <c r="C2270" s="34" t="str">
        <f>TEXT(Metas_Diarias[[#This Row],[data]],"dddd")</f>
        <v>domingo</v>
      </c>
      <c r="D2270" s="33">
        <v>3</v>
      </c>
      <c r="E2270" s="33">
        <v>3</v>
      </c>
      <c r="F2270" s="18"/>
      <c r="G2270" s="35">
        <f>WEEKDAY(Metas_Diarias[[#This Row],[data]])</f>
        <v>1</v>
      </c>
      <c r="H2270" s="35" t="str">
        <f>IF(Metas_Diarias[[#This Row],[dias_da_demana]]=1,"domingo",IF(Metas_Diarias[[#This Row],[dias_da_demana]]=7,0.5,1))</f>
        <v>domingo</v>
      </c>
      <c r="I2270" s="35">
        <f>_xlfn.XLOOKUP(Metas_Diarias[[#This Row],[data]],Feriados[Data],Feriados[Feriado],1)</f>
        <v>1</v>
      </c>
      <c r="J2270" s="33" cm="1">
        <f t="array" aca="1" ref="J2270" ca="1">SUMPRODUCT(IF((NOT(ISERROR(MATCH(ROW(INDIRECT(DATE(YEAR(B2270),MONTH(B2270),1)&amp;":"&amp;DATE(YEAR(B2270),MONTH(B2270)+1,0))),Feriados[Data],0))))=FALSE,
IF(WEEKDAY(ROW(INDIRECT(DATE(YEAR(B2270),MONTH(B2270),1)&amp;":"&amp;DATE(YEAR(B2270),MONTH(B2270)+1,0))),2)&lt;=5,1,IF(WEEKDAY(ROW(INDIRECT(DATE(YEAR(B2270),MONTH(B2270),1)&amp;":"&amp;DATE(YEAR(B2270),MONTH(B2270)+1,0))),2)=6,0.5,0)),0))</f>
        <v>24</v>
      </c>
      <c r="K2270" s="22" cm="1">
        <f t="array" ref="K2270">_xlfn.XLOOKUP(1,((Metas_Diarias[[#This Row],[tipo_equipe_id]]=Metas[equipe])*(Metas_Diarias[[#This Row],[data]]&gt;Metas[data_inicio])*(Metas_Diarias[[#This Row],[data]]&lt;Metas[data_fim])),Metas[meta_mensal],0)</f>
        <v>110000</v>
      </c>
      <c r="L22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71" spans="2:12" x14ac:dyDescent="0.3">
      <c r="B2271" s="34">
        <v>46097</v>
      </c>
      <c r="C2271" s="34" t="str">
        <f>TEXT(Metas_Diarias[[#This Row],[data]],"dddd")</f>
        <v>segunda-feira</v>
      </c>
      <c r="D2271" s="33">
        <v>3</v>
      </c>
      <c r="E2271" s="33">
        <v>3</v>
      </c>
      <c r="F2271" s="18"/>
      <c r="G2271" s="35">
        <f>WEEKDAY(Metas_Diarias[[#This Row],[data]])</f>
        <v>2</v>
      </c>
      <c r="H2271" s="35">
        <f>IF(Metas_Diarias[[#This Row],[dias_da_demana]]=1,"domingo",IF(Metas_Diarias[[#This Row],[dias_da_demana]]=7,0.5,1))</f>
        <v>1</v>
      </c>
      <c r="I2271" s="35">
        <f>_xlfn.XLOOKUP(Metas_Diarias[[#This Row],[data]],Feriados[Data],Feriados[Feriado],1)</f>
        <v>1</v>
      </c>
      <c r="J2271" s="33" cm="1">
        <f t="array" aca="1" ref="J2271" ca="1">SUMPRODUCT(IF((NOT(ISERROR(MATCH(ROW(INDIRECT(DATE(YEAR(B2271),MONTH(B2271),1)&amp;":"&amp;DATE(YEAR(B2271),MONTH(B2271)+1,0))),Feriados[Data],0))))=FALSE,
IF(WEEKDAY(ROW(INDIRECT(DATE(YEAR(B2271),MONTH(B2271),1)&amp;":"&amp;DATE(YEAR(B2271),MONTH(B2271)+1,0))),2)&lt;=5,1,IF(WEEKDAY(ROW(INDIRECT(DATE(YEAR(B2271),MONTH(B2271),1)&amp;":"&amp;DATE(YEAR(B2271),MONTH(B2271)+1,0))),2)=6,0.5,0)),0))</f>
        <v>24</v>
      </c>
      <c r="K2271" s="22" cm="1">
        <f t="array" ref="K2271">_xlfn.XLOOKUP(1,((Metas_Diarias[[#This Row],[tipo_equipe_id]]=Metas[equipe])*(Metas_Diarias[[#This Row],[data]]&gt;Metas[data_inicio])*(Metas_Diarias[[#This Row],[data]]&lt;Metas[data_fim])),Metas[meta_mensal],0)</f>
        <v>110000</v>
      </c>
      <c r="L227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72" spans="2:12" x14ac:dyDescent="0.3">
      <c r="B2272" s="34">
        <v>46098</v>
      </c>
      <c r="C2272" s="34" t="str">
        <f>TEXT(Metas_Diarias[[#This Row],[data]],"dddd")</f>
        <v>terça-feira</v>
      </c>
      <c r="D2272" s="33">
        <v>3</v>
      </c>
      <c r="E2272" s="33">
        <v>3</v>
      </c>
      <c r="F2272" s="18"/>
      <c r="G2272" s="35">
        <f>WEEKDAY(Metas_Diarias[[#This Row],[data]])</f>
        <v>3</v>
      </c>
      <c r="H2272" s="35">
        <f>IF(Metas_Diarias[[#This Row],[dias_da_demana]]=1,"domingo",IF(Metas_Diarias[[#This Row],[dias_da_demana]]=7,0.5,1))</f>
        <v>1</v>
      </c>
      <c r="I2272" s="35">
        <f>_xlfn.XLOOKUP(Metas_Diarias[[#This Row],[data]],Feriados[Data],Feriados[Feriado],1)</f>
        <v>1</v>
      </c>
      <c r="J2272" s="33" cm="1">
        <f t="array" aca="1" ref="J2272" ca="1">SUMPRODUCT(IF((NOT(ISERROR(MATCH(ROW(INDIRECT(DATE(YEAR(B2272),MONTH(B2272),1)&amp;":"&amp;DATE(YEAR(B2272),MONTH(B2272)+1,0))),Feriados[Data],0))))=FALSE,
IF(WEEKDAY(ROW(INDIRECT(DATE(YEAR(B2272),MONTH(B2272),1)&amp;":"&amp;DATE(YEAR(B2272),MONTH(B2272)+1,0))),2)&lt;=5,1,IF(WEEKDAY(ROW(INDIRECT(DATE(YEAR(B2272),MONTH(B2272),1)&amp;":"&amp;DATE(YEAR(B2272),MONTH(B2272)+1,0))),2)=6,0.5,0)),0))</f>
        <v>24</v>
      </c>
      <c r="K2272" s="22" cm="1">
        <f t="array" ref="K2272">_xlfn.XLOOKUP(1,((Metas_Diarias[[#This Row],[tipo_equipe_id]]=Metas[equipe])*(Metas_Diarias[[#This Row],[data]]&gt;Metas[data_inicio])*(Metas_Diarias[[#This Row],[data]]&lt;Metas[data_fim])),Metas[meta_mensal],0)</f>
        <v>110000</v>
      </c>
      <c r="L2272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73" spans="2:12" x14ac:dyDescent="0.3">
      <c r="B2273" s="34">
        <v>46099</v>
      </c>
      <c r="C2273" s="34" t="str">
        <f>TEXT(Metas_Diarias[[#This Row],[data]],"dddd")</f>
        <v>quarta-feira</v>
      </c>
      <c r="D2273" s="33">
        <v>3</v>
      </c>
      <c r="E2273" s="33">
        <v>3</v>
      </c>
      <c r="F2273" s="18"/>
      <c r="G2273" s="35">
        <f>WEEKDAY(Metas_Diarias[[#This Row],[data]])</f>
        <v>4</v>
      </c>
      <c r="H2273" s="35">
        <f>IF(Metas_Diarias[[#This Row],[dias_da_demana]]=1,"domingo",IF(Metas_Diarias[[#This Row],[dias_da_demana]]=7,0.5,1))</f>
        <v>1</v>
      </c>
      <c r="I2273" s="35">
        <f>_xlfn.XLOOKUP(Metas_Diarias[[#This Row],[data]],Feriados[Data],Feriados[Feriado],1)</f>
        <v>1</v>
      </c>
      <c r="J2273" s="33" cm="1">
        <f t="array" aca="1" ref="J2273" ca="1">SUMPRODUCT(IF((NOT(ISERROR(MATCH(ROW(INDIRECT(DATE(YEAR(B2273),MONTH(B2273),1)&amp;":"&amp;DATE(YEAR(B2273),MONTH(B2273)+1,0))),Feriados[Data],0))))=FALSE,
IF(WEEKDAY(ROW(INDIRECT(DATE(YEAR(B2273),MONTH(B2273),1)&amp;":"&amp;DATE(YEAR(B2273),MONTH(B2273)+1,0))),2)&lt;=5,1,IF(WEEKDAY(ROW(INDIRECT(DATE(YEAR(B2273),MONTH(B2273),1)&amp;":"&amp;DATE(YEAR(B2273),MONTH(B2273)+1,0))),2)=6,0.5,0)),0))</f>
        <v>24</v>
      </c>
      <c r="K2273" s="22" cm="1">
        <f t="array" ref="K2273">_xlfn.XLOOKUP(1,((Metas_Diarias[[#This Row],[tipo_equipe_id]]=Metas[equipe])*(Metas_Diarias[[#This Row],[data]]&gt;Metas[data_inicio])*(Metas_Diarias[[#This Row],[data]]&lt;Metas[data_fim])),Metas[meta_mensal],0)</f>
        <v>110000</v>
      </c>
      <c r="L2273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74" spans="2:12" x14ac:dyDescent="0.3">
      <c r="B2274" s="34">
        <v>46100</v>
      </c>
      <c r="C2274" s="34" t="str">
        <f>TEXT(Metas_Diarias[[#This Row],[data]],"dddd")</f>
        <v>quinta-feira</v>
      </c>
      <c r="D2274" s="33">
        <v>3</v>
      </c>
      <c r="E2274" s="33">
        <v>3</v>
      </c>
      <c r="F2274" s="18"/>
      <c r="G2274" s="35">
        <f>WEEKDAY(Metas_Diarias[[#This Row],[data]])</f>
        <v>5</v>
      </c>
      <c r="H2274" s="35">
        <f>IF(Metas_Diarias[[#This Row],[dias_da_demana]]=1,"domingo",IF(Metas_Diarias[[#This Row],[dias_da_demana]]=7,0.5,1))</f>
        <v>1</v>
      </c>
      <c r="I2274" s="35">
        <f>_xlfn.XLOOKUP(Metas_Diarias[[#This Row],[data]],Feriados[Data],Feriados[Feriado],1)</f>
        <v>1</v>
      </c>
      <c r="J2274" s="33" cm="1">
        <f t="array" aca="1" ref="J2274" ca="1">SUMPRODUCT(IF((NOT(ISERROR(MATCH(ROW(INDIRECT(DATE(YEAR(B2274),MONTH(B2274),1)&amp;":"&amp;DATE(YEAR(B2274),MONTH(B2274)+1,0))),Feriados[Data],0))))=FALSE,
IF(WEEKDAY(ROW(INDIRECT(DATE(YEAR(B2274),MONTH(B2274),1)&amp;":"&amp;DATE(YEAR(B2274),MONTH(B2274)+1,0))),2)&lt;=5,1,IF(WEEKDAY(ROW(INDIRECT(DATE(YEAR(B2274),MONTH(B2274),1)&amp;":"&amp;DATE(YEAR(B2274),MONTH(B2274)+1,0))),2)=6,0.5,0)),0))</f>
        <v>24</v>
      </c>
      <c r="K2274" s="22" cm="1">
        <f t="array" ref="K2274">_xlfn.XLOOKUP(1,((Metas_Diarias[[#This Row],[tipo_equipe_id]]=Metas[equipe])*(Metas_Diarias[[#This Row],[data]]&gt;Metas[data_inicio])*(Metas_Diarias[[#This Row],[data]]&lt;Metas[data_fim])),Metas[meta_mensal],0)</f>
        <v>110000</v>
      </c>
      <c r="L227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75" spans="2:12" x14ac:dyDescent="0.3">
      <c r="B2275" s="34">
        <v>46101</v>
      </c>
      <c r="C2275" s="34" t="str">
        <f>TEXT(Metas_Diarias[[#This Row],[data]],"dddd")</f>
        <v>sexta-feira</v>
      </c>
      <c r="D2275" s="33">
        <v>3</v>
      </c>
      <c r="E2275" s="33">
        <v>3</v>
      </c>
      <c r="F2275" s="18"/>
      <c r="G2275" s="35">
        <f>WEEKDAY(Metas_Diarias[[#This Row],[data]])</f>
        <v>6</v>
      </c>
      <c r="H2275" s="35">
        <f>IF(Metas_Diarias[[#This Row],[dias_da_demana]]=1,"domingo",IF(Metas_Diarias[[#This Row],[dias_da_demana]]=7,0.5,1))</f>
        <v>1</v>
      </c>
      <c r="I2275" s="35">
        <f>_xlfn.XLOOKUP(Metas_Diarias[[#This Row],[data]],Feriados[Data],Feriados[Feriado],1)</f>
        <v>1</v>
      </c>
      <c r="J2275" s="33" cm="1">
        <f t="array" aca="1" ref="J2275" ca="1">SUMPRODUCT(IF((NOT(ISERROR(MATCH(ROW(INDIRECT(DATE(YEAR(B2275),MONTH(B2275),1)&amp;":"&amp;DATE(YEAR(B2275),MONTH(B2275)+1,0))),Feriados[Data],0))))=FALSE,
IF(WEEKDAY(ROW(INDIRECT(DATE(YEAR(B2275),MONTH(B2275),1)&amp;":"&amp;DATE(YEAR(B2275),MONTH(B2275)+1,0))),2)&lt;=5,1,IF(WEEKDAY(ROW(INDIRECT(DATE(YEAR(B2275),MONTH(B2275),1)&amp;":"&amp;DATE(YEAR(B2275),MONTH(B2275)+1,0))),2)=6,0.5,0)),0))</f>
        <v>24</v>
      </c>
      <c r="K2275" s="22" cm="1">
        <f t="array" ref="K2275">_xlfn.XLOOKUP(1,((Metas_Diarias[[#This Row],[tipo_equipe_id]]=Metas[equipe])*(Metas_Diarias[[#This Row],[data]]&gt;Metas[data_inicio])*(Metas_Diarias[[#This Row],[data]]&lt;Metas[data_fim])),Metas[meta_mensal],0)</f>
        <v>110000</v>
      </c>
      <c r="L227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76" spans="2:12" x14ac:dyDescent="0.3">
      <c r="B2276" s="34">
        <v>46102</v>
      </c>
      <c r="C2276" s="34" t="str">
        <f>TEXT(Metas_Diarias[[#This Row],[data]],"dddd")</f>
        <v>sábado</v>
      </c>
      <c r="D2276" s="33">
        <v>3</v>
      </c>
      <c r="E2276" s="33">
        <v>3</v>
      </c>
      <c r="F2276" s="18"/>
      <c r="G2276" s="35">
        <f>WEEKDAY(Metas_Diarias[[#This Row],[data]])</f>
        <v>7</v>
      </c>
      <c r="H2276" s="35">
        <f>IF(Metas_Diarias[[#This Row],[dias_da_demana]]=1,"domingo",IF(Metas_Diarias[[#This Row],[dias_da_demana]]=7,0.5,1))</f>
        <v>0.5</v>
      </c>
      <c r="I2276" s="35">
        <f>_xlfn.XLOOKUP(Metas_Diarias[[#This Row],[data]],Feriados[Data],Feriados[Feriado],1)</f>
        <v>1</v>
      </c>
      <c r="J2276" s="33" cm="1">
        <f t="array" aca="1" ref="J2276" ca="1">SUMPRODUCT(IF((NOT(ISERROR(MATCH(ROW(INDIRECT(DATE(YEAR(B2276),MONTH(B2276),1)&amp;":"&amp;DATE(YEAR(B2276),MONTH(B2276)+1,0))),Feriados[Data],0))))=FALSE,
IF(WEEKDAY(ROW(INDIRECT(DATE(YEAR(B2276),MONTH(B2276),1)&amp;":"&amp;DATE(YEAR(B2276),MONTH(B2276)+1,0))),2)&lt;=5,1,IF(WEEKDAY(ROW(INDIRECT(DATE(YEAR(B2276),MONTH(B2276),1)&amp;":"&amp;DATE(YEAR(B2276),MONTH(B2276)+1,0))),2)=6,0.5,0)),0))</f>
        <v>24</v>
      </c>
      <c r="K2276" s="22" cm="1">
        <f t="array" ref="K2276">_xlfn.XLOOKUP(1,((Metas_Diarias[[#This Row],[tipo_equipe_id]]=Metas[equipe])*(Metas_Diarias[[#This Row],[data]]&gt;Metas[data_inicio])*(Metas_Diarias[[#This Row],[data]]&lt;Metas[data_fim])),Metas[meta_mensal],0)</f>
        <v>110000</v>
      </c>
      <c r="L2276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2277" spans="2:12" x14ac:dyDescent="0.3">
      <c r="B2277" s="34">
        <v>46103</v>
      </c>
      <c r="C2277" s="34" t="str">
        <f>TEXT(Metas_Diarias[[#This Row],[data]],"dddd")</f>
        <v>domingo</v>
      </c>
      <c r="D2277" s="33">
        <v>3</v>
      </c>
      <c r="E2277" s="33">
        <v>3</v>
      </c>
      <c r="F2277" s="18"/>
      <c r="G2277" s="35">
        <f>WEEKDAY(Metas_Diarias[[#This Row],[data]])</f>
        <v>1</v>
      </c>
      <c r="H2277" s="35" t="str">
        <f>IF(Metas_Diarias[[#This Row],[dias_da_demana]]=1,"domingo",IF(Metas_Diarias[[#This Row],[dias_da_demana]]=7,0.5,1))</f>
        <v>domingo</v>
      </c>
      <c r="I2277" s="35">
        <f>_xlfn.XLOOKUP(Metas_Diarias[[#This Row],[data]],Feriados[Data],Feriados[Feriado],1)</f>
        <v>1</v>
      </c>
      <c r="J2277" s="33" cm="1">
        <f t="array" aca="1" ref="J2277" ca="1">SUMPRODUCT(IF((NOT(ISERROR(MATCH(ROW(INDIRECT(DATE(YEAR(B2277),MONTH(B2277),1)&amp;":"&amp;DATE(YEAR(B2277),MONTH(B2277)+1,0))),Feriados[Data],0))))=FALSE,
IF(WEEKDAY(ROW(INDIRECT(DATE(YEAR(B2277),MONTH(B2277),1)&amp;":"&amp;DATE(YEAR(B2277),MONTH(B2277)+1,0))),2)&lt;=5,1,IF(WEEKDAY(ROW(INDIRECT(DATE(YEAR(B2277),MONTH(B2277),1)&amp;":"&amp;DATE(YEAR(B2277),MONTH(B2277)+1,0))),2)=6,0.5,0)),0))</f>
        <v>24</v>
      </c>
      <c r="K2277" s="22" cm="1">
        <f t="array" ref="K2277">_xlfn.XLOOKUP(1,((Metas_Diarias[[#This Row],[tipo_equipe_id]]=Metas[equipe])*(Metas_Diarias[[#This Row],[data]]&gt;Metas[data_inicio])*(Metas_Diarias[[#This Row],[data]]&lt;Metas[data_fim])),Metas[meta_mensal],0)</f>
        <v>110000</v>
      </c>
      <c r="L22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78" spans="2:12" x14ac:dyDescent="0.3">
      <c r="B2278" s="34">
        <v>46104</v>
      </c>
      <c r="C2278" s="34" t="str">
        <f>TEXT(Metas_Diarias[[#This Row],[data]],"dddd")</f>
        <v>segunda-feira</v>
      </c>
      <c r="D2278" s="33">
        <v>3</v>
      </c>
      <c r="E2278" s="33">
        <v>3</v>
      </c>
      <c r="F2278" s="18"/>
      <c r="G2278" s="35">
        <f>WEEKDAY(Metas_Diarias[[#This Row],[data]])</f>
        <v>2</v>
      </c>
      <c r="H2278" s="35">
        <f>IF(Metas_Diarias[[#This Row],[dias_da_demana]]=1,"domingo",IF(Metas_Diarias[[#This Row],[dias_da_demana]]=7,0.5,1))</f>
        <v>1</v>
      </c>
      <c r="I2278" s="35">
        <f>_xlfn.XLOOKUP(Metas_Diarias[[#This Row],[data]],Feriados[Data],Feriados[Feriado],1)</f>
        <v>1</v>
      </c>
      <c r="J2278" s="33" cm="1">
        <f t="array" aca="1" ref="J2278" ca="1">SUMPRODUCT(IF((NOT(ISERROR(MATCH(ROW(INDIRECT(DATE(YEAR(B2278),MONTH(B2278),1)&amp;":"&amp;DATE(YEAR(B2278),MONTH(B2278)+1,0))),Feriados[Data],0))))=FALSE,
IF(WEEKDAY(ROW(INDIRECT(DATE(YEAR(B2278),MONTH(B2278),1)&amp;":"&amp;DATE(YEAR(B2278),MONTH(B2278)+1,0))),2)&lt;=5,1,IF(WEEKDAY(ROW(INDIRECT(DATE(YEAR(B2278),MONTH(B2278),1)&amp;":"&amp;DATE(YEAR(B2278),MONTH(B2278)+1,0))),2)=6,0.5,0)),0))</f>
        <v>24</v>
      </c>
      <c r="K2278" s="22" cm="1">
        <f t="array" ref="K2278">_xlfn.XLOOKUP(1,((Metas_Diarias[[#This Row],[tipo_equipe_id]]=Metas[equipe])*(Metas_Diarias[[#This Row],[data]]&gt;Metas[data_inicio])*(Metas_Diarias[[#This Row],[data]]&lt;Metas[data_fim])),Metas[meta_mensal],0)</f>
        <v>110000</v>
      </c>
      <c r="L227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79" spans="2:12" x14ac:dyDescent="0.3">
      <c r="B2279" s="34">
        <v>46105</v>
      </c>
      <c r="C2279" s="34" t="str">
        <f>TEXT(Metas_Diarias[[#This Row],[data]],"dddd")</f>
        <v>terça-feira</v>
      </c>
      <c r="D2279" s="33">
        <v>3</v>
      </c>
      <c r="E2279" s="33">
        <v>3</v>
      </c>
      <c r="F2279" s="18"/>
      <c r="G2279" s="35">
        <f>WEEKDAY(Metas_Diarias[[#This Row],[data]])</f>
        <v>3</v>
      </c>
      <c r="H2279" s="35">
        <f>IF(Metas_Diarias[[#This Row],[dias_da_demana]]=1,"domingo",IF(Metas_Diarias[[#This Row],[dias_da_demana]]=7,0.5,1))</f>
        <v>1</v>
      </c>
      <c r="I2279" s="35">
        <f>_xlfn.XLOOKUP(Metas_Diarias[[#This Row],[data]],Feriados[Data],Feriados[Feriado],1)</f>
        <v>1</v>
      </c>
      <c r="J2279" s="33" cm="1">
        <f t="array" aca="1" ref="J2279" ca="1">SUMPRODUCT(IF((NOT(ISERROR(MATCH(ROW(INDIRECT(DATE(YEAR(B2279),MONTH(B2279),1)&amp;":"&amp;DATE(YEAR(B2279),MONTH(B2279)+1,0))),Feriados[Data],0))))=FALSE,
IF(WEEKDAY(ROW(INDIRECT(DATE(YEAR(B2279),MONTH(B2279),1)&amp;":"&amp;DATE(YEAR(B2279),MONTH(B2279)+1,0))),2)&lt;=5,1,IF(WEEKDAY(ROW(INDIRECT(DATE(YEAR(B2279),MONTH(B2279),1)&amp;":"&amp;DATE(YEAR(B2279),MONTH(B2279)+1,0))),2)=6,0.5,0)),0))</f>
        <v>24</v>
      </c>
      <c r="K2279" s="22" cm="1">
        <f t="array" ref="K2279">_xlfn.XLOOKUP(1,((Metas_Diarias[[#This Row],[tipo_equipe_id]]=Metas[equipe])*(Metas_Diarias[[#This Row],[data]]&gt;Metas[data_inicio])*(Metas_Diarias[[#This Row],[data]]&lt;Metas[data_fim])),Metas[meta_mensal],0)</f>
        <v>110000</v>
      </c>
      <c r="L2279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80" spans="2:12" x14ac:dyDescent="0.3">
      <c r="B2280" s="34">
        <v>46106</v>
      </c>
      <c r="C2280" s="34" t="str">
        <f>TEXT(Metas_Diarias[[#This Row],[data]],"dddd")</f>
        <v>quarta-feira</v>
      </c>
      <c r="D2280" s="33">
        <v>3</v>
      </c>
      <c r="E2280" s="33">
        <v>3</v>
      </c>
      <c r="F2280" s="18"/>
      <c r="G2280" s="35">
        <f>WEEKDAY(Metas_Diarias[[#This Row],[data]])</f>
        <v>4</v>
      </c>
      <c r="H2280" s="35">
        <f>IF(Metas_Diarias[[#This Row],[dias_da_demana]]=1,"domingo",IF(Metas_Diarias[[#This Row],[dias_da_demana]]=7,0.5,1))</f>
        <v>1</v>
      </c>
      <c r="I2280" s="35">
        <f>_xlfn.XLOOKUP(Metas_Diarias[[#This Row],[data]],Feriados[Data],Feriados[Feriado],1)</f>
        <v>1</v>
      </c>
      <c r="J2280" s="33" cm="1">
        <f t="array" aca="1" ref="J2280" ca="1">SUMPRODUCT(IF((NOT(ISERROR(MATCH(ROW(INDIRECT(DATE(YEAR(B2280),MONTH(B2280),1)&amp;":"&amp;DATE(YEAR(B2280),MONTH(B2280)+1,0))),Feriados[Data],0))))=FALSE,
IF(WEEKDAY(ROW(INDIRECT(DATE(YEAR(B2280),MONTH(B2280),1)&amp;":"&amp;DATE(YEAR(B2280),MONTH(B2280)+1,0))),2)&lt;=5,1,IF(WEEKDAY(ROW(INDIRECT(DATE(YEAR(B2280),MONTH(B2280),1)&amp;":"&amp;DATE(YEAR(B2280),MONTH(B2280)+1,0))),2)=6,0.5,0)),0))</f>
        <v>24</v>
      </c>
      <c r="K2280" s="22" cm="1">
        <f t="array" ref="K2280">_xlfn.XLOOKUP(1,((Metas_Diarias[[#This Row],[tipo_equipe_id]]=Metas[equipe])*(Metas_Diarias[[#This Row],[data]]&gt;Metas[data_inicio])*(Metas_Diarias[[#This Row],[data]]&lt;Metas[data_fim])),Metas[meta_mensal],0)</f>
        <v>110000</v>
      </c>
      <c r="L228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81" spans="2:12" x14ac:dyDescent="0.3">
      <c r="B2281" s="34">
        <v>46107</v>
      </c>
      <c r="C2281" s="34" t="str">
        <f>TEXT(Metas_Diarias[[#This Row],[data]],"dddd")</f>
        <v>quinta-feira</v>
      </c>
      <c r="D2281" s="33">
        <v>3</v>
      </c>
      <c r="E2281" s="33">
        <v>3</v>
      </c>
      <c r="F2281" s="18"/>
      <c r="G2281" s="35">
        <f>WEEKDAY(Metas_Diarias[[#This Row],[data]])</f>
        <v>5</v>
      </c>
      <c r="H2281" s="35">
        <f>IF(Metas_Diarias[[#This Row],[dias_da_demana]]=1,"domingo",IF(Metas_Diarias[[#This Row],[dias_da_demana]]=7,0.5,1))</f>
        <v>1</v>
      </c>
      <c r="I2281" s="35">
        <f>_xlfn.XLOOKUP(Metas_Diarias[[#This Row],[data]],Feriados[Data],Feriados[Feriado],1)</f>
        <v>1</v>
      </c>
      <c r="J2281" s="33" cm="1">
        <f t="array" aca="1" ref="J2281" ca="1">SUMPRODUCT(IF((NOT(ISERROR(MATCH(ROW(INDIRECT(DATE(YEAR(B2281),MONTH(B2281),1)&amp;":"&amp;DATE(YEAR(B2281),MONTH(B2281)+1,0))),Feriados[Data],0))))=FALSE,
IF(WEEKDAY(ROW(INDIRECT(DATE(YEAR(B2281),MONTH(B2281),1)&amp;":"&amp;DATE(YEAR(B2281),MONTH(B2281)+1,0))),2)&lt;=5,1,IF(WEEKDAY(ROW(INDIRECT(DATE(YEAR(B2281),MONTH(B2281),1)&amp;":"&amp;DATE(YEAR(B2281),MONTH(B2281)+1,0))),2)=6,0.5,0)),0))</f>
        <v>24</v>
      </c>
      <c r="K2281" s="22" cm="1">
        <f t="array" ref="K2281">_xlfn.XLOOKUP(1,((Metas_Diarias[[#This Row],[tipo_equipe_id]]=Metas[equipe])*(Metas_Diarias[[#This Row],[data]]&gt;Metas[data_inicio])*(Metas_Diarias[[#This Row],[data]]&lt;Metas[data_fim])),Metas[meta_mensal],0)</f>
        <v>110000</v>
      </c>
      <c r="L228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82" spans="2:12" x14ac:dyDescent="0.3">
      <c r="B2282" s="34">
        <v>46108</v>
      </c>
      <c r="C2282" s="34" t="str">
        <f>TEXT(Metas_Diarias[[#This Row],[data]],"dddd")</f>
        <v>sexta-feira</v>
      </c>
      <c r="D2282" s="33">
        <v>3</v>
      </c>
      <c r="E2282" s="33">
        <v>3</v>
      </c>
      <c r="F2282" s="18"/>
      <c r="G2282" s="35">
        <f>WEEKDAY(Metas_Diarias[[#This Row],[data]])</f>
        <v>6</v>
      </c>
      <c r="H2282" s="35">
        <f>IF(Metas_Diarias[[#This Row],[dias_da_demana]]=1,"domingo",IF(Metas_Diarias[[#This Row],[dias_da_demana]]=7,0.5,1))</f>
        <v>1</v>
      </c>
      <c r="I2282" s="35">
        <f>_xlfn.XLOOKUP(Metas_Diarias[[#This Row],[data]],Feriados[Data],Feriados[Feriado],1)</f>
        <v>1</v>
      </c>
      <c r="J2282" s="33" cm="1">
        <f t="array" aca="1" ref="J2282" ca="1">SUMPRODUCT(IF((NOT(ISERROR(MATCH(ROW(INDIRECT(DATE(YEAR(B2282),MONTH(B2282),1)&amp;":"&amp;DATE(YEAR(B2282),MONTH(B2282)+1,0))),Feriados[Data],0))))=FALSE,
IF(WEEKDAY(ROW(INDIRECT(DATE(YEAR(B2282),MONTH(B2282),1)&amp;":"&amp;DATE(YEAR(B2282),MONTH(B2282)+1,0))),2)&lt;=5,1,IF(WEEKDAY(ROW(INDIRECT(DATE(YEAR(B2282),MONTH(B2282),1)&amp;":"&amp;DATE(YEAR(B2282),MONTH(B2282)+1,0))),2)=6,0.5,0)),0))</f>
        <v>24</v>
      </c>
      <c r="K2282" s="22" cm="1">
        <f t="array" ref="K2282">_xlfn.XLOOKUP(1,((Metas_Diarias[[#This Row],[tipo_equipe_id]]=Metas[equipe])*(Metas_Diarias[[#This Row],[data]]&gt;Metas[data_inicio])*(Metas_Diarias[[#This Row],[data]]&lt;Metas[data_fim])),Metas[meta_mensal],0)</f>
        <v>110000</v>
      </c>
      <c r="L2282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83" spans="2:12" x14ac:dyDescent="0.3">
      <c r="B2283" s="34">
        <v>46109</v>
      </c>
      <c r="C2283" s="34" t="str">
        <f>TEXT(Metas_Diarias[[#This Row],[data]],"dddd")</f>
        <v>sábado</v>
      </c>
      <c r="D2283" s="33">
        <v>3</v>
      </c>
      <c r="E2283" s="33">
        <v>3</v>
      </c>
      <c r="F2283" s="18"/>
      <c r="G2283" s="35">
        <f>WEEKDAY(Metas_Diarias[[#This Row],[data]])</f>
        <v>7</v>
      </c>
      <c r="H2283" s="35">
        <f>IF(Metas_Diarias[[#This Row],[dias_da_demana]]=1,"domingo",IF(Metas_Diarias[[#This Row],[dias_da_demana]]=7,0.5,1))</f>
        <v>0.5</v>
      </c>
      <c r="I2283" s="35">
        <f>_xlfn.XLOOKUP(Metas_Diarias[[#This Row],[data]],Feriados[Data],Feriados[Feriado],1)</f>
        <v>1</v>
      </c>
      <c r="J2283" s="33" cm="1">
        <f t="array" aca="1" ref="J2283" ca="1">SUMPRODUCT(IF((NOT(ISERROR(MATCH(ROW(INDIRECT(DATE(YEAR(B2283),MONTH(B2283),1)&amp;":"&amp;DATE(YEAR(B2283),MONTH(B2283)+1,0))),Feriados[Data],0))))=FALSE,
IF(WEEKDAY(ROW(INDIRECT(DATE(YEAR(B2283),MONTH(B2283),1)&amp;":"&amp;DATE(YEAR(B2283),MONTH(B2283)+1,0))),2)&lt;=5,1,IF(WEEKDAY(ROW(INDIRECT(DATE(YEAR(B2283),MONTH(B2283),1)&amp;":"&amp;DATE(YEAR(B2283),MONTH(B2283)+1,0))),2)=6,0.5,0)),0))</f>
        <v>24</v>
      </c>
      <c r="K2283" s="22" cm="1">
        <f t="array" ref="K2283">_xlfn.XLOOKUP(1,((Metas_Diarias[[#This Row],[tipo_equipe_id]]=Metas[equipe])*(Metas_Diarias[[#This Row],[data]]&gt;Metas[data_inicio])*(Metas_Diarias[[#This Row],[data]]&lt;Metas[data_fim])),Metas[meta_mensal],0)</f>
        <v>110000</v>
      </c>
      <c r="L2283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2284" spans="2:12" x14ac:dyDescent="0.3">
      <c r="B2284" s="34">
        <v>46110</v>
      </c>
      <c r="C2284" s="34" t="str">
        <f>TEXT(Metas_Diarias[[#This Row],[data]],"dddd")</f>
        <v>domingo</v>
      </c>
      <c r="D2284" s="33">
        <v>3</v>
      </c>
      <c r="E2284" s="33">
        <v>3</v>
      </c>
      <c r="F2284" s="18"/>
      <c r="G2284" s="35">
        <f>WEEKDAY(Metas_Diarias[[#This Row],[data]])</f>
        <v>1</v>
      </c>
      <c r="H2284" s="35" t="str">
        <f>IF(Metas_Diarias[[#This Row],[dias_da_demana]]=1,"domingo",IF(Metas_Diarias[[#This Row],[dias_da_demana]]=7,0.5,1))</f>
        <v>domingo</v>
      </c>
      <c r="I2284" s="35">
        <f>_xlfn.XLOOKUP(Metas_Diarias[[#This Row],[data]],Feriados[Data],Feriados[Feriado],1)</f>
        <v>1</v>
      </c>
      <c r="J2284" s="33" cm="1">
        <f t="array" aca="1" ref="J2284" ca="1">SUMPRODUCT(IF((NOT(ISERROR(MATCH(ROW(INDIRECT(DATE(YEAR(B2284),MONTH(B2284),1)&amp;":"&amp;DATE(YEAR(B2284),MONTH(B2284)+1,0))),Feriados[Data],0))))=FALSE,
IF(WEEKDAY(ROW(INDIRECT(DATE(YEAR(B2284),MONTH(B2284),1)&amp;":"&amp;DATE(YEAR(B2284),MONTH(B2284)+1,0))),2)&lt;=5,1,IF(WEEKDAY(ROW(INDIRECT(DATE(YEAR(B2284),MONTH(B2284),1)&amp;":"&amp;DATE(YEAR(B2284),MONTH(B2284)+1,0))),2)=6,0.5,0)),0))</f>
        <v>24</v>
      </c>
      <c r="K2284" s="22" cm="1">
        <f t="array" ref="K2284">_xlfn.XLOOKUP(1,((Metas_Diarias[[#This Row],[tipo_equipe_id]]=Metas[equipe])*(Metas_Diarias[[#This Row],[data]]&gt;Metas[data_inicio])*(Metas_Diarias[[#This Row],[data]]&lt;Metas[data_fim])),Metas[meta_mensal],0)</f>
        <v>110000</v>
      </c>
      <c r="L22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85" spans="2:12" x14ac:dyDescent="0.3">
      <c r="B2285" s="34">
        <v>46111</v>
      </c>
      <c r="C2285" s="34" t="str">
        <f>TEXT(Metas_Diarias[[#This Row],[data]],"dddd")</f>
        <v>segunda-feira</v>
      </c>
      <c r="D2285" s="33">
        <v>3</v>
      </c>
      <c r="E2285" s="33">
        <v>3</v>
      </c>
      <c r="F2285" s="18"/>
      <c r="G2285" s="35">
        <f>WEEKDAY(Metas_Diarias[[#This Row],[data]])</f>
        <v>2</v>
      </c>
      <c r="H2285" s="35">
        <f>IF(Metas_Diarias[[#This Row],[dias_da_demana]]=1,"domingo",IF(Metas_Diarias[[#This Row],[dias_da_demana]]=7,0.5,1))</f>
        <v>1</v>
      </c>
      <c r="I2285" s="35">
        <f>_xlfn.XLOOKUP(Metas_Diarias[[#This Row],[data]],Feriados[Data],Feriados[Feriado],1)</f>
        <v>1</v>
      </c>
      <c r="J2285" s="33" cm="1">
        <f t="array" aca="1" ref="J2285" ca="1">SUMPRODUCT(IF((NOT(ISERROR(MATCH(ROW(INDIRECT(DATE(YEAR(B2285),MONTH(B2285),1)&amp;":"&amp;DATE(YEAR(B2285),MONTH(B2285)+1,0))),Feriados[Data],0))))=FALSE,
IF(WEEKDAY(ROW(INDIRECT(DATE(YEAR(B2285),MONTH(B2285),1)&amp;":"&amp;DATE(YEAR(B2285),MONTH(B2285)+1,0))),2)&lt;=5,1,IF(WEEKDAY(ROW(INDIRECT(DATE(YEAR(B2285),MONTH(B2285),1)&amp;":"&amp;DATE(YEAR(B2285),MONTH(B2285)+1,0))),2)=6,0.5,0)),0))</f>
        <v>24</v>
      </c>
      <c r="K2285" s="22" cm="1">
        <f t="array" ref="K2285">_xlfn.XLOOKUP(1,((Metas_Diarias[[#This Row],[tipo_equipe_id]]=Metas[equipe])*(Metas_Diarias[[#This Row],[data]]&gt;Metas[data_inicio])*(Metas_Diarias[[#This Row],[data]]&lt;Metas[data_fim])),Metas[meta_mensal],0)</f>
        <v>110000</v>
      </c>
      <c r="L228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86" spans="2:12" x14ac:dyDescent="0.3">
      <c r="B2286" s="34">
        <v>46112</v>
      </c>
      <c r="C2286" s="34" t="str">
        <f>TEXT(Metas_Diarias[[#This Row],[data]],"dddd")</f>
        <v>terça-feira</v>
      </c>
      <c r="D2286" s="33">
        <v>3</v>
      </c>
      <c r="E2286" s="33">
        <v>3</v>
      </c>
      <c r="F2286" s="18"/>
      <c r="G2286" s="35">
        <f>WEEKDAY(Metas_Diarias[[#This Row],[data]])</f>
        <v>3</v>
      </c>
      <c r="H2286" s="35">
        <f>IF(Metas_Diarias[[#This Row],[dias_da_demana]]=1,"domingo",IF(Metas_Diarias[[#This Row],[dias_da_demana]]=7,0.5,1))</f>
        <v>1</v>
      </c>
      <c r="I2286" s="35">
        <f>_xlfn.XLOOKUP(Metas_Diarias[[#This Row],[data]],Feriados[Data],Feriados[Feriado],1)</f>
        <v>1</v>
      </c>
      <c r="J2286" s="33" cm="1">
        <f t="array" aca="1" ref="J2286" ca="1">SUMPRODUCT(IF((NOT(ISERROR(MATCH(ROW(INDIRECT(DATE(YEAR(B2286),MONTH(B2286),1)&amp;":"&amp;DATE(YEAR(B2286),MONTH(B2286)+1,0))),Feriados[Data],0))))=FALSE,
IF(WEEKDAY(ROW(INDIRECT(DATE(YEAR(B2286),MONTH(B2286),1)&amp;":"&amp;DATE(YEAR(B2286),MONTH(B2286)+1,0))),2)&lt;=5,1,IF(WEEKDAY(ROW(INDIRECT(DATE(YEAR(B2286),MONTH(B2286),1)&amp;":"&amp;DATE(YEAR(B2286),MONTH(B2286)+1,0))),2)=6,0.5,0)),0))</f>
        <v>24</v>
      </c>
      <c r="K2286" s="22" cm="1">
        <f t="array" ref="K2286">_xlfn.XLOOKUP(1,((Metas_Diarias[[#This Row],[tipo_equipe_id]]=Metas[equipe])*(Metas_Diarias[[#This Row],[data]]&gt;Metas[data_inicio])*(Metas_Diarias[[#This Row],[data]]&lt;Metas[data_fim])),Metas[meta_mensal],0)</f>
        <v>110000</v>
      </c>
      <c r="L2286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287" spans="2:12" x14ac:dyDescent="0.3">
      <c r="B2287" s="34">
        <v>46113</v>
      </c>
      <c r="C2287" s="34" t="str">
        <f>TEXT(Metas_Diarias[[#This Row],[data]],"dddd")</f>
        <v>quarta-feira</v>
      </c>
      <c r="D2287" s="33">
        <v>3</v>
      </c>
      <c r="E2287" s="33">
        <v>3</v>
      </c>
      <c r="F2287" s="18"/>
      <c r="G2287" s="35">
        <f>WEEKDAY(Metas_Diarias[[#This Row],[data]])</f>
        <v>4</v>
      </c>
      <c r="H2287" s="35">
        <f>IF(Metas_Diarias[[#This Row],[dias_da_demana]]=1,"domingo",IF(Metas_Diarias[[#This Row],[dias_da_demana]]=7,0.5,1))</f>
        <v>1</v>
      </c>
      <c r="I2287" s="35">
        <f>_xlfn.XLOOKUP(Metas_Diarias[[#This Row],[data]],Feriados[Data],Feriados[Feriado],1)</f>
        <v>1</v>
      </c>
      <c r="J2287" s="33" cm="1">
        <f t="array" aca="1" ref="J2287" ca="1">SUMPRODUCT(IF((NOT(ISERROR(MATCH(ROW(INDIRECT(DATE(YEAR(B2287),MONTH(B2287),1)&amp;":"&amp;DATE(YEAR(B2287),MONTH(B2287)+1,0))),Feriados[Data],0))))=FALSE,
IF(WEEKDAY(ROW(INDIRECT(DATE(YEAR(B2287),MONTH(B2287),1)&amp;":"&amp;DATE(YEAR(B2287),MONTH(B2287)+1,0))),2)&lt;=5,1,IF(WEEKDAY(ROW(INDIRECT(DATE(YEAR(B2287),MONTH(B2287),1)&amp;":"&amp;DATE(YEAR(B2287),MONTH(B2287)+1,0))),2)=6,0.5,0)),0))</f>
        <v>22</v>
      </c>
      <c r="K2287" s="22" cm="1">
        <f t="array" ref="K2287">_xlfn.XLOOKUP(1,((Metas_Diarias[[#This Row],[tipo_equipe_id]]=Metas[equipe])*(Metas_Diarias[[#This Row],[data]]&gt;Metas[data_inicio])*(Metas_Diarias[[#This Row],[data]]&lt;Metas[data_fim])),Metas[meta_mensal],0)</f>
        <v>110000</v>
      </c>
      <c r="L2287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288" spans="2:12" x14ac:dyDescent="0.3">
      <c r="B2288" s="34">
        <v>46114</v>
      </c>
      <c r="C2288" s="34" t="str">
        <f>TEXT(Metas_Diarias[[#This Row],[data]],"dddd")</f>
        <v>quinta-feira</v>
      </c>
      <c r="D2288" s="33">
        <v>3</v>
      </c>
      <c r="E2288" s="33">
        <v>3</v>
      </c>
      <c r="F2288" s="18"/>
      <c r="G2288" s="35">
        <f>WEEKDAY(Metas_Diarias[[#This Row],[data]])</f>
        <v>5</v>
      </c>
      <c r="H2288" s="35">
        <f>IF(Metas_Diarias[[#This Row],[dias_da_demana]]=1,"domingo",IF(Metas_Diarias[[#This Row],[dias_da_demana]]=7,0.5,1))</f>
        <v>1</v>
      </c>
      <c r="I2288" s="35">
        <f>_xlfn.XLOOKUP(Metas_Diarias[[#This Row],[data]],Feriados[Data],Feriados[Feriado],1)</f>
        <v>1</v>
      </c>
      <c r="J2288" s="33" cm="1">
        <f t="array" aca="1" ref="J2288" ca="1">SUMPRODUCT(IF((NOT(ISERROR(MATCH(ROW(INDIRECT(DATE(YEAR(B2288),MONTH(B2288),1)&amp;":"&amp;DATE(YEAR(B2288),MONTH(B2288)+1,0))),Feriados[Data],0))))=FALSE,
IF(WEEKDAY(ROW(INDIRECT(DATE(YEAR(B2288),MONTH(B2288),1)&amp;":"&amp;DATE(YEAR(B2288),MONTH(B2288)+1,0))),2)&lt;=5,1,IF(WEEKDAY(ROW(INDIRECT(DATE(YEAR(B2288),MONTH(B2288),1)&amp;":"&amp;DATE(YEAR(B2288),MONTH(B2288)+1,0))),2)=6,0.5,0)),0))</f>
        <v>22</v>
      </c>
      <c r="K2288" s="22" cm="1">
        <f t="array" ref="K2288">_xlfn.XLOOKUP(1,((Metas_Diarias[[#This Row],[tipo_equipe_id]]=Metas[equipe])*(Metas_Diarias[[#This Row],[data]]&gt;Metas[data_inicio])*(Metas_Diarias[[#This Row],[data]]&lt;Metas[data_fim])),Metas[meta_mensal],0)</f>
        <v>110000</v>
      </c>
      <c r="L2288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289" spans="2:12" x14ac:dyDescent="0.3">
      <c r="B2289" s="34">
        <v>46115</v>
      </c>
      <c r="C2289" s="34" t="str">
        <f>TEXT(Metas_Diarias[[#This Row],[data]],"dddd")</f>
        <v>sexta-feira</v>
      </c>
      <c r="D2289" s="33">
        <v>3</v>
      </c>
      <c r="E2289" s="33">
        <v>3</v>
      </c>
      <c r="F2289" s="18"/>
      <c r="G2289" s="35">
        <f>WEEKDAY(Metas_Diarias[[#This Row],[data]])</f>
        <v>6</v>
      </c>
      <c r="H2289" s="35">
        <f>IF(Metas_Diarias[[#This Row],[dias_da_demana]]=1,"domingo",IF(Metas_Diarias[[#This Row],[dias_da_demana]]=7,0.5,1))</f>
        <v>1</v>
      </c>
      <c r="I2289" s="35" t="str">
        <f>_xlfn.XLOOKUP(Metas_Diarias[[#This Row],[data]],Feriados[Data],Feriados[Feriado],1)</f>
        <v>Paixão de Cristo</v>
      </c>
      <c r="J2289" s="33" cm="1">
        <f t="array" aca="1" ref="J2289" ca="1">SUMPRODUCT(IF((NOT(ISERROR(MATCH(ROW(INDIRECT(DATE(YEAR(B2289),MONTH(B2289),1)&amp;":"&amp;DATE(YEAR(B2289),MONTH(B2289)+1,0))),Feriados[Data],0))))=FALSE,
IF(WEEKDAY(ROW(INDIRECT(DATE(YEAR(B2289),MONTH(B2289),1)&amp;":"&amp;DATE(YEAR(B2289),MONTH(B2289)+1,0))),2)&lt;=5,1,IF(WEEKDAY(ROW(INDIRECT(DATE(YEAR(B2289),MONTH(B2289),1)&amp;":"&amp;DATE(YEAR(B2289),MONTH(B2289)+1,0))),2)=6,0.5,0)),0))</f>
        <v>22</v>
      </c>
      <c r="K2289" s="22" cm="1">
        <f t="array" ref="K2289">_xlfn.XLOOKUP(1,((Metas_Diarias[[#This Row],[tipo_equipe_id]]=Metas[equipe])*(Metas_Diarias[[#This Row],[data]]&gt;Metas[data_inicio])*(Metas_Diarias[[#This Row],[data]]&lt;Metas[data_fim])),Metas[meta_mensal],0)</f>
        <v>110000</v>
      </c>
      <c r="L22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90" spans="2:12" x14ac:dyDescent="0.3">
      <c r="B2290" s="34">
        <v>46116</v>
      </c>
      <c r="C2290" s="34" t="str">
        <f>TEXT(Metas_Diarias[[#This Row],[data]],"dddd")</f>
        <v>sábado</v>
      </c>
      <c r="D2290" s="33">
        <v>3</v>
      </c>
      <c r="E2290" s="33">
        <v>3</v>
      </c>
      <c r="F2290" s="18"/>
      <c r="G2290" s="35">
        <f>WEEKDAY(Metas_Diarias[[#This Row],[data]])</f>
        <v>7</v>
      </c>
      <c r="H2290" s="35">
        <f>IF(Metas_Diarias[[#This Row],[dias_da_demana]]=1,"domingo",IF(Metas_Diarias[[#This Row],[dias_da_demana]]=7,0.5,1))</f>
        <v>0.5</v>
      </c>
      <c r="I2290" s="35">
        <f>_xlfn.XLOOKUP(Metas_Diarias[[#This Row],[data]],Feriados[Data],Feriados[Feriado],1)</f>
        <v>1</v>
      </c>
      <c r="J2290" s="33" cm="1">
        <f t="array" aca="1" ref="J2290" ca="1">SUMPRODUCT(IF((NOT(ISERROR(MATCH(ROW(INDIRECT(DATE(YEAR(B2290),MONTH(B2290),1)&amp;":"&amp;DATE(YEAR(B2290),MONTH(B2290)+1,0))),Feriados[Data],0))))=FALSE,
IF(WEEKDAY(ROW(INDIRECT(DATE(YEAR(B2290),MONTH(B2290),1)&amp;":"&amp;DATE(YEAR(B2290),MONTH(B2290)+1,0))),2)&lt;=5,1,IF(WEEKDAY(ROW(INDIRECT(DATE(YEAR(B2290),MONTH(B2290),1)&amp;":"&amp;DATE(YEAR(B2290),MONTH(B2290)+1,0))),2)=6,0.5,0)),0))</f>
        <v>22</v>
      </c>
      <c r="K2290" s="22" cm="1">
        <f t="array" ref="K2290">_xlfn.XLOOKUP(1,((Metas_Diarias[[#This Row],[tipo_equipe_id]]=Metas[equipe])*(Metas_Diarias[[#This Row],[data]]&gt;Metas[data_inicio])*(Metas_Diarias[[#This Row],[data]]&lt;Metas[data_fim])),Metas[meta_mensal],0)</f>
        <v>110000</v>
      </c>
      <c r="L2290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2291" spans="2:12" x14ac:dyDescent="0.3">
      <c r="B2291" s="34">
        <v>46117</v>
      </c>
      <c r="C2291" s="34" t="str">
        <f>TEXT(Metas_Diarias[[#This Row],[data]],"dddd")</f>
        <v>domingo</v>
      </c>
      <c r="D2291" s="33">
        <v>3</v>
      </c>
      <c r="E2291" s="33">
        <v>3</v>
      </c>
      <c r="F2291" s="18"/>
      <c r="G2291" s="35">
        <f>WEEKDAY(Metas_Diarias[[#This Row],[data]])</f>
        <v>1</v>
      </c>
      <c r="H2291" s="35" t="str">
        <f>IF(Metas_Diarias[[#This Row],[dias_da_demana]]=1,"domingo",IF(Metas_Diarias[[#This Row],[dias_da_demana]]=7,0.5,1))</f>
        <v>domingo</v>
      </c>
      <c r="I2291" s="35">
        <f>_xlfn.XLOOKUP(Metas_Diarias[[#This Row],[data]],Feriados[Data],Feriados[Feriado],1)</f>
        <v>1</v>
      </c>
      <c r="J2291" s="33" cm="1">
        <f t="array" aca="1" ref="J2291" ca="1">SUMPRODUCT(IF((NOT(ISERROR(MATCH(ROW(INDIRECT(DATE(YEAR(B2291),MONTH(B2291),1)&amp;":"&amp;DATE(YEAR(B2291),MONTH(B2291)+1,0))),Feriados[Data],0))))=FALSE,
IF(WEEKDAY(ROW(INDIRECT(DATE(YEAR(B2291),MONTH(B2291),1)&amp;":"&amp;DATE(YEAR(B2291),MONTH(B2291)+1,0))),2)&lt;=5,1,IF(WEEKDAY(ROW(INDIRECT(DATE(YEAR(B2291),MONTH(B2291),1)&amp;":"&amp;DATE(YEAR(B2291),MONTH(B2291)+1,0))),2)=6,0.5,0)),0))</f>
        <v>22</v>
      </c>
      <c r="K2291" s="22" cm="1">
        <f t="array" ref="K2291">_xlfn.XLOOKUP(1,((Metas_Diarias[[#This Row],[tipo_equipe_id]]=Metas[equipe])*(Metas_Diarias[[#This Row],[data]]&gt;Metas[data_inicio])*(Metas_Diarias[[#This Row],[data]]&lt;Metas[data_fim])),Metas[meta_mensal],0)</f>
        <v>110000</v>
      </c>
      <c r="L22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92" spans="2:12" x14ac:dyDescent="0.3">
      <c r="B2292" s="34">
        <v>46118</v>
      </c>
      <c r="C2292" s="34" t="str">
        <f>TEXT(Metas_Diarias[[#This Row],[data]],"dddd")</f>
        <v>segunda-feira</v>
      </c>
      <c r="D2292" s="33">
        <v>3</v>
      </c>
      <c r="E2292" s="33">
        <v>3</v>
      </c>
      <c r="F2292" s="18"/>
      <c r="G2292" s="35">
        <f>WEEKDAY(Metas_Diarias[[#This Row],[data]])</f>
        <v>2</v>
      </c>
      <c r="H2292" s="35">
        <f>IF(Metas_Diarias[[#This Row],[dias_da_demana]]=1,"domingo",IF(Metas_Diarias[[#This Row],[dias_da_demana]]=7,0.5,1))</f>
        <v>1</v>
      </c>
      <c r="I2292" s="35">
        <f>_xlfn.XLOOKUP(Metas_Diarias[[#This Row],[data]],Feriados[Data],Feriados[Feriado],1)</f>
        <v>1</v>
      </c>
      <c r="J2292" s="33" cm="1">
        <f t="array" aca="1" ref="J2292" ca="1">SUMPRODUCT(IF((NOT(ISERROR(MATCH(ROW(INDIRECT(DATE(YEAR(B2292),MONTH(B2292),1)&amp;":"&amp;DATE(YEAR(B2292),MONTH(B2292)+1,0))),Feriados[Data],0))))=FALSE,
IF(WEEKDAY(ROW(INDIRECT(DATE(YEAR(B2292),MONTH(B2292),1)&amp;":"&amp;DATE(YEAR(B2292),MONTH(B2292)+1,0))),2)&lt;=5,1,IF(WEEKDAY(ROW(INDIRECT(DATE(YEAR(B2292),MONTH(B2292),1)&amp;":"&amp;DATE(YEAR(B2292),MONTH(B2292)+1,0))),2)=6,0.5,0)),0))</f>
        <v>22</v>
      </c>
      <c r="K2292" s="22" cm="1">
        <f t="array" ref="K2292">_xlfn.XLOOKUP(1,((Metas_Diarias[[#This Row],[tipo_equipe_id]]=Metas[equipe])*(Metas_Diarias[[#This Row],[data]]&gt;Metas[data_inicio])*(Metas_Diarias[[#This Row],[data]]&lt;Metas[data_fim])),Metas[meta_mensal],0)</f>
        <v>110000</v>
      </c>
      <c r="L2292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293" spans="2:12" x14ac:dyDescent="0.3">
      <c r="B2293" s="34">
        <v>46119</v>
      </c>
      <c r="C2293" s="34" t="str">
        <f>TEXT(Metas_Diarias[[#This Row],[data]],"dddd")</f>
        <v>terça-feira</v>
      </c>
      <c r="D2293" s="33">
        <v>3</v>
      </c>
      <c r="E2293" s="33">
        <v>3</v>
      </c>
      <c r="F2293" s="18"/>
      <c r="G2293" s="35">
        <f>WEEKDAY(Metas_Diarias[[#This Row],[data]])</f>
        <v>3</v>
      </c>
      <c r="H2293" s="35">
        <f>IF(Metas_Diarias[[#This Row],[dias_da_demana]]=1,"domingo",IF(Metas_Diarias[[#This Row],[dias_da_demana]]=7,0.5,1))</f>
        <v>1</v>
      </c>
      <c r="I2293" s="35">
        <f>_xlfn.XLOOKUP(Metas_Diarias[[#This Row],[data]],Feriados[Data],Feriados[Feriado],1)</f>
        <v>1</v>
      </c>
      <c r="J2293" s="33" cm="1">
        <f t="array" aca="1" ref="J2293" ca="1">SUMPRODUCT(IF((NOT(ISERROR(MATCH(ROW(INDIRECT(DATE(YEAR(B2293),MONTH(B2293),1)&amp;":"&amp;DATE(YEAR(B2293),MONTH(B2293)+1,0))),Feriados[Data],0))))=FALSE,
IF(WEEKDAY(ROW(INDIRECT(DATE(YEAR(B2293),MONTH(B2293),1)&amp;":"&amp;DATE(YEAR(B2293),MONTH(B2293)+1,0))),2)&lt;=5,1,IF(WEEKDAY(ROW(INDIRECT(DATE(YEAR(B2293),MONTH(B2293),1)&amp;":"&amp;DATE(YEAR(B2293),MONTH(B2293)+1,0))),2)=6,0.5,0)),0))</f>
        <v>22</v>
      </c>
      <c r="K2293" s="22" cm="1">
        <f t="array" ref="K2293">_xlfn.XLOOKUP(1,((Metas_Diarias[[#This Row],[tipo_equipe_id]]=Metas[equipe])*(Metas_Diarias[[#This Row],[data]]&gt;Metas[data_inicio])*(Metas_Diarias[[#This Row],[data]]&lt;Metas[data_fim])),Metas[meta_mensal],0)</f>
        <v>110000</v>
      </c>
      <c r="L229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294" spans="2:12" x14ac:dyDescent="0.3">
      <c r="B2294" s="34">
        <v>46120</v>
      </c>
      <c r="C2294" s="34" t="str">
        <f>TEXT(Metas_Diarias[[#This Row],[data]],"dddd")</f>
        <v>quarta-feira</v>
      </c>
      <c r="D2294" s="33">
        <v>3</v>
      </c>
      <c r="E2294" s="33">
        <v>3</v>
      </c>
      <c r="F2294" s="18"/>
      <c r="G2294" s="35">
        <f>WEEKDAY(Metas_Diarias[[#This Row],[data]])</f>
        <v>4</v>
      </c>
      <c r="H2294" s="35">
        <f>IF(Metas_Diarias[[#This Row],[dias_da_demana]]=1,"domingo",IF(Metas_Diarias[[#This Row],[dias_da_demana]]=7,0.5,1))</f>
        <v>1</v>
      </c>
      <c r="I2294" s="35">
        <f>_xlfn.XLOOKUP(Metas_Diarias[[#This Row],[data]],Feriados[Data],Feriados[Feriado],1)</f>
        <v>1</v>
      </c>
      <c r="J2294" s="33" cm="1">
        <f t="array" aca="1" ref="J2294" ca="1">SUMPRODUCT(IF((NOT(ISERROR(MATCH(ROW(INDIRECT(DATE(YEAR(B2294),MONTH(B2294),1)&amp;":"&amp;DATE(YEAR(B2294),MONTH(B2294)+1,0))),Feriados[Data],0))))=FALSE,
IF(WEEKDAY(ROW(INDIRECT(DATE(YEAR(B2294),MONTH(B2294),1)&amp;":"&amp;DATE(YEAR(B2294),MONTH(B2294)+1,0))),2)&lt;=5,1,IF(WEEKDAY(ROW(INDIRECT(DATE(YEAR(B2294),MONTH(B2294),1)&amp;":"&amp;DATE(YEAR(B2294),MONTH(B2294)+1,0))),2)=6,0.5,0)),0))</f>
        <v>22</v>
      </c>
      <c r="K2294" s="22" cm="1">
        <f t="array" ref="K2294">_xlfn.XLOOKUP(1,((Metas_Diarias[[#This Row],[tipo_equipe_id]]=Metas[equipe])*(Metas_Diarias[[#This Row],[data]]&gt;Metas[data_inicio])*(Metas_Diarias[[#This Row],[data]]&lt;Metas[data_fim])),Metas[meta_mensal],0)</f>
        <v>110000</v>
      </c>
      <c r="L2294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295" spans="2:12" x14ac:dyDescent="0.3">
      <c r="B2295" s="34">
        <v>46121</v>
      </c>
      <c r="C2295" s="34" t="str">
        <f>TEXT(Metas_Diarias[[#This Row],[data]],"dddd")</f>
        <v>quinta-feira</v>
      </c>
      <c r="D2295" s="33">
        <v>3</v>
      </c>
      <c r="E2295" s="33">
        <v>3</v>
      </c>
      <c r="F2295" s="18"/>
      <c r="G2295" s="35">
        <f>WEEKDAY(Metas_Diarias[[#This Row],[data]])</f>
        <v>5</v>
      </c>
      <c r="H2295" s="35">
        <f>IF(Metas_Diarias[[#This Row],[dias_da_demana]]=1,"domingo",IF(Metas_Diarias[[#This Row],[dias_da_demana]]=7,0.5,1))</f>
        <v>1</v>
      </c>
      <c r="I2295" s="35">
        <f>_xlfn.XLOOKUP(Metas_Diarias[[#This Row],[data]],Feriados[Data],Feriados[Feriado],1)</f>
        <v>1</v>
      </c>
      <c r="J2295" s="33" cm="1">
        <f t="array" aca="1" ref="J2295" ca="1">SUMPRODUCT(IF((NOT(ISERROR(MATCH(ROW(INDIRECT(DATE(YEAR(B2295),MONTH(B2295),1)&amp;":"&amp;DATE(YEAR(B2295),MONTH(B2295)+1,0))),Feriados[Data],0))))=FALSE,
IF(WEEKDAY(ROW(INDIRECT(DATE(YEAR(B2295),MONTH(B2295),1)&amp;":"&amp;DATE(YEAR(B2295),MONTH(B2295)+1,0))),2)&lt;=5,1,IF(WEEKDAY(ROW(INDIRECT(DATE(YEAR(B2295),MONTH(B2295),1)&amp;":"&amp;DATE(YEAR(B2295),MONTH(B2295)+1,0))),2)=6,0.5,0)),0))</f>
        <v>22</v>
      </c>
      <c r="K2295" s="22" cm="1">
        <f t="array" ref="K2295">_xlfn.XLOOKUP(1,((Metas_Diarias[[#This Row],[tipo_equipe_id]]=Metas[equipe])*(Metas_Diarias[[#This Row],[data]]&gt;Metas[data_inicio])*(Metas_Diarias[[#This Row],[data]]&lt;Metas[data_fim])),Metas[meta_mensal],0)</f>
        <v>110000</v>
      </c>
      <c r="L2295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296" spans="2:12" x14ac:dyDescent="0.3">
      <c r="B2296" s="34">
        <v>46122</v>
      </c>
      <c r="C2296" s="34" t="str">
        <f>TEXT(Metas_Diarias[[#This Row],[data]],"dddd")</f>
        <v>sexta-feira</v>
      </c>
      <c r="D2296" s="33">
        <v>3</v>
      </c>
      <c r="E2296" s="33">
        <v>3</v>
      </c>
      <c r="F2296" s="18"/>
      <c r="G2296" s="35">
        <f>WEEKDAY(Metas_Diarias[[#This Row],[data]])</f>
        <v>6</v>
      </c>
      <c r="H2296" s="35">
        <f>IF(Metas_Diarias[[#This Row],[dias_da_demana]]=1,"domingo",IF(Metas_Diarias[[#This Row],[dias_da_demana]]=7,0.5,1))</f>
        <v>1</v>
      </c>
      <c r="I2296" s="35">
        <f>_xlfn.XLOOKUP(Metas_Diarias[[#This Row],[data]],Feriados[Data],Feriados[Feriado],1)</f>
        <v>1</v>
      </c>
      <c r="J2296" s="33" cm="1">
        <f t="array" aca="1" ref="J2296" ca="1">SUMPRODUCT(IF((NOT(ISERROR(MATCH(ROW(INDIRECT(DATE(YEAR(B2296),MONTH(B2296),1)&amp;":"&amp;DATE(YEAR(B2296),MONTH(B2296)+1,0))),Feriados[Data],0))))=FALSE,
IF(WEEKDAY(ROW(INDIRECT(DATE(YEAR(B2296),MONTH(B2296),1)&amp;":"&amp;DATE(YEAR(B2296),MONTH(B2296)+1,0))),2)&lt;=5,1,IF(WEEKDAY(ROW(INDIRECT(DATE(YEAR(B2296),MONTH(B2296),1)&amp;":"&amp;DATE(YEAR(B2296),MONTH(B2296)+1,0))),2)=6,0.5,0)),0))</f>
        <v>22</v>
      </c>
      <c r="K2296" s="22" cm="1">
        <f t="array" ref="K2296">_xlfn.XLOOKUP(1,((Metas_Diarias[[#This Row],[tipo_equipe_id]]=Metas[equipe])*(Metas_Diarias[[#This Row],[data]]&gt;Metas[data_inicio])*(Metas_Diarias[[#This Row],[data]]&lt;Metas[data_fim])),Metas[meta_mensal],0)</f>
        <v>110000</v>
      </c>
      <c r="L2296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297" spans="2:12" x14ac:dyDescent="0.3">
      <c r="B2297" s="34">
        <v>46123</v>
      </c>
      <c r="C2297" s="34" t="str">
        <f>TEXT(Metas_Diarias[[#This Row],[data]],"dddd")</f>
        <v>sábado</v>
      </c>
      <c r="D2297" s="33">
        <v>3</v>
      </c>
      <c r="E2297" s="33">
        <v>3</v>
      </c>
      <c r="F2297" s="18"/>
      <c r="G2297" s="35">
        <f>WEEKDAY(Metas_Diarias[[#This Row],[data]])</f>
        <v>7</v>
      </c>
      <c r="H2297" s="35">
        <f>IF(Metas_Diarias[[#This Row],[dias_da_demana]]=1,"domingo",IF(Metas_Diarias[[#This Row],[dias_da_demana]]=7,0.5,1))</f>
        <v>0.5</v>
      </c>
      <c r="I2297" s="35">
        <f>_xlfn.XLOOKUP(Metas_Diarias[[#This Row],[data]],Feriados[Data],Feriados[Feriado],1)</f>
        <v>1</v>
      </c>
      <c r="J2297" s="33" cm="1">
        <f t="array" aca="1" ref="J2297" ca="1">SUMPRODUCT(IF((NOT(ISERROR(MATCH(ROW(INDIRECT(DATE(YEAR(B2297),MONTH(B2297),1)&amp;":"&amp;DATE(YEAR(B2297),MONTH(B2297)+1,0))),Feriados[Data],0))))=FALSE,
IF(WEEKDAY(ROW(INDIRECT(DATE(YEAR(B2297),MONTH(B2297),1)&amp;":"&amp;DATE(YEAR(B2297),MONTH(B2297)+1,0))),2)&lt;=5,1,IF(WEEKDAY(ROW(INDIRECT(DATE(YEAR(B2297),MONTH(B2297),1)&amp;":"&amp;DATE(YEAR(B2297),MONTH(B2297)+1,0))),2)=6,0.5,0)),0))</f>
        <v>22</v>
      </c>
      <c r="K2297" s="22" cm="1">
        <f t="array" ref="K2297">_xlfn.XLOOKUP(1,((Metas_Diarias[[#This Row],[tipo_equipe_id]]=Metas[equipe])*(Metas_Diarias[[#This Row],[data]]&gt;Metas[data_inicio])*(Metas_Diarias[[#This Row],[data]]&lt;Metas[data_fim])),Metas[meta_mensal],0)</f>
        <v>110000</v>
      </c>
      <c r="L2297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2298" spans="2:12" x14ac:dyDescent="0.3">
      <c r="B2298" s="34">
        <v>46124</v>
      </c>
      <c r="C2298" s="34" t="str">
        <f>TEXT(Metas_Diarias[[#This Row],[data]],"dddd")</f>
        <v>domingo</v>
      </c>
      <c r="D2298" s="33">
        <v>3</v>
      </c>
      <c r="E2298" s="33">
        <v>3</v>
      </c>
      <c r="F2298" s="18"/>
      <c r="G2298" s="35">
        <f>WEEKDAY(Metas_Diarias[[#This Row],[data]])</f>
        <v>1</v>
      </c>
      <c r="H2298" s="35" t="str">
        <f>IF(Metas_Diarias[[#This Row],[dias_da_demana]]=1,"domingo",IF(Metas_Diarias[[#This Row],[dias_da_demana]]=7,0.5,1))</f>
        <v>domingo</v>
      </c>
      <c r="I2298" s="35">
        <f>_xlfn.XLOOKUP(Metas_Diarias[[#This Row],[data]],Feriados[Data],Feriados[Feriado],1)</f>
        <v>1</v>
      </c>
      <c r="J2298" s="33" cm="1">
        <f t="array" aca="1" ref="J2298" ca="1">SUMPRODUCT(IF((NOT(ISERROR(MATCH(ROW(INDIRECT(DATE(YEAR(B2298),MONTH(B2298),1)&amp;":"&amp;DATE(YEAR(B2298),MONTH(B2298)+1,0))),Feriados[Data],0))))=FALSE,
IF(WEEKDAY(ROW(INDIRECT(DATE(YEAR(B2298),MONTH(B2298),1)&amp;":"&amp;DATE(YEAR(B2298),MONTH(B2298)+1,0))),2)&lt;=5,1,IF(WEEKDAY(ROW(INDIRECT(DATE(YEAR(B2298),MONTH(B2298),1)&amp;":"&amp;DATE(YEAR(B2298),MONTH(B2298)+1,0))),2)=6,0.5,0)),0))</f>
        <v>22</v>
      </c>
      <c r="K2298" s="22" cm="1">
        <f t="array" ref="K2298">_xlfn.XLOOKUP(1,((Metas_Diarias[[#This Row],[tipo_equipe_id]]=Metas[equipe])*(Metas_Diarias[[#This Row],[data]]&gt;Metas[data_inicio])*(Metas_Diarias[[#This Row],[data]]&lt;Metas[data_fim])),Metas[meta_mensal],0)</f>
        <v>110000</v>
      </c>
      <c r="L22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299" spans="2:12" x14ac:dyDescent="0.3">
      <c r="B2299" s="34">
        <v>46125</v>
      </c>
      <c r="C2299" s="34" t="str">
        <f>TEXT(Metas_Diarias[[#This Row],[data]],"dddd")</f>
        <v>segunda-feira</v>
      </c>
      <c r="D2299" s="33">
        <v>3</v>
      </c>
      <c r="E2299" s="33">
        <v>3</v>
      </c>
      <c r="F2299" s="18"/>
      <c r="G2299" s="35">
        <f>WEEKDAY(Metas_Diarias[[#This Row],[data]])</f>
        <v>2</v>
      </c>
      <c r="H2299" s="35">
        <f>IF(Metas_Diarias[[#This Row],[dias_da_demana]]=1,"domingo",IF(Metas_Diarias[[#This Row],[dias_da_demana]]=7,0.5,1))</f>
        <v>1</v>
      </c>
      <c r="I2299" s="35">
        <f>_xlfn.XLOOKUP(Metas_Diarias[[#This Row],[data]],Feriados[Data],Feriados[Feriado],1)</f>
        <v>1</v>
      </c>
      <c r="J2299" s="33" cm="1">
        <f t="array" aca="1" ref="J2299" ca="1">SUMPRODUCT(IF((NOT(ISERROR(MATCH(ROW(INDIRECT(DATE(YEAR(B2299),MONTH(B2299),1)&amp;":"&amp;DATE(YEAR(B2299),MONTH(B2299)+1,0))),Feriados[Data],0))))=FALSE,
IF(WEEKDAY(ROW(INDIRECT(DATE(YEAR(B2299),MONTH(B2299),1)&amp;":"&amp;DATE(YEAR(B2299),MONTH(B2299)+1,0))),2)&lt;=5,1,IF(WEEKDAY(ROW(INDIRECT(DATE(YEAR(B2299),MONTH(B2299),1)&amp;":"&amp;DATE(YEAR(B2299),MONTH(B2299)+1,0))),2)=6,0.5,0)),0))</f>
        <v>22</v>
      </c>
      <c r="K2299" s="22" cm="1">
        <f t="array" ref="K2299">_xlfn.XLOOKUP(1,((Metas_Diarias[[#This Row],[tipo_equipe_id]]=Metas[equipe])*(Metas_Diarias[[#This Row],[data]]&gt;Metas[data_inicio])*(Metas_Diarias[[#This Row],[data]]&lt;Metas[data_fim])),Metas[meta_mensal],0)</f>
        <v>110000</v>
      </c>
      <c r="L2299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00" spans="2:12" x14ac:dyDescent="0.3">
      <c r="B2300" s="34">
        <v>46126</v>
      </c>
      <c r="C2300" s="34" t="str">
        <f>TEXT(Metas_Diarias[[#This Row],[data]],"dddd")</f>
        <v>terça-feira</v>
      </c>
      <c r="D2300" s="33">
        <v>3</v>
      </c>
      <c r="E2300" s="33">
        <v>3</v>
      </c>
      <c r="F2300" s="18"/>
      <c r="G2300" s="35">
        <f>WEEKDAY(Metas_Diarias[[#This Row],[data]])</f>
        <v>3</v>
      </c>
      <c r="H2300" s="35">
        <f>IF(Metas_Diarias[[#This Row],[dias_da_demana]]=1,"domingo",IF(Metas_Diarias[[#This Row],[dias_da_demana]]=7,0.5,1))</f>
        <v>1</v>
      </c>
      <c r="I2300" s="35">
        <f>_xlfn.XLOOKUP(Metas_Diarias[[#This Row],[data]],Feriados[Data],Feriados[Feriado],1)</f>
        <v>1</v>
      </c>
      <c r="J2300" s="33" cm="1">
        <f t="array" aca="1" ref="J2300" ca="1">SUMPRODUCT(IF((NOT(ISERROR(MATCH(ROW(INDIRECT(DATE(YEAR(B2300),MONTH(B2300),1)&amp;":"&amp;DATE(YEAR(B2300),MONTH(B2300)+1,0))),Feriados[Data],0))))=FALSE,
IF(WEEKDAY(ROW(INDIRECT(DATE(YEAR(B2300),MONTH(B2300),1)&amp;":"&amp;DATE(YEAR(B2300),MONTH(B2300)+1,0))),2)&lt;=5,1,IF(WEEKDAY(ROW(INDIRECT(DATE(YEAR(B2300),MONTH(B2300),1)&amp;":"&amp;DATE(YEAR(B2300),MONTH(B2300)+1,0))),2)=6,0.5,0)),0))</f>
        <v>22</v>
      </c>
      <c r="K2300" s="22" cm="1">
        <f t="array" ref="K2300">_xlfn.XLOOKUP(1,((Metas_Diarias[[#This Row],[tipo_equipe_id]]=Metas[equipe])*(Metas_Diarias[[#This Row],[data]]&gt;Metas[data_inicio])*(Metas_Diarias[[#This Row],[data]]&lt;Metas[data_fim])),Metas[meta_mensal],0)</f>
        <v>110000</v>
      </c>
      <c r="L2300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01" spans="2:12" x14ac:dyDescent="0.3">
      <c r="B2301" s="34">
        <v>46127</v>
      </c>
      <c r="C2301" s="34" t="str">
        <f>TEXT(Metas_Diarias[[#This Row],[data]],"dddd")</f>
        <v>quarta-feira</v>
      </c>
      <c r="D2301" s="33">
        <v>3</v>
      </c>
      <c r="E2301" s="33">
        <v>3</v>
      </c>
      <c r="F2301" s="18"/>
      <c r="G2301" s="35">
        <f>WEEKDAY(Metas_Diarias[[#This Row],[data]])</f>
        <v>4</v>
      </c>
      <c r="H2301" s="35">
        <f>IF(Metas_Diarias[[#This Row],[dias_da_demana]]=1,"domingo",IF(Metas_Diarias[[#This Row],[dias_da_demana]]=7,0.5,1))</f>
        <v>1</v>
      </c>
      <c r="I2301" s="35">
        <f>_xlfn.XLOOKUP(Metas_Diarias[[#This Row],[data]],Feriados[Data],Feriados[Feriado],1)</f>
        <v>1</v>
      </c>
      <c r="J2301" s="33" cm="1">
        <f t="array" aca="1" ref="J2301" ca="1">SUMPRODUCT(IF((NOT(ISERROR(MATCH(ROW(INDIRECT(DATE(YEAR(B2301),MONTH(B2301),1)&amp;":"&amp;DATE(YEAR(B2301),MONTH(B2301)+1,0))),Feriados[Data],0))))=FALSE,
IF(WEEKDAY(ROW(INDIRECT(DATE(YEAR(B2301),MONTH(B2301),1)&amp;":"&amp;DATE(YEAR(B2301),MONTH(B2301)+1,0))),2)&lt;=5,1,IF(WEEKDAY(ROW(INDIRECT(DATE(YEAR(B2301),MONTH(B2301),1)&amp;":"&amp;DATE(YEAR(B2301),MONTH(B2301)+1,0))),2)=6,0.5,0)),0))</f>
        <v>22</v>
      </c>
      <c r="K2301" s="22" cm="1">
        <f t="array" ref="K2301">_xlfn.XLOOKUP(1,((Metas_Diarias[[#This Row],[tipo_equipe_id]]=Metas[equipe])*(Metas_Diarias[[#This Row],[data]]&gt;Metas[data_inicio])*(Metas_Diarias[[#This Row],[data]]&lt;Metas[data_fim])),Metas[meta_mensal],0)</f>
        <v>110000</v>
      </c>
      <c r="L2301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02" spans="2:12" x14ac:dyDescent="0.3">
      <c r="B2302" s="34">
        <v>46128</v>
      </c>
      <c r="C2302" s="34" t="str">
        <f>TEXT(Metas_Diarias[[#This Row],[data]],"dddd")</f>
        <v>quinta-feira</v>
      </c>
      <c r="D2302" s="33">
        <v>3</v>
      </c>
      <c r="E2302" s="33">
        <v>3</v>
      </c>
      <c r="F2302" s="18"/>
      <c r="G2302" s="35">
        <f>WEEKDAY(Metas_Diarias[[#This Row],[data]])</f>
        <v>5</v>
      </c>
      <c r="H2302" s="35">
        <f>IF(Metas_Diarias[[#This Row],[dias_da_demana]]=1,"domingo",IF(Metas_Diarias[[#This Row],[dias_da_demana]]=7,0.5,1))</f>
        <v>1</v>
      </c>
      <c r="I2302" s="35">
        <f>_xlfn.XLOOKUP(Metas_Diarias[[#This Row],[data]],Feriados[Data],Feriados[Feriado],1)</f>
        <v>1</v>
      </c>
      <c r="J2302" s="33" cm="1">
        <f t="array" aca="1" ref="J2302" ca="1">SUMPRODUCT(IF((NOT(ISERROR(MATCH(ROW(INDIRECT(DATE(YEAR(B2302),MONTH(B2302),1)&amp;":"&amp;DATE(YEAR(B2302),MONTH(B2302)+1,0))),Feriados[Data],0))))=FALSE,
IF(WEEKDAY(ROW(INDIRECT(DATE(YEAR(B2302),MONTH(B2302),1)&amp;":"&amp;DATE(YEAR(B2302),MONTH(B2302)+1,0))),2)&lt;=5,1,IF(WEEKDAY(ROW(INDIRECT(DATE(YEAR(B2302),MONTH(B2302),1)&amp;":"&amp;DATE(YEAR(B2302),MONTH(B2302)+1,0))),2)=6,0.5,0)),0))</f>
        <v>22</v>
      </c>
      <c r="K2302" s="22" cm="1">
        <f t="array" ref="K2302">_xlfn.XLOOKUP(1,((Metas_Diarias[[#This Row],[tipo_equipe_id]]=Metas[equipe])*(Metas_Diarias[[#This Row],[data]]&gt;Metas[data_inicio])*(Metas_Diarias[[#This Row],[data]]&lt;Metas[data_fim])),Metas[meta_mensal],0)</f>
        <v>110000</v>
      </c>
      <c r="L2302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03" spans="2:12" x14ac:dyDescent="0.3">
      <c r="B2303" s="34">
        <v>46129</v>
      </c>
      <c r="C2303" s="34" t="str">
        <f>TEXT(Metas_Diarias[[#This Row],[data]],"dddd")</f>
        <v>sexta-feira</v>
      </c>
      <c r="D2303" s="33">
        <v>3</v>
      </c>
      <c r="E2303" s="33">
        <v>3</v>
      </c>
      <c r="F2303" s="18"/>
      <c r="G2303" s="35">
        <f>WEEKDAY(Metas_Diarias[[#This Row],[data]])</f>
        <v>6</v>
      </c>
      <c r="H2303" s="35">
        <f>IF(Metas_Diarias[[#This Row],[dias_da_demana]]=1,"domingo",IF(Metas_Diarias[[#This Row],[dias_da_demana]]=7,0.5,1))</f>
        <v>1</v>
      </c>
      <c r="I2303" s="35">
        <f>_xlfn.XLOOKUP(Metas_Diarias[[#This Row],[data]],Feriados[Data],Feriados[Feriado],1)</f>
        <v>1</v>
      </c>
      <c r="J2303" s="33" cm="1">
        <f t="array" aca="1" ref="J2303" ca="1">SUMPRODUCT(IF((NOT(ISERROR(MATCH(ROW(INDIRECT(DATE(YEAR(B2303),MONTH(B2303),1)&amp;":"&amp;DATE(YEAR(B2303),MONTH(B2303)+1,0))),Feriados[Data],0))))=FALSE,
IF(WEEKDAY(ROW(INDIRECT(DATE(YEAR(B2303),MONTH(B2303),1)&amp;":"&amp;DATE(YEAR(B2303),MONTH(B2303)+1,0))),2)&lt;=5,1,IF(WEEKDAY(ROW(INDIRECT(DATE(YEAR(B2303),MONTH(B2303),1)&amp;":"&amp;DATE(YEAR(B2303),MONTH(B2303)+1,0))),2)=6,0.5,0)),0))</f>
        <v>22</v>
      </c>
      <c r="K2303" s="22" cm="1">
        <f t="array" ref="K2303">_xlfn.XLOOKUP(1,((Metas_Diarias[[#This Row],[tipo_equipe_id]]=Metas[equipe])*(Metas_Diarias[[#This Row],[data]]&gt;Metas[data_inicio])*(Metas_Diarias[[#This Row],[data]]&lt;Metas[data_fim])),Metas[meta_mensal],0)</f>
        <v>110000</v>
      </c>
      <c r="L230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04" spans="2:12" x14ac:dyDescent="0.3">
      <c r="B2304" s="34">
        <v>46130</v>
      </c>
      <c r="C2304" s="34" t="str">
        <f>TEXT(Metas_Diarias[[#This Row],[data]],"dddd")</f>
        <v>sábado</v>
      </c>
      <c r="D2304" s="33">
        <v>3</v>
      </c>
      <c r="E2304" s="33">
        <v>3</v>
      </c>
      <c r="F2304" s="18"/>
      <c r="G2304" s="35">
        <f>WEEKDAY(Metas_Diarias[[#This Row],[data]])</f>
        <v>7</v>
      </c>
      <c r="H2304" s="35">
        <f>IF(Metas_Diarias[[#This Row],[dias_da_demana]]=1,"domingo",IF(Metas_Diarias[[#This Row],[dias_da_demana]]=7,0.5,1))</f>
        <v>0.5</v>
      </c>
      <c r="I2304" s="35">
        <f>_xlfn.XLOOKUP(Metas_Diarias[[#This Row],[data]],Feriados[Data],Feriados[Feriado],1)</f>
        <v>1</v>
      </c>
      <c r="J2304" s="33" cm="1">
        <f t="array" aca="1" ref="J2304" ca="1">SUMPRODUCT(IF((NOT(ISERROR(MATCH(ROW(INDIRECT(DATE(YEAR(B2304),MONTH(B2304),1)&amp;":"&amp;DATE(YEAR(B2304),MONTH(B2304)+1,0))),Feriados[Data],0))))=FALSE,
IF(WEEKDAY(ROW(INDIRECT(DATE(YEAR(B2304),MONTH(B2304),1)&amp;":"&amp;DATE(YEAR(B2304),MONTH(B2304)+1,0))),2)&lt;=5,1,IF(WEEKDAY(ROW(INDIRECT(DATE(YEAR(B2304),MONTH(B2304),1)&amp;":"&amp;DATE(YEAR(B2304),MONTH(B2304)+1,0))),2)=6,0.5,0)),0))</f>
        <v>22</v>
      </c>
      <c r="K2304" s="22" cm="1">
        <f t="array" ref="K2304">_xlfn.XLOOKUP(1,((Metas_Diarias[[#This Row],[tipo_equipe_id]]=Metas[equipe])*(Metas_Diarias[[#This Row],[data]]&gt;Metas[data_inicio])*(Metas_Diarias[[#This Row],[data]]&lt;Metas[data_fim])),Metas[meta_mensal],0)</f>
        <v>110000</v>
      </c>
      <c r="L2304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2305" spans="2:12" x14ac:dyDescent="0.3">
      <c r="B2305" s="34">
        <v>46131</v>
      </c>
      <c r="C2305" s="34" t="str">
        <f>TEXT(Metas_Diarias[[#This Row],[data]],"dddd")</f>
        <v>domingo</v>
      </c>
      <c r="D2305" s="33">
        <v>3</v>
      </c>
      <c r="E2305" s="33">
        <v>3</v>
      </c>
      <c r="F2305" s="18"/>
      <c r="G2305" s="35">
        <f>WEEKDAY(Metas_Diarias[[#This Row],[data]])</f>
        <v>1</v>
      </c>
      <c r="H2305" s="35" t="str">
        <f>IF(Metas_Diarias[[#This Row],[dias_da_demana]]=1,"domingo",IF(Metas_Diarias[[#This Row],[dias_da_demana]]=7,0.5,1))</f>
        <v>domingo</v>
      </c>
      <c r="I2305" s="35">
        <f>_xlfn.XLOOKUP(Metas_Diarias[[#This Row],[data]],Feriados[Data],Feriados[Feriado],1)</f>
        <v>1</v>
      </c>
      <c r="J2305" s="33" cm="1">
        <f t="array" aca="1" ref="J2305" ca="1">SUMPRODUCT(IF((NOT(ISERROR(MATCH(ROW(INDIRECT(DATE(YEAR(B2305),MONTH(B2305),1)&amp;":"&amp;DATE(YEAR(B2305),MONTH(B2305)+1,0))),Feriados[Data],0))))=FALSE,
IF(WEEKDAY(ROW(INDIRECT(DATE(YEAR(B2305),MONTH(B2305),1)&amp;":"&amp;DATE(YEAR(B2305),MONTH(B2305)+1,0))),2)&lt;=5,1,IF(WEEKDAY(ROW(INDIRECT(DATE(YEAR(B2305),MONTH(B2305),1)&amp;":"&amp;DATE(YEAR(B2305),MONTH(B2305)+1,0))),2)=6,0.5,0)),0))</f>
        <v>22</v>
      </c>
      <c r="K2305" s="22" cm="1">
        <f t="array" ref="K2305">_xlfn.XLOOKUP(1,((Metas_Diarias[[#This Row],[tipo_equipe_id]]=Metas[equipe])*(Metas_Diarias[[#This Row],[data]]&gt;Metas[data_inicio])*(Metas_Diarias[[#This Row],[data]]&lt;Metas[data_fim])),Metas[meta_mensal],0)</f>
        <v>110000</v>
      </c>
      <c r="L23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06" spans="2:12" x14ac:dyDescent="0.3">
      <c r="B2306" s="34">
        <v>46132</v>
      </c>
      <c r="C2306" s="34" t="str">
        <f>TEXT(Metas_Diarias[[#This Row],[data]],"dddd")</f>
        <v>segunda-feira</v>
      </c>
      <c r="D2306" s="33">
        <v>3</v>
      </c>
      <c r="E2306" s="33">
        <v>3</v>
      </c>
      <c r="F2306" s="18"/>
      <c r="G2306" s="35">
        <f>WEEKDAY(Metas_Diarias[[#This Row],[data]])</f>
        <v>2</v>
      </c>
      <c r="H2306" s="35">
        <f>IF(Metas_Diarias[[#This Row],[dias_da_demana]]=1,"domingo",IF(Metas_Diarias[[#This Row],[dias_da_demana]]=7,0.5,1))</f>
        <v>1</v>
      </c>
      <c r="I2306" s="35">
        <f>_xlfn.XLOOKUP(Metas_Diarias[[#This Row],[data]],Feriados[Data],Feriados[Feriado],1)</f>
        <v>1</v>
      </c>
      <c r="J2306" s="33" cm="1">
        <f t="array" aca="1" ref="J2306" ca="1">SUMPRODUCT(IF((NOT(ISERROR(MATCH(ROW(INDIRECT(DATE(YEAR(B2306),MONTH(B2306),1)&amp;":"&amp;DATE(YEAR(B2306),MONTH(B2306)+1,0))),Feriados[Data],0))))=FALSE,
IF(WEEKDAY(ROW(INDIRECT(DATE(YEAR(B2306),MONTH(B2306),1)&amp;":"&amp;DATE(YEAR(B2306),MONTH(B2306)+1,0))),2)&lt;=5,1,IF(WEEKDAY(ROW(INDIRECT(DATE(YEAR(B2306),MONTH(B2306),1)&amp;":"&amp;DATE(YEAR(B2306),MONTH(B2306)+1,0))),2)=6,0.5,0)),0))</f>
        <v>22</v>
      </c>
      <c r="K2306" s="22" cm="1">
        <f t="array" ref="K2306">_xlfn.XLOOKUP(1,((Metas_Diarias[[#This Row],[tipo_equipe_id]]=Metas[equipe])*(Metas_Diarias[[#This Row],[data]]&gt;Metas[data_inicio])*(Metas_Diarias[[#This Row],[data]]&lt;Metas[data_fim])),Metas[meta_mensal],0)</f>
        <v>110000</v>
      </c>
      <c r="L2306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07" spans="2:12" x14ac:dyDescent="0.3">
      <c r="B2307" s="34">
        <v>46133</v>
      </c>
      <c r="C2307" s="34" t="str">
        <f>TEXT(Metas_Diarias[[#This Row],[data]],"dddd")</f>
        <v>terça-feira</v>
      </c>
      <c r="D2307" s="33">
        <v>3</v>
      </c>
      <c r="E2307" s="33">
        <v>3</v>
      </c>
      <c r="F2307" s="18"/>
      <c r="G2307" s="35">
        <f>WEEKDAY(Metas_Diarias[[#This Row],[data]])</f>
        <v>3</v>
      </c>
      <c r="H2307" s="35">
        <f>IF(Metas_Diarias[[#This Row],[dias_da_demana]]=1,"domingo",IF(Metas_Diarias[[#This Row],[dias_da_demana]]=7,0.5,1))</f>
        <v>1</v>
      </c>
      <c r="I2307" s="35" t="str">
        <f>_xlfn.XLOOKUP(Metas_Diarias[[#This Row],[data]],Feriados[Data],Feriados[Feriado],1)</f>
        <v>Tiradentes</v>
      </c>
      <c r="J2307" s="33" cm="1">
        <f t="array" aca="1" ref="J2307" ca="1">SUMPRODUCT(IF((NOT(ISERROR(MATCH(ROW(INDIRECT(DATE(YEAR(B2307),MONTH(B2307),1)&amp;":"&amp;DATE(YEAR(B2307),MONTH(B2307)+1,0))),Feriados[Data],0))))=FALSE,
IF(WEEKDAY(ROW(INDIRECT(DATE(YEAR(B2307),MONTH(B2307),1)&amp;":"&amp;DATE(YEAR(B2307),MONTH(B2307)+1,0))),2)&lt;=5,1,IF(WEEKDAY(ROW(INDIRECT(DATE(YEAR(B2307),MONTH(B2307),1)&amp;":"&amp;DATE(YEAR(B2307),MONTH(B2307)+1,0))),2)=6,0.5,0)),0))</f>
        <v>22</v>
      </c>
      <c r="K2307" s="22" cm="1">
        <f t="array" ref="K2307">_xlfn.XLOOKUP(1,((Metas_Diarias[[#This Row],[tipo_equipe_id]]=Metas[equipe])*(Metas_Diarias[[#This Row],[data]]&gt;Metas[data_inicio])*(Metas_Diarias[[#This Row],[data]]&lt;Metas[data_fim])),Metas[meta_mensal],0)</f>
        <v>110000</v>
      </c>
      <c r="L23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08" spans="2:12" x14ac:dyDescent="0.3">
      <c r="B2308" s="34">
        <v>46134</v>
      </c>
      <c r="C2308" s="34" t="str">
        <f>TEXT(Metas_Diarias[[#This Row],[data]],"dddd")</f>
        <v>quarta-feira</v>
      </c>
      <c r="D2308" s="33">
        <v>3</v>
      </c>
      <c r="E2308" s="33">
        <v>3</v>
      </c>
      <c r="F2308" s="18"/>
      <c r="G2308" s="35">
        <f>WEEKDAY(Metas_Diarias[[#This Row],[data]])</f>
        <v>4</v>
      </c>
      <c r="H2308" s="35">
        <f>IF(Metas_Diarias[[#This Row],[dias_da_demana]]=1,"domingo",IF(Metas_Diarias[[#This Row],[dias_da_demana]]=7,0.5,1))</f>
        <v>1</v>
      </c>
      <c r="I2308" s="35">
        <f>_xlfn.XLOOKUP(Metas_Diarias[[#This Row],[data]],Feriados[Data],Feriados[Feriado],1)</f>
        <v>1</v>
      </c>
      <c r="J2308" s="33" cm="1">
        <f t="array" aca="1" ref="J2308" ca="1">SUMPRODUCT(IF((NOT(ISERROR(MATCH(ROW(INDIRECT(DATE(YEAR(B2308),MONTH(B2308),1)&amp;":"&amp;DATE(YEAR(B2308),MONTH(B2308)+1,0))),Feriados[Data],0))))=FALSE,
IF(WEEKDAY(ROW(INDIRECT(DATE(YEAR(B2308),MONTH(B2308),1)&amp;":"&amp;DATE(YEAR(B2308),MONTH(B2308)+1,0))),2)&lt;=5,1,IF(WEEKDAY(ROW(INDIRECT(DATE(YEAR(B2308),MONTH(B2308),1)&amp;":"&amp;DATE(YEAR(B2308),MONTH(B2308)+1,0))),2)=6,0.5,0)),0))</f>
        <v>22</v>
      </c>
      <c r="K2308" s="22" cm="1">
        <f t="array" ref="K2308">_xlfn.XLOOKUP(1,((Metas_Diarias[[#This Row],[tipo_equipe_id]]=Metas[equipe])*(Metas_Diarias[[#This Row],[data]]&gt;Metas[data_inicio])*(Metas_Diarias[[#This Row],[data]]&lt;Metas[data_fim])),Metas[meta_mensal],0)</f>
        <v>110000</v>
      </c>
      <c r="L2308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09" spans="2:12" x14ac:dyDescent="0.3">
      <c r="B2309" s="34">
        <v>46135</v>
      </c>
      <c r="C2309" s="34" t="str">
        <f>TEXT(Metas_Diarias[[#This Row],[data]],"dddd")</f>
        <v>quinta-feira</v>
      </c>
      <c r="D2309" s="33">
        <v>3</v>
      </c>
      <c r="E2309" s="33">
        <v>3</v>
      </c>
      <c r="F2309" s="18"/>
      <c r="G2309" s="35">
        <f>WEEKDAY(Metas_Diarias[[#This Row],[data]])</f>
        <v>5</v>
      </c>
      <c r="H2309" s="35">
        <f>IF(Metas_Diarias[[#This Row],[dias_da_demana]]=1,"domingo",IF(Metas_Diarias[[#This Row],[dias_da_demana]]=7,0.5,1))</f>
        <v>1</v>
      </c>
      <c r="I2309" s="35">
        <f>_xlfn.XLOOKUP(Metas_Diarias[[#This Row],[data]],Feriados[Data],Feriados[Feriado],1)</f>
        <v>1</v>
      </c>
      <c r="J2309" s="33" cm="1">
        <f t="array" aca="1" ref="J2309" ca="1">SUMPRODUCT(IF((NOT(ISERROR(MATCH(ROW(INDIRECT(DATE(YEAR(B2309),MONTH(B2309),1)&amp;":"&amp;DATE(YEAR(B2309),MONTH(B2309)+1,0))),Feriados[Data],0))))=FALSE,
IF(WEEKDAY(ROW(INDIRECT(DATE(YEAR(B2309),MONTH(B2309),1)&amp;":"&amp;DATE(YEAR(B2309),MONTH(B2309)+1,0))),2)&lt;=5,1,IF(WEEKDAY(ROW(INDIRECT(DATE(YEAR(B2309),MONTH(B2309),1)&amp;":"&amp;DATE(YEAR(B2309),MONTH(B2309)+1,0))),2)=6,0.5,0)),0))</f>
        <v>22</v>
      </c>
      <c r="K2309" s="22" cm="1">
        <f t="array" ref="K2309">_xlfn.XLOOKUP(1,((Metas_Diarias[[#This Row],[tipo_equipe_id]]=Metas[equipe])*(Metas_Diarias[[#This Row],[data]]&gt;Metas[data_inicio])*(Metas_Diarias[[#This Row],[data]]&lt;Metas[data_fim])),Metas[meta_mensal],0)</f>
        <v>110000</v>
      </c>
      <c r="L2309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10" spans="2:12" x14ac:dyDescent="0.3">
      <c r="B2310" s="34">
        <v>46136</v>
      </c>
      <c r="C2310" s="34" t="str">
        <f>TEXT(Metas_Diarias[[#This Row],[data]],"dddd")</f>
        <v>sexta-feira</v>
      </c>
      <c r="D2310" s="33">
        <v>3</v>
      </c>
      <c r="E2310" s="33">
        <v>3</v>
      </c>
      <c r="F2310" s="18"/>
      <c r="G2310" s="35">
        <f>WEEKDAY(Metas_Diarias[[#This Row],[data]])</f>
        <v>6</v>
      </c>
      <c r="H2310" s="35">
        <f>IF(Metas_Diarias[[#This Row],[dias_da_demana]]=1,"domingo",IF(Metas_Diarias[[#This Row],[dias_da_demana]]=7,0.5,1))</f>
        <v>1</v>
      </c>
      <c r="I2310" s="35">
        <f>_xlfn.XLOOKUP(Metas_Diarias[[#This Row],[data]],Feriados[Data],Feriados[Feriado],1)</f>
        <v>1</v>
      </c>
      <c r="J2310" s="33" cm="1">
        <f t="array" aca="1" ref="J2310" ca="1">SUMPRODUCT(IF((NOT(ISERROR(MATCH(ROW(INDIRECT(DATE(YEAR(B2310),MONTH(B2310),1)&amp;":"&amp;DATE(YEAR(B2310),MONTH(B2310)+1,0))),Feriados[Data],0))))=FALSE,
IF(WEEKDAY(ROW(INDIRECT(DATE(YEAR(B2310),MONTH(B2310),1)&amp;":"&amp;DATE(YEAR(B2310),MONTH(B2310)+1,0))),2)&lt;=5,1,IF(WEEKDAY(ROW(INDIRECT(DATE(YEAR(B2310),MONTH(B2310),1)&amp;":"&amp;DATE(YEAR(B2310),MONTH(B2310)+1,0))),2)=6,0.5,0)),0))</f>
        <v>22</v>
      </c>
      <c r="K2310" s="22" cm="1">
        <f t="array" ref="K2310">_xlfn.XLOOKUP(1,((Metas_Diarias[[#This Row],[tipo_equipe_id]]=Metas[equipe])*(Metas_Diarias[[#This Row],[data]]&gt;Metas[data_inicio])*(Metas_Diarias[[#This Row],[data]]&lt;Metas[data_fim])),Metas[meta_mensal],0)</f>
        <v>110000</v>
      </c>
      <c r="L2310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11" spans="2:12" x14ac:dyDescent="0.3">
      <c r="B2311" s="34">
        <v>46137</v>
      </c>
      <c r="C2311" s="34" t="str">
        <f>TEXT(Metas_Diarias[[#This Row],[data]],"dddd")</f>
        <v>sábado</v>
      </c>
      <c r="D2311" s="33">
        <v>3</v>
      </c>
      <c r="E2311" s="33">
        <v>3</v>
      </c>
      <c r="F2311" s="18"/>
      <c r="G2311" s="35">
        <f>WEEKDAY(Metas_Diarias[[#This Row],[data]])</f>
        <v>7</v>
      </c>
      <c r="H2311" s="35">
        <f>IF(Metas_Diarias[[#This Row],[dias_da_demana]]=1,"domingo",IF(Metas_Diarias[[#This Row],[dias_da_demana]]=7,0.5,1))</f>
        <v>0.5</v>
      </c>
      <c r="I2311" s="35">
        <f>_xlfn.XLOOKUP(Metas_Diarias[[#This Row],[data]],Feriados[Data],Feriados[Feriado],1)</f>
        <v>1</v>
      </c>
      <c r="J2311" s="33" cm="1">
        <f t="array" aca="1" ref="J2311" ca="1">SUMPRODUCT(IF((NOT(ISERROR(MATCH(ROW(INDIRECT(DATE(YEAR(B2311),MONTH(B2311),1)&amp;":"&amp;DATE(YEAR(B2311),MONTH(B2311)+1,0))),Feriados[Data],0))))=FALSE,
IF(WEEKDAY(ROW(INDIRECT(DATE(YEAR(B2311),MONTH(B2311),1)&amp;":"&amp;DATE(YEAR(B2311),MONTH(B2311)+1,0))),2)&lt;=5,1,IF(WEEKDAY(ROW(INDIRECT(DATE(YEAR(B2311),MONTH(B2311),1)&amp;":"&amp;DATE(YEAR(B2311),MONTH(B2311)+1,0))),2)=6,0.5,0)),0))</f>
        <v>22</v>
      </c>
      <c r="K2311" s="22" cm="1">
        <f t="array" ref="K2311">_xlfn.XLOOKUP(1,((Metas_Diarias[[#This Row],[tipo_equipe_id]]=Metas[equipe])*(Metas_Diarias[[#This Row],[data]]&gt;Metas[data_inicio])*(Metas_Diarias[[#This Row],[data]]&lt;Metas[data_fim])),Metas[meta_mensal],0)</f>
        <v>110000</v>
      </c>
      <c r="L2311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2312" spans="2:12" x14ac:dyDescent="0.3">
      <c r="B2312" s="34">
        <v>46138</v>
      </c>
      <c r="C2312" s="34" t="str">
        <f>TEXT(Metas_Diarias[[#This Row],[data]],"dddd")</f>
        <v>domingo</v>
      </c>
      <c r="D2312" s="33">
        <v>3</v>
      </c>
      <c r="E2312" s="33">
        <v>3</v>
      </c>
      <c r="F2312" s="18"/>
      <c r="G2312" s="35">
        <f>WEEKDAY(Metas_Diarias[[#This Row],[data]])</f>
        <v>1</v>
      </c>
      <c r="H2312" s="35" t="str">
        <f>IF(Metas_Diarias[[#This Row],[dias_da_demana]]=1,"domingo",IF(Metas_Diarias[[#This Row],[dias_da_demana]]=7,0.5,1))</f>
        <v>domingo</v>
      </c>
      <c r="I2312" s="35">
        <f>_xlfn.XLOOKUP(Metas_Diarias[[#This Row],[data]],Feriados[Data],Feriados[Feriado],1)</f>
        <v>1</v>
      </c>
      <c r="J2312" s="33" cm="1">
        <f t="array" aca="1" ref="J2312" ca="1">SUMPRODUCT(IF((NOT(ISERROR(MATCH(ROW(INDIRECT(DATE(YEAR(B2312),MONTH(B2312),1)&amp;":"&amp;DATE(YEAR(B2312),MONTH(B2312)+1,0))),Feriados[Data],0))))=FALSE,
IF(WEEKDAY(ROW(INDIRECT(DATE(YEAR(B2312),MONTH(B2312),1)&amp;":"&amp;DATE(YEAR(B2312),MONTH(B2312)+1,0))),2)&lt;=5,1,IF(WEEKDAY(ROW(INDIRECT(DATE(YEAR(B2312),MONTH(B2312),1)&amp;":"&amp;DATE(YEAR(B2312),MONTH(B2312)+1,0))),2)=6,0.5,0)),0))</f>
        <v>22</v>
      </c>
      <c r="K2312" s="22" cm="1">
        <f t="array" ref="K2312">_xlfn.XLOOKUP(1,((Metas_Diarias[[#This Row],[tipo_equipe_id]]=Metas[equipe])*(Metas_Diarias[[#This Row],[data]]&gt;Metas[data_inicio])*(Metas_Diarias[[#This Row],[data]]&lt;Metas[data_fim])),Metas[meta_mensal],0)</f>
        <v>110000</v>
      </c>
      <c r="L23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13" spans="2:12" x14ac:dyDescent="0.3">
      <c r="B2313" s="34">
        <v>46139</v>
      </c>
      <c r="C2313" s="34" t="str">
        <f>TEXT(Metas_Diarias[[#This Row],[data]],"dddd")</f>
        <v>segunda-feira</v>
      </c>
      <c r="D2313" s="33">
        <v>3</v>
      </c>
      <c r="E2313" s="33">
        <v>3</v>
      </c>
      <c r="F2313" s="18"/>
      <c r="G2313" s="35">
        <f>WEEKDAY(Metas_Diarias[[#This Row],[data]])</f>
        <v>2</v>
      </c>
      <c r="H2313" s="35">
        <f>IF(Metas_Diarias[[#This Row],[dias_da_demana]]=1,"domingo",IF(Metas_Diarias[[#This Row],[dias_da_demana]]=7,0.5,1))</f>
        <v>1</v>
      </c>
      <c r="I2313" s="35">
        <f>_xlfn.XLOOKUP(Metas_Diarias[[#This Row],[data]],Feriados[Data],Feriados[Feriado],1)</f>
        <v>1</v>
      </c>
      <c r="J2313" s="33" cm="1">
        <f t="array" aca="1" ref="J2313" ca="1">SUMPRODUCT(IF((NOT(ISERROR(MATCH(ROW(INDIRECT(DATE(YEAR(B2313),MONTH(B2313),1)&amp;":"&amp;DATE(YEAR(B2313),MONTH(B2313)+1,0))),Feriados[Data],0))))=FALSE,
IF(WEEKDAY(ROW(INDIRECT(DATE(YEAR(B2313),MONTH(B2313),1)&amp;":"&amp;DATE(YEAR(B2313),MONTH(B2313)+1,0))),2)&lt;=5,1,IF(WEEKDAY(ROW(INDIRECT(DATE(YEAR(B2313),MONTH(B2313),1)&amp;":"&amp;DATE(YEAR(B2313),MONTH(B2313)+1,0))),2)=6,0.5,0)),0))</f>
        <v>22</v>
      </c>
      <c r="K2313" s="22" cm="1">
        <f t="array" ref="K2313">_xlfn.XLOOKUP(1,((Metas_Diarias[[#This Row],[tipo_equipe_id]]=Metas[equipe])*(Metas_Diarias[[#This Row],[data]]&gt;Metas[data_inicio])*(Metas_Diarias[[#This Row],[data]]&lt;Metas[data_fim])),Metas[meta_mensal],0)</f>
        <v>110000</v>
      </c>
      <c r="L231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14" spans="2:12" x14ac:dyDescent="0.3">
      <c r="B2314" s="34">
        <v>46140</v>
      </c>
      <c r="C2314" s="34" t="str">
        <f>TEXT(Metas_Diarias[[#This Row],[data]],"dddd")</f>
        <v>terça-feira</v>
      </c>
      <c r="D2314" s="33">
        <v>3</v>
      </c>
      <c r="E2314" s="33">
        <v>3</v>
      </c>
      <c r="F2314" s="18"/>
      <c r="G2314" s="35">
        <f>WEEKDAY(Metas_Diarias[[#This Row],[data]])</f>
        <v>3</v>
      </c>
      <c r="H2314" s="35">
        <f>IF(Metas_Diarias[[#This Row],[dias_da_demana]]=1,"domingo",IF(Metas_Diarias[[#This Row],[dias_da_demana]]=7,0.5,1))</f>
        <v>1</v>
      </c>
      <c r="I2314" s="35">
        <f>_xlfn.XLOOKUP(Metas_Diarias[[#This Row],[data]],Feriados[Data],Feriados[Feriado],1)</f>
        <v>1</v>
      </c>
      <c r="J2314" s="33" cm="1">
        <f t="array" aca="1" ref="J2314" ca="1">SUMPRODUCT(IF((NOT(ISERROR(MATCH(ROW(INDIRECT(DATE(YEAR(B2314),MONTH(B2314),1)&amp;":"&amp;DATE(YEAR(B2314),MONTH(B2314)+1,0))),Feriados[Data],0))))=FALSE,
IF(WEEKDAY(ROW(INDIRECT(DATE(YEAR(B2314),MONTH(B2314),1)&amp;":"&amp;DATE(YEAR(B2314),MONTH(B2314)+1,0))),2)&lt;=5,1,IF(WEEKDAY(ROW(INDIRECT(DATE(YEAR(B2314),MONTH(B2314),1)&amp;":"&amp;DATE(YEAR(B2314),MONTH(B2314)+1,0))),2)=6,0.5,0)),0))</f>
        <v>22</v>
      </c>
      <c r="K2314" s="22" cm="1">
        <f t="array" ref="K2314">_xlfn.XLOOKUP(1,((Metas_Diarias[[#This Row],[tipo_equipe_id]]=Metas[equipe])*(Metas_Diarias[[#This Row],[data]]&gt;Metas[data_inicio])*(Metas_Diarias[[#This Row],[data]]&lt;Metas[data_fim])),Metas[meta_mensal],0)</f>
        <v>110000</v>
      </c>
      <c r="L2314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15" spans="2:12" x14ac:dyDescent="0.3">
      <c r="B2315" s="34">
        <v>46141</v>
      </c>
      <c r="C2315" s="34" t="str">
        <f>TEXT(Metas_Diarias[[#This Row],[data]],"dddd")</f>
        <v>quarta-feira</v>
      </c>
      <c r="D2315" s="33">
        <v>3</v>
      </c>
      <c r="E2315" s="33">
        <v>3</v>
      </c>
      <c r="F2315" s="18"/>
      <c r="G2315" s="35">
        <f>WEEKDAY(Metas_Diarias[[#This Row],[data]])</f>
        <v>4</v>
      </c>
      <c r="H2315" s="35">
        <f>IF(Metas_Diarias[[#This Row],[dias_da_demana]]=1,"domingo",IF(Metas_Diarias[[#This Row],[dias_da_demana]]=7,0.5,1))</f>
        <v>1</v>
      </c>
      <c r="I2315" s="35">
        <f>_xlfn.XLOOKUP(Metas_Diarias[[#This Row],[data]],Feriados[Data],Feriados[Feriado],1)</f>
        <v>1</v>
      </c>
      <c r="J2315" s="33" cm="1">
        <f t="array" aca="1" ref="J2315" ca="1">SUMPRODUCT(IF((NOT(ISERROR(MATCH(ROW(INDIRECT(DATE(YEAR(B2315),MONTH(B2315),1)&amp;":"&amp;DATE(YEAR(B2315),MONTH(B2315)+1,0))),Feriados[Data],0))))=FALSE,
IF(WEEKDAY(ROW(INDIRECT(DATE(YEAR(B2315),MONTH(B2315),1)&amp;":"&amp;DATE(YEAR(B2315),MONTH(B2315)+1,0))),2)&lt;=5,1,IF(WEEKDAY(ROW(INDIRECT(DATE(YEAR(B2315),MONTH(B2315),1)&amp;":"&amp;DATE(YEAR(B2315),MONTH(B2315)+1,0))),2)=6,0.5,0)),0))</f>
        <v>22</v>
      </c>
      <c r="K2315" s="22" cm="1">
        <f t="array" ref="K2315">_xlfn.XLOOKUP(1,((Metas_Diarias[[#This Row],[tipo_equipe_id]]=Metas[equipe])*(Metas_Diarias[[#This Row],[data]]&gt;Metas[data_inicio])*(Metas_Diarias[[#This Row],[data]]&lt;Metas[data_fim])),Metas[meta_mensal],0)</f>
        <v>110000</v>
      </c>
      <c r="L2315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16" spans="2:12" x14ac:dyDescent="0.3">
      <c r="B2316" s="34">
        <v>46142</v>
      </c>
      <c r="C2316" s="34" t="str">
        <f>TEXT(Metas_Diarias[[#This Row],[data]],"dddd")</f>
        <v>quinta-feira</v>
      </c>
      <c r="D2316" s="33">
        <v>3</v>
      </c>
      <c r="E2316" s="33">
        <v>3</v>
      </c>
      <c r="F2316" s="18"/>
      <c r="G2316" s="35">
        <f>WEEKDAY(Metas_Diarias[[#This Row],[data]])</f>
        <v>5</v>
      </c>
      <c r="H2316" s="35">
        <f>IF(Metas_Diarias[[#This Row],[dias_da_demana]]=1,"domingo",IF(Metas_Diarias[[#This Row],[dias_da_demana]]=7,0.5,1))</f>
        <v>1</v>
      </c>
      <c r="I2316" s="35">
        <f>_xlfn.XLOOKUP(Metas_Diarias[[#This Row],[data]],Feriados[Data],Feriados[Feriado],1)</f>
        <v>1</v>
      </c>
      <c r="J2316" s="33" cm="1">
        <f t="array" aca="1" ref="J2316" ca="1">SUMPRODUCT(IF((NOT(ISERROR(MATCH(ROW(INDIRECT(DATE(YEAR(B2316),MONTH(B2316),1)&amp;":"&amp;DATE(YEAR(B2316),MONTH(B2316)+1,0))),Feriados[Data],0))))=FALSE,
IF(WEEKDAY(ROW(INDIRECT(DATE(YEAR(B2316),MONTH(B2316),1)&amp;":"&amp;DATE(YEAR(B2316),MONTH(B2316)+1,0))),2)&lt;=5,1,IF(WEEKDAY(ROW(INDIRECT(DATE(YEAR(B2316),MONTH(B2316),1)&amp;":"&amp;DATE(YEAR(B2316),MONTH(B2316)+1,0))),2)=6,0.5,0)),0))</f>
        <v>22</v>
      </c>
      <c r="K2316" s="22" cm="1">
        <f t="array" ref="K2316">_xlfn.XLOOKUP(1,((Metas_Diarias[[#This Row],[tipo_equipe_id]]=Metas[equipe])*(Metas_Diarias[[#This Row],[data]]&gt;Metas[data_inicio])*(Metas_Diarias[[#This Row],[data]]&lt;Metas[data_fim])),Metas[meta_mensal],0)</f>
        <v>110000</v>
      </c>
      <c r="L2316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317" spans="2:12" x14ac:dyDescent="0.3">
      <c r="B2317" s="34">
        <v>46143</v>
      </c>
      <c r="C2317" s="34" t="str">
        <f>TEXT(Metas_Diarias[[#This Row],[data]],"dddd")</f>
        <v>sexta-feira</v>
      </c>
      <c r="D2317" s="33">
        <v>3</v>
      </c>
      <c r="E2317" s="33">
        <v>3</v>
      </c>
      <c r="F2317" s="18"/>
      <c r="G2317" s="35">
        <f>WEEKDAY(Metas_Diarias[[#This Row],[data]])</f>
        <v>6</v>
      </c>
      <c r="H2317" s="35">
        <f>IF(Metas_Diarias[[#This Row],[dias_da_demana]]=1,"domingo",IF(Metas_Diarias[[#This Row],[dias_da_demana]]=7,0.5,1))</f>
        <v>1</v>
      </c>
      <c r="I2317" s="35" t="str">
        <f>_xlfn.XLOOKUP(Metas_Diarias[[#This Row],[data]],Feriados[Data],Feriados[Feriado],1)</f>
        <v>Dia do Trabalho</v>
      </c>
      <c r="J2317" s="33" cm="1">
        <f t="array" aca="1" ref="J2317" ca="1">SUMPRODUCT(IF((NOT(ISERROR(MATCH(ROW(INDIRECT(DATE(YEAR(B2317),MONTH(B2317),1)&amp;":"&amp;DATE(YEAR(B2317),MONTH(B2317)+1,0))),Feriados[Data],0))))=FALSE,
IF(WEEKDAY(ROW(INDIRECT(DATE(YEAR(B2317),MONTH(B2317),1)&amp;":"&amp;DATE(YEAR(B2317),MONTH(B2317)+1,0))),2)&lt;=5,1,IF(WEEKDAY(ROW(INDIRECT(DATE(YEAR(B2317),MONTH(B2317),1)&amp;":"&amp;DATE(YEAR(B2317),MONTH(B2317)+1,0))),2)=6,0.5,0)),0))</f>
        <v>22.5</v>
      </c>
      <c r="K2317" s="22" cm="1">
        <f t="array" ref="K2317">_xlfn.XLOOKUP(1,((Metas_Diarias[[#This Row],[tipo_equipe_id]]=Metas[equipe])*(Metas_Diarias[[#This Row],[data]]&gt;Metas[data_inicio])*(Metas_Diarias[[#This Row],[data]]&lt;Metas[data_fim])),Metas[meta_mensal],0)</f>
        <v>110000</v>
      </c>
      <c r="L23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18" spans="2:12" x14ac:dyDescent="0.3">
      <c r="B2318" s="34">
        <v>46144</v>
      </c>
      <c r="C2318" s="34" t="str">
        <f>TEXT(Metas_Diarias[[#This Row],[data]],"dddd")</f>
        <v>sábado</v>
      </c>
      <c r="D2318" s="33">
        <v>3</v>
      </c>
      <c r="E2318" s="33">
        <v>3</v>
      </c>
      <c r="F2318" s="18"/>
      <c r="G2318" s="35">
        <f>WEEKDAY(Metas_Diarias[[#This Row],[data]])</f>
        <v>7</v>
      </c>
      <c r="H2318" s="35">
        <f>IF(Metas_Diarias[[#This Row],[dias_da_demana]]=1,"domingo",IF(Metas_Diarias[[#This Row],[dias_da_demana]]=7,0.5,1))</f>
        <v>0.5</v>
      </c>
      <c r="I2318" s="35">
        <f>_xlfn.XLOOKUP(Metas_Diarias[[#This Row],[data]],Feriados[Data],Feriados[Feriado],1)</f>
        <v>1</v>
      </c>
      <c r="J2318" s="33" cm="1">
        <f t="array" aca="1" ref="J2318" ca="1">SUMPRODUCT(IF((NOT(ISERROR(MATCH(ROW(INDIRECT(DATE(YEAR(B2318),MONTH(B2318),1)&amp;":"&amp;DATE(YEAR(B2318),MONTH(B2318)+1,0))),Feriados[Data],0))))=FALSE,
IF(WEEKDAY(ROW(INDIRECT(DATE(YEAR(B2318),MONTH(B2318),1)&amp;":"&amp;DATE(YEAR(B2318),MONTH(B2318)+1,0))),2)&lt;=5,1,IF(WEEKDAY(ROW(INDIRECT(DATE(YEAR(B2318),MONTH(B2318),1)&amp;":"&amp;DATE(YEAR(B2318),MONTH(B2318)+1,0))),2)=6,0.5,0)),0))</f>
        <v>22.5</v>
      </c>
      <c r="K2318" s="22" cm="1">
        <f t="array" ref="K2318">_xlfn.XLOOKUP(1,((Metas_Diarias[[#This Row],[tipo_equipe_id]]=Metas[equipe])*(Metas_Diarias[[#This Row],[data]]&gt;Metas[data_inicio])*(Metas_Diarias[[#This Row],[data]]&lt;Metas[data_fim])),Metas[meta_mensal],0)</f>
        <v>110000</v>
      </c>
      <c r="L2318" s="24">
        <f ca="1">Metas_Diarias[[#This Row],[meta_mensal]]*IF(Metas_Diarias[[#This Row],[semana]]="domingo",0,Metas_Diarias[[#This Row],[semana]])*IF(Metas_Diarias[[#This Row],[feriado]]&lt;&gt;1,0,1)/Metas_Diarias[[#This Row],[dias_úteis_Mês]]</f>
        <v>2444.4444444444443</v>
      </c>
    </row>
    <row r="2319" spans="2:12" x14ac:dyDescent="0.3">
      <c r="B2319" s="34">
        <v>46145</v>
      </c>
      <c r="C2319" s="34" t="str">
        <f>TEXT(Metas_Diarias[[#This Row],[data]],"dddd")</f>
        <v>domingo</v>
      </c>
      <c r="D2319" s="33">
        <v>3</v>
      </c>
      <c r="E2319" s="33">
        <v>3</v>
      </c>
      <c r="F2319" s="18"/>
      <c r="G2319" s="35">
        <f>WEEKDAY(Metas_Diarias[[#This Row],[data]])</f>
        <v>1</v>
      </c>
      <c r="H2319" s="35" t="str">
        <f>IF(Metas_Diarias[[#This Row],[dias_da_demana]]=1,"domingo",IF(Metas_Diarias[[#This Row],[dias_da_demana]]=7,0.5,1))</f>
        <v>domingo</v>
      </c>
      <c r="I2319" s="35">
        <f>_xlfn.XLOOKUP(Metas_Diarias[[#This Row],[data]],Feriados[Data],Feriados[Feriado],1)</f>
        <v>1</v>
      </c>
      <c r="J2319" s="33" cm="1">
        <f t="array" aca="1" ref="J2319" ca="1">SUMPRODUCT(IF((NOT(ISERROR(MATCH(ROW(INDIRECT(DATE(YEAR(B2319),MONTH(B2319),1)&amp;":"&amp;DATE(YEAR(B2319),MONTH(B2319)+1,0))),Feriados[Data],0))))=FALSE,
IF(WEEKDAY(ROW(INDIRECT(DATE(YEAR(B2319),MONTH(B2319),1)&amp;":"&amp;DATE(YEAR(B2319),MONTH(B2319)+1,0))),2)&lt;=5,1,IF(WEEKDAY(ROW(INDIRECT(DATE(YEAR(B2319),MONTH(B2319),1)&amp;":"&amp;DATE(YEAR(B2319),MONTH(B2319)+1,0))),2)=6,0.5,0)),0))</f>
        <v>22.5</v>
      </c>
      <c r="K2319" s="22" cm="1">
        <f t="array" ref="K2319">_xlfn.XLOOKUP(1,((Metas_Diarias[[#This Row],[tipo_equipe_id]]=Metas[equipe])*(Metas_Diarias[[#This Row],[data]]&gt;Metas[data_inicio])*(Metas_Diarias[[#This Row],[data]]&lt;Metas[data_fim])),Metas[meta_mensal],0)</f>
        <v>110000</v>
      </c>
      <c r="L23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20" spans="2:12" x14ac:dyDescent="0.3">
      <c r="B2320" s="34">
        <v>46146</v>
      </c>
      <c r="C2320" s="34" t="str">
        <f>TEXT(Metas_Diarias[[#This Row],[data]],"dddd")</f>
        <v>segunda-feira</v>
      </c>
      <c r="D2320" s="33">
        <v>3</v>
      </c>
      <c r="E2320" s="33">
        <v>3</v>
      </c>
      <c r="F2320" s="18"/>
      <c r="G2320" s="35">
        <f>WEEKDAY(Metas_Diarias[[#This Row],[data]])</f>
        <v>2</v>
      </c>
      <c r="H2320" s="35">
        <f>IF(Metas_Diarias[[#This Row],[dias_da_demana]]=1,"domingo",IF(Metas_Diarias[[#This Row],[dias_da_demana]]=7,0.5,1))</f>
        <v>1</v>
      </c>
      <c r="I2320" s="35">
        <f>_xlfn.XLOOKUP(Metas_Diarias[[#This Row],[data]],Feriados[Data],Feriados[Feriado],1)</f>
        <v>1</v>
      </c>
      <c r="J2320" s="33" cm="1">
        <f t="array" aca="1" ref="J2320" ca="1">SUMPRODUCT(IF((NOT(ISERROR(MATCH(ROW(INDIRECT(DATE(YEAR(B2320),MONTH(B2320),1)&amp;":"&amp;DATE(YEAR(B2320),MONTH(B2320)+1,0))),Feriados[Data],0))))=FALSE,
IF(WEEKDAY(ROW(INDIRECT(DATE(YEAR(B2320),MONTH(B2320),1)&amp;":"&amp;DATE(YEAR(B2320),MONTH(B2320)+1,0))),2)&lt;=5,1,IF(WEEKDAY(ROW(INDIRECT(DATE(YEAR(B2320),MONTH(B2320),1)&amp;":"&amp;DATE(YEAR(B2320),MONTH(B2320)+1,0))),2)=6,0.5,0)),0))</f>
        <v>22.5</v>
      </c>
      <c r="K2320" s="22" cm="1">
        <f t="array" ref="K2320">_xlfn.XLOOKUP(1,((Metas_Diarias[[#This Row],[tipo_equipe_id]]=Metas[equipe])*(Metas_Diarias[[#This Row],[data]]&gt;Metas[data_inicio])*(Metas_Diarias[[#This Row],[data]]&lt;Metas[data_fim])),Metas[meta_mensal],0)</f>
        <v>110000</v>
      </c>
      <c r="L2320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21" spans="2:12" x14ac:dyDescent="0.3">
      <c r="B2321" s="34">
        <v>46147</v>
      </c>
      <c r="C2321" s="34" t="str">
        <f>TEXT(Metas_Diarias[[#This Row],[data]],"dddd")</f>
        <v>terça-feira</v>
      </c>
      <c r="D2321" s="33">
        <v>3</v>
      </c>
      <c r="E2321" s="33">
        <v>3</v>
      </c>
      <c r="F2321" s="18"/>
      <c r="G2321" s="35">
        <f>WEEKDAY(Metas_Diarias[[#This Row],[data]])</f>
        <v>3</v>
      </c>
      <c r="H2321" s="35">
        <f>IF(Metas_Diarias[[#This Row],[dias_da_demana]]=1,"domingo",IF(Metas_Diarias[[#This Row],[dias_da_demana]]=7,0.5,1))</f>
        <v>1</v>
      </c>
      <c r="I2321" s="35">
        <f>_xlfn.XLOOKUP(Metas_Diarias[[#This Row],[data]],Feriados[Data],Feriados[Feriado],1)</f>
        <v>1</v>
      </c>
      <c r="J2321" s="33" cm="1">
        <f t="array" aca="1" ref="J2321" ca="1">SUMPRODUCT(IF((NOT(ISERROR(MATCH(ROW(INDIRECT(DATE(YEAR(B2321),MONTH(B2321),1)&amp;":"&amp;DATE(YEAR(B2321),MONTH(B2321)+1,0))),Feriados[Data],0))))=FALSE,
IF(WEEKDAY(ROW(INDIRECT(DATE(YEAR(B2321),MONTH(B2321),1)&amp;":"&amp;DATE(YEAR(B2321),MONTH(B2321)+1,0))),2)&lt;=5,1,IF(WEEKDAY(ROW(INDIRECT(DATE(YEAR(B2321),MONTH(B2321),1)&amp;":"&amp;DATE(YEAR(B2321),MONTH(B2321)+1,0))),2)=6,0.5,0)),0))</f>
        <v>22.5</v>
      </c>
      <c r="K2321" s="22" cm="1">
        <f t="array" ref="K2321">_xlfn.XLOOKUP(1,((Metas_Diarias[[#This Row],[tipo_equipe_id]]=Metas[equipe])*(Metas_Diarias[[#This Row],[data]]&gt;Metas[data_inicio])*(Metas_Diarias[[#This Row],[data]]&lt;Metas[data_fim])),Metas[meta_mensal],0)</f>
        <v>110000</v>
      </c>
      <c r="L2321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22" spans="2:12" x14ac:dyDescent="0.3">
      <c r="B2322" s="34">
        <v>46148</v>
      </c>
      <c r="C2322" s="34" t="str">
        <f>TEXT(Metas_Diarias[[#This Row],[data]],"dddd")</f>
        <v>quarta-feira</v>
      </c>
      <c r="D2322" s="33">
        <v>3</v>
      </c>
      <c r="E2322" s="33">
        <v>3</v>
      </c>
      <c r="F2322" s="18"/>
      <c r="G2322" s="35">
        <f>WEEKDAY(Metas_Diarias[[#This Row],[data]])</f>
        <v>4</v>
      </c>
      <c r="H2322" s="35">
        <f>IF(Metas_Diarias[[#This Row],[dias_da_demana]]=1,"domingo",IF(Metas_Diarias[[#This Row],[dias_da_demana]]=7,0.5,1))</f>
        <v>1</v>
      </c>
      <c r="I2322" s="35">
        <f>_xlfn.XLOOKUP(Metas_Diarias[[#This Row],[data]],Feriados[Data],Feriados[Feriado],1)</f>
        <v>1</v>
      </c>
      <c r="J2322" s="33" cm="1">
        <f t="array" aca="1" ref="J2322" ca="1">SUMPRODUCT(IF((NOT(ISERROR(MATCH(ROW(INDIRECT(DATE(YEAR(B2322),MONTH(B2322),1)&amp;":"&amp;DATE(YEAR(B2322),MONTH(B2322)+1,0))),Feriados[Data],0))))=FALSE,
IF(WEEKDAY(ROW(INDIRECT(DATE(YEAR(B2322),MONTH(B2322),1)&amp;":"&amp;DATE(YEAR(B2322),MONTH(B2322)+1,0))),2)&lt;=5,1,IF(WEEKDAY(ROW(INDIRECT(DATE(YEAR(B2322),MONTH(B2322),1)&amp;":"&amp;DATE(YEAR(B2322),MONTH(B2322)+1,0))),2)=6,0.5,0)),0))</f>
        <v>22.5</v>
      </c>
      <c r="K2322" s="22" cm="1">
        <f t="array" ref="K2322">_xlfn.XLOOKUP(1,((Metas_Diarias[[#This Row],[tipo_equipe_id]]=Metas[equipe])*(Metas_Diarias[[#This Row],[data]]&gt;Metas[data_inicio])*(Metas_Diarias[[#This Row],[data]]&lt;Metas[data_fim])),Metas[meta_mensal],0)</f>
        <v>110000</v>
      </c>
      <c r="L2322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23" spans="2:12" x14ac:dyDescent="0.3">
      <c r="B2323" s="34">
        <v>46149</v>
      </c>
      <c r="C2323" s="34" t="str">
        <f>TEXT(Metas_Diarias[[#This Row],[data]],"dddd")</f>
        <v>quinta-feira</v>
      </c>
      <c r="D2323" s="33">
        <v>3</v>
      </c>
      <c r="E2323" s="33">
        <v>3</v>
      </c>
      <c r="F2323" s="18"/>
      <c r="G2323" s="35">
        <f>WEEKDAY(Metas_Diarias[[#This Row],[data]])</f>
        <v>5</v>
      </c>
      <c r="H2323" s="35">
        <f>IF(Metas_Diarias[[#This Row],[dias_da_demana]]=1,"domingo",IF(Metas_Diarias[[#This Row],[dias_da_demana]]=7,0.5,1))</f>
        <v>1</v>
      </c>
      <c r="I2323" s="35">
        <f>_xlfn.XLOOKUP(Metas_Diarias[[#This Row],[data]],Feriados[Data],Feriados[Feriado],1)</f>
        <v>1</v>
      </c>
      <c r="J2323" s="33" cm="1">
        <f t="array" aca="1" ref="J2323" ca="1">SUMPRODUCT(IF((NOT(ISERROR(MATCH(ROW(INDIRECT(DATE(YEAR(B2323),MONTH(B2323),1)&amp;":"&amp;DATE(YEAR(B2323),MONTH(B2323)+1,0))),Feriados[Data],0))))=FALSE,
IF(WEEKDAY(ROW(INDIRECT(DATE(YEAR(B2323),MONTH(B2323),1)&amp;":"&amp;DATE(YEAR(B2323),MONTH(B2323)+1,0))),2)&lt;=5,1,IF(WEEKDAY(ROW(INDIRECT(DATE(YEAR(B2323),MONTH(B2323),1)&amp;":"&amp;DATE(YEAR(B2323),MONTH(B2323)+1,0))),2)=6,0.5,0)),0))</f>
        <v>22.5</v>
      </c>
      <c r="K2323" s="22" cm="1">
        <f t="array" ref="K2323">_xlfn.XLOOKUP(1,((Metas_Diarias[[#This Row],[tipo_equipe_id]]=Metas[equipe])*(Metas_Diarias[[#This Row],[data]]&gt;Metas[data_inicio])*(Metas_Diarias[[#This Row],[data]]&lt;Metas[data_fim])),Metas[meta_mensal],0)</f>
        <v>110000</v>
      </c>
      <c r="L2323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24" spans="2:12" x14ac:dyDescent="0.3">
      <c r="B2324" s="34">
        <v>46150</v>
      </c>
      <c r="C2324" s="34" t="str">
        <f>TEXT(Metas_Diarias[[#This Row],[data]],"dddd")</f>
        <v>sexta-feira</v>
      </c>
      <c r="D2324" s="33">
        <v>3</v>
      </c>
      <c r="E2324" s="33">
        <v>3</v>
      </c>
      <c r="F2324" s="18"/>
      <c r="G2324" s="35">
        <f>WEEKDAY(Metas_Diarias[[#This Row],[data]])</f>
        <v>6</v>
      </c>
      <c r="H2324" s="35">
        <f>IF(Metas_Diarias[[#This Row],[dias_da_demana]]=1,"domingo",IF(Metas_Diarias[[#This Row],[dias_da_demana]]=7,0.5,1))</f>
        <v>1</v>
      </c>
      <c r="I2324" s="35">
        <f>_xlfn.XLOOKUP(Metas_Diarias[[#This Row],[data]],Feriados[Data],Feriados[Feriado],1)</f>
        <v>1</v>
      </c>
      <c r="J2324" s="33" cm="1">
        <f t="array" aca="1" ref="J2324" ca="1">SUMPRODUCT(IF((NOT(ISERROR(MATCH(ROW(INDIRECT(DATE(YEAR(B2324),MONTH(B2324),1)&amp;":"&amp;DATE(YEAR(B2324),MONTH(B2324)+1,0))),Feriados[Data],0))))=FALSE,
IF(WEEKDAY(ROW(INDIRECT(DATE(YEAR(B2324),MONTH(B2324),1)&amp;":"&amp;DATE(YEAR(B2324),MONTH(B2324)+1,0))),2)&lt;=5,1,IF(WEEKDAY(ROW(INDIRECT(DATE(YEAR(B2324),MONTH(B2324),1)&amp;":"&amp;DATE(YEAR(B2324),MONTH(B2324)+1,0))),2)=6,0.5,0)),0))</f>
        <v>22.5</v>
      </c>
      <c r="K2324" s="22" cm="1">
        <f t="array" ref="K2324">_xlfn.XLOOKUP(1,((Metas_Diarias[[#This Row],[tipo_equipe_id]]=Metas[equipe])*(Metas_Diarias[[#This Row],[data]]&gt;Metas[data_inicio])*(Metas_Diarias[[#This Row],[data]]&lt;Metas[data_fim])),Metas[meta_mensal],0)</f>
        <v>110000</v>
      </c>
      <c r="L2324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25" spans="2:12" x14ac:dyDescent="0.3">
      <c r="B2325" s="34">
        <v>46151</v>
      </c>
      <c r="C2325" s="34" t="str">
        <f>TEXT(Metas_Diarias[[#This Row],[data]],"dddd")</f>
        <v>sábado</v>
      </c>
      <c r="D2325" s="33">
        <v>3</v>
      </c>
      <c r="E2325" s="33">
        <v>3</v>
      </c>
      <c r="F2325" s="18"/>
      <c r="G2325" s="35">
        <f>WEEKDAY(Metas_Diarias[[#This Row],[data]])</f>
        <v>7</v>
      </c>
      <c r="H2325" s="35">
        <f>IF(Metas_Diarias[[#This Row],[dias_da_demana]]=1,"domingo",IF(Metas_Diarias[[#This Row],[dias_da_demana]]=7,0.5,1))</f>
        <v>0.5</v>
      </c>
      <c r="I2325" s="35">
        <f>_xlfn.XLOOKUP(Metas_Diarias[[#This Row],[data]],Feriados[Data],Feriados[Feriado],1)</f>
        <v>1</v>
      </c>
      <c r="J2325" s="33" cm="1">
        <f t="array" aca="1" ref="J2325" ca="1">SUMPRODUCT(IF((NOT(ISERROR(MATCH(ROW(INDIRECT(DATE(YEAR(B2325),MONTH(B2325),1)&amp;":"&amp;DATE(YEAR(B2325),MONTH(B2325)+1,0))),Feriados[Data],0))))=FALSE,
IF(WEEKDAY(ROW(INDIRECT(DATE(YEAR(B2325),MONTH(B2325),1)&amp;":"&amp;DATE(YEAR(B2325),MONTH(B2325)+1,0))),2)&lt;=5,1,IF(WEEKDAY(ROW(INDIRECT(DATE(YEAR(B2325),MONTH(B2325),1)&amp;":"&amp;DATE(YEAR(B2325),MONTH(B2325)+1,0))),2)=6,0.5,0)),0))</f>
        <v>22.5</v>
      </c>
      <c r="K2325" s="22" cm="1">
        <f t="array" ref="K2325">_xlfn.XLOOKUP(1,((Metas_Diarias[[#This Row],[tipo_equipe_id]]=Metas[equipe])*(Metas_Diarias[[#This Row],[data]]&gt;Metas[data_inicio])*(Metas_Diarias[[#This Row],[data]]&lt;Metas[data_fim])),Metas[meta_mensal],0)</f>
        <v>110000</v>
      </c>
      <c r="L2325" s="24">
        <f ca="1">Metas_Diarias[[#This Row],[meta_mensal]]*IF(Metas_Diarias[[#This Row],[semana]]="domingo",0,Metas_Diarias[[#This Row],[semana]])*IF(Metas_Diarias[[#This Row],[feriado]]&lt;&gt;1,0,1)/Metas_Diarias[[#This Row],[dias_úteis_Mês]]</f>
        <v>2444.4444444444443</v>
      </c>
    </row>
    <row r="2326" spans="2:12" x14ac:dyDescent="0.3">
      <c r="B2326" s="34">
        <v>46152</v>
      </c>
      <c r="C2326" s="34" t="str">
        <f>TEXT(Metas_Diarias[[#This Row],[data]],"dddd")</f>
        <v>domingo</v>
      </c>
      <c r="D2326" s="33">
        <v>3</v>
      </c>
      <c r="E2326" s="33">
        <v>3</v>
      </c>
      <c r="F2326" s="18"/>
      <c r="G2326" s="35">
        <f>WEEKDAY(Metas_Diarias[[#This Row],[data]])</f>
        <v>1</v>
      </c>
      <c r="H2326" s="35" t="str">
        <f>IF(Metas_Diarias[[#This Row],[dias_da_demana]]=1,"domingo",IF(Metas_Diarias[[#This Row],[dias_da_demana]]=7,0.5,1))</f>
        <v>domingo</v>
      </c>
      <c r="I2326" s="35">
        <f>_xlfn.XLOOKUP(Metas_Diarias[[#This Row],[data]],Feriados[Data],Feriados[Feriado],1)</f>
        <v>1</v>
      </c>
      <c r="J2326" s="33" cm="1">
        <f t="array" aca="1" ref="J2326" ca="1">SUMPRODUCT(IF((NOT(ISERROR(MATCH(ROW(INDIRECT(DATE(YEAR(B2326),MONTH(B2326),1)&amp;":"&amp;DATE(YEAR(B2326),MONTH(B2326)+1,0))),Feriados[Data],0))))=FALSE,
IF(WEEKDAY(ROW(INDIRECT(DATE(YEAR(B2326),MONTH(B2326),1)&amp;":"&amp;DATE(YEAR(B2326),MONTH(B2326)+1,0))),2)&lt;=5,1,IF(WEEKDAY(ROW(INDIRECT(DATE(YEAR(B2326),MONTH(B2326),1)&amp;":"&amp;DATE(YEAR(B2326),MONTH(B2326)+1,0))),2)=6,0.5,0)),0))</f>
        <v>22.5</v>
      </c>
      <c r="K2326" s="22" cm="1">
        <f t="array" ref="K2326">_xlfn.XLOOKUP(1,((Metas_Diarias[[#This Row],[tipo_equipe_id]]=Metas[equipe])*(Metas_Diarias[[#This Row],[data]]&gt;Metas[data_inicio])*(Metas_Diarias[[#This Row],[data]]&lt;Metas[data_fim])),Metas[meta_mensal],0)</f>
        <v>110000</v>
      </c>
      <c r="L23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27" spans="2:12" x14ac:dyDescent="0.3">
      <c r="B2327" s="34">
        <v>46153</v>
      </c>
      <c r="C2327" s="34" t="str">
        <f>TEXT(Metas_Diarias[[#This Row],[data]],"dddd")</f>
        <v>segunda-feira</v>
      </c>
      <c r="D2327" s="33">
        <v>3</v>
      </c>
      <c r="E2327" s="33">
        <v>3</v>
      </c>
      <c r="F2327" s="18"/>
      <c r="G2327" s="35">
        <f>WEEKDAY(Metas_Diarias[[#This Row],[data]])</f>
        <v>2</v>
      </c>
      <c r="H2327" s="35">
        <f>IF(Metas_Diarias[[#This Row],[dias_da_demana]]=1,"domingo",IF(Metas_Diarias[[#This Row],[dias_da_demana]]=7,0.5,1))</f>
        <v>1</v>
      </c>
      <c r="I2327" s="35">
        <f>_xlfn.XLOOKUP(Metas_Diarias[[#This Row],[data]],Feriados[Data],Feriados[Feriado],1)</f>
        <v>1</v>
      </c>
      <c r="J2327" s="33" cm="1">
        <f t="array" aca="1" ref="J2327" ca="1">SUMPRODUCT(IF((NOT(ISERROR(MATCH(ROW(INDIRECT(DATE(YEAR(B2327),MONTH(B2327),1)&amp;":"&amp;DATE(YEAR(B2327),MONTH(B2327)+1,0))),Feriados[Data],0))))=FALSE,
IF(WEEKDAY(ROW(INDIRECT(DATE(YEAR(B2327),MONTH(B2327),1)&amp;":"&amp;DATE(YEAR(B2327),MONTH(B2327)+1,0))),2)&lt;=5,1,IF(WEEKDAY(ROW(INDIRECT(DATE(YEAR(B2327),MONTH(B2327),1)&amp;":"&amp;DATE(YEAR(B2327),MONTH(B2327)+1,0))),2)=6,0.5,0)),0))</f>
        <v>22.5</v>
      </c>
      <c r="K2327" s="22" cm="1">
        <f t="array" ref="K2327">_xlfn.XLOOKUP(1,((Metas_Diarias[[#This Row],[tipo_equipe_id]]=Metas[equipe])*(Metas_Diarias[[#This Row],[data]]&gt;Metas[data_inicio])*(Metas_Diarias[[#This Row],[data]]&lt;Metas[data_fim])),Metas[meta_mensal],0)</f>
        <v>110000</v>
      </c>
      <c r="L2327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28" spans="2:12" x14ac:dyDescent="0.3">
      <c r="B2328" s="34">
        <v>46154</v>
      </c>
      <c r="C2328" s="34" t="str">
        <f>TEXT(Metas_Diarias[[#This Row],[data]],"dddd")</f>
        <v>terça-feira</v>
      </c>
      <c r="D2328" s="33">
        <v>3</v>
      </c>
      <c r="E2328" s="33">
        <v>3</v>
      </c>
      <c r="F2328" s="18"/>
      <c r="G2328" s="35">
        <f>WEEKDAY(Metas_Diarias[[#This Row],[data]])</f>
        <v>3</v>
      </c>
      <c r="H2328" s="35">
        <f>IF(Metas_Diarias[[#This Row],[dias_da_demana]]=1,"domingo",IF(Metas_Diarias[[#This Row],[dias_da_demana]]=7,0.5,1))</f>
        <v>1</v>
      </c>
      <c r="I2328" s="35">
        <f>_xlfn.XLOOKUP(Metas_Diarias[[#This Row],[data]],Feriados[Data],Feriados[Feriado],1)</f>
        <v>1</v>
      </c>
      <c r="J2328" s="33" cm="1">
        <f t="array" aca="1" ref="J2328" ca="1">SUMPRODUCT(IF((NOT(ISERROR(MATCH(ROW(INDIRECT(DATE(YEAR(B2328),MONTH(B2328),1)&amp;":"&amp;DATE(YEAR(B2328),MONTH(B2328)+1,0))),Feriados[Data],0))))=FALSE,
IF(WEEKDAY(ROW(INDIRECT(DATE(YEAR(B2328),MONTH(B2328),1)&amp;":"&amp;DATE(YEAR(B2328),MONTH(B2328)+1,0))),2)&lt;=5,1,IF(WEEKDAY(ROW(INDIRECT(DATE(YEAR(B2328),MONTH(B2328),1)&amp;":"&amp;DATE(YEAR(B2328),MONTH(B2328)+1,0))),2)=6,0.5,0)),0))</f>
        <v>22.5</v>
      </c>
      <c r="K2328" s="22" cm="1">
        <f t="array" ref="K2328">_xlfn.XLOOKUP(1,((Metas_Diarias[[#This Row],[tipo_equipe_id]]=Metas[equipe])*(Metas_Diarias[[#This Row],[data]]&gt;Metas[data_inicio])*(Metas_Diarias[[#This Row],[data]]&lt;Metas[data_fim])),Metas[meta_mensal],0)</f>
        <v>110000</v>
      </c>
      <c r="L2328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29" spans="2:12" x14ac:dyDescent="0.3">
      <c r="B2329" s="34">
        <v>46155</v>
      </c>
      <c r="C2329" s="34" t="str">
        <f>TEXT(Metas_Diarias[[#This Row],[data]],"dddd")</f>
        <v>quarta-feira</v>
      </c>
      <c r="D2329" s="33">
        <v>3</v>
      </c>
      <c r="E2329" s="33">
        <v>3</v>
      </c>
      <c r="F2329" s="18"/>
      <c r="G2329" s="35">
        <f>WEEKDAY(Metas_Diarias[[#This Row],[data]])</f>
        <v>4</v>
      </c>
      <c r="H2329" s="35">
        <f>IF(Metas_Diarias[[#This Row],[dias_da_demana]]=1,"domingo",IF(Metas_Diarias[[#This Row],[dias_da_demana]]=7,0.5,1))</f>
        <v>1</v>
      </c>
      <c r="I2329" s="35">
        <f>_xlfn.XLOOKUP(Metas_Diarias[[#This Row],[data]],Feriados[Data],Feriados[Feriado],1)</f>
        <v>1</v>
      </c>
      <c r="J2329" s="33" cm="1">
        <f t="array" aca="1" ref="J2329" ca="1">SUMPRODUCT(IF((NOT(ISERROR(MATCH(ROW(INDIRECT(DATE(YEAR(B2329),MONTH(B2329),1)&amp;":"&amp;DATE(YEAR(B2329),MONTH(B2329)+1,0))),Feriados[Data],0))))=FALSE,
IF(WEEKDAY(ROW(INDIRECT(DATE(YEAR(B2329),MONTH(B2329),1)&amp;":"&amp;DATE(YEAR(B2329),MONTH(B2329)+1,0))),2)&lt;=5,1,IF(WEEKDAY(ROW(INDIRECT(DATE(YEAR(B2329),MONTH(B2329),1)&amp;":"&amp;DATE(YEAR(B2329),MONTH(B2329)+1,0))),2)=6,0.5,0)),0))</f>
        <v>22.5</v>
      </c>
      <c r="K2329" s="22" cm="1">
        <f t="array" ref="K2329">_xlfn.XLOOKUP(1,((Metas_Diarias[[#This Row],[tipo_equipe_id]]=Metas[equipe])*(Metas_Diarias[[#This Row],[data]]&gt;Metas[data_inicio])*(Metas_Diarias[[#This Row],[data]]&lt;Metas[data_fim])),Metas[meta_mensal],0)</f>
        <v>110000</v>
      </c>
      <c r="L2329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30" spans="2:12" x14ac:dyDescent="0.3">
      <c r="B2330" s="34">
        <v>46156</v>
      </c>
      <c r="C2330" s="34" t="str">
        <f>TEXT(Metas_Diarias[[#This Row],[data]],"dddd")</f>
        <v>quinta-feira</v>
      </c>
      <c r="D2330" s="33">
        <v>3</v>
      </c>
      <c r="E2330" s="33">
        <v>3</v>
      </c>
      <c r="F2330" s="18"/>
      <c r="G2330" s="35">
        <f>WEEKDAY(Metas_Diarias[[#This Row],[data]])</f>
        <v>5</v>
      </c>
      <c r="H2330" s="35">
        <f>IF(Metas_Diarias[[#This Row],[dias_da_demana]]=1,"domingo",IF(Metas_Diarias[[#This Row],[dias_da_demana]]=7,0.5,1))</f>
        <v>1</v>
      </c>
      <c r="I2330" s="35">
        <f>_xlfn.XLOOKUP(Metas_Diarias[[#This Row],[data]],Feriados[Data],Feriados[Feriado],1)</f>
        <v>1</v>
      </c>
      <c r="J2330" s="33" cm="1">
        <f t="array" aca="1" ref="J2330" ca="1">SUMPRODUCT(IF((NOT(ISERROR(MATCH(ROW(INDIRECT(DATE(YEAR(B2330),MONTH(B2330),1)&amp;":"&amp;DATE(YEAR(B2330),MONTH(B2330)+1,0))),Feriados[Data],0))))=FALSE,
IF(WEEKDAY(ROW(INDIRECT(DATE(YEAR(B2330),MONTH(B2330),1)&amp;":"&amp;DATE(YEAR(B2330),MONTH(B2330)+1,0))),2)&lt;=5,1,IF(WEEKDAY(ROW(INDIRECT(DATE(YEAR(B2330),MONTH(B2330),1)&amp;":"&amp;DATE(YEAR(B2330),MONTH(B2330)+1,0))),2)=6,0.5,0)),0))</f>
        <v>22.5</v>
      </c>
      <c r="K2330" s="22" cm="1">
        <f t="array" ref="K2330">_xlfn.XLOOKUP(1,((Metas_Diarias[[#This Row],[tipo_equipe_id]]=Metas[equipe])*(Metas_Diarias[[#This Row],[data]]&gt;Metas[data_inicio])*(Metas_Diarias[[#This Row],[data]]&lt;Metas[data_fim])),Metas[meta_mensal],0)</f>
        <v>110000</v>
      </c>
      <c r="L2330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31" spans="2:12" x14ac:dyDescent="0.3">
      <c r="B2331" s="34">
        <v>46157</v>
      </c>
      <c r="C2331" s="34" t="str">
        <f>TEXT(Metas_Diarias[[#This Row],[data]],"dddd")</f>
        <v>sexta-feira</v>
      </c>
      <c r="D2331" s="33">
        <v>3</v>
      </c>
      <c r="E2331" s="33">
        <v>3</v>
      </c>
      <c r="F2331" s="18"/>
      <c r="G2331" s="35">
        <f>WEEKDAY(Metas_Diarias[[#This Row],[data]])</f>
        <v>6</v>
      </c>
      <c r="H2331" s="35">
        <f>IF(Metas_Diarias[[#This Row],[dias_da_demana]]=1,"domingo",IF(Metas_Diarias[[#This Row],[dias_da_demana]]=7,0.5,1))</f>
        <v>1</v>
      </c>
      <c r="I2331" s="35">
        <f>_xlfn.XLOOKUP(Metas_Diarias[[#This Row],[data]],Feriados[Data],Feriados[Feriado],1)</f>
        <v>1</v>
      </c>
      <c r="J2331" s="33" cm="1">
        <f t="array" aca="1" ref="J2331" ca="1">SUMPRODUCT(IF((NOT(ISERROR(MATCH(ROW(INDIRECT(DATE(YEAR(B2331),MONTH(B2331),1)&amp;":"&amp;DATE(YEAR(B2331),MONTH(B2331)+1,0))),Feriados[Data],0))))=FALSE,
IF(WEEKDAY(ROW(INDIRECT(DATE(YEAR(B2331),MONTH(B2331),1)&amp;":"&amp;DATE(YEAR(B2331),MONTH(B2331)+1,0))),2)&lt;=5,1,IF(WEEKDAY(ROW(INDIRECT(DATE(YEAR(B2331),MONTH(B2331),1)&amp;":"&amp;DATE(YEAR(B2331),MONTH(B2331)+1,0))),2)=6,0.5,0)),0))</f>
        <v>22.5</v>
      </c>
      <c r="K2331" s="22" cm="1">
        <f t="array" ref="K2331">_xlfn.XLOOKUP(1,((Metas_Diarias[[#This Row],[tipo_equipe_id]]=Metas[equipe])*(Metas_Diarias[[#This Row],[data]]&gt;Metas[data_inicio])*(Metas_Diarias[[#This Row],[data]]&lt;Metas[data_fim])),Metas[meta_mensal],0)</f>
        <v>110000</v>
      </c>
      <c r="L2331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32" spans="2:12" x14ac:dyDescent="0.3">
      <c r="B2332" s="34">
        <v>46158</v>
      </c>
      <c r="C2332" s="34" t="str">
        <f>TEXT(Metas_Diarias[[#This Row],[data]],"dddd")</f>
        <v>sábado</v>
      </c>
      <c r="D2332" s="33">
        <v>3</v>
      </c>
      <c r="E2332" s="33">
        <v>3</v>
      </c>
      <c r="F2332" s="18"/>
      <c r="G2332" s="35">
        <f>WEEKDAY(Metas_Diarias[[#This Row],[data]])</f>
        <v>7</v>
      </c>
      <c r="H2332" s="35">
        <f>IF(Metas_Diarias[[#This Row],[dias_da_demana]]=1,"domingo",IF(Metas_Diarias[[#This Row],[dias_da_demana]]=7,0.5,1))</f>
        <v>0.5</v>
      </c>
      <c r="I2332" s="35">
        <f>_xlfn.XLOOKUP(Metas_Diarias[[#This Row],[data]],Feriados[Data],Feriados[Feriado],1)</f>
        <v>1</v>
      </c>
      <c r="J2332" s="33" cm="1">
        <f t="array" aca="1" ref="J2332" ca="1">SUMPRODUCT(IF((NOT(ISERROR(MATCH(ROW(INDIRECT(DATE(YEAR(B2332),MONTH(B2332),1)&amp;":"&amp;DATE(YEAR(B2332),MONTH(B2332)+1,0))),Feriados[Data],0))))=FALSE,
IF(WEEKDAY(ROW(INDIRECT(DATE(YEAR(B2332),MONTH(B2332),1)&amp;":"&amp;DATE(YEAR(B2332),MONTH(B2332)+1,0))),2)&lt;=5,1,IF(WEEKDAY(ROW(INDIRECT(DATE(YEAR(B2332),MONTH(B2332),1)&amp;":"&amp;DATE(YEAR(B2332),MONTH(B2332)+1,0))),2)=6,0.5,0)),0))</f>
        <v>22.5</v>
      </c>
      <c r="K2332" s="22" cm="1">
        <f t="array" ref="K2332">_xlfn.XLOOKUP(1,((Metas_Diarias[[#This Row],[tipo_equipe_id]]=Metas[equipe])*(Metas_Diarias[[#This Row],[data]]&gt;Metas[data_inicio])*(Metas_Diarias[[#This Row],[data]]&lt;Metas[data_fim])),Metas[meta_mensal],0)</f>
        <v>110000</v>
      </c>
      <c r="L2332" s="24">
        <f ca="1">Metas_Diarias[[#This Row],[meta_mensal]]*IF(Metas_Diarias[[#This Row],[semana]]="domingo",0,Metas_Diarias[[#This Row],[semana]])*IF(Metas_Diarias[[#This Row],[feriado]]&lt;&gt;1,0,1)/Metas_Diarias[[#This Row],[dias_úteis_Mês]]</f>
        <v>2444.4444444444443</v>
      </c>
    </row>
    <row r="2333" spans="2:12" x14ac:dyDescent="0.3">
      <c r="B2333" s="34">
        <v>46159</v>
      </c>
      <c r="C2333" s="34" t="str">
        <f>TEXT(Metas_Diarias[[#This Row],[data]],"dddd")</f>
        <v>domingo</v>
      </c>
      <c r="D2333" s="33">
        <v>3</v>
      </c>
      <c r="E2333" s="33">
        <v>3</v>
      </c>
      <c r="F2333" s="18"/>
      <c r="G2333" s="35">
        <f>WEEKDAY(Metas_Diarias[[#This Row],[data]])</f>
        <v>1</v>
      </c>
      <c r="H2333" s="35" t="str">
        <f>IF(Metas_Diarias[[#This Row],[dias_da_demana]]=1,"domingo",IF(Metas_Diarias[[#This Row],[dias_da_demana]]=7,0.5,1))</f>
        <v>domingo</v>
      </c>
      <c r="I2333" s="35">
        <f>_xlfn.XLOOKUP(Metas_Diarias[[#This Row],[data]],Feriados[Data],Feriados[Feriado],1)</f>
        <v>1</v>
      </c>
      <c r="J2333" s="33" cm="1">
        <f t="array" aca="1" ref="J2333" ca="1">SUMPRODUCT(IF((NOT(ISERROR(MATCH(ROW(INDIRECT(DATE(YEAR(B2333),MONTH(B2333),1)&amp;":"&amp;DATE(YEAR(B2333),MONTH(B2333)+1,0))),Feriados[Data],0))))=FALSE,
IF(WEEKDAY(ROW(INDIRECT(DATE(YEAR(B2333),MONTH(B2333),1)&amp;":"&amp;DATE(YEAR(B2333),MONTH(B2333)+1,0))),2)&lt;=5,1,IF(WEEKDAY(ROW(INDIRECT(DATE(YEAR(B2333),MONTH(B2333),1)&amp;":"&amp;DATE(YEAR(B2333),MONTH(B2333)+1,0))),2)=6,0.5,0)),0))</f>
        <v>22.5</v>
      </c>
      <c r="K2333" s="22" cm="1">
        <f t="array" ref="K2333">_xlfn.XLOOKUP(1,((Metas_Diarias[[#This Row],[tipo_equipe_id]]=Metas[equipe])*(Metas_Diarias[[#This Row],[data]]&gt;Metas[data_inicio])*(Metas_Diarias[[#This Row],[data]]&lt;Metas[data_fim])),Metas[meta_mensal],0)</f>
        <v>110000</v>
      </c>
      <c r="L23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34" spans="2:12" x14ac:dyDescent="0.3">
      <c r="B2334" s="34">
        <v>46160</v>
      </c>
      <c r="C2334" s="34" t="str">
        <f>TEXT(Metas_Diarias[[#This Row],[data]],"dddd")</f>
        <v>segunda-feira</v>
      </c>
      <c r="D2334" s="33">
        <v>3</v>
      </c>
      <c r="E2334" s="33">
        <v>3</v>
      </c>
      <c r="F2334" s="18"/>
      <c r="G2334" s="35">
        <f>WEEKDAY(Metas_Diarias[[#This Row],[data]])</f>
        <v>2</v>
      </c>
      <c r="H2334" s="35">
        <f>IF(Metas_Diarias[[#This Row],[dias_da_demana]]=1,"domingo",IF(Metas_Diarias[[#This Row],[dias_da_demana]]=7,0.5,1))</f>
        <v>1</v>
      </c>
      <c r="I2334" s="35">
        <f>_xlfn.XLOOKUP(Metas_Diarias[[#This Row],[data]],Feriados[Data],Feriados[Feriado],1)</f>
        <v>1</v>
      </c>
      <c r="J2334" s="33" cm="1">
        <f t="array" aca="1" ref="J2334" ca="1">SUMPRODUCT(IF((NOT(ISERROR(MATCH(ROW(INDIRECT(DATE(YEAR(B2334),MONTH(B2334),1)&amp;":"&amp;DATE(YEAR(B2334),MONTH(B2334)+1,0))),Feriados[Data],0))))=FALSE,
IF(WEEKDAY(ROW(INDIRECT(DATE(YEAR(B2334),MONTH(B2334),1)&amp;":"&amp;DATE(YEAR(B2334),MONTH(B2334)+1,0))),2)&lt;=5,1,IF(WEEKDAY(ROW(INDIRECT(DATE(YEAR(B2334),MONTH(B2334),1)&amp;":"&amp;DATE(YEAR(B2334),MONTH(B2334)+1,0))),2)=6,0.5,0)),0))</f>
        <v>22.5</v>
      </c>
      <c r="K2334" s="22" cm="1">
        <f t="array" ref="K2334">_xlfn.XLOOKUP(1,((Metas_Diarias[[#This Row],[tipo_equipe_id]]=Metas[equipe])*(Metas_Diarias[[#This Row],[data]]&gt;Metas[data_inicio])*(Metas_Diarias[[#This Row],[data]]&lt;Metas[data_fim])),Metas[meta_mensal],0)</f>
        <v>110000</v>
      </c>
      <c r="L2334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35" spans="2:12" x14ac:dyDescent="0.3">
      <c r="B2335" s="34">
        <v>46161</v>
      </c>
      <c r="C2335" s="34" t="str">
        <f>TEXT(Metas_Diarias[[#This Row],[data]],"dddd")</f>
        <v>terça-feira</v>
      </c>
      <c r="D2335" s="33">
        <v>3</v>
      </c>
      <c r="E2335" s="33">
        <v>3</v>
      </c>
      <c r="F2335" s="18"/>
      <c r="G2335" s="35">
        <f>WEEKDAY(Metas_Diarias[[#This Row],[data]])</f>
        <v>3</v>
      </c>
      <c r="H2335" s="35">
        <f>IF(Metas_Diarias[[#This Row],[dias_da_demana]]=1,"domingo",IF(Metas_Diarias[[#This Row],[dias_da_demana]]=7,0.5,1))</f>
        <v>1</v>
      </c>
      <c r="I2335" s="35">
        <f>_xlfn.XLOOKUP(Metas_Diarias[[#This Row],[data]],Feriados[Data],Feriados[Feriado],1)</f>
        <v>1</v>
      </c>
      <c r="J2335" s="33" cm="1">
        <f t="array" aca="1" ref="J2335" ca="1">SUMPRODUCT(IF((NOT(ISERROR(MATCH(ROW(INDIRECT(DATE(YEAR(B2335),MONTH(B2335),1)&amp;":"&amp;DATE(YEAR(B2335),MONTH(B2335)+1,0))),Feriados[Data],0))))=FALSE,
IF(WEEKDAY(ROW(INDIRECT(DATE(YEAR(B2335),MONTH(B2335),1)&amp;":"&amp;DATE(YEAR(B2335),MONTH(B2335)+1,0))),2)&lt;=5,1,IF(WEEKDAY(ROW(INDIRECT(DATE(YEAR(B2335),MONTH(B2335),1)&amp;":"&amp;DATE(YEAR(B2335),MONTH(B2335)+1,0))),2)=6,0.5,0)),0))</f>
        <v>22.5</v>
      </c>
      <c r="K2335" s="22" cm="1">
        <f t="array" ref="K2335">_xlfn.XLOOKUP(1,((Metas_Diarias[[#This Row],[tipo_equipe_id]]=Metas[equipe])*(Metas_Diarias[[#This Row],[data]]&gt;Metas[data_inicio])*(Metas_Diarias[[#This Row],[data]]&lt;Metas[data_fim])),Metas[meta_mensal],0)</f>
        <v>110000</v>
      </c>
      <c r="L2335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36" spans="2:12" x14ac:dyDescent="0.3">
      <c r="B2336" s="34">
        <v>46162</v>
      </c>
      <c r="C2336" s="34" t="str">
        <f>TEXT(Metas_Diarias[[#This Row],[data]],"dddd")</f>
        <v>quarta-feira</v>
      </c>
      <c r="D2336" s="33">
        <v>3</v>
      </c>
      <c r="E2336" s="33">
        <v>3</v>
      </c>
      <c r="F2336" s="18"/>
      <c r="G2336" s="35">
        <f>WEEKDAY(Metas_Diarias[[#This Row],[data]])</f>
        <v>4</v>
      </c>
      <c r="H2336" s="35">
        <f>IF(Metas_Diarias[[#This Row],[dias_da_demana]]=1,"domingo",IF(Metas_Diarias[[#This Row],[dias_da_demana]]=7,0.5,1))</f>
        <v>1</v>
      </c>
      <c r="I2336" s="35">
        <f>_xlfn.XLOOKUP(Metas_Diarias[[#This Row],[data]],Feriados[Data],Feriados[Feriado],1)</f>
        <v>1</v>
      </c>
      <c r="J2336" s="33" cm="1">
        <f t="array" aca="1" ref="J2336" ca="1">SUMPRODUCT(IF((NOT(ISERROR(MATCH(ROW(INDIRECT(DATE(YEAR(B2336),MONTH(B2336),1)&amp;":"&amp;DATE(YEAR(B2336),MONTH(B2336)+1,0))),Feriados[Data],0))))=FALSE,
IF(WEEKDAY(ROW(INDIRECT(DATE(YEAR(B2336),MONTH(B2336),1)&amp;":"&amp;DATE(YEAR(B2336),MONTH(B2336)+1,0))),2)&lt;=5,1,IF(WEEKDAY(ROW(INDIRECT(DATE(YEAR(B2336),MONTH(B2336),1)&amp;":"&amp;DATE(YEAR(B2336),MONTH(B2336)+1,0))),2)=6,0.5,0)),0))</f>
        <v>22.5</v>
      </c>
      <c r="K2336" s="22" cm="1">
        <f t="array" ref="K2336">_xlfn.XLOOKUP(1,((Metas_Diarias[[#This Row],[tipo_equipe_id]]=Metas[equipe])*(Metas_Diarias[[#This Row],[data]]&gt;Metas[data_inicio])*(Metas_Diarias[[#This Row],[data]]&lt;Metas[data_fim])),Metas[meta_mensal],0)</f>
        <v>110000</v>
      </c>
      <c r="L2336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37" spans="2:12" x14ac:dyDescent="0.3">
      <c r="B2337" s="34">
        <v>46163</v>
      </c>
      <c r="C2337" s="34" t="str">
        <f>TEXT(Metas_Diarias[[#This Row],[data]],"dddd")</f>
        <v>quinta-feira</v>
      </c>
      <c r="D2337" s="33">
        <v>3</v>
      </c>
      <c r="E2337" s="33">
        <v>3</v>
      </c>
      <c r="F2337" s="18"/>
      <c r="G2337" s="35">
        <f>WEEKDAY(Metas_Diarias[[#This Row],[data]])</f>
        <v>5</v>
      </c>
      <c r="H2337" s="35">
        <f>IF(Metas_Diarias[[#This Row],[dias_da_demana]]=1,"domingo",IF(Metas_Diarias[[#This Row],[dias_da_demana]]=7,0.5,1))</f>
        <v>1</v>
      </c>
      <c r="I2337" s="35">
        <f>_xlfn.XLOOKUP(Metas_Diarias[[#This Row],[data]],Feriados[Data],Feriados[Feriado],1)</f>
        <v>1</v>
      </c>
      <c r="J2337" s="33" cm="1">
        <f t="array" aca="1" ref="J2337" ca="1">SUMPRODUCT(IF((NOT(ISERROR(MATCH(ROW(INDIRECT(DATE(YEAR(B2337),MONTH(B2337),1)&amp;":"&amp;DATE(YEAR(B2337),MONTH(B2337)+1,0))),Feriados[Data],0))))=FALSE,
IF(WEEKDAY(ROW(INDIRECT(DATE(YEAR(B2337),MONTH(B2337),1)&amp;":"&amp;DATE(YEAR(B2337),MONTH(B2337)+1,0))),2)&lt;=5,1,IF(WEEKDAY(ROW(INDIRECT(DATE(YEAR(B2337),MONTH(B2337),1)&amp;":"&amp;DATE(YEAR(B2337),MONTH(B2337)+1,0))),2)=6,0.5,0)),0))</f>
        <v>22.5</v>
      </c>
      <c r="K2337" s="22" cm="1">
        <f t="array" ref="K2337">_xlfn.XLOOKUP(1,((Metas_Diarias[[#This Row],[tipo_equipe_id]]=Metas[equipe])*(Metas_Diarias[[#This Row],[data]]&gt;Metas[data_inicio])*(Metas_Diarias[[#This Row],[data]]&lt;Metas[data_fim])),Metas[meta_mensal],0)</f>
        <v>110000</v>
      </c>
      <c r="L2337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38" spans="2:12" x14ac:dyDescent="0.3">
      <c r="B2338" s="34">
        <v>46164</v>
      </c>
      <c r="C2338" s="34" t="str">
        <f>TEXT(Metas_Diarias[[#This Row],[data]],"dddd")</f>
        <v>sexta-feira</v>
      </c>
      <c r="D2338" s="33">
        <v>3</v>
      </c>
      <c r="E2338" s="33">
        <v>3</v>
      </c>
      <c r="F2338" s="18"/>
      <c r="G2338" s="35">
        <f>WEEKDAY(Metas_Diarias[[#This Row],[data]])</f>
        <v>6</v>
      </c>
      <c r="H2338" s="35">
        <f>IF(Metas_Diarias[[#This Row],[dias_da_demana]]=1,"domingo",IF(Metas_Diarias[[#This Row],[dias_da_demana]]=7,0.5,1))</f>
        <v>1</v>
      </c>
      <c r="I2338" s="35">
        <f>_xlfn.XLOOKUP(Metas_Diarias[[#This Row],[data]],Feriados[Data],Feriados[Feriado],1)</f>
        <v>1</v>
      </c>
      <c r="J2338" s="33" cm="1">
        <f t="array" aca="1" ref="J2338" ca="1">SUMPRODUCT(IF((NOT(ISERROR(MATCH(ROW(INDIRECT(DATE(YEAR(B2338),MONTH(B2338),1)&amp;":"&amp;DATE(YEAR(B2338),MONTH(B2338)+1,0))),Feriados[Data],0))))=FALSE,
IF(WEEKDAY(ROW(INDIRECT(DATE(YEAR(B2338),MONTH(B2338),1)&amp;":"&amp;DATE(YEAR(B2338),MONTH(B2338)+1,0))),2)&lt;=5,1,IF(WEEKDAY(ROW(INDIRECT(DATE(YEAR(B2338),MONTH(B2338),1)&amp;":"&amp;DATE(YEAR(B2338),MONTH(B2338)+1,0))),2)=6,0.5,0)),0))</f>
        <v>22.5</v>
      </c>
      <c r="K2338" s="22" cm="1">
        <f t="array" ref="K2338">_xlfn.XLOOKUP(1,((Metas_Diarias[[#This Row],[tipo_equipe_id]]=Metas[equipe])*(Metas_Diarias[[#This Row],[data]]&gt;Metas[data_inicio])*(Metas_Diarias[[#This Row],[data]]&lt;Metas[data_fim])),Metas[meta_mensal],0)</f>
        <v>110000</v>
      </c>
      <c r="L2338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39" spans="2:12" x14ac:dyDescent="0.3">
      <c r="B2339" s="34">
        <v>46165</v>
      </c>
      <c r="C2339" s="34" t="str">
        <f>TEXT(Metas_Diarias[[#This Row],[data]],"dddd")</f>
        <v>sábado</v>
      </c>
      <c r="D2339" s="33">
        <v>3</v>
      </c>
      <c r="E2339" s="33">
        <v>3</v>
      </c>
      <c r="F2339" s="18"/>
      <c r="G2339" s="35">
        <f>WEEKDAY(Metas_Diarias[[#This Row],[data]])</f>
        <v>7</v>
      </c>
      <c r="H2339" s="35">
        <f>IF(Metas_Diarias[[#This Row],[dias_da_demana]]=1,"domingo",IF(Metas_Diarias[[#This Row],[dias_da_demana]]=7,0.5,1))</f>
        <v>0.5</v>
      </c>
      <c r="I2339" s="35">
        <f>_xlfn.XLOOKUP(Metas_Diarias[[#This Row],[data]],Feriados[Data],Feriados[Feriado],1)</f>
        <v>1</v>
      </c>
      <c r="J2339" s="33" cm="1">
        <f t="array" aca="1" ref="J2339" ca="1">SUMPRODUCT(IF((NOT(ISERROR(MATCH(ROW(INDIRECT(DATE(YEAR(B2339),MONTH(B2339),1)&amp;":"&amp;DATE(YEAR(B2339),MONTH(B2339)+1,0))),Feriados[Data],0))))=FALSE,
IF(WEEKDAY(ROW(INDIRECT(DATE(YEAR(B2339),MONTH(B2339),1)&amp;":"&amp;DATE(YEAR(B2339),MONTH(B2339)+1,0))),2)&lt;=5,1,IF(WEEKDAY(ROW(INDIRECT(DATE(YEAR(B2339),MONTH(B2339),1)&amp;":"&amp;DATE(YEAR(B2339),MONTH(B2339)+1,0))),2)=6,0.5,0)),0))</f>
        <v>22.5</v>
      </c>
      <c r="K2339" s="22" cm="1">
        <f t="array" ref="K2339">_xlfn.XLOOKUP(1,((Metas_Diarias[[#This Row],[tipo_equipe_id]]=Metas[equipe])*(Metas_Diarias[[#This Row],[data]]&gt;Metas[data_inicio])*(Metas_Diarias[[#This Row],[data]]&lt;Metas[data_fim])),Metas[meta_mensal],0)</f>
        <v>110000</v>
      </c>
      <c r="L2339" s="24">
        <f ca="1">Metas_Diarias[[#This Row],[meta_mensal]]*IF(Metas_Diarias[[#This Row],[semana]]="domingo",0,Metas_Diarias[[#This Row],[semana]])*IF(Metas_Diarias[[#This Row],[feriado]]&lt;&gt;1,0,1)/Metas_Diarias[[#This Row],[dias_úteis_Mês]]</f>
        <v>2444.4444444444443</v>
      </c>
    </row>
    <row r="2340" spans="2:12" x14ac:dyDescent="0.3">
      <c r="B2340" s="34">
        <v>46166</v>
      </c>
      <c r="C2340" s="34" t="str">
        <f>TEXT(Metas_Diarias[[#This Row],[data]],"dddd")</f>
        <v>domingo</v>
      </c>
      <c r="D2340" s="33">
        <v>3</v>
      </c>
      <c r="E2340" s="33">
        <v>3</v>
      </c>
      <c r="F2340" s="18"/>
      <c r="G2340" s="35">
        <f>WEEKDAY(Metas_Diarias[[#This Row],[data]])</f>
        <v>1</v>
      </c>
      <c r="H2340" s="35" t="str">
        <f>IF(Metas_Diarias[[#This Row],[dias_da_demana]]=1,"domingo",IF(Metas_Diarias[[#This Row],[dias_da_demana]]=7,0.5,1))</f>
        <v>domingo</v>
      </c>
      <c r="I2340" s="35">
        <f>_xlfn.XLOOKUP(Metas_Diarias[[#This Row],[data]],Feriados[Data],Feriados[Feriado],1)</f>
        <v>1</v>
      </c>
      <c r="J2340" s="33" cm="1">
        <f t="array" aca="1" ref="J2340" ca="1">SUMPRODUCT(IF((NOT(ISERROR(MATCH(ROW(INDIRECT(DATE(YEAR(B2340),MONTH(B2340),1)&amp;":"&amp;DATE(YEAR(B2340),MONTH(B2340)+1,0))),Feriados[Data],0))))=FALSE,
IF(WEEKDAY(ROW(INDIRECT(DATE(YEAR(B2340),MONTH(B2340),1)&amp;":"&amp;DATE(YEAR(B2340),MONTH(B2340)+1,0))),2)&lt;=5,1,IF(WEEKDAY(ROW(INDIRECT(DATE(YEAR(B2340),MONTH(B2340),1)&amp;":"&amp;DATE(YEAR(B2340),MONTH(B2340)+1,0))),2)=6,0.5,0)),0))</f>
        <v>22.5</v>
      </c>
      <c r="K2340" s="22" cm="1">
        <f t="array" ref="K2340">_xlfn.XLOOKUP(1,((Metas_Diarias[[#This Row],[tipo_equipe_id]]=Metas[equipe])*(Metas_Diarias[[#This Row],[data]]&gt;Metas[data_inicio])*(Metas_Diarias[[#This Row],[data]]&lt;Metas[data_fim])),Metas[meta_mensal],0)</f>
        <v>110000</v>
      </c>
      <c r="L234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41" spans="2:12" x14ac:dyDescent="0.3">
      <c r="B2341" s="34">
        <v>46167</v>
      </c>
      <c r="C2341" s="34" t="str">
        <f>TEXT(Metas_Diarias[[#This Row],[data]],"dddd")</f>
        <v>segunda-feira</v>
      </c>
      <c r="D2341" s="33">
        <v>3</v>
      </c>
      <c r="E2341" s="33">
        <v>3</v>
      </c>
      <c r="F2341" s="18"/>
      <c r="G2341" s="35">
        <f>WEEKDAY(Metas_Diarias[[#This Row],[data]])</f>
        <v>2</v>
      </c>
      <c r="H2341" s="35">
        <f>IF(Metas_Diarias[[#This Row],[dias_da_demana]]=1,"domingo",IF(Metas_Diarias[[#This Row],[dias_da_demana]]=7,0.5,1))</f>
        <v>1</v>
      </c>
      <c r="I2341" s="35">
        <f>_xlfn.XLOOKUP(Metas_Diarias[[#This Row],[data]],Feriados[Data],Feriados[Feriado],1)</f>
        <v>1</v>
      </c>
      <c r="J2341" s="33" cm="1">
        <f t="array" aca="1" ref="J2341" ca="1">SUMPRODUCT(IF((NOT(ISERROR(MATCH(ROW(INDIRECT(DATE(YEAR(B2341),MONTH(B2341),1)&amp;":"&amp;DATE(YEAR(B2341),MONTH(B2341)+1,0))),Feriados[Data],0))))=FALSE,
IF(WEEKDAY(ROW(INDIRECT(DATE(YEAR(B2341),MONTH(B2341),1)&amp;":"&amp;DATE(YEAR(B2341),MONTH(B2341)+1,0))),2)&lt;=5,1,IF(WEEKDAY(ROW(INDIRECT(DATE(YEAR(B2341),MONTH(B2341),1)&amp;":"&amp;DATE(YEAR(B2341),MONTH(B2341)+1,0))),2)=6,0.5,0)),0))</f>
        <v>22.5</v>
      </c>
      <c r="K2341" s="22" cm="1">
        <f t="array" ref="K2341">_xlfn.XLOOKUP(1,((Metas_Diarias[[#This Row],[tipo_equipe_id]]=Metas[equipe])*(Metas_Diarias[[#This Row],[data]]&gt;Metas[data_inicio])*(Metas_Diarias[[#This Row],[data]]&lt;Metas[data_fim])),Metas[meta_mensal],0)</f>
        <v>110000</v>
      </c>
      <c r="L2341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42" spans="2:12" x14ac:dyDescent="0.3">
      <c r="B2342" s="34">
        <v>46168</v>
      </c>
      <c r="C2342" s="34" t="str">
        <f>TEXT(Metas_Diarias[[#This Row],[data]],"dddd")</f>
        <v>terça-feira</v>
      </c>
      <c r="D2342" s="33">
        <v>3</v>
      </c>
      <c r="E2342" s="33">
        <v>3</v>
      </c>
      <c r="F2342" s="18"/>
      <c r="G2342" s="35">
        <f>WEEKDAY(Metas_Diarias[[#This Row],[data]])</f>
        <v>3</v>
      </c>
      <c r="H2342" s="35">
        <f>IF(Metas_Diarias[[#This Row],[dias_da_demana]]=1,"domingo",IF(Metas_Diarias[[#This Row],[dias_da_demana]]=7,0.5,1))</f>
        <v>1</v>
      </c>
      <c r="I2342" s="35">
        <f>_xlfn.XLOOKUP(Metas_Diarias[[#This Row],[data]],Feriados[Data],Feriados[Feriado],1)</f>
        <v>1</v>
      </c>
      <c r="J2342" s="33" cm="1">
        <f t="array" aca="1" ref="J2342" ca="1">SUMPRODUCT(IF((NOT(ISERROR(MATCH(ROW(INDIRECT(DATE(YEAR(B2342),MONTH(B2342),1)&amp;":"&amp;DATE(YEAR(B2342),MONTH(B2342)+1,0))),Feriados[Data],0))))=FALSE,
IF(WEEKDAY(ROW(INDIRECT(DATE(YEAR(B2342),MONTH(B2342),1)&amp;":"&amp;DATE(YEAR(B2342),MONTH(B2342)+1,0))),2)&lt;=5,1,IF(WEEKDAY(ROW(INDIRECT(DATE(YEAR(B2342),MONTH(B2342),1)&amp;":"&amp;DATE(YEAR(B2342),MONTH(B2342)+1,0))),2)=6,0.5,0)),0))</f>
        <v>22.5</v>
      </c>
      <c r="K2342" s="22" cm="1">
        <f t="array" ref="K2342">_xlfn.XLOOKUP(1,((Metas_Diarias[[#This Row],[tipo_equipe_id]]=Metas[equipe])*(Metas_Diarias[[#This Row],[data]]&gt;Metas[data_inicio])*(Metas_Diarias[[#This Row],[data]]&lt;Metas[data_fim])),Metas[meta_mensal],0)</f>
        <v>110000</v>
      </c>
      <c r="L2342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43" spans="2:12" x14ac:dyDescent="0.3">
      <c r="B2343" s="34">
        <v>46169</v>
      </c>
      <c r="C2343" s="34" t="str">
        <f>TEXT(Metas_Diarias[[#This Row],[data]],"dddd")</f>
        <v>quarta-feira</v>
      </c>
      <c r="D2343" s="33">
        <v>3</v>
      </c>
      <c r="E2343" s="33">
        <v>3</v>
      </c>
      <c r="F2343" s="18"/>
      <c r="G2343" s="35">
        <f>WEEKDAY(Metas_Diarias[[#This Row],[data]])</f>
        <v>4</v>
      </c>
      <c r="H2343" s="35">
        <f>IF(Metas_Diarias[[#This Row],[dias_da_demana]]=1,"domingo",IF(Metas_Diarias[[#This Row],[dias_da_demana]]=7,0.5,1))</f>
        <v>1</v>
      </c>
      <c r="I2343" s="35">
        <f>_xlfn.XLOOKUP(Metas_Diarias[[#This Row],[data]],Feriados[Data],Feriados[Feriado],1)</f>
        <v>1</v>
      </c>
      <c r="J2343" s="33" cm="1">
        <f t="array" aca="1" ref="J2343" ca="1">SUMPRODUCT(IF((NOT(ISERROR(MATCH(ROW(INDIRECT(DATE(YEAR(B2343),MONTH(B2343),1)&amp;":"&amp;DATE(YEAR(B2343),MONTH(B2343)+1,0))),Feriados[Data],0))))=FALSE,
IF(WEEKDAY(ROW(INDIRECT(DATE(YEAR(B2343),MONTH(B2343),1)&amp;":"&amp;DATE(YEAR(B2343),MONTH(B2343)+1,0))),2)&lt;=5,1,IF(WEEKDAY(ROW(INDIRECT(DATE(YEAR(B2343),MONTH(B2343),1)&amp;":"&amp;DATE(YEAR(B2343),MONTH(B2343)+1,0))),2)=6,0.5,0)),0))</f>
        <v>22.5</v>
      </c>
      <c r="K2343" s="22" cm="1">
        <f t="array" ref="K2343">_xlfn.XLOOKUP(1,((Metas_Diarias[[#This Row],[tipo_equipe_id]]=Metas[equipe])*(Metas_Diarias[[#This Row],[data]]&gt;Metas[data_inicio])*(Metas_Diarias[[#This Row],[data]]&lt;Metas[data_fim])),Metas[meta_mensal],0)</f>
        <v>110000</v>
      </c>
      <c r="L2343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44" spans="2:12" x14ac:dyDescent="0.3">
      <c r="B2344" s="34">
        <v>46170</v>
      </c>
      <c r="C2344" s="34" t="str">
        <f>TEXT(Metas_Diarias[[#This Row],[data]],"dddd")</f>
        <v>quinta-feira</v>
      </c>
      <c r="D2344" s="33">
        <v>3</v>
      </c>
      <c r="E2344" s="33">
        <v>3</v>
      </c>
      <c r="F2344" s="18"/>
      <c r="G2344" s="35">
        <f>WEEKDAY(Metas_Diarias[[#This Row],[data]])</f>
        <v>5</v>
      </c>
      <c r="H2344" s="35">
        <f>IF(Metas_Diarias[[#This Row],[dias_da_demana]]=1,"domingo",IF(Metas_Diarias[[#This Row],[dias_da_demana]]=7,0.5,1))</f>
        <v>1</v>
      </c>
      <c r="I2344" s="35">
        <f>_xlfn.XLOOKUP(Metas_Diarias[[#This Row],[data]],Feriados[Data],Feriados[Feriado],1)</f>
        <v>1</v>
      </c>
      <c r="J2344" s="33" cm="1">
        <f t="array" aca="1" ref="J2344" ca="1">SUMPRODUCT(IF((NOT(ISERROR(MATCH(ROW(INDIRECT(DATE(YEAR(B2344),MONTH(B2344),1)&amp;":"&amp;DATE(YEAR(B2344),MONTH(B2344)+1,0))),Feriados[Data],0))))=FALSE,
IF(WEEKDAY(ROW(INDIRECT(DATE(YEAR(B2344),MONTH(B2344),1)&amp;":"&amp;DATE(YEAR(B2344),MONTH(B2344)+1,0))),2)&lt;=5,1,IF(WEEKDAY(ROW(INDIRECT(DATE(YEAR(B2344),MONTH(B2344),1)&amp;":"&amp;DATE(YEAR(B2344),MONTH(B2344)+1,0))),2)=6,0.5,0)),0))</f>
        <v>22.5</v>
      </c>
      <c r="K2344" s="22" cm="1">
        <f t="array" ref="K2344">_xlfn.XLOOKUP(1,((Metas_Diarias[[#This Row],[tipo_equipe_id]]=Metas[equipe])*(Metas_Diarias[[#This Row],[data]]&gt;Metas[data_inicio])*(Metas_Diarias[[#This Row],[data]]&lt;Metas[data_fim])),Metas[meta_mensal],0)</f>
        <v>110000</v>
      </c>
      <c r="L2344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45" spans="2:12" x14ac:dyDescent="0.3">
      <c r="B2345" s="34">
        <v>46171</v>
      </c>
      <c r="C2345" s="34" t="str">
        <f>TEXT(Metas_Diarias[[#This Row],[data]],"dddd")</f>
        <v>sexta-feira</v>
      </c>
      <c r="D2345" s="33">
        <v>3</v>
      </c>
      <c r="E2345" s="33">
        <v>3</v>
      </c>
      <c r="F2345" s="18"/>
      <c r="G2345" s="35">
        <f>WEEKDAY(Metas_Diarias[[#This Row],[data]])</f>
        <v>6</v>
      </c>
      <c r="H2345" s="35">
        <f>IF(Metas_Diarias[[#This Row],[dias_da_demana]]=1,"domingo",IF(Metas_Diarias[[#This Row],[dias_da_demana]]=7,0.5,1))</f>
        <v>1</v>
      </c>
      <c r="I2345" s="35">
        <f>_xlfn.XLOOKUP(Metas_Diarias[[#This Row],[data]],Feriados[Data],Feriados[Feriado],1)</f>
        <v>1</v>
      </c>
      <c r="J2345" s="33" cm="1">
        <f t="array" aca="1" ref="J2345" ca="1">SUMPRODUCT(IF((NOT(ISERROR(MATCH(ROW(INDIRECT(DATE(YEAR(B2345),MONTH(B2345),1)&amp;":"&amp;DATE(YEAR(B2345),MONTH(B2345)+1,0))),Feriados[Data],0))))=FALSE,
IF(WEEKDAY(ROW(INDIRECT(DATE(YEAR(B2345),MONTH(B2345),1)&amp;":"&amp;DATE(YEAR(B2345),MONTH(B2345)+1,0))),2)&lt;=5,1,IF(WEEKDAY(ROW(INDIRECT(DATE(YEAR(B2345),MONTH(B2345),1)&amp;":"&amp;DATE(YEAR(B2345),MONTH(B2345)+1,0))),2)=6,0.5,0)),0))</f>
        <v>22.5</v>
      </c>
      <c r="K2345" s="22" cm="1">
        <f t="array" ref="K2345">_xlfn.XLOOKUP(1,((Metas_Diarias[[#This Row],[tipo_equipe_id]]=Metas[equipe])*(Metas_Diarias[[#This Row],[data]]&gt;Metas[data_inicio])*(Metas_Diarias[[#This Row],[data]]&lt;Metas[data_fim])),Metas[meta_mensal],0)</f>
        <v>110000</v>
      </c>
      <c r="L2345" s="24">
        <f ca="1">Metas_Diarias[[#This Row],[meta_mensal]]*IF(Metas_Diarias[[#This Row],[semana]]="domingo",0,Metas_Diarias[[#This Row],[semana]])*IF(Metas_Diarias[[#This Row],[feriado]]&lt;&gt;1,0,1)/Metas_Diarias[[#This Row],[dias_úteis_Mês]]</f>
        <v>4888.8888888888887</v>
      </c>
    </row>
    <row r="2346" spans="2:12" x14ac:dyDescent="0.3">
      <c r="B2346" s="34">
        <v>46172</v>
      </c>
      <c r="C2346" s="34" t="str">
        <f>TEXT(Metas_Diarias[[#This Row],[data]],"dddd")</f>
        <v>sábado</v>
      </c>
      <c r="D2346" s="33">
        <v>3</v>
      </c>
      <c r="E2346" s="33">
        <v>3</v>
      </c>
      <c r="F2346" s="18"/>
      <c r="G2346" s="35">
        <f>WEEKDAY(Metas_Diarias[[#This Row],[data]])</f>
        <v>7</v>
      </c>
      <c r="H2346" s="35">
        <f>IF(Metas_Diarias[[#This Row],[dias_da_demana]]=1,"domingo",IF(Metas_Diarias[[#This Row],[dias_da_demana]]=7,0.5,1))</f>
        <v>0.5</v>
      </c>
      <c r="I2346" s="35">
        <f>_xlfn.XLOOKUP(Metas_Diarias[[#This Row],[data]],Feriados[Data],Feriados[Feriado],1)</f>
        <v>1</v>
      </c>
      <c r="J2346" s="33" cm="1">
        <f t="array" aca="1" ref="J2346" ca="1">SUMPRODUCT(IF((NOT(ISERROR(MATCH(ROW(INDIRECT(DATE(YEAR(B2346),MONTH(B2346),1)&amp;":"&amp;DATE(YEAR(B2346),MONTH(B2346)+1,0))),Feriados[Data],0))))=FALSE,
IF(WEEKDAY(ROW(INDIRECT(DATE(YEAR(B2346),MONTH(B2346),1)&amp;":"&amp;DATE(YEAR(B2346),MONTH(B2346)+1,0))),2)&lt;=5,1,IF(WEEKDAY(ROW(INDIRECT(DATE(YEAR(B2346),MONTH(B2346),1)&amp;":"&amp;DATE(YEAR(B2346),MONTH(B2346)+1,0))),2)=6,0.5,0)),0))</f>
        <v>22.5</v>
      </c>
      <c r="K2346" s="22" cm="1">
        <f t="array" ref="K2346">_xlfn.XLOOKUP(1,((Metas_Diarias[[#This Row],[tipo_equipe_id]]=Metas[equipe])*(Metas_Diarias[[#This Row],[data]]&gt;Metas[data_inicio])*(Metas_Diarias[[#This Row],[data]]&lt;Metas[data_fim])),Metas[meta_mensal],0)</f>
        <v>110000</v>
      </c>
      <c r="L2346" s="24">
        <f ca="1">Metas_Diarias[[#This Row],[meta_mensal]]*IF(Metas_Diarias[[#This Row],[semana]]="domingo",0,Metas_Diarias[[#This Row],[semana]])*IF(Metas_Diarias[[#This Row],[feriado]]&lt;&gt;1,0,1)/Metas_Diarias[[#This Row],[dias_úteis_Mês]]</f>
        <v>2444.4444444444443</v>
      </c>
    </row>
    <row r="2347" spans="2:12" x14ac:dyDescent="0.3">
      <c r="B2347" s="34">
        <v>46173</v>
      </c>
      <c r="C2347" s="34" t="str">
        <f>TEXT(Metas_Diarias[[#This Row],[data]],"dddd")</f>
        <v>domingo</v>
      </c>
      <c r="D2347" s="33">
        <v>3</v>
      </c>
      <c r="E2347" s="33">
        <v>3</v>
      </c>
      <c r="F2347" s="18"/>
      <c r="G2347" s="35">
        <f>WEEKDAY(Metas_Diarias[[#This Row],[data]])</f>
        <v>1</v>
      </c>
      <c r="H2347" s="35" t="str">
        <f>IF(Metas_Diarias[[#This Row],[dias_da_demana]]=1,"domingo",IF(Metas_Diarias[[#This Row],[dias_da_demana]]=7,0.5,1))</f>
        <v>domingo</v>
      </c>
      <c r="I2347" s="35">
        <f>_xlfn.XLOOKUP(Metas_Diarias[[#This Row],[data]],Feriados[Data],Feriados[Feriado],1)</f>
        <v>1</v>
      </c>
      <c r="J2347" s="33" cm="1">
        <f t="array" aca="1" ref="J2347" ca="1">SUMPRODUCT(IF((NOT(ISERROR(MATCH(ROW(INDIRECT(DATE(YEAR(B2347),MONTH(B2347),1)&amp;":"&amp;DATE(YEAR(B2347),MONTH(B2347)+1,0))),Feriados[Data],0))))=FALSE,
IF(WEEKDAY(ROW(INDIRECT(DATE(YEAR(B2347),MONTH(B2347),1)&amp;":"&amp;DATE(YEAR(B2347),MONTH(B2347)+1,0))),2)&lt;=5,1,IF(WEEKDAY(ROW(INDIRECT(DATE(YEAR(B2347),MONTH(B2347),1)&amp;":"&amp;DATE(YEAR(B2347),MONTH(B2347)+1,0))),2)=6,0.5,0)),0))</f>
        <v>22.5</v>
      </c>
      <c r="K2347" s="22" cm="1">
        <f t="array" ref="K2347">_xlfn.XLOOKUP(1,((Metas_Diarias[[#This Row],[tipo_equipe_id]]=Metas[equipe])*(Metas_Diarias[[#This Row],[data]]&gt;Metas[data_inicio])*(Metas_Diarias[[#This Row],[data]]&lt;Metas[data_fim])),Metas[meta_mensal],0)</f>
        <v>110000</v>
      </c>
      <c r="L234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48" spans="2:12" x14ac:dyDescent="0.3">
      <c r="B2348" s="34">
        <v>46174</v>
      </c>
      <c r="C2348" s="34" t="str">
        <f>TEXT(Metas_Diarias[[#This Row],[data]],"dddd")</f>
        <v>segunda-feira</v>
      </c>
      <c r="D2348" s="33">
        <v>3</v>
      </c>
      <c r="E2348" s="33">
        <v>3</v>
      </c>
      <c r="F2348" s="18"/>
      <c r="G2348" s="35">
        <f>WEEKDAY(Metas_Diarias[[#This Row],[data]])</f>
        <v>2</v>
      </c>
      <c r="H2348" s="35">
        <f>IF(Metas_Diarias[[#This Row],[dias_da_demana]]=1,"domingo",IF(Metas_Diarias[[#This Row],[dias_da_demana]]=7,0.5,1))</f>
        <v>1</v>
      </c>
      <c r="I2348" s="35">
        <f>_xlfn.XLOOKUP(Metas_Diarias[[#This Row],[data]],Feriados[Data],Feriados[Feriado],1)</f>
        <v>1</v>
      </c>
      <c r="J2348" s="33" cm="1">
        <f t="array" aca="1" ref="J2348" ca="1">SUMPRODUCT(IF((NOT(ISERROR(MATCH(ROW(INDIRECT(DATE(YEAR(B2348),MONTH(B2348),1)&amp;":"&amp;DATE(YEAR(B2348),MONTH(B2348)+1,0))),Feriados[Data],0))))=FALSE,
IF(WEEKDAY(ROW(INDIRECT(DATE(YEAR(B2348),MONTH(B2348),1)&amp;":"&amp;DATE(YEAR(B2348),MONTH(B2348)+1,0))),2)&lt;=5,1,IF(WEEKDAY(ROW(INDIRECT(DATE(YEAR(B2348),MONTH(B2348),1)&amp;":"&amp;DATE(YEAR(B2348),MONTH(B2348)+1,0))),2)=6,0.5,0)),0))</f>
        <v>23</v>
      </c>
      <c r="K2348" s="22" cm="1">
        <f t="array" ref="K2348">_xlfn.XLOOKUP(1,((Metas_Diarias[[#This Row],[tipo_equipe_id]]=Metas[equipe])*(Metas_Diarias[[#This Row],[data]]&gt;Metas[data_inicio])*(Metas_Diarias[[#This Row],[data]]&lt;Metas[data_fim])),Metas[meta_mensal],0)</f>
        <v>110000</v>
      </c>
      <c r="L2348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49" spans="2:12" x14ac:dyDescent="0.3">
      <c r="B2349" s="34">
        <v>46175</v>
      </c>
      <c r="C2349" s="34" t="str">
        <f>TEXT(Metas_Diarias[[#This Row],[data]],"dddd")</f>
        <v>terça-feira</v>
      </c>
      <c r="D2349" s="33">
        <v>3</v>
      </c>
      <c r="E2349" s="33">
        <v>3</v>
      </c>
      <c r="F2349" s="18"/>
      <c r="G2349" s="35">
        <f>WEEKDAY(Metas_Diarias[[#This Row],[data]])</f>
        <v>3</v>
      </c>
      <c r="H2349" s="35">
        <f>IF(Metas_Diarias[[#This Row],[dias_da_demana]]=1,"domingo",IF(Metas_Diarias[[#This Row],[dias_da_demana]]=7,0.5,1))</f>
        <v>1</v>
      </c>
      <c r="I2349" s="35">
        <f>_xlfn.XLOOKUP(Metas_Diarias[[#This Row],[data]],Feriados[Data],Feriados[Feriado],1)</f>
        <v>1</v>
      </c>
      <c r="J2349" s="33" cm="1">
        <f t="array" aca="1" ref="J2349" ca="1">SUMPRODUCT(IF((NOT(ISERROR(MATCH(ROW(INDIRECT(DATE(YEAR(B2349),MONTH(B2349),1)&amp;":"&amp;DATE(YEAR(B2349),MONTH(B2349)+1,0))),Feriados[Data],0))))=FALSE,
IF(WEEKDAY(ROW(INDIRECT(DATE(YEAR(B2349),MONTH(B2349),1)&amp;":"&amp;DATE(YEAR(B2349),MONTH(B2349)+1,0))),2)&lt;=5,1,IF(WEEKDAY(ROW(INDIRECT(DATE(YEAR(B2349),MONTH(B2349),1)&amp;":"&amp;DATE(YEAR(B2349),MONTH(B2349)+1,0))),2)=6,0.5,0)),0))</f>
        <v>23</v>
      </c>
      <c r="K2349" s="22" cm="1">
        <f t="array" ref="K2349">_xlfn.XLOOKUP(1,((Metas_Diarias[[#This Row],[tipo_equipe_id]]=Metas[equipe])*(Metas_Diarias[[#This Row],[data]]&gt;Metas[data_inicio])*(Metas_Diarias[[#This Row],[data]]&lt;Metas[data_fim])),Metas[meta_mensal],0)</f>
        <v>110000</v>
      </c>
      <c r="L2349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50" spans="2:12" x14ac:dyDescent="0.3">
      <c r="B2350" s="34">
        <v>46176</v>
      </c>
      <c r="C2350" s="34" t="str">
        <f>TEXT(Metas_Diarias[[#This Row],[data]],"dddd")</f>
        <v>quarta-feira</v>
      </c>
      <c r="D2350" s="33">
        <v>3</v>
      </c>
      <c r="E2350" s="33">
        <v>3</v>
      </c>
      <c r="F2350" s="18"/>
      <c r="G2350" s="35">
        <f>WEEKDAY(Metas_Diarias[[#This Row],[data]])</f>
        <v>4</v>
      </c>
      <c r="H2350" s="35">
        <f>IF(Metas_Diarias[[#This Row],[dias_da_demana]]=1,"domingo",IF(Metas_Diarias[[#This Row],[dias_da_demana]]=7,0.5,1))</f>
        <v>1</v>
      </c>
      <c r="I2350" s="35">
        <f>_xlfn.XLOOKUP(Metas_Diarias[[#This Row],[data]],Feriados[Data],Feriados[Feriado],1)</f>
        <v>1</v>
      </c>
      <c r="J2350" s="33" cm="1">
        <f t="array" aca="1" ref="J2350" ca="1">SUMPRODUCT(IF((NOT(ISERROR(MATCH(ROW(INDIRECT(DATE(YEAR(B2350),MONTH(B2350),1)&amp;":"&amp;DATE(YEAR(B2350),MONTH(B2350)+1,0))),Feriados[Data],0))))=FALSE,
IF(WEEKDAY(ROW(INDIRECT(DATE(YEAR(B2350),MONTH(B2350),1)&amp;":"&amp;DATE(YEAR(B2350),MONTH(B2350)+1,0))),2)&lt;=5,1,IF(WEEKDAY(ROW(INDIRECT(DATE(YEAR(B2350),MONTH(B2350),1)&amp;":"&amp;DATE(YEAR(B2350),MONTH(B2350)+1,0))),2)=6,0.5,0)),0))</f>
        <v>23</v>
      </c>
      <c r="K2350" s="22" cm="1">
        <f t="array" ref="K2350">_xlfn.XLOOKUP(1,((Metas_Diarias[[#This Row],[tipo_equipe_id]]=Metas[equipe])*(Metas_Diarias[[#This Row],[data]]&gt;Metas[data_inicio])*(Metas_Diarias[[#This Row],[data]]&lt;Metas[data_fim])),Metas[meta_mensal],0)</f>
        <v>110000</v>
      </c>
      <c r="L2350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51" spans="2:12" x14ac:dyDescent="0.3">
      <c r="B2351" s="34">
        <v>46177</v>
      </c>
      <c r="C2351" s="34" t="str">
        <f>TEXT(Metas_Diarias[[#This Row],[data]],"dddd")</f>
        <v>quinta-feira</v>
      </c>
      <c r="D2351" s="33">
        <v>3</v>
      </c>
      <c r="E2351" s="33">
        <v>3</v>
      </c>
      <c r="F2351" s="18"/>
      <c r="G2351" s="35">
        <f>WEEKDAY(Metas_Diarias[[#This Row],[data]])</f>
        <v>5</v>
      </c>
      <c r="H2351" s="35">
        <f>IF(Metas_Diarias[[#This Row],[dias_da_demana]]=1,"domingo",IF(Metas_Diarias[[#This Row],[dias_da_demana]]=7,0.5,1))</f>
        <v>1</v>
      </c>
      <c r="I2351" s="35" t="str">
        <f>_xlfn.XLOOKUP(Metas_Diarias[[#This Row],[data]],Feriados[Data],Feriados[Feriado],1)</f>
        <v>Corpus Christi</v>
      </c>
      <c r="J2351" s="33" cm="1">
        <f t="array" aca="1" ref="J2351" ca="1">SUMPRODUCT(IF((NOT(ISERROR(MATCH(ROW(INDIRECT(DATE(YEAR(B2351),MONTH(B2351),1)&amp;":"&amp;DATE(YEAR(B2351),MONTH(B2351)+1,0))),Feriados[Data],0))))=FALSE,
IF(WEEKDAY(ROW(INDIRECT(DATE(YEAR(B2351),MONTH(B2351),1)&amp;":"&amp;DATE(YEAR(B2351),MONTH(B2351)+1,0))),2)&lt;=5,1,IF(WEEKDAY(ROW(INDIRECT(DATE(YEAR(B2351),MONTH(B2351),1)&amp;":"&amp;DATE(YEAR(B2351),MONTH(B2351)+1,0))),2)=6,0.5,0)),0))</f>
        <v>23</v>
      </c>
      <c r="K2351" s="22" cm="1">
        <f t="array" ref="K2351">_xlfn.XLOOKUP(1,((Metas_Diarias[[#This Row],[tipo_equipe_id]]=Metas[equipe])*(Metas_Diarias[[#This Row],[data]]&gt;Metas[data_inicio])*(Metas_Diarias[[#This Row],[data]]&lt;Metas[data_fim])),Metas[meta_mensal],0)</f>
        <v>110000</v>
      </c>
      <c r="L23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52" spans="2:12" x14ac:dyDescent="0.3">
      <c r="B2352" s="34">
        <v>46178</v>
      </c>
      <c r="C2352" s="34" t="str">
        <f>TEXT(Metas_Diarias[[#This Row],[data]],"dddd")</f>
        <v>sexta-feira</v>
      </c>
      <c r="D2352" s="33">
        <v>3</v>
      </c>
      <c r="E2352" s="33">
        <v>3</v>
      </c>
      <c r="F2352" s="18"/>
      <c r="G2352" s="35">
        <f>WEEKDAY(Metas_Diarias[[#This Row],[data]])</f>
        <v>6</v>
      </c>
      <c r="H2352" s="35">
        <f>IF(Metas_Diarias[[#This Row],[dias_da_demana]]=1,"domingo",IF(Metas_Diarias[[#This Row],[dias_da_demana]]=7,0.5,1))</f>
        <v>1</v>
      </c>
      <c r="I2352" s="35">
        <f>_xlfn.XLOOKUP(Metas_Diarias[[#This Row],[data]],Feriados[Data],Feriados[Feriado],1)</f>
        <v>1</v>
      </c>
      <c r="J2352" s="33" cm="1">
        <f t="array" aca="1" ref="J2352" ca="1">SUMPRODUCT(IF((NOT(ISERROR(MATCH(ROW(INDIRECT(DATE(YEAR(B2352),MONTH(B2352),1)&amp;":"&amp;DATE(YEAR(B2352),MONTH(B2352)+1,0))),Feriados[Data],0))))=FALSE,
IF(WEEKDAY(ROW(INDIRECT(DATE(YEAR(B2352),MONTH(B2352),1)&amp;":"&amp;DATE(YEAR(B2352),MONTH(B2352)+1,0))),2)&lt;=5,1,IF(WEEKDAY(ROW(INDIRECT(DATE(YEAR(B2352),MONTH(B2352),1)&amp;":"&amp;DATE(YEAR(B2352),MONTH(B2352)+1,0))),2)=6,0.5,0)),0))</f>
        <v>23</v>
      </c>
      <c r="K2352" s="22" cm="1">
        <f t="array" ref="K2352">_xlfn.XLOOKUP(1,((Metas_Diarias[[#This Row],[tipo_equipe_id]]=Metas[equipe])*(Metas_Diarias[[#This Row],[data]]&gt;Metas[data_inicio])*(Metas_Diarias[[#This Row],[data]]&lt;Metas[data_fim])),Metas[meta_mensal],0)</f>
        <v>110000</v>
      </c>
      <c r="L2352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53" spans="2:12" x14ac:dyDescent="0.3">
      <c r="B2353" s="34">
        <v>46179</v>
      </c>
      <c r="C2353" s="34" t="str">
        <f>TEXT(Metas_Diarias[[#This Row],[data]],"dddd")</f>
        <v>sábado</v>
      </c>
      <c r="D2353" s="33">
        <v>3</v>
      </c>
      <c r="E2353" s="33">
        <v>3</v>
      </c>
      <c r="F2353" s="18"/>
      <c r="G2353" s="35">
        <f>WEEKDAY(Metas_Diarias[[#This Row],[data]])</f>
        <v>7</v>
      </c>
      <c r="H2353" s="35">
        <f>IF(Metas_Diarias[[#This Row],[dias_da_demana]]=1,"domingo",IF(Metas_Diarias[[#This Row],[dias_da_demana]]=7,0.5,1))</f>
        <v>0.5</v>
      </c>
      <c r="I2353" s="35">
        <f>_xlfn.XLOOKUP(Metas_Diarias[[#This Row],[data]],Feriados[Data],Feriados[Feriado],1)</f>
        <v>1</v>
      </c>
      <c r="J2353" s="33" cm="1">
        <f t="array" aca="1" ref="J2353" ca="1">SUMPRODUCT(IF((NOT(ISERROR(MATCH(ROW(INDIRECT(DATE(YEAR(B2353),MONTH(B2353),1)&amp;":"&amp;DATE(YEAR(B2353),MONTH(B2353)+1,0))),Feriados[Data],0))))=FALSE,
IF(WEEKDAY(ROW(INDIRECT(DATE(YEAR(B2353),MONTH(B2353),1)&amp;":"&amp;DATE(YEAR(B2353),MONTH(B2353)+1,0))),2)&lt;=5,1,IF(WEEKDAY(ROW(INDIRECT(DATE(YEAR(B2353),MONTH(B2353),1)&amp;":"&amp;DATE(YEAR(B2353),MONTH(B2353)+1,0))),2)=6,0.5,0)),0))</f>
        <v>23</v>
      </c>
      <c r="K2353" s="22" cm="1">
        <f t="array" ref="K2353">_xlfn.XLOOKUP(1,((Metas_Diarias[[#This Row],[tipo_equipe_id]]=Metas[equipe])*(Metas_Diarias[[#This Row],[data]]&gt;Metas[data_inicio])*(Metas_Diarias[[#This Row],[data]]&lt;Metas[data_fim])),Metas[meta_mensal],0)</f>
        <v>110000</v>
      </c>
      <c r="L2353" s="24">
        <f ca="1">Metas_Diarias[[#This Row],[meta_mensal]]*IF(Metas_Diarias[[#This Row],[semana]]="domingo",0,Metas_Diarias[[#This Row],[semana]])*IF(Metas_Diarias[[#This Row],[feriado]]&lt;&gt;1,0,1)/Metas_Diarias[[#This Row],[dias_úteis_Mês]]</f>
        <v>2391.304347826087</v>
      </c>
    </row>
    <row r="2354" spans="2:12" x14ac:dyDescent="0.3">
      <c r="B2354" s="34">
        <v>46180</v>
      </c>
      <c r="C2354" s="34" t="str">
        <f>TEXT(Metas_Diarias[[#This Row],[data]],"dddd")</f>
        <v>domingo</v>
      </c>
      <c r="D2354" s="33">
        <v>3</v>
      </c>
      <c r="E2354" s="33">
        <v>3</v>
      </c>
      <c r="F2354" s="18"/>
      <c r="G2354" s="35">
        <f>WEEKDAY(Metas_Diarias[[#This Row],[data]])</f>
        <v>1</v>
      </c>
      <c r="H2354" s="35" t="str">
        <f>IF(Metas_Diarias[[#This Row],[dias_da_demana]]=1,"domingo",IF(Metas_Diarias[[#This Row],[dias_da_demana]]=7,0.5,1))</f>
        <v>domingo</v>
      </c>
      <c r="I2354" s="35">
        <f>_xlfn.XLOOKUP(Metas_Diarias[[#This Row],[data]],Feriados[Data],Feriados[Feriado],1)</f>
        <v>1</v>
      </c>
      <c r="J2354" s="33" cm="1">
        <f t="array" aca="1" ref="J2354" ca="1">SUMPRODUCT(IF((NOT(ISERROR(MATCH(ROW(INDIRECT(DATE(YEAR(B2354),MONTH(B2354),1)&amp;":"&amp;DATE(YEAR(B2354),MONTH(B2354)+1,0))),Feriados[Data],0))))=FALSE,
IF(WEEKDAY(ROW(INDIRECT(DATE(YEAR(B2354),MONTH(B2354),1)&amp;":"&amp;DATE(YEAR(B2354),MONTH(B2354)+1,0))),2)&lt;=5,1,IF(WEEKDAY(ROW(INDIRECT(DATE(YEAR(B2354),MONTH(B2354),1)&amp;":"&amp;DATE(YEAR(B2354),MONTH(B2354)+1,0))),2)=6,0.5,0)),0))</f>
        <v>23</v>
      </c>
      <c r="K2354" s="22" cm="1">
        <f t="array" ref="K2354">_xlfn.XLOOKUP(1,((Metas_Diarias[[#This Row],[tipo_equipe_id]]=Metas[equipe])*(Metas_Diarias[[#This Row],[data]]&gt;Metas[data_inicio])*(Metas_Diarias[[#This Row],[data]]&lt;Metas[data_fim])),Metas[meta_mensal],0)</f>
        <v>110000</v>
      </c>
      <c r="L235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55" spans="2:12" x14ac:dyDescent="0.3">
      <c r="B2355" s="34">
        <v>46181</v>
      </c>
      <c r="C2355" s="34" t="str">
        <f>TEXT(Metas_Diarias[[#This Row],[data]],"dddd")</f>
        <v>segunda-feira</v>
      </c>
      <c r="D2355" s="33">
        <v>3</v>
      </c>
      <c r="E2355" s="33">
        <v>3</v>
      </c>
      <c r="F2355" s="18"/>
      <c r="G2355" s="35">
        <f>WEEKDAY(Metas_Diarias[[#This Row],[data]])</f>
        <v>2</v>
      </c>
      <c r="H2355" s="35">
        <f>IF(Metas_Diarias[[#This Row],[dias_da_demana]]=1,"domingo",IF(Metas_Diarias[[#This Row],[dias_da_demana]]=7,0.5,1))</f>
        <v>1</v>
      </c>
      <c r="I2355" s="35">
        <f>_xlfn.XLOOKUP(Metas_Diarias[[#This Row],[data]],Feriados[Data],Feriados[Feriado],1)</f>
        <v>1</v>
      </c>
      <c r="J2355" s="33" cm="1">
        <f t="array" aca="1" ref="J2355" ca="1">SUMPRODUCT(IF((NOT(ISERROR(MATCH(ROW(INDIRECT(DATE(YEAR(B2355),MONTH(B2355),1)&amp;":"&amp;DATE(YEAR(B2355),MONTH(B2355)+1,0))),Feriados[Data],0))))=FALSE,
IF(WEEKDAY(ROW(INDIRECT(DATE(YEAR(B2355),MONTH(B2355),1)&amp;":"&amp;DATE(YEAR(B2355),MONTH(B2355)+1,0))),2)&lt;=5,1,IF(WEEKDAY(ROW(INDIRECT(DATE(YEAR(B2355),MONTH(B2355),1)&amp;":"&amp;DATE(YEAR(B2355),MONTH(B2355)+1,0))),2)=6,0.5,0)),0))</f>
        <v>23</v>
      </c>
      <c r="K2355" s="22" cm="1">
        <f t="array" ref="K2355">_xlfn.XLOOKUP(1,((Metas_Diarias[[#This Row],[tipo_equipe_id]]=Metas[equipe])*(Metas_Diarias[[#This Row],[data]]&gt;Metas[data_inicio])*(Metas_Diarias[[#This Row],[data]]&lt;Metas[data_fim])),Metas[meta_mensal],0)</f>
        <v>110000</v>
      </c>
      <c r="L2355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56" spans="2:12" x14ac:dyDescent="0.3">
      <c r="B2356" s="34">
        <v>46182</v>
      </c>
      <c r="C2356" s="34" t="str">
        <f>TEXT(Metas_Diarias[[#This Row],[data]],"dddd")</f>
        <v>terça-feira</v>
      </c>
      <c r="D2356" s="33">
        <v>3</v>
      </c>
      <c r="E2356" s="33">
        <v>3</v>
      </c>
      <c r="F2356" s="18"/>
      <c r="G2356" s="35">
        <f>WEEKDAY(Metas_Diarias[[#This Row],[data]])</f>
        <v>3</v>
      </c>
      <c r="H2356" s="35">
        <f>IF(Metas_Diarias[[#This Row],[dias_da_demana]]=1,"domingo",IF(Metas_Diarias[[#This Row],[dias_da_demana]]=7,0.5,1))</f>
        <v>1</v>
      </c>
      <c r="I2356" s="35">
        <f>_xlfn.XLOOKUP(Metas_Diarias[[#This Row],[data]],Feriados[Data],Feriados[Feriado],1)</f>
        <v>1</v>
      </c>
      <c r="J2356" s="33" cm="1">
        <f t="array" aca="1" ref="J2356" ca="1">SUMPRODUCT(IF((NOT(ISERROR(MATCH(ROW(INDIRECT(DATE(YEAR(B2356),MONTH(B2356),1)&amp;":"&amp;DATE(YEAR(B2356),MONTH(B2356)+1,0))),Feriados[Data],0))))=FALSE,
IF(WEEKDAY(ROW(INDIRECT(DATE(YEAR(B2356),MONTH(B2356),1)&amp;":"&amp;DATE(YEAR(B2356),MONTH(B2356)+1,0))),2)&lt;=5,1,IF(WEEKDAY(ROW(INDIRECT(DATE(YEAR(B2356),MONTH(B2356),1)&amp;":"&amp;DATE(YEAR(B2356),MONTH(B2356)+1,0))),2)=6,0.5,0)),0))</f>
        <v>23</v>
      </c>
      <c r="K2356" s="22" cm="1">
        <f t="array" ref="K2356">_xlfn.XLOOKUP(1,((Metas_Diarias[[#This Row],[tipo_equipe_id]]=Metas[equipe])*(Metas_Diarias[[#This Row],[data]]&gt;Metas[data_inicio])*(Metas_Diarias[[#This Row],[data]]&lt;Metas[data_fim])),Metas[meta_mensal],0)</f>
        <v>110000</v>
      </c>
      <c r="L2356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57" spans="2:12" x14ac:dyDescent="0.3">
      <c r="B2357" s="34">
        <v>46183</v>
      </c>
      <c r="C2357" s="34" t="str">
        <f>TEXT(Metas_Diarias[[#This Row],[data]],"dddd")</f>
        <v>quarta-feira</v>
      </c>
      <c r="D2357" s="33">
        <v>3</v>
      </c>
      <c r="E2357" s="33">
        <v>3</v>
      </c>
      <c r="F2357" s="18"/>
      <c r="G2357" s="35">
        <f>WEEKDAY(Metas_Diarias[[#This Row],[data]])</f>
        <v>4</v>
      </c>
      <c r="H2357" s="35">
        <f>IF(Metas_Diarias[[#This Row],[dias_da_demana]]=1,"domingo",IF(Metas_Diarias[[#This Row],[dias_da_demana]]=7,0.5,1))</f>
        <v>1</v>
      </c>
      <c r="I2357" s="35">
        <f>_xlfn.XLOOKUP(Metas_Diarias[[#This Row],[data]],Feriados[Data],Feriados[Feriado],1)</f>
        <v>1</v>
      </c>
      <c r="J2357" s="33" cm="1">
        <f t="array" aca="1" ref="J2357" ca="1">SUMPRODUCT(IF((NOT(ISERROR(MATCH(ROW(INDIRECT(DATE(YEAR(B2357),MONTH(B2357),1)&amp;":"&amp;DATE(YEAR(B2357),MONTH(B2357)+1,0))),Feriados[Data],0))))=FALSE,
IF(WEEKDAY(ROW(INDIRECT(DATE(YEAR(B2357),MONTH(B2357),1)&amp;":"&amp;DATE(YEAR(B2357),MONTH(B2357)+1,0))),2)&lt;=5,1,IF(WEEKDAY(ROW(INDIRECT(DATE(YEAR(B2357),MONTH(B2357),1)&amp;":"&amp;DATE(YEAR(B2357),MONTH(B2357)+1,0))),2)=6,0.5,0)),0))</f>
        <v>23</v>
      </c>
      <c r="K2357" s="22" cm="1">
        <f t="array" ref="K2357">_xlfn.XLOOKUP(1,((Metas_Diarias[[#This Row],[tipo_equipe_id]]=Metas[equipe])*(Metas_Diarias[[#This Row],[data]]&gt;Metas[data_inicio])*(Metas_Diarias[[#This Row],[data]]&lt;Metas[data_fim])),Metas[meta_mensal],0)</f>
        <v>110000</v>
      </c>
      <c r="L2357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58" spans="2:12" x14ac:dyDescent="0.3">
      <c r="B2358" s="34">
        <v>46184</v>
      </c>
      <c r="C2358" s="34" t="str">
        <f>TEXT(Metas_Diarias[[#This Row],[data]],"dddd")</f>
        <v>quinta-feira</v>
      </c>
      <c r="D2358" s="33">
        <v>3</v>
      </c>
      <c r="E2358" s="33">
        <v>3</v>
      </c>
      <c r="F2358" s="18"/>
      <c r="G2358" s="35">
        <f>WEEKDAY(Metas_Diarias[[#This Row],[data]])</f>
        <v>5</v>
      </c>
      <c r="H2358" s="35">
        <f>IF(Metas_Diarias[[#This Row],[dias_da_demana]]=1,"domingo",IF(Metas_Diarias[[#This Row],[dias_da_demana]]=7,0.5,1))</f>
        <v>1</v>
      </c>
      <c r="I2358" s="35">
        <f>_xlfn.XLOOKUP(Metas_Diarias[[#This Row],[data]],Feriados[Data],Feriados[Feriado],1)</f>
        <v>1</v>
      </c>
      <c r="J2358" s="33" cm="1">
        <f t="array" aca="1" ref="J2358" ca="1">SUMPRODUCT(IF((NOT(ISERROR(MATCH(ROW(INDIRECT(DATE(YEAR(B2358),MONTH(B2358),1)&amp;":"&amp;DATE(YEAR(B2358),MONTH(B2358)+1,0))),Feriados[Data],0))))=FALSE,
IF(WEEKDAY(ROW(INDIRECT(DATE(YEAR(B2358),MONTH(B2358),1)&amp;":"&amp;DATE(YEAR(B2358),MONTH(B2358)+1,0))),2)&lt;=5,1,IF(WEEKDAY(ROW(INDIRECT(DATE(YEAR(B2358),MONTH(B2358),1)&amp;":"&amp;DATE(YEAR(B2358),MONTH(B2358)+1,0))),2)=6,0.5,0)),0))</f>
        <v>23</v>
      </c>
      <c r="K2358" s="22" cm="1">
        <f t="array" ref="K2358">_xlfn.XLOOKUP(1,((Metas_Diarias[[#This Row],[tipo_equipe_id]]=Metas[equipe])*(Metas_Diarias[[#This Row],[data]]&gt;Metas[data_inicio])*(Metas_Diarias[[#This Row],[data]]&lt;Metas[data_fim])),Metas[meta_mensal],0)</f>
        <v>110000</v>
      </c>
      <c r="L2358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59" spans="2:12" x14ac:dyDescent="0.3">
      <c r="B2359" s="34">
        <v>46185</v>
      </c>
      <c r="C2359" s="34" t="str">
        <f>TEXT(Metas_Diarias[[#This Row],[data]],"dddd")</f>
        <v>sexta-feira</v>
      </c>
      <c r="D2359" s="33">
        <v>3</v>
      </c>
      <c r="E2359" s="33">
        <v>3</v>
      </c>
      <c r="F2359" s="18"/>
      <c r="G2359" s="35">
        <f>WEEKDAY(Metas_Diarias[[#This Row],[data]])</f>
        <v>6</v>
      </c>
      <c r="H2359" s="35">
        <f>IF(Metas_Diarias[[#This Row],[dias_da_demana]]=1,"domingo",IF(Metas_Diarias[[#This Row],[dias_da_demana]]=7,0.5,1))</f>
        <v>1</v>
      </c>
      <c r="I2359" s="35">
        <f>_xlfn.XLOOKUP(Metas_Diarias[[#This Row],[data]],Feriados[Data],Feriados[Feriado],1)</f>
        <v>1</v>
      </c>
      <c r="J2359" s="33" cm="1">
        <f t="array" aca="1" ref="J2359" ca="1">SUMPRODUCT(IF((NOT(ISERROR(MATCH(ROW(INDIRECT(DATE(YEAR(B2359),MONTH(B2359),1)&amp;":"&amp;DATE(YEAR(B2359),MONTH(B2359)+1,0))),Feriados[Data],0))))=FALSE,
IF(WEEKDAY(ROW(INDIRECT(DATE(YEAR(B2359),MONTH(B2359),1)&amp;":"&amp;DATE(YEAR(B2359),MONTH(B2359)+1,0))),2)&lt;=5,1,IF(WEEKDAY(ROW(INDIRECT(DATE(YEAR(B2359),MONTH(B2359),1)&amp;":"&amp;DATE(YEAR(B2359),MONTH(B2359)+1,0))),2)=6,0.5,0)),0))</f>
        <v>23</v>
      </c>
      <c r="K2359" s="22" cm="1">
        <f t="array" ref="K2359">_xlfn.XLOOKUP(1,((Metas_Diarias[[#This Row],[tipo_equipe_id]]=Metas[equipe])*(Metas_Diarias[[#This Row],[data]]&gt;Metas[data_inicio])*(Metas_Diarias[[#This Row],[data]]&lt;Metas[data_fim])),Metas[meta_mensal],0)</f>
        <v>110000</v>
      </c>
      <c r="L2359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60" spans="2:12" x14ac:dyDescent="0.3">
      <c r="B2360" s="34">
        <v>46186</v>
      </c>
      <c r="C2360" s="34" t="str">
        <f>TEXT(Metas_Diarias[[#This Row],[data]],"dddd")</f>
        <v>sábado</v>
      </c>
      <c r="D2360" s="33">
        <v>3</v>
      </c>
      <c r="E2360" s="33">
        <v>3</v>
      </c>
      <c r="F2360" s="18"/>
      <c r="G2360" s="35">
        <f>WEEKDAY(Metas_Diarias[[#This Row],[data]])</f>
        <v>7</v>
      </c>
      <c r="H2360" s="35">
        <f>IF(Metas_Diarias[[#This Row],[dias_da_demana]]=1,"domingo",IF(Metas_Diarias[[#This Row],[dias_da_demana]]=7,0.5,1))</f>
        <v>0.5</v>
      </c>
      <c r="I2360" s="35">
        <f>_xlfn.XLOOKUP(Metas_Diarias[[#This Row],[data]],Feriados[Data],Feriados[Feriado],1)</f>
        <v>1</v>
      </c>
      <c r="J2360" s="33" cm="1">
        <f t="array" aca="1" ref="J2360" ca="1">SUMPRODUCT(IF((NOT(ISERROR(MATCH(ROW(INDIRECT(DATE(YEAR(B2360),MONTH(B2360),1)&amp;":"&amp;DATE(YEAR(B2360),MONTH(B2360)+1,0))),Feriados[Data],0))))=FALSE,
IF(WEEKDAY(ROW(INDIRECT(DATE(YEAR(B2360),MONTH(B2360),1)&amp;":"&amp;DATE(YEAR(B2360),MONTH(B2360)+1,0))),2)&lt;=5,1,IF(WEEKDAY(ROW(INDIRECT(DATE(YEAR(B2360),MONTH(B2360),1)&amp;":"&amp;DATE(YEAR(B2360),MONTH(B2360)+1,0))),2)=6,0.5,0)),0))</f>
        <v>23</v>
      </c>
      <c r="K2360" s="22" cm="1">
        <f t="array" ref="K2360">_xlfn.XLOOKUP(1,((Metas_Diarias[[#This Row],[tipo_equipe_id]]=Metas[equipe])*(Metas_Diarias[[#This Row],[data]]&gt;Metas[data_inicio])*(Metas_Diarias[[#This Row],[data]]&lt;Metas[data_fim])),Metas[meta_mensal],0)</f>
        <v>110000</v>
      </c>
      <c r="L2360" s="24">
        <f ca="1">Metas_Diarias[[#This Row],[meta_mensal]]*IF(Metas_Diarias[[#This Row],[semana]]="domingo",0,Metas_Diarias[[#This Row],[semana]])*IF(Metas_Diarias[[#This Row],[feriado]]&lt;&gt;1,0,1)/Metas_Diarias[[#This Row],[dias_úteis_Mês]]</f>
        <v>2391.304347826087</v>
      </c>
    </row>
    <row r="2361" spans="2:12" x14ac:dyDescent="0.3">
      <c r="B2361" s="34">
        <v>46187</v>
      </c>
      <c r="C2361" s="34" t="str">
        <f>TEXT(Metas_Diarias[[#This Row],[data]],"dddd")</f>
        <v>domingo</v>
      </c>
      <c r="D2361" s="33">
        <v>3</v>
      </c>
      <c r="E2361" s="33">
        <v>3</v>
      </c>
      <c r="F2361" s="18"/>
      <c r="G2361" s="35">
        <f>WEEKDAY(Metas_Diarias[[#This Row],[data]])</f>
        <v>1</v>
      </c>
      <c r="H2361" s="35" t="str">
        <f>IF(Metas_Diarias[[#This Row],[dias_da_demana]]=1,"domingo",IF(Metas_Diarias[[#This Row],[dias_da_demana]]=7,0.5,1))</f>
        <v>domingo</v>
      </c>
      <c r="I2361" s="35">
        <f>_xlfn.XLOOKUP(Metas_Diarias[[#This Row],[data]],Feriados[Data],Feriados[Feriado],1)</f>
        <v>1</v>
      </c>
      <c r="J2361" s="33" cm="1">
        <f t="array" aca="1" ref="J2361" ca="1">SUMPRODUCT(IF((NOT(ISERROR(MATCH(ROW(INDIRECT(DATE(YEAR(B2361),MONTH(B2361),1)&amp;":"&amp;DATE(YEAR(B2361),MONTH(B2361)+1,0))),Feriados[Data],0))))=FALSE,
IF(WEEKDAY(ROW(INDIRECT(DATE(YEAR(B2361),MONTH(B2361),1)&amp;":"&amp;DATE(YEAR(B2361),MONTH(B2361)+1,0))),2)&lt;=5,1,IF(WEEKDAY(ROW(INDIRECT(DATE(YEAR(B2361),MONTH(B2361),1)&amp;":"&amp;DATE(YEAR(B2361),MONTH(B2361)+1,0))),2)=6,0.5,0)),0))</f>
        <v>23</v>
      </c>
      <c r="K2361" s="22" cm="1">
        <f t="array" ref="K2361">_xlfn.XLOOKUP(1,((Metas_Diarias[[#This Row],[tipo_equipe_id]]=Metas[equipe])*(Metas_Diarias[[#This Row],[data]]&gt;Metas[data_inicio])*(Metas_Diarias[[#This Row],[data]]&lt;Metas[data_fim])),Metas[meta_mensal],0)</f>
        <v>110000</v>
      </c>
      <c r="L23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62" spans="2:12" x14ac:dyDescent="0.3">
      <c r="B2362" s="34">
        <v>46188</v>
      </c>
      <c r="C2362" s="34" t="str">
        <f>TEXT(Metas_Diarias[[#This Row],[data]],"dddd")</f>
        <v>segunda-feira</v>
      </c>
      <c r="D2362" s="33">
        <v>3</v>
      </c>
      <c r="E2362" s="33">
        <v>3</v>
      </c>
      <c r="F2362" s="18"/>
      <c r="G2362" s="35">
        <f>WEEKDAY(Metas_Diarias[[#This Row],[data]])</f>
        <v>2</v>
      </c>
      <c r="H2362" s="35">
        <f>IF(Metas_Diarias[[#This Row],[dias_da_demana]]=1,"domingo",IF(Metas_Diarias[[#This Row],[dias_da_demana]]=7,0.5,1))</f>
        <v>1</v>
      </c>
      <c r="I2362" s="35">
        <f>_xlfn.XLOOKUP(Metas_Diarias[[#This Row],[data]],Feriados[Data],Feriados[Feriado],1)</f>
        <v>1</v>
      </c>
      <c r="J2362" s="33" cm="1">
        <f t="array" aca="1" ref="J2362" ca="1">SUMPRODUCT(IF((NOT(ISERROR(MATCH(ROW(INDIRECT(DATE(YEAR(B2362),MONTH(B2362),1)&amp;":"&amp;DATE(YEAR(B2362),MONTH(B2362)+1,0))),Feriados[Data],0))))=FALSE,
IF(WEEKDAY(ROW(INDIRECT(DATE(YEAR(B2362),MONTH(B2362),1)&amp;":"&amp;DATE(YEAR(B2362),MONTH(B2362)+1,0))),2)&lt;=5,1,IF(WEEKDAY(ROW(INDIRECT(DATE(YEAR(B2362),MONTH(B2362),1)&amp;":"&amp;DATE(YEAR(B2362),MONTH(B2362)+1,0))),2)=6,0.5,0)),0))</f>
        <v>23</v>
      </c>
      <c r="K2362" s="22" cm="1">
        <f t="array" ref="K2362">_xlfn.XLOOKUP(1,((Metas_Diarias[[#This Row],[tipo_equipe_id]]=Metas[equipe])*(Metas_Diarias[[#This Row],[data]]&gt;Metas[data_inicio])*(Metas_Diarias[[#This Row],[data]]&lt;Metas[data_fim])),Metas[meta_mensal],0)</f>
        <v>110000</v>
      </c>
      <c r="L2362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63" spans="2:12" x14ac:dyDescent="0.3">
      <c r="B2363" s="34">
        <v>46189</v>
      </c>
      <c r="C2363" s="34" t="str">
        <f>TEXT(Metas_Diarias[[#This Row],[data]],"dddd")</f>
        <v>terça-feira</v>
      </c>
      <c r="D2363" s="33">
        <v>3</v>
      </c>
      <c r="E2363" s="33">
        <v>3</v>
      </c>
      <c r="F2363" s="18"/>
      <c r="G2363" s="35">
        <f>WEEKDAY(Metas_Diarias[[#This Row],[data]])</f>
        <v>3</v>
      </c>
      <c r="H2363" s="35">
        <f>IF(Metas_Diarias[[#This Row],[dias_da_demana]]=1,"domingo",IF(Metas_Diarias[[#This Row],[dias_da_demana]]=7,0.5,1))</f>
        <v>1</v>
      </c>
      <c r="I2363" s="35">
        <f>_xlfn.XLOOKUP(Metas_Diarias[[#This Row],[data]],Feriados[Data],Feriados[Feriado],1)</f>
        <v>1</v>
      </c>
      <c r="J2363" s="33" cm="1">
        <f t="array" aca="1" ref="J2363" ca="1">SUMPRODUCT(IF((NOT(ISERROR(MATCH(ROW(INDIRECT(DATE(YEAR(B2363),MONTH(B2363),1)&amp;":"&amp;DATE(YEAR(B2363),MONTH(B2363)+1,0))),Feriados[Data],0))))=FALSE,
IF(WEEKDAY(ROW(INDIRECT(DATE(YEAR(B2363),MONTH(B2363),1)&amp;":"&amp;DATE(YEAR(B2363),MONTH(B2363)+1,0))),2)&lt;=5,1,IF(WEEKDAY(ROW(INDIRECT(DATE(YEAR(B2363),MONTH(B2363),1)&amp;":"&amp;DATE(YEAR(B2363),MONTH(B2363)+1,0))),2)=6,0.5,0)),0))</f>
        <v>23</v>
      </c>
      <c r="K2363" s="22" cm="1">
        <f t="array" ref="K2363">_xlfn.XLOOKUP(1,((Metas_Diarias[[#This Row],[tipo_equipe_id]]=Metas[equipe])*(Metas_Diarias[[#This Row],[data]]&gt;Metas[data_inicio])*(Metas_Diarias[[#This Row],[data]]&lt;Metas[data_fim])),Metas[meta_mensal],0)</f>
        <v>110000</v>
      </c>
      <c r="L2363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64" spans="2:12" x14ac:dyDescent="0.3">
      <c r="B2364" s="34">
        <v>46190</v>
      </c>
      <c r="C2364" s="34" t="str">
        <f>TEXT(Metas_Diarias[[#This Row],[data]],"dddd")</f>
        <v>quarta-feira</v>
      </c>
      <c r="D2364" s="33">
        <v>3</v>
      </c>
      <c r="E2364" s="33">
        <v>3</v>
      </c>
      <c r="F2364" s="18"/>
      <c r="G2364" s="35">
        <f>WEEKDAY(Metas_Diarias[[#This Row],[data]])</f>
        <v>4</v>
      </c>
      <c r="H2364" s="35">
        <f>IF(Metas_Diarias[[#This Row],[dias_da_demana]]=1,"domingo",IF(Metas_Diarias[[#This Row],[dias_da_demana]]=7,0.5,1))</f>
        <v>1</v>
      </c>
      <c r="I2364" s="35">
        <f>_xlfn.XLOOKUP(Metas_Diarias[[#This Row],[data]],Feriados[Data],Feriados[Feriado],1)</f>
        <v>1</v>
      </c>
      <c r="J2364" s="33" cm="1">
        <f t="array" aca="1" ref="J2364" ca="1">SUMPRODUCT(IF((NOT(ISERROR(MATCH(ROW(INDIRECT(DATE(YEAR(B2364),MONTH(B2364),1)&amp;":"&amp;DATE(YEAR(B2364),MONTH(B2364)+1,0))),Feriados[Data],0))))=FALSE,
IF(WEEKDAY(ROW(INDIRECT(DATE(YEAR(B2364),MONTH(B2364),1)&amp;":"&amp;DATE(YEAR(B2364),MONTH(B2364)+1,0))),2)&lt;=5,1,IF(WEEKDAY(ROW(INDIRECT(DATE(YEAR(B2364),MONTH(B2364),1)&amp;":"&amp;DATE(YEAR(B2364),MONTH(B2364)+1,0))),2)=6,0.5,0)),0))</f>
        <v>23</v>
      </c>
      <c r="K2364" s="22" cm="1">
        <f t="array" ref="K2364">_xlfn.XLOOKUP(1,((Metas_Diarias[[#This Row],[tipo_equipe_id]]=Metas[equipe])*(Metas_Diarias[[#This Row],[data]]&gt;Metas[data_inicio])*(Metas_Diarias[[#This Row],[data]]&lt;Metas[data_fim])),Metas[meta_mensal],0)</f>
        <v>110000</v>
      </c>
      <c r="L2364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65" spans="2:12" x14ac:dyDescent="0.3">
      <c r="B2365" s="34">
        <v>46191</v>
      </c>
      <c r="C2365" s="34" t="str">
        <f>TEXT(Metas_Diarias[[#This Row],[data]],"dddd")</f>
        <v>quinta-feira</v>
      </c>
      <c r="D2365" s="33">
        <v>3</v>
      </c>
      <c r="E2365" s="33">
        <v>3</v>
      </c>
      <c r="F2365" s="18"/>
      <c r="G2365" s="35">
        <f>WEEKDAY(Metas_Diarias[[#This Row],[data]])</f>
        <v>5</v>
      </c>
      <c r="H2365" s="35">
        <f>IF(Metas_Diarias[[#This Row],[dias_da_demana]]=1,"domingo",IF(Metas_Diarias[[#This Row],[dias_da_demana]]=7,0.5,1))</f>
        <v>1</v>
      </c>
      <c r="I2365" s="35">
        <f>_xlfn.XLOOKUP(Metas_Diarias[[#This Row],[data]],Feriados[Data],Feriados[Feriado],1)</f>
        <v>1</v>
      </c>
      <c r="J2365" s="33" cm="1">
        <f t="array" aca="1" ref="J2365" ca="1">SUMPRODUCT(IF((NOT(ISERROR(MATCH(ROW(INDIRECT(DATE(YEAR(B2365),MONTH(B2365),1)&amp;":"&amp;DATE(YEAR(B2365),MONTH(B2365)+1,0))),Feriados[Data],0))))=FALSE,
IF(WEEKDAY(ROW(INDIRECT(DATE(YEAR(B2365),MONTH(B2365),1)&amp;":"&amp;DATE(YEAR(B2365),MONTH(B2365)+1,0))),2)&lt;=5,1,IF(WEEKDAY(ROW(INDIRECT(DATE(YEAR(B2365),MONTH(B2365),1)&amp;":"&amp;DATE(YEAR(B2365),MONTH(B2365)+1,0))),2)=6,0.5,0)),0))</f>
        <v>23</v>
      </c>
      <c r="K2365" s="22" cm="1">
        <f t="array" ref="K2365">_xlfn.XLOOKUP(1,((Metas_Diarias[[#This Row],[tipo_equipe_id]]=Metas[equipe])*(Metas_Diarias[[#This Row],[data]]&gt;Metas[data_inicio])*(Metas_Diarias[[#This Row],[data]]&lt;Metas[data_fim])),Metas[meta_mensal],0)</f>
        <v>110000</v>
      </c>
      <c r="L2365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66" spans="2:12" x14ac:dyDescent="0.3">
      <c r="B2366" s="34">
        <v>46192</v>
      </c>
      <c r="C2366" s="34" t="str">
        <f>TEXT(Metas_Diarias[[#This Row],[data]],"dddd")</f>
        <v>sexta-feira</v>
      </c>
      <c r="D2366" s="33">
        <v>3</v>
      </c>
      <c r="E2366" s="33">
        <v>3</v>
      </c>
      <c r="F2366" s="18"/>
      <c r="G2366" s="35">
        <f>WEEKDAY(Metas_Diarias[[#This Row],[data]])</f>
        <v>6</v>
      </c>
      <c r="H2366" s="35">
        <f>IF(Metas_Diarias[[#This Row],[dias_da_demana]]=1,"domingo",IF(Metas_Diarias[[#This Row],[dias_da_demana]]=7,0.5,1))</f>
        <v>1</v>
      </c>
      <c r="I2366" s="35">
        <f>_xlfn.XLOOKUP(Metas_Diarias[[#This Row],[data]],Feriados[Data],Feriados[Feriado],1)</f>
        <v>1</v>
      </c>
      <c r="J2366" s="33" cm="1">
        <f t="array" aca="1" ref="J2366" ca="1">SUMPRODUCT(IF((NOT(ISERROR(MATCH(ROW(INDIRECT(DATE(YEAR(B2366),MONTH(B2366),1)&amp;":"&amp;DATE(YEAR(B2366),MONTH(B2366)+1,0))),Feriados[Data],0))))=FALSE,
IF(WEEKDAY(ROW(INDIRECT(DATE(YEAR(B2366),MONTH(B2366),1)&amp;":"&amp;DATE(YEAR(B2366),MONTH(B2366)+1,0))),2)&lt;=5,1,IF(WEEKDAY(ROW(INDIRECT(DATE(YEAR(B2366),MONTH(B2366),1)&amp;":"&amp;DATE(YEAR(B2366),MONTH(B2366)+1,0))),2)=6,0.5,0)),0))</f>
        <v>23</v>
      </c>
      <c r="K2366" s="22" cm="1">
        <f t="array" ref="K2366">_xlfn.XLOOKUP(1,((Metas_Diarias[[#This Row],[tipo_equipe_id]]=Metas[equipe])*(Metas_Diarias[[#This Row],[data]]&gt;Metas[data_inicio])*(Metas_Diarias[[#This Row],[data]]&lt;Metas[data_fim])),Metas[meta_mensal],0)</f>
        <v>110000</v>
      </c>
      <c r="L2366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67" spans="2:12" x14ac:dyDescent="0.3">
      <c r="B2367" s="34">
        <v>46193</v>
      </c>
      <c r="C2367" s="34" t="str">
        <f>TEXT(Metas_Diarias[[#This Row],[data]],"dddd")</f>
        <v>sábado</v>
      </c>
      <c r="D2367" s="33">
        <v>3</v>
      </c>
      <c r="E2367" s="33">
        <v>3</v>
      </c>
      <c r="F2367" s="18"/>
      <c r="G2367" s="35">
        <f>WEEKDAY(Metas_Diarias[[#This Row],[data]])</f>
        <v>7</v>
      </c>
      <c r="H2367" s="35">
        <f>IF(Metas_Diarias[[#This Row],[dias_da_demana]]=1,"domingo",IF(Metas_Diarias[[#This Row],[dias_da_demana]]=7,0.5,1))</f>
        <v>0.5</v>
      </c>
      <c r="I2367" s="35">
        <f>_xlfn.XLOOKUP(Metas_Diarias[[#This Row],[data]],Feriados[Data],Feriados[Feriado],1)</f>
        <v>1</v>
      </c>
      <c r="J2367" s="33" cm="1">
        <f t="array" aca="1" ref="J2367" ca="1">SUMPRODUCT(IF((NOT(ISERROR(MATCH(ROW(INDIRECT(DATE(YEAR(B2367),MONTH(B2367),1)&amp;":"&amp;DATE(YEAR(B2367),MONTH(B2367)+1,0))),Feriados[Data],0))))=FALSE,
IF(WEEKDAY(ROW(INDIRECT(DATE(YEAR(B2367),MONTH(B2367),1)&amp;":"&amp;DATE(YEAR(B2367),MONTH(B2367)+1,0))),2)&lt;=5,1,IF(WEEKDAY(ROW(INDIRECT(DATE(YEAR(B2367),MONTH(B2367),1)&amp;":"&amp;DATE(YEAR(B2367),MONTH(B2367)+1,0))),2)=6,0.5,0)),0))</f>
        <v>23</v>
      </c>
      <c r="K2367" s="22" cm="1">
        <f t="array" ref="K2367">_xlfn.XLOOKUP(1,((Metas_Diarias[[#This Row],[tipo_equipe_id]]=Metas[equipe])*(Metas_Diarias[[#This Row],[data]]&gt;Metas[data_inicio])*(Metas_Diarias[[#This Row],[data]]&lt;Metas[data_fim])),Metas[meta_mensal],0)</f>
        <v>110000</v>
      </c>
      <c r="L2367" s="24">
        <f ca="1">Metas_Diarias[[#This Row],[meta_mensal]]*IF(Metas_Diarias[[#This Row],[semana]]="domingo",0,Metas_Diarias[[#This Row],[semana]])*IF(Metas_Diarias[[#This Row],[feriado]]&lt;&gt;1,0,1)/Metas_Diarias[[#This Row],[dias_úteis_Mês]]</f>
        <v>2391.304347826087</v>
      </c>
    </row>
    <row r="2368" spans="2:12" x14ac:dyDescent="0.3">
      <c r="B2368" s="34">
        <v>46194</v>
      </c>
      <c r="C2368" s="34" t="str">
        <f>TEXT(Metas_Diarias[[#This Row],[data]],"dddd")</f>
        <v>domingo</v>
      </c>
      <c r="D2368" s="33">
        <v>3</v>
      </c>
      <c r="E2368" s="33">
        <v>3</v>
      </c>
      <c r="F2368" s="18"/>
      <c r="G2368" s="35">
        <f>WEEKDAY(Metas_Diarias[[#This Row],[data]])</f>
        <v>1</v>
      </c>
      <c r="H2368" s="35" t="str">
        <f>IF(Metas_Diarias[[#This Row],[dias_da_demana]]=1,"domingo",IF(Metas_Diarias[[#This Row],[dias_da_demana]]=7,0.5,1))</f>
        <v>domingo</v>
      </c>
      <c r="I2368" s="35">
        <f>_xlfn.XLOOKUP(Metas_Diarias[[#This Row],[data]],Feriados[Data],Feriados[Feriado],1)</f>
        <v>1</v>
      </c>
      <c r="J2368" s="33" cm="1">
        <f t="array" aca="1" ref="J2368" ca="1">SUMPRODUCT(IF((NOT(ISERROR(MATCH(ROW(INDIRECT(DATE(YEAR(B2368),MONTH(B2368),1)&amp;":"&amp;DATE(YEAR(B2368),MONTH(B2368)+1,0))),Feriados[Data],0))))=FALSE,
IF(WEEKDAY(ROW(INDIRECT(DATE(YEAR(B2368),MONTH(B2368),1)&amp;":"&amp;DATE(YEAR(B2368),MONTH(B2368)+1,0))),2)&lt;=5,1,IF(WEEKDAY(ROW(INDIRECT(DATE(YEAR(B2368),MONTH(B2368),1)&amp;":"&amp;DATE(YEAR(B2368),MONTH(B2368)+1,0))),2)=6,0.5,0)),0))</f>
        <v>23</v>
      </c>
      <c r="K2368" s="22" cm="1">
        <f t="array" ref="K2368">_xlfn.XLOOKUP(1,((Metas_Diarias[[#This Row],[tipo_equipe_id]]=Metas[equipe])*(Metas_Diarias[[#This Row],[data]]&gt;Metas[data_inicio])*(Metas_Diarias[[#This Row],[data]]&lt;Metas[data_fim])),Metas[meta_mensal],0)</f>
        <v>110000</v>
      </c>
      <c r="L23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69" spans="2:12" x14ac:dyDescent="0.3">
      <c r="B2369" s="34">
        <v>46195</v>
      </c>
      <c r="C2369" s="34" t="str">
        <f>TEXT(Metas_Diarias[[#This Row],[data]],"dddd")</f>
        <v>segunda-feira</v>
      </c>
      <c r="D2369" s="33">
        <v>3</v>
      </c>
      <c r="E2369" s="33">
        <v>3</v>
      </c>
      <c r="F2369" s="18"/>
      <c r="G2369" s="35">
        <f>WEEKDAY(Metas_Diarias[[#This Row],[data]])</f>
        <v>2</v>
      </c>
      <c r="H2369" s="35">
        <f>IF(Metas_Diarias[[#This Row],[dias_da_demana]]=1,"domingo",IF(Metas_Diarias[[#This Row],[dias_da_demana]]=7,0.5,1))</f>
        <v>1</v>
      </c>
      <c r="I2369" s="35">
        <f>_xlfn.XLOOKUP(Metas_Diarias[[#This Row],[data]],Feriados[Data],Feriados[Feriado],1)</f>
        <v>1</v>
      </c>
      <c r="J2369" s="33" cm="1">
        <f t="array" aca="1" ref="J2369" ca="1">SUMPRODUCT(IF((NOT(ISERROR(MATCH(ROW(INDIRECT(DATE(YEAR(B2369),MONTH(B2369),1)&amp;":"&amp;DATE(YEAR(B2369),MONTH(B2369)+1,0))),Feriados[Data],0))))=FALSE,
IF(WEEKDAY(ROW(INDIRECT(DATE(YEAR(B2369),MONTH(B2369),1)&amp;":"&amp;DATE(YEAR(B2369),MONTH(B2369)+1,0))),2)&lt;=5,1,IF(WEEKDAY(ROW(INDIRECT(DATE(YEAR(B2369),MONTH(B2369),1)&amp;":"&amp;DATE(YEAR(B2369),MONTH(B2369)+1,0))),2)=6,0.5,0)),0))</f>
        <v>23</v>
      </c>
      <c r="K2369" s="22" cm="1">
        <f t="array" ref="K2369">_xlfn.XLOOKUP(1,((Metas_Diarias[[#This Row],[tipo_equipe_id]]=Metas[equipe])*(Metas_Diarias[[#This Row],[data]]&gt;Metas[data_inicio])*(Metas_Diarias[[#This Row],[data]]&lt;Metas[data_fim])),Metas[meta_mensal],0)</f>
        <v>110000</v>
      </c>
      <c r="L2369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70" spans="2:12" x14ac:dyDescent="0.3">
      <c r="B2370" s="34">
        <v>46196</v>
      </c>
      <c r="C2370" s="34" t="str">
        <f>TEXT(Metas_Diarias[[#This Row],[data]],"dddd")</f>
        <v>terça-feira</v>
      </c>
      <c r="D2370" s="33">
        <v>3</v>
      </c>
      <c r="E2370" s="33">
        <v>3</v>
      </c>
      <c r="F2370" s="18"/>
      <c r="G2370" s="35">
        <f>WEEKDAY(Metas_Diarias[[#This Row],[data]])</f>
        <v>3</v>
      </c>
      <c r="H2370" s="35">
        <f>IF(Metas_Diarias[[#This Row],[dias_da_demana]]=1,"domingo",IF(Metas_Diarias[[#This Row],[dias_da_demana]]=7,0.5,1))</f>
        <v>1</v>
      </c>
      <c r="I2370" s="35">
        <f>_xlfn.XLOOKUP(Metas_Diarias[[#This Row],[data]],Feriados[Data],Feriados[Feriado],1)</f>
        <v>1</v>
      </c>
      <c r="J2370" s="33" cm="1">
        <f t="array" aca="1" ref="J2370" ca="1">SUMPRODUCT(IF((NOT(ISERROR(MATCH(ROW(INDIRECT(DATE(YEAR(B2370),MONTH(B2370),1)&amp;":"&amp;DATE(YEAR(B2370),MONTH(B2370)+1,0))),Feriados[Data],0))))=FALSE,
IF(WEEKDAY(ROW(INDIRECT(DATE(YEAR(B2370),MONTH(B2370),1)&amp;":"&amp;DATE(YEAR(B2370),MONTH(B2370)+1,0))),2)&lt;=5,1,IF(WEEKDAY(ROW(INDIRECT(DATE(YEAR(B2370),MONTH(B2370),1)&amp;":"&amp;DATE(YEAR(B2370),MONTH(B2370)+1,0))),2)=6,0.5,0)),0))</f>
        <v>23</v>
      </c>
      <c r="K2370" s="22" cm="1">
        <f t="array" ref="K2370">_xlfn.XLOOKUP(1,((Metas_Diarias[[#This Row],[tipo_equipe_id]]=Metas[equipe])*(Metas_Diarias[[#This Row],[data]]&gt;Metas[data_inicio])*(Metas_Diarias[[#This Row],[data]]&lt;Metas[data_fim])),Metas[meta_mensal],0)</f>
        <v>110000</v>
      </c>
      <c r="L2370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71" spans="2:12" x14ac:dyDescent="0.3">
      <c r="B2371" s="34">
        <v>46197</v>
      </c>
      <c r="C2371" s="34" t="str">
        <f>TEXT(Metas_Diarias[[#This Row],[data]],"dddd")</f>
        <v>quarta-feira</v>
      </c>
      <c r="D2371" s="33">
        <v>3</v>
      </c>
      <c r="E2371" s="33">
        <v>3</v>
      </c>
      <c r="F2371" s="18"/>
      <c r="G2371" s="35">
        <f>WEEKDAY(Metas_Diarias[[#This Row],[data]])</f>
        <v>4</v>
      </c>
      <c r="H2371" s="35">
        <f>IF(Metas_Diarias[[#This Row],[dias_da_demana]]=1,"domingo",IF(Metas_Diarias[[#This Row],[dias_da_demana]]=7,0.5,1))</f>
        <v>1</v>
      </c>
      <c r="I2371" s="35">
        <f>_xlfn.XLOOKUP(Metas_Diarias[[#This Row],[data]],Feriados[Data],Feriados[Feriado],1)</f>
        <v>1</v>
      </c>
      <c r="J2371" s="33" cm="1">
        <f t="array" aca="1" ref="J2371" ca="1">SUMPRODUCT(IF((NOT(ISERROR(MATCH(ROW(INDIRECT(DATE(YEAR(B2371),MONTH(B2371),1)&amp;":"&amp;DATE(YEAR(B2371),MONTH(B2371)+1,0))),Feriados[Data],0))))=FALSE,
IF(WEEKDAY(ROW(INDIRECT(DATE(YEAR(B2371),MONTH(B2371),1)&amp;":"&amp;DATE(YEAR(B2371),MONTH(B2371)+1,0))),2)&lt;=5,1,IF(WEEKDAY(ROW(INDIRECT(DATE(YEAR(B2371),MONTH(B2371),1)&amp;":"&amp;DATE(YEAR(B2371),MONTH(B2371)+1,0))),2)=6,0.5,0)),0))</f>
        <v>23</v>
      </c>
      <c r="K2371" s="22" cm="1">
        <f t="array" ref="K2371">_xlfn.XLOOKUP(1,((Metas_Diarias[[#This Row],[tipo_equipe_id]]=Metas[equipe])*(Metas_Diarias[[#This Row],[data]]&gt;Metas[data_inicio])*(Metas_Diarias[[#This Row],[data]]&lt;Metas[data_fim])),Metas[meta_mensal],0)</f>
        <v>110000</v>
      </c>
      <c r="L2371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72" spans="2:12" x14ac:dyDescent="0.3">
      <c r="B2372" s="34">
        <v>46198</v>
      </c>
      <c r="C2372" s="34" t="str">
        <f>TEXT(Metas_Diarias[[#This Row],[data]],"dddd")</f>
        <v>quinta-feira</v>
      </c>
      <c r="D2372" s="33">
        <v>3</v>
      </c>
      <c r="E2372" s="33">
        <v>3</v>
      </c>
      <c r="F2372" s="18"/>
      <c r="G2372" s="35">
        <f>WEEKDAY(Metas_Diarias[[#This Row],[data]])</f>
        <v>5</v>
      </c>
      <c r="H2372" s="35">
        <f>IF(Metas_Diarias[[#This Row],[dias_da_demana]]=1,"domingo",IF(Metas_Diarias[[#This Row],[dias_da_demana]]=7,0.5,1))</f>
        <v>1</v>
      </c>
      <c r="I2372" s="35">
        <f>_xlfn.XLOOKUP(Metas_Diarias[[#This Row],[data]],Feriados[Data],Feriados[Feriado],1)</f>
        <v>1</v>
      </c>
      <c r="J2372" s="33" cm="1">
        <f t="array" aca="1" ref="J2372" ca="1">SUMPRODUCT(IF((NOT(ISERROR(MATCH(ROW(INDIRECT(DATE(YEAR(B2372),MONTH(B2372),1)&amp;":"&amp;DATE(YEAR(B2372),MONTH(B2372)+1,0))),Feriados[Data],0))))=FALSE,
IF(WEEKDAY(ROW(INDIRECT(DATE(YEAR(B2372),MONTH(B2372),1)&amp;":"&amp;DATE(YEAR(B2372),MONTH(B2372)+1,0))),2)&lt;=5,1,IF(WEEKDAY(ROW(INDIRECT(DATE(YEAR(B2372),MONTH(B2372),1)&amp;":"&amp;DATE(YEAR(B2372),MONTH(B2372)+1,0))),2)=6,0.5,0)),0))</f>
        <v>23</v>
      </c>
      <c r="K2372" s="22" cm="1">
        <f t="array" ref="K2372">_xlfn.XLOOKUP(1,((Metas_Diarias[[#This Row],[tipo_equipe_id]]=Metas[equipe])*(Metas_Diarias[[#This Row],[data]]&gt;Metas[data_inicio])*(Metas_Diarias[[#This Row],[data]]&lt;Metas[data_fim])),Metas[meta_mensal],0)</f>
        <v>110000</v>
      </c>
      <c r="L2372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73" spans="2:12" x14ac:dyDescent="0.3">
      <c r="B2373" s="34">
        <v>46199</v>
      </c>
      <c r="C2373" s="34" t="str">
        <f>TEXT(Metas_Diarias[[#This Row],[data]],"dddd")</f>
        <v>sexta-feira</v>
      </c>
      <c r="D2373" s="33">
        <v>3</v>
      </c>
      <c r="E2373" s="33">
        <v>3</v>
      </c>
      <c r="F2373" s="18"/>
      <c r="G2373" s="35">
        <f>WEEKDAY(Metas_Diarias[[#This Row],[data]])</f>
        <v>6</v>
      </c>
      <c r="H2373" s="35">
        <f>IF(Metas_Diarias[[#This Row],[dias_da_demana]]=1,"domingo",IF(Metas_Diarias[[#This Row],[dias_da_demana]]=7,0.5,1))</f>
        <v>1</v>
      </c>
      <c r="I2373" s="35">
        <f>_xlfn.XLOOKUP(Metas_Diarias[[#This Row],[data]],Feriados[Data],Feriados[Feriado],1)</f>
        <v>1</v>
      </c>
      <c r="J2373" s="33" cm="1">
        <f t="array" aca="1" ref="J2373" ca="1">SUMPRODUCT(IF((NOT(ISERROR(MATCH(ROW(INDIRECT(DATE(YEAR(B2373),MONTH(B2373),1)&amp;":"&amp;DATE(YEAR(B2373),MONTH(B2373)+1,0))),Feriados[Data],0))))=FALSE,
IF(WEEKDAY(ROW(INDIRECT(DATE(YEAR(B2373),MONTH(B2373),1)&amp;":"&amp;DATE(YEAR(B2373),MONTH(B2373)+1,0))),2)&lt;=5,1,IF(WEEKDAY(ROW(INDIRECT(DATE(YEAR(B2373),MONTH(B2373),1)&amp;":"&amp;DATE(YEAR(B2373),MONTH(B2373)+1,0))),2)=6,0.5,0)),0))</f>
        <v>23</v>
      </c>
      <c r="K2373" s="22" cm="1">
        <f t="array" ref="K2373">_xlfn.XLOOKUP(1,((Metas_Diarias[[#This Row],[tipo_equipe_id]]=Metas[equipe])*(Metas_Diarias[[#This Row],[data]]&gt;Metas[data_inicio])*(Metas_Diarias[[#This Row],[data]]&lt;Metas[data_fim])),Metas[meta_mensal],0)</f>
        <v>110000</v>
      </c>
      <c r="L2373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74" spans="2:12" x14ac:dyDescent="0.3">
      <c r="B2374" s="34">
        <v>46200</v>
      </c>
      <c r="C2374" s="34" t="str">
        <f>TEXT(Metas_Diarias[[#This Row],[data]],"dddd")</f>
        <v>sábado</v>
      </c>
      <c r="D2374" s="33">
        <v>3</v>
      </c>
      <c r="E2374" s="33">
        <v>3</v>
      </c>
      <c r="F2374" s="18"/>
      <c r="G2374" s="35">
        <f>WEEKDAY(Metas_Diarias[[#This Row],[data]])</f>
        <v>7</v>
      </c>
      <c r="H2374" s="35">
        <f>IF(Metas_Diarias[[#This Row],[dias_da_demana]]=1,"domingo",IF(Metas_Diarias[[#This Row],[dias_da_demana]]=7,0.5,1))</f>
        <v>0.5</v>
      </c>
      <c r="I2374" s="35">
        <f>_xlfn.XLOOKUP(Metas_Diarias[[#This Row],[data]],Feriados[Data],Feriados[Feriado],1)</f>
        <v>1</v>
      </c>
      <c r="J2374" s="33" cm="1">
        <f t="array" aca="1" ref="J2374" ca="1">SUMPRODUCT(IF((NOT(ISERROR(MATCH(ROW(INDIRECT(DATE(YEAR(B2374),MONTH(B2374),1)&amp;":"&amp;DATE(YEAR(B2374),MONTH(B2374)+1,0))),Feriados[Data],0))))=FALSE,
IF(WEEKDAY(ROW(INDIRECT(DATE(YEAR(B2374),MONTH(B2374),1)&amp;":"&amp;DATE(YEAR(B2374),MONTH(B2374)+1,0))),2)&lt;=5,1,IF(WEEKDAY(ROW(INDIRECT(DATE(YEAR(B2374),MONTH(B2374),1)&amp;":"&amp;DATE(YEAR(B2374),MONTH(B2374)+1,0))),2)=6,0.5,0)),0))</f>
        <v>23</v>
      </c>
      <c r="K2374" s="22" cm="1">
        <f t="array" ref="K2374">_xlfn.XLOOKUP(1,((Metas_Diarias[[#This Row],[tipo_equipe_id]]=Metas[equipe])*(Metas_Diarias[[#This Row],[data]]&gt;Metas[data_inicio])*(Metas_Diarias[[#This Row],[data]]&lt;Metas[data_fim])),Metas[meta_mensal],0)</f>
        <v>110000</v>
      </c>
      <c r="L2374" s="24">
        <f ca="1">Metas_Diarias[[#This Row],[meta_mensal]]*IF(Metas_Diarias[[#This Row],[semana]]="domingo",0,Metas_Diarias[[#This Row],[semana]])*IF(Metas_Diarias[[#This Row],[feriado]]&lt;&gt;1,0,1)/Metas_Diarias[[#This Row],[dias_úteis_Mês]]</f>
        <v>2391.304347826087</v>
      </c>
    </row>
    <row r="2375" spans="2:12" x14ac:dyDescent="0.3">
      <c r="B2375" s="34">
        <v>46201</v>
      </c>
      <c r="C2375" s="34" t="str">
        <f>TEXT(Metas_Diarias[[#This Row],[data]],"dddd")</f>
        <v>domingo</v>
      </c>
      <c r="D2375" s="33">
        <v>3</v>
      </c>
      <c r="E2375" s="33">
        <v>3</v>
      </c>
      <c r="F2375" s="18"/>
      <c r="G2375" s="35">
        <f>WEEKDAY(Metas_Diarias[[#This Row],[data]])</f>
        <v>1</v>
      </c>
      <c r="H2375" s="35" t="str">
        <f>IF(Metas_Diarias[[#This Row],[dias_da_demana]]=1,"domingo",IF(Metas_Diarias[[#This Row],[dias_da_demana]]=7,0.5,1))</f>
        <v>domingo</v>
      </c>
      <c r="I2375" s="35">
        <f>_xlfn.XLOOKUP(Metas_Diarias[[#This Row],[data]],Feriados[Data],Feriados[Feriado],1)</f>
        <v>1</v>
      </c>
      <c r="J2375" s="33" cm="1">
        <f t="array" aca="1" ref="J2375" ca="1">SUMPRODUCT(IF((NOT(ISERROR(MATCH(ROW(INDIRECT(DATE(YEAR(B2375),MONTH(B2375),1)&amp;":"&amp;DATE(YEAR(B2375),MONTH(B2375)+1,0))),Feriados[Data],0))))=FALSE,
IF(WEEKDAY(ROW(INDIRECT(DATE(YEAR(B2375),MONTH(B2375),1)&amp;":"&amp;DATE(YEAR(B2375),MONTH(B2375)+1,0))),2)&lt;=5,1,IF(WEEKDAY(ROW(INDIRECT(DATE(YEAR(B2375),MONTH(B2375),1)&amp;":"&amp;DATE(YEAR(B2375),MONTH(B2375)+1,0))),2)=6,0.5,0)),0))</f>
        <v>23</v>
      </c>
      <c r="K2375" s="22" cm="1">
        <f t="array" ref="K2375">_xlfn.XLOOKUP(1,((Metas_Diarias[[#This Row],[tipo_equipe_id]]=Metas[equipe])*(Metas_Diarias[[#This Row],[data]]&gt;Metas[data_inicio])*(Metas_Diarias[[#This Row],[data]]&lt;Metas[data_fim])),Metas[meta_mensal],0)</f>
        <v>110000</v>
      </c>
      <c r="L23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76" spans="2:12" x14ac:dyDescent="0.3">
      <c r="B2376" s="34">
        <v>46202</v>
      </c>
      <c r="C2376" s="34" t="str">
        <f>TEXT(Metas_Diarias[[#This Row],[data]],"dddd")</f>
        <v>segunda-feira</v>
      </c>
      <c r="D2376" s="33">
        <v>3</v>
      </c>
      <c r="E2376" s="33">
        <v>3</v>
      </c>
      <c r="F2376" s="18"/>
      <c r="G2376" s="35">
        <f>WEEKDAY(Metas_Diarias[[#This Row],[data]])</f>
        <v>2</v>
      </c>
      <c r="H2376" s="35">
        <f>IF(Metas_Diarias[[#This Row],[dias_da_demana]]=1,"domingo",IF(Metas_Diarias[[#This Row],[dias_da_demana]]=7,0.5,1))</f>
        <v>1</v>
      </c>
      <c r="I2376" s="35">
        <f>_xlfn.XLOOKUP(Metas_Diarias[[#This Row],[data]],Feriados[Data],Feriados[Feriado],1)</f>
        <v>1</v>
      </c>
      <c r="J2376" s="33" cm="1">
        <f t="array" aca="1" ref="J2376" ca="1">SUMPRODUCT(IF((NOT(ISERROR(MATCH(ROW(INDIRECT(DATE(YEAR(B2376),MONTH(B2376),1)&amp;":"&amp;DATE(YEAR(B2376),MONTH(B2376)+1,0))),Feriados[Data],0))))=FALSE,
IF(WEEKDAY(ROW(INDIRECT(DATE(YEAR(B2376),MONTH(B2376),1)&amp;":"&amp;DATE(YEAR(B2376),MONTH(B2376)+1,0))),2)&lt;=5,1,IF(WEEKDAY(ROW(INDIRECT(DATE(YEAR(B2376),MONTH(B2376),1)&amp;":"&amp;DATE(YEAR(B2376),MONTH(B2376)+1,0))),2)=6,0.5,0)),0))</f>
        <v>23</v>
      </c>
      <c r="K2376" s="22" cm="1">
        <f t="array" ref="K2376">_xlfn.XLOOKUP(1,((Metas_Diarias[[#This Row],[tipo_equipe_id]]=Metas[equipe])*(Metas_Diarias[[#This Row],[data]]&gt;Metas[data_inicio])*(Metas_Diarias[[#This Row],[data]]&lt;Metas[data_fim])),Metas[meta_mensal],0)</f>
        <v>110000</v>
      </c>
      <c r="L2376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77" spans="2:12" x14ac:dyDescent="0.3">
      <c r="B2377" s="34">
        <v>46203</v>
      </c>
      <c r="C2377" s="34" t="str">
        <f>TEXT(Metas_Diarias[[#This Row],[data]],"dddd")</f>
        <v>terça-feira</v>
      </c>
      <c r="D2377" s="33">
        <v>3</v>
      </c>
      <c r="E2377" s="33">
        <v>3</v>
      </c>
      <c r="F2377" s="18"/>
      <c r="G2377" s="35">
        <f>WEEKDAY(Metas_Diarias[[#This Row],[data]])</f>
        <v>3</v>
      </c>
      <c r="H2377" s="35">
        <f>IF(Metas_Diarias[[#This Row],[dias_da_demana]]=1,"domingo",IF(Metas_Diarias[[#This Row],[dias_da_demana]]=7,0.5,1))</f>
        <v>1</v>
      </c>
      <c r="I2377" s="35">
        <f>_xlfn.XLOOKUP(Metas_Diarias[[#This Row],[data]],Feriados[Data],Feriados[Feriado],1)</f>
        <v>1</v>
      </c>
      <c r="J2377" s="33" cm="1">
        <f t="array" aca="1" ref="J2377" ca="1">SUMPRODUCT(IF((NOT(ISERROR(MATCH(ROW(INDIRECT(DATE(YEAR(B2377),MONTH(B2377),1)&amp;":"&amp;DATE(YEAR(B2377),MONTH(B2377)+1,0))),Feriados[Data],0))))=FALSE,
IF(WEEKDAY(ROW(INDIRECT(DATE(YEAR(B2377),MONTH(B2377),1)&amp;":"&amp;DATE(YEAR(B2377),MONTH(B2377)+1,0))),2)&lt;=5,1,IF(WEEKDAY(ROW(INDIRECT(DATE(YEAR(B2377),MONTH(B2377),1)&amp;":"&amp;DATE(YEAR(B2377),MONTH(B2377)+1,0))),2)=6,0.5,0)),0))</f>
        <v>23</v>
      </c>
      <c r="K2377" s="22" cm="1">
        <f t="array" ref="K2377">_xlfn.XLOOKUP(1,((Metas_Diarias[[#This Row],[tipo_equipe_id]]=Metas[equipe])*(Metas_Diarias[[#This Row],[data]]&gt;Metas[data_inicio])*(Metas_Diarias[[#This Row],[data]]&lt;Metas[data_fim])),Metas[meta_mensal],0)</f>
        <v>110000</v>
      </c>
      <c r="L2377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378" spans="2:12" x14ac:dyDescent="0.3">
      <c r="B2378" s="34">
        <v>46204</v>
      </c>
      <c r="C2378" s="34" t="str">
        <f>TEXT(Metas_Diarias[[#This Row],[data]],"dddd")</f>
        <v>quarta-feira</v>
      </c>
      <c r="D2378" s="33">
        <v>3</v>
      </c>
      <c r="E2378" s="33">
        <v>3</v>
      </c>
      <c r="F2378" s="18"/>
      <c r="G2378" s="35">
        <f>WEEKDAY(Metas_Diarias[[#This Row],[data]])</f>
        <v>4</v>
      </c>
      <c r="H2378" s="35">
        <f>IF(Metas_Diarias[[#This Row],[dias_da_demana]]=1,"domingo",IF(Metas_Diarias[[#This Row],[dias_da_demana]]=7,0.5,1))</f>
        <v>1</v>
      </c>
      <c r="I2378" s="35">
        <f>_xlfn.XLOOKUP(Metas_Diarias[[#This Row],[data]],Feriados[Data],Feriados[Feriado],1)</f>
        <v>1</v>
      </c>
      <c r="J2378" s="33" cm="1">
        <f t="array" aca="1" ref="J2378" ca="1">SUMPRODUCT(IF((NOT(ISERROR(MATCH(ROW(INDIRECT(DATE(YEAR(B2378),MONTH(B2378),1)&amp;":"&amp;DATE(YEAR(B2378),MONTH(B2378)+1,0))),Feriados[Data],0))))=FALSE,
IF(WEEKDAY(ROW(INDIRECT(DATE(YEAR(B2378),MONTH(B2378),1)&amp;":"&amp;DATE(YEAR(B2378),MONTH(B2378)+1,0))),2)&lt;=5,1,IF(WEEKDAY(ROW(INDIRECT(DATE(YEAR(B2378),MONTH(B2378),1)&amp;":"&amp;DATE(YEAR(B2378),MONTH(B2378)+1,0))),2)=6,0.5,0)),0))</f>
        <v>25</v>
      </c>
      <c r="K2378" s="22" cm="1">
        <f t="array" ref="K2378">_xlfn.XLOOKUP(1,((Metas_Diarias[[#This Row],[tipo_equipe_id]]=Metas[equipe])*(Metas_Diarias[[#This Row],[data]]&gt;Metas[data_inicio])*(Metas_Diarias[[#This Row],[data]]&lt;Metas[data_fim])),Metas[meta_mensal],0)</f>
        <v>110000</v>
      </c>
      <c r="L2378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79" spans="2:12" x14ac:dyDescent="0.3">
      <c r="B2379" s="34">
        <v>46205</v>
      </c>
      <c r="C2379" s="34" t="str">
        <f>TEXT(Metas_Diarias[[#This Row],[data]],"dddd")</f>
        <v>quinta-feira</v>
      </c>
      <c r="D2379" s="33">
        <v>3</v>
      </c>
      <c r="E2379" s="33">
        <v>3</v>
      </c>
      <c r="F2379" s="18"/>
      <c r="G2379" s="35">
        <f>WEEKDAY(Metas_Diarias[[#This Row],[data]])</f>
        <v>5</v>
      </c>
      <c r="H2379" s="35">
        <f>IF(Metas_Diarias[[#This Row],[dias_da_demana]]=1,"domingo",IF(Metas_Diarias[[#This Row],[dias_da_demana]]=7,0.5,1))</f>
        <v>1</v>
      </c>
      <c r="I2379" s="35">
        <f>_xlfn.XLOOKUP(Metas_Diarias[[#This Row],[data]],Feriados[Data],Feriados[Feriado],1)</f>
        <v>1</v>
      </c>
      <c r="J2379" s="33" cm="1">
        <f t="array" aca="1" ref="J2379" ca="1">SUMPRODUCT(IF((NOT(ISERROR(MATCH(ROW(INDIRECT(DATE(YEAR(B2379),MONTH(B2379),1)&amp;":"&amp;DATE(YEAR(B2379),MONTH(B2379)+1,0))),Feriados[Data],0))))=FALSE,
IF(WEEKDAY(ROW(INDIRECT(DATE(YEAR(B2379),MONTH(B2379),1)&amp;":"&amp;DATE(YEAR(B2379),MONTH(B2379)+1,0))),2)&lt;=5,1,IF(WEEKDAY(ROW(INDIRECT(DATE(YEAR(B2379),MONTH(B2379),1)&amp;":"&amp;DATE(YEAR(B2379),MONTH(B2379)+1,0))),2)=6,0.5,0)),0))</f>
        <v>25</v>
      </c>
      <c r="K2379" s="22" cm="1">
        <f t="array" ref="K2379">_xlfn.XLOOKUP(1,((Metas_Diarias[[#This Row],[tipo_equipe_id]]=Metas[equipe])*(Metas_Diarias[[#This Row],[data]]&gt;Metas[data_inicio])*(Metas_Diarias[[#This Row],[data]]&lt;Metas[data_fim])),Metas[meta_mensal],0)</f>
        <v>110000</v>
      </c>
      <c r="L2379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80" spans="2:12" x14ac:dyDescent="0.3">
      <c r="B2380" s="34">
        <v>46206</v>
      </c>
      <c r="C2380" s="34" t="str">
        <f>TEXT(Metas_Diarias[[#This Row],[data]],"dddd")</f>
        <v>sexta-feira</v>
      </c>
      <c r="D2380" s="33">
        <v>3</v>
      </c>
      <c r="E2380" s="33">
        <v>3</v>
      </c>
      <c r="F2380" s="18"/>
      <c r="G2380" s="35">
        <f>WEEKDAY(Metas_Diarias[[#This Row],[data]])</f>
        <v>6</v>
      </c>
      <c r="H2380" s="35">
        <f>IF(Metas_Diarias[[#This Row],[dias_da_demana]]=1,"domingo",IF(Metas_Diarias[[#This Row],[dias_da_demana]]=7,0.5,1))</f>
        <v>1</v>
      </c>
      <c r="I2380" s="35">
        <f>_xlfn.XLOOKUP(Metas_Diarias[[#This Row],[data]],Feriados[Data],Feriados[Feriado],1)</f>
        <v>1</v>
      </c>
      <c r="J2380" s="33" cm="1">
        <f t="array" aca="1" ref="J2380" ca="1">SUMPRODUCT(IF((NOT(ISERROR(MATCH(ROW(INDIRECT(DATE(YEAR(B2380),MONTH(B2380),1)&amp;":"&amp;DATE(YEAR(B2380),MONTH(B2380)+1,0))),Feriados[Data],0))))=FALSE,
IF(WEEKDAY(ROW(INDIRECT(DATE(YEAR(B2380),MONTH(B2380),1)&amp;":"&amp;DATE(YEAR(B2380),MONTH(B2380)+1,0))),2)&lt;=5,1,IF(WEEKDAY(ROW(INDIRECT(DATE(YEAR(B2380),MONTH(B2380),1)&amp;":"&amp;DATE(YEAR(B2380),MONTH(B2380)+1,0))),2)=6,0.5,0)),0))</f>
        <v>25</v>
      </c>
      <c r="K2380" s="22" cm="1">
        <f t="array" ref="K2380">_xlfn.XLOOKUP(1,((Metas_Diarias[[#This Row],[tipo_equipe_id]]=Metas[equipe])*(Metas_Diarias[[#This Row],[data]]&gt;Metas[data_inicio])*(Metas_Diarias[[#This Row],[data]]&lt;Metas[data_fim])),Metas[meta_mensal],0)</f>
        <v>110000</v>
      </c>
      <c r="L2380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81" spans="2:12" x14ac:dyDescent="0.3">
      <c r="B2381" s="34">
        <v>46207</v>
      </c>
      <c r="C2381" s="34" t="str">
        <f>TEXT(Metas_Diarias[[#This Row],[data]],"dddd")</f>
        <v>sábado</v>
      </c>
      <c r="D2381" s="33">
        <v>3</v>
      </c>
      <c r="E2381" s="33">
        <v>3</v>
      </c>
      <c r="F2381" s="18"/>
      <c r="G2381" s="35">
        <f>WEEKDAY(Metas_Diarias[[#This Row],[data]])</f>
        <v>7</v>
      </c>
      <c r="H2381" s="35">
        <f>IF(Metas_Diarias[[#This Row],[dias_da_demana]]=1,"domingo",IF(Metas_Diarias[[#This Row],[dias_da_demana]]=7,0.5,1))</f>
        <v>0.5</v>
      </c>
      <c r="I2381" s="35">
        <f>_xlfn.XLOOKUP(Metas_Diarias[[#This Row],[data]],Feriados[Data],Feriados[Feriado],1)</f>
        <v>1</v>
      </c>
      <c r="J2381" s="33" cm="1">
        <f t="array" aca="1" ref="J2381" ca="1">SUMPRODUCT(IF((NOT(ISERROR(MATCH(ROW(INDIRECT(DATE(YEAR(B2381),MONTH(B2381),1)&amp;":"&amp;DATE(YEAR(B2381),MONTH(B2381)+1,0))),Feriados[Data],0))))=FALSE,
IF(WEEKDAY(ROW(INDIRECT(DATE(YEAR(B2381),MONTH(B2381),1)&amp;":"&amp;DATE(YEAR(B2381),MONTH(B2381)+1,0))),2)&lt;=5,1,IF(WEEKDAY(ROW(INDIRECT(DATE(YEAR(B2381),MONTH(B2381),1)&amp;":"&amp;DATE(YEAR(B2381),MONTH(B2381)+1,0))),2)=6,0.5,0)),0))</f>
        <v>25</v>
      </c>
      <c r="K2381" s="22" cm="1">
        <f t="array" ref="K2381">_xlfn.XLOOKUP(1,((Metas_Diarias[[#This Row],[tipo_equipe_id]]=Metas[equipe])*(Metas_Diarias[[#This Row],[data]]&gt;Metas[data_inicio])*(Metas_Diarias[[#This Row],[data]]&lt;Metas[data_fim])),Metas[meta_mensal],0)</f>
        <v>110000</v>
      </c>
      <c r="L2381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2382" spans="2:12" x14ac:dyDescent="0.3">
      <c r="B2382" s="34">
        <v>46208</v>
      </c>
      <c r="C2382" s="34" t="str">
        <f>TEXT(Metas_Diarias[[#This Row],[data]],"dddd")</f>
        <v>domingo</v>
      </c>
      <c r="D2382" s="33">
        <v>3</v>
      </c>
      <c r="E2382" s="33">
        <v>3</v>
      </c>
      <c r="F2382" s="18"/>
      <c r="G2382" s="35">
        <f>WEEKDAY(Metas_Diarias[[#This Row],[data]])</f>
        <v>1</v>
      </c>
      <c r="H2382" s="35" t="str">
        <f>IF(Metas_Diarias[[#This Row],[dias_da_demana]]=1,"domingo",IF(Metas_Diarias[[#This Row],[dias_da_demana]]=7,0.5,1))</f>
        <v>domingo</v>
      </c>
      <c r="I2382" s="35">
        <f>_xlfn.XLOOKUP(Metas_Diarias[[#This Row],[data]],Feriados[Data],Feriados[Feriado],1)</f>
        <v>1</v>
      </c>
      <c r="J2382" s="33" cm="1">
        <f t="array" aca="1" ref="J2382" ca="1">SUMPRODUCT(IF((NOT(ISERROR(MATCH(ROW(INDIRECT(DATE(YEAR(B2382),MONTH(B2382),1)&amp;":"&amp;DATE(YEAR(B2382),MONTH(B2382)+1,0))),Feriados[Data],0))))=FALSE,
IF(WEEKDAY(ROW(INDIRECT(DATE(YEAR(B2382),MONTH(B2382),1)&amp;":"&amp;DATE(YEAR(B2382),MONTH(B2382)+1,0))),2)&lt;=5,1,IF(WEEKDAY(ROW(INDIRECT(DATE(YEAR(B2382),MONTH(B2382),1)&amp;":"&amp;DATE(YEAR(B2382),MONTH(B2382)+1,0))),2)=6,0.5,0)),0))</f>
        <v>25</v>
      </c>
      <c r="K2382" s="22" cm="1">
        <f t="array" ref="K2382">_xlfn.XLOOKUP(1,((Metas_Diarias[[#This Row],[tipo_equipe_id]]=Metas[equipe])*(Metas_Diarias[[#This Row],[data]]&gt;Metas[data_inicio])*(Metas_Diarias[[#This Row],[data]]&lt;Metas[data_fim])),Metas[meta_mensal],0)</f>
        <v>110000</v>
      </c>
      <c r="L23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83" spans="2:12" x14ac:dyDescent="0.3">
      <c r="B2383" s="34">
        <v>46209</v>
      </c>
      <c r="C2383" s="34" t="str">
        <f>TEXT(Metas_Diarias[[#This Row],[data]],"dddd")</f>
        <v>segunda-feira</v>
      </c>
      <c r="D2383" s="33">
        <v>3</v>
      </c>
      <c r="E2383" s="33">
        <v>3</v>
      </c>
      <c r="F2383" s="18"/>
      <c r="G2383" s="35">
        <f>WEEKDAY(Metas_Diarias[[#This Row],[data]])</f>
        <v>2</v>
      </c>
      <c r="H2383" s="35">
        <f>IF(Metas_Diarias[[#This Row],[dias_da_demana]]=1,"domingo",IF(Metas_Diarias[[#This Row],[dias_da_demana]]=7,0.5,1))</f>
        <v>1</v>
      </c>
      <c r="I2383" s="35">
        <f>_xlfn.XLOOKUP(Metas_Diarias[[#This Row],[data]],Feriados[Data],Feriados[Feriado],1)</f>
        <v>1</v>
      </c>
      <c r="J2383" s="33" cm="1">
        <f t="array" aca="1" ref="J2383" ca="1">SUMPRODUCT(IF((NOT(ISERROR(MATCH(ROW(INDIRECT(DATE(YEAR(B2383),MONTH(B2383),1)&amp;":"&amp;DATE(YEAR(B2383),MONTH(B2383)+1,0))),Feriados[Data],0))))=FALSE,
IF(WEEKDAY(ROW(INDIRECT(DATE(YEAR(B2383),MONTH(B2383),1)&amp;":"&amp;DATE(YEAR(B2383),MONTH(B2383)+1,0))),2)&lt;=5,1,IF(WEEKDAY(ROW(INDIRECT(DATE(YEAR(B2383),MONTH(B2383),1)&amp;":"&amp;DATE(YEAR(B2383),MONTH(B2383)+1,0))),2)=6,0.5,0)),0))</f>
        <v>25</v>
      </c>
      <c r="K2383" s="22" cm="1">
        <f t="array" ref="K2383">_xlfn.XLOOKUP(1,((Metas_Diarias[[#This Row],[tipo_equipe_id]]=Metas[equipe])*(Metas_Diarias[[#This Row],[data]]&gt;Metas[data_inicio])*(Metas_Diarias[[#This Row],[data]]&lt;Metas[data_fim])),Metas[meta_mensal],0)</f>
        <v>110000</v>
      </c>
      <c r="L2383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84" spans="2:12" x14ac:dyDescent="0.3">
      <c r="B2384" s="34">
        <v>46210</v>
      </c>
      <c r="C2384" s="34" t="str">
        <f>TEXT(Metas_Diarias[[#This Row],[data]],"dddd")</f>
        <v>terça-feira</v>
      </c>
      <c r="D2384" s="33">
        <v>3</v>
      </c>
      <c r="E2384" s="33">
        <v>3</v>
      </c>
      <c r="F2384" s="18"/>
      <c r="G2384" s="35">
        <f>WEEKDAY(Metas_Diarias[[#This Row],[data]])</f>
        <v>3</v>
      </c>
      <c r="H2384" s="35">
        <f>IF(Metas_Diarias[[#This Row],[dias_da_demana]]=1,"domingo",IF(Metas_Diarias[[#This Row],[dias_da_demana]]=7,0.5,1))</f>
        <v>1</v>
      </c>
      <c r="I2384" s="35">
        <f>_xlfn.XLOOKUP(Metas_Diarias[[#This Row],[data]],Feriados[Data],Feriados[Feriado],1)</f>
        <v>1</v>
      </c>
      <c r="J2384" s="33" cm="1">
        <f t="array" aca="1" ref="J2384" ca="1">SUMPRODUCT(IF((NOT(ISERROR(MATCH(ROW(INDIRECT(DATE(YEAR(B2384),MONTH(B2384),1)&amp;":"&amp;DATE(YEAR(B2384),MONTH(B2384)+1,0))),Feriados[Data],0))))=FALSE,
IF(WEEKDAY(ROW(INDIRECT(DATE(YEAR(B2384),MONTH(B2384),1)&amp;":"&amp;DATE(YEAR(B2384),MONTH(B2384)+1,0))),2)&lt;=5,1,IF(WEEKDAY(ROW(INDIRECT(DATE(YEAR(B2384),MONTH(B2384),1)&amp;":"&amp;DATE(YEAR(B2384),MONTH(B2384)+1,0))),2)=6,0.5,0)),0))</f>
        <v>25</v>
      </c>
      <c r="K2384" s="22" cm="1">
        <f t="array" ref="K2384">_xlfn.XLOOKUP(1,((Metas_Diarias[[#This Row],[tipo_equipe_id]]=Metas[equipe])*(Metas_Diarias[[#This Row],[data]]&gt;Metas[data_inicio])*(Metas_Diarias[[#This Row],[data]]&lt;Metas[data_fim])),Metas[meta_mensal],0)</f>
        <v>110000</v>
      </c>
      <c r="L2384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85" spans="2:12" x14ac:dyDescent="0.3">
      <c r="B2385" s="34">
        <v>46211</v>
      </c>
      <c r="C2385" s="34" t="str">
        <f>TEXT(Metas_Diarias[[#This Row],[data]],"dddd")</f>
        <v>quarta-feira</v>
      </c>
      <c r="D2385" s="33">
        <v>3</v>
      </c>
      <c r="E2385" s="33">
        <v>3</v>
      </c>
      <c r="F2385" s="18"/>
      <c r="G2385" s="35">
        <f>WEEKDAY(Metas_Diarias[[#This Row],[data]])</f>
        <v>4</v>
      </c>
      <c r="H2385" s="35">
        <f>IF(Metas_Diarias[[#This Row],[dias_da_demana]]=1,"domingo",IF(Metas_Diarias[[#This Row],[dias_da_demana]]=7,0.5,1))</f>
        <v>1</v>
      </c>
      <c r="I2385" s="35">
        <f>_xlfn.XLOOKUP(Metas_Diarias[[#This Row],[data]],Feriados[Data],Feriados[Feriado],1)</f>
        <v>1</v>
      </c>
      <c r="J2385" s="33" cm="1">
        <f t="array" aca="1" ref="J2385" ca="1">SUMPRODUCT(IF((NOT(ISERROR(MATCH(ROW(INDIRECT(DATE(YEAR(B2385),MONTH(B2385),1)&amp;":"&amp;DATE(YEAR(B2385),MONTH(B2385)+1,0))),Feriados[Data],0))))=FALSE,
IF(WEEKDAY(ROW(INDIRECT(DATE(YEAR(B2385),MONTH(B2385),1)&amp;":"&amp;DATE(YEAR(B2385),MONTH(B2385)+1,0))),2)&lt;=5,1,IF(WEEKDAY(ROW(INDIRECT(DATE(YEAR(B2385),MONTH(B2385),1)&amp;":"&amp;DATE(YEAR(B2385),MONTH(B2385)+1,0))),2)=6,0.5,0)),0))</f>
        <v>25</v>
      </c>
      <c r="K2385" s="22" cm="1">
        <f t="array" ref="K2385">_xlfn.XLOOKUP(1,((Metas_Diarias[[#This Row],[tipo_equipe_id]]=Metas[equipe])*(Metas_Diarias[[#This Row],[data]]&gt;Metas[data_inicio])*(Metas_Diarias[[#This Row],[data]]&lt;Metas[data_fim])),Metas[meta_mensal],0)</f>
        <v>110000</v>
      </c>
      <c r="L2385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86" spans="2:12" x14ac:dyDescent="0.3">
      <c r="B2386" s="34">
        <v>46212</v>
      </c>
      <c r="C2386" s="34" t="str">
        <f>TEXT(Metas_Diarias[[#This Row],[data]],"dddd")</f>
        <v>quinta-feira</v>
      </c>
      <c r="D2386" s="33">
        <v>3</v>
      </c>
      <c r="E2386" s="33">
        <v>3</v>
      </c>
      <c r="F2386" s="18"/>
      <c r="G2386" s="35">
        <f>WEEKDAY(Metas_Diarias[[#This Row],[data]])</f>
        <v>5</v>
      </c>
      <c r="H2386" s="35">
        <f>IF(Metas_Diarias[[#This Row],[dias_da_demana]]=1,"domingo",IF(Metas_Diarias[[#This Row],[dias_da_demana]]=7,0.5,1))</f>
        <v>1</v>
      </c>
      <c r="I2386" s="35">
        <f>_xlfn.XLOOKUP(Metas_Diarias[[#This Row],[data]],Feriados[Data],Feriados[Feriado],1)</f>
        <v>1</v>
      </c>
      <c r="J2386" s="33" cm="1">
        <f t="array" aca="1" ref="J2386" ca="1">SUMPRODUCT(IF((NOT(ISERROR(MATCH(ROW(INDIRECT(DATE(YEAR(B2386),MONTH(B2386),1)&amp;":"&amp;DATE(YEAR(B2386),MONTH(B2386)+1,0))),Feriados[Data],0))))=FALSE,
IF(WEEKDAY(ROW(INDIRECT(DATE(YEAR(B2386),MONTH(B2386),1)&amp;":"&amp;DATE(YEAR(B2386),MONTH(B2386)+1,0))),2)&lt;=5,1,IF(WEEKDAY(ROW(INDIRECT(DATE(YEAR(B2386),MONTH(B2386),1)&amp;":"&amp;DATE(YEAR(B2386),MONTH(B2386)+1,0))),2)=6,0.5,0)),0))</f>
        <v>25</v>
      </c>
      <c r="K2386" s="22" cm="1">
        <f t="array" ref="K2386">_xlfn.XLOOKUP(1,((Metas_Diarias[[#This Row],[tipo_equipe_id]]=Metas[equipe])*(Metas_Diarias[[#This Row],[data]]&gt;Metas[data_inicio])*(Metas_Diarias[[#This Row],[data]]&lt;Metas[data_fim])),Metas[meta_mensal],0)</f>
        <v>110000</v>
      </c>
      <c r="L2386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87" spans="2:12" x14ac:dyDescent="0.3">
      <c r="B2387" s="34">
        <v>46213</v>
      </c>
      <c r="C2387" s="34" t="str">
        <f>TEXT(Metas_Diarias[[#This Row],[data]],"dddd")</f>
        <v>sexta-feira</v>
      </c>
      <c r="D2387" s="33">
        <v>3</v>
      </c>
      <c r="E2387" s="33">
        <v>3</v>
      </c>
      <c r="F2387" s="18"/>
      <c r="G2387" s="35">
        <f>WEEKDAY(Metas_Diarias[[#This Row],[data]])</f>
        <v>6</v>
      </c>
      <c r="H2387" s="35">
        <f>IF(Metas_Diarias[[#This Row],[dias_da_demana]]=1,"domingo",IF(Metas_Diarias[[#This Row],[dias_da_demana]]=7,0.5,1))</f>
        <v>1</v>
      </c>
      <c r="I2387" s="35">
        <f>_xlfn.XLOOKUP(Metas_Diarias[[#This Row],[data]],Feriados[Data],Feriados[Feriado],1)</f>
        <v>1</v>
      </c>
      <c r="J2387" s="33" cm="1">
        <f t="array" aca="1" ref="J2387" ca="1">SUMPRODUCT(IF((NOT(ISERROR(MATCH(ROW(INDIRECT(DATE(YEAR(B2387),MONTH(B2387),1)&amp;":"&amp;DATE(YEAR(B2387),MONTH(B2387)+1,0))),Feriados[Data],0))))=FALSE,
IF(WEEKDAY(ROW(INDIRECT(DATE(YEAR(B2387),MONTH(B2387),1)&amp;":"&amp;DATE(YEAR(B2387),MONTH(B2387)+1,0))),2)&lt;=5,1,IF(WEEKDAY(ROW(INDIRECT(DATE(YEAR(B2387),MONTH(B2387),1)&amp;":"&amp;DATE(YEAR(B2387),MONTH(B2387)+1,0))),2)=6,0.5,0)),0))</f>
        <v>25</v>
      </c>
      <c r="K2387" s="22" cm="1">
        <f t="array" ref="K2387">_xlfn.XLOOKUP(1,((Metas_Diarias[[#This Row],[tipo_equipe_id]]=Metas[equipe])*(Metas_Diarias[[#This Row],[data]]&gt;Metas[data_inicio])*(Metas_Diarias[[#This Row],[data]]&lt;Metas[data_fim])),Metas[meta_mensal],0)</f>
        <v>110000</v>
      </c>
      <c r="L2387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88" spans="2:12" x14ac:dyDescent="0.3">
      <c r="B2388" s="34">
        <v>46214</v>
      </c>
      <c r="C2388" s="34" t="str">
        <f>TEXT(Metas_Diarias[[#This Row],[data]],"dddd")</f>
        <v>sábado</v>
      </c>
      <c r="D2388" s="33">
        <v>3</v>
      </c>
      <c r="E2388" s="33">
        <v>3</v>
      </c>
      <c r="F2388" s="18"/>
      <c r="G2388" s="35">
        <f>WEEKDAY(Metas_Diarias[[#This Row],[data]])</f>
        <v>7</v>
      </c>
      <c r="H2388" s="35">
        <f>IF(Metas_Diarias[[#This Row],[dias_da_demana]]=1,"domingo",IF(Metas_Diarias[[#This Row],[dias_da_demana]]=7,0.5,1))</f>
        <v>0.5</v>
      </c>
      <c r="I2388" s="35">
        <f>_xlfn.XLOOKUP(Metas_Diarias[[#This Row],[data]],Feriados[Data],Feriados[Feriado],1)</f>
        <v>1</v>
      </c>
      <c r="J2388" s="33" cm="1">
        <f t="array" aca="1" ref="J2388" ca="1">SUMPRODUCT(IF((NOT(ISERROR(MATCH(ROW(INDIRECT(DATE(YEAR(B2388),MONTH(B2388),1)&amp;":"&amp;DATE(YEAR(B2388),MONTH(B2388)+1,0))),Feriados[Data],0))))=FALSE,
IF(WEEKDAY(ROW(INDIRECT(DATE(YEAR(B2388),MONTH(B2388),1)&amp;":"&amp;DATE(YEAR(B2388),MONTH(B2388)+1,0))),2)&lt;=5,1,IF(WEEKDAY(ROW(INDIRECT(DATE(YEAR(B2388),MONTH(B2388),1)&amp;":"&amp;DATE(YEAR(B2388),MONTH(B2388)+1,0))),2)=6,0.5,0)),0))</f>
        <v>25</v>
      </c>
      <c r="K2388" s="22" cm="1">
        <f t="array" ref="K2388">_xlfn.XLOOKUP(1,((Metas_Diarias[[#This Row],[tipo_equipe_id]]=Metas[equipe])*(Metas_Diarias[[#This Row],[data]]&gt;Metas[data_inicio])*(Metas_Diarias[[#This Row],[data]]&lt;Metas[data_fim])),Metas[meta_mensal],0)</f>
        <v>110000</v>
      </c>
      <c r="L2388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2389" spans="2:12" x14ac:dyDescent="0.3">
      <c r="B2389" s="34">
        <v>46215</v>
      </c>
      <c r="C2389" s="34" t="str">
        <f>TEXT(Metas_Diarias[[#This Row],[data]],"dddd")</f>
        <v>domingo</v>
      </c>
      <c r="D2389" s="33">
        <v>3</v>
      </c>
      <c r="E2389" s="33">
        <v>3</v>
      </c>
      <c r="F2389" s="18"/>
      <c r="G2389" s="35">
        <f>WEEKDAY(Metas_Diarias[[#This Row],[data]])</f>
        <v>1</v>
      </c>
      <c r="H2389" s="35" t="str">
        <f>IF(Metas_Diarias[[#This Row],[dias_da_demana]]=1,"domingo",IF(Metas_Diarias[[#This Row],[dias_da_demana]]=7,0.5,1))</f>
        <v>domingo</v>
      </c>
      <c r="I2389" s="35">
        <f>_xlfn.XLOOKUP(Metas_Diarias[[#This Row],[data]],Feriados[Data],Feriados[Feriado],1)</f>
        <v>1</v>
      </c>
      <c r="J2389" s="33" cm="1">
        <f t="array" aca="1" ref="J2389" ca="1">SUMPRODUCT(IF((NOT(ISERROR(MATCH(ROW(INDIRECT(DATE(YEAR(B2389),MONTH(B2389),1)&amp;":"&amp;DATE(YEAR(B2389),MONTH(B2389)+1,0))),Feriados[Data],0))))=FALSE,
IF(WEEKDAY(ROW(INDIRECT(DATE(YEAR(B2389),MONTH(B2389),1)&amp;":"&amp;DATE(YEAR(B2389),MONTH(B2389)+1,0))),2)&lt;=5,1,IF(WEEKDAY(ROW(INDIRECT(DATE(YEAR(B2389),MONTH(B2389),1)&amp;":"&amp;DATE(YEAR(B2389),MONTH(B2389)+1,0))),2)=6,0.5,0)),0))</f>
        <v>25</v>
      </c>
      <c r="K2389" s="22" cm="1">
        <f t="array" ref="K2389">_xlfn.XLOOKUP(1,((Metas_Diarias[[#This Row],[tipo_equipe_id]]=Metas[equipe])*(Metas_Diarias[[#This Row],[data]]&gt;Metas[data_inicio])*(Metas_Diarias[[#This Row],[data]]&lt;Metas[data_fim])),Metas[meta_mensal],0)</f>
        <v>110000</v>
      </c>
      <c r="L23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90" spans="2:12" x14ac:dyDescent="0.3">
      <c r="B2390" s="34">
        <v>46216</v>
      </c>
      <c r="C2390" s="34" t="str">
        <f>TEXT(Metas_Diarias[[#This Row],[data]],"dddd")</f>
        <v>segunda-feira</v>
      </c>
      <c r="D2390" s="33">
        <v>3</v>
      </c>
      <c r="E2390" s="33">
        <v>3</v>
      </c>
      <c r="F2390" s="18"/>
      <c r="G2390" s="35">
        <f>WEEKDAY(Metas_Diarias[[#This Row],[data]])</f>
        <v>2</v>
      </c>
      <c r="H2390" s="35">
        <f>IF(Metas_Diarias[[#This Row],[dias_da_demana]]=1,"domingo",IF(Metas_Diarias[[#This Row],[dias_da_demana]]=7,0.5,1))</f>
        <v>1</v>
      </c>
      <c r="I2390" s="35">
        <f>_xlfn.XLOOKUP(Metas_Diarias[[#This Row],[data]],Feriados[Data],Feriados[Feriado],1)</f>
        <v>1</v>
      </c>
      <c r="J2390" s="33" cm="1">
        <f t="array" aca="1" ref="J2390" ca="1">SUMPRODUCT(IF((NOT(ISERROR(MATCH(ROW(INDIRECT(DATE(YEAR(B2390),MONTH(B2390),1)&amp;":"&amp;DATE(YEAR(B2390),MONTH(B2390)+1,0))),Feriados[Data],0))))=FALSE,
IF(WEEKDAY(ROW(INDIRECT(DATE(YEAR(B2390),MONTH(B2390),1)&amp;":"&amp;DATE(YEAR(B2390),MONTH(B2390)+1,0))),2)&lt;=5,1,IF(WEEKDAY(ROW(INDIRECT(DATE(YEAR(B2390),MONTH(B2390),1)&amp;":"&amp;DATE(YEAR(B2390),MONTH(B2390)+1,0))),2)=6,0.5,0)),0))</f>
        <v>25</v>
      </c>
      <c r="K2390" s="22" cm="1">
        <f t="array" ref="K2390">_xlfn.XLOOKUP(1,((Metas_Diarias[[#This Row],[tipo_equipe_id]]=Metas[equipe])*(Metas_Diarias[[#This Row],[data]]&gt;Metas[data_inicio])*(Metas_Diarias[[#This Row],[data]]&lt;Metas[data_fim])),Metas[meta_mensal],0)</f>
        <v>110000</v>
      </c>
      <c r="L2390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91" spans="2:12" x14ac:dyDescent="0.3">
      <c r="B2391" s="34">
        <v>46217</v>
      </c>
      <c r="C2391" s="34" t="str">
        <f>TEXT(Metas_Diarias[[#This Row],[data]],"dddd")</f>
        <v>terça-feira</v>
      </c>
      <c r="D2391" s="33">
        <v>3</v>
      </c>
      <c r="E2391" s="33">
        <v>3</v>
      </c>
      <c r="F2391" s="18"/>
      <c r="G2391" s="35">
        <f>WEEKDAY(Metas_Diarias[[#This Row],[data]])</f>
        <v>3</v>
      </c>
      <c r="H2391" s="35">
        <f>IF(Metas_Diarias[[#This Row],[dias_da_demana]]=1,"domingo",IF(Metas_Diarias[[#This Row],[dias_da_demana]]=7,0.5,1))</f>
        <v>1</v>
      </c>
      <c r="I2391" s="35">
        <f>_xlfn.XLOOKUP(Metas_Diarias[[#This Row],[data]],Feriados[Data],Feriados[Feriado],1)</f>
        <v>1</v>
      </c>
      <c r="J2391" s="33" cm="1">
        <f t="array" aca="1" ref="J2391" ca="1">SUMPRODUCT(IF((NOT(ISERROR(MATCH(ROW(INDIRECT(DATE(YEAR(B2391),MONTH(B2391),1)&amp;":"&amp;DATE(YEAR(B2391),MONTH(B2391)+1,0))),Feriados[Data],0))))=FALSE,
IF(WEEKDAY(ROW(INDIRECT(DATE(YEAR(B2391),MONTH(B2391),1)&amp;":"&amp;DATE(YEAR(B2391),MONTH(B2391)+1,0))),2)&lt;=5,1,IF(WEEKDAY(ROW(INDIRECT(DATE(YEAR(B2391),MONTH(B2391),1)&amp;":"&amp;DATE(YEAR(B2391),MONTH(B2391)+1,0))),2)=6,0.5,0)),0))</f>
        <v>25</v>
      </c>
      <c r="K2391" s="22" cm="1">
        <f t="array" ref="K2391">_xlfn.XLOOKUP(1,((Metas_Diarias[[#This Row],[tipo_equipe_id]]=Metas[equipe])*(Metas_Diarias[[#This Row],[data]]&gt;Metas[data_inicio])*(Metas_Diarias[[#This Row],[data]]&lt;Metas[data_fim])),Metas[meta_mensal],0)</f>
        <v>110000</v>
      </c>
      <c r="L2391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92" spans="2:12" x14ac:dyDescent="0.3">
      <c r="B2392" s="34">
        <v>46218</v>
      </c>
      <c r="C2392" s="34" t="str">
        <f>TEXT(Metas_Diarias[[#This Row],[data]],"dddd")</f>
        <v>quarta-feira</v>
      </c>
      <c r="D2392" s="33">
        <v>3</v>
      </c>
      <c r="E2392" s="33">
        <v>3</v>
      </c>
      <c r="F2392" s="18"/>
      <c r="G2392" s="35">
        <f>WEEKDAY(Metas_Diarias[[#This Row],[data]])</f>
        <v>4</v>
      </c>
      <c r="H2392" s="35">
        <f>IF(Metas_Diarias[[#This Row],[dias_da_demana]]=1,"domingo",IF(Metas_Diarias[[#This Row],[dias_da_demana]]=7,0.5,1))</f>
        <v>1</v>
      </c>
      <c r="I2392" s="35">
        <f>_xlfn.XLOOKUP(Metas_Diarias[[#This Row],[data]],Feriados[Data],Feriados[Feriado],1)</f>
        <v>1</v>
      </c>
      <c r="J2392" s="33" cm="1">
        <f t="array" aca="1" ref="J2392" ca="1">SUMPRODUCT(IF((NOT(ISERROR(MATCH(ROW(INDIRECT(DATE(YEAR(B2392),MONTH(B2392),1)&amp;":"&amp;DATE(YEAR(B2392),MONTH(B2392)+1,0))),Feriados[Data],0))))=FALSE,
IF(WEEKDAY(ROW(INDIRECT(DATE(YEAR(B2392),MONTH(B2392),1)&amp;":"&amp;DATE(YEAR(B2392),MONTH(B2392)+1,0))),2)&lt;=5,1,IF(WEEKDAY(ROW(INDIRECT(DATE(YEAR(B2392),MONTH(B2392),1)&amp;":"&amp;DATE(YEAR(B2392),MONTH(B2392)+1,0))),2)=6,0.5,0)),0))</f>
        <v>25</v>
      </c>
      <c r="K2392" s="22" cm="1">
        <f t="array" ref="K2392">_xlfn.XLOOKUP(1,((Metas_Diarias[[#This Row],[tipo_equipe_id]]=Metas[equipe])*(Metas_Diarias[[#This Row],[data]]&gt;Metas[data_inicio])*(Metas_Diarias[[#This Row],[data]]&lt;Metas[data_fim])),Metas[meta_mensal],0)</f>
        <v>110000</v>
      </c>
      <c r="L2392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93" spans="2:12" x14ac:dyDescent="0.3">
      <c r="B2393" s="34">
        <v>46219</v>
      </c>
      <c r="C2393" s="34" t="str">
        <f>TEXT(Metas_Diarias[[#This Row],[data]],"dddd")</f>
        <v>quinta-feira</v>
      </c>
      <c r="D2393" s="33">
        <v>3</v>
      </c>
      <c r="E2393" s="33">
        <v>3</v>
      </c>
      <c r="F2393" s="18"/>
      <c r="G2393" s="35">
        <f>WEEKDAY(Metas_Diarias[[#This Row],[data]])</f>
        <v>5</v>
      </c>
      <c r="H2393" s="35">
        <f>IF(Metas_Diarias[[#This Row],[dias_da_demana]]=1,"domingo",IF(Metas_Diarias[[#This Row],[dias_da_demana]]=7,0.5,1))</f>
        <v>1</v>
      </c>
      <c r="I2393" s="35">
        <f>_xlfn.XLOOKUP(Metas_Diarias[[#This Row],[data]],Feriados[Data],Feriados[Feriado],1)</f>
        <v>1</v>
      </c>
      <c r="J2393" s="33" cm="1">
        <f t="array" aca="1" ref="J2393" ca="1">SUMPRODUCT(IF((NOT(ISERROR(MATCH(ROW(INDIRECT(DATE(YEAR(B2393),MONTH(B2393),1)&amp;":"&amp;DATE(YEAR(B2393),MONTH(B2393)+1,0))),Feriados[Data],0))))=FALSE,
IF(WEEKDAY(ROW(INDIRECT(DATE(YEAR(B2393),MONTH(B2393),1)&amp;":"&amp;DATE(YEAR(B2393),MONTH(B2393)+1,0))),2)&lt;=5,1,IF(WEEKDAY(ROW(INDIRECT(DATE(YEAR(B2393),MONTH(B2393),1)&amp;":"&amp;DATE(YEAR(B2393),MONTH(B2393)+1,0))),2)=6,0.5,0)),0))</f>
        <v>25</v>
      </c>
      <c r="K2393" s="22" cm="1">
        <f t="array" ref="K2393">_xlfn.XLOOKUP(1,((Metas_Diarias[[#This Row],[tipo_equipe_id]]=Metas[equipe])*(Metas_Diarias[[#This Row],[data]]&gt;Metas[data_inicio])*(Metas_Diarias[[#This Row],[data]]&lt;Metas[data_fim])),Metas[meta_mensal],0)</f>
        <v>110000</v>
      </c>
      <c r="L2393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94" spans="2:12" x14ac:dyDescent="0.3">
      <c r="B2394" s="34">
        <v>46220</v>
      </c>
      <c r="C2394" s="34" t="str">
        <f>TEXT(Metas_Diarias[[#This Row],[data]],"dddd")</f>
        <v>sexta-feira</v>
      </c>
      <c r="D2394" s="33">
        <v>3</v>
      </c>
      <c r="E2394" s="33">
        <v>3</v>
      </c>
      <c r="F2394" s="18"/>
      <c r="G2394" s="35">
        <f>WEEKDAY(Metas_Diarias[[#This Row],[data]])</f>
        <v>6</v>
      </c>
      <c r="H2394" s="35">
        <f>IF(Metas_Diarias[[#This Row],[dias_da_demana]]=1,"domingo",IF(Metas_Diarias[[#This Row],[dias_da_demana]]=7,0.5,1))</f>
        <v>1</v>
      </c>
      <c r="I2394" s="35">
        <f>_xlfn.XLOOKUP(Metas_Diarias[[#This Row],[data]],Feriados[Data],Feriados[Feriado],1)</f>
        <v>1</v>
      </c>
      <c r="J2394" s="33" cm="1">
        <f t="array" aca="1" ref="J2394" ca="1">SUMPRODUCT(IF((NOT(ISERROR(MATCH(ROW(INDIRECT(DATE(YEAR(B2394),MONTH(B2394),1)&amp;":"&amp;DATE(YEAR(B2394),MONTH(B2394)+1,0))),Feriados[Data],0))))=FALSE,
IF(WEEKDAY(ROW(INDIRECT(DATE(YEAR(B2394),MONTH(B2394),1)&amp;":"&amp;DATE(YEAR(B2394),MONTH(B2394)+1,0))),2)&lt;=5,1,IF(WEEKDAY(ROW(INDIRECT(DATE(YEAR(B2394),MONTH(B2394),1)&amp;":"&amp;DATE(YEAR(B2394),MONTH(B2394)+1,0))),2)=6,0.5,0)),0))</f>
        <v>25</v>
      </c>
      <c r="K2394" s="22" cm="1">
        <f t="array" ref="K2394">_xlfn.XLOOKUP(1,((Metas_Diarias[[#This Row],[tipo_equipe_id]]=Metas[equipe])*(Metas_Diarias[[#This Row],[data]]&gt;Metas[data_inicio])*(Metas_Diarias[[#This Row],[data]]&lt;Metas[data_fim])),Metas[meta_mensal],0)</f>
        <v>110000</v>
      </c>
      <c r="L2394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95" spans="2:12" x14ac:dyDescent="0.3">
      <c r="B2395" s="34">
        <v>46221</v>
      </c>
      <c r="C2395" s="34" t="str">
        <f>TEXT(Metas_Diarias[[#This Row],[data]],"dddd")</f>
        <v>sábado</v>
      </c>
      <c r="D2395" s="33">
        <v>3</v>
      </c>
      <c r="E2395" s="33">
        <v>3</v>
      </c>
      <c r="F2395" s="18"/>
      <c r="G2395" s="35">
        <f>WEEKDAY(Metas_Diarias[[#This Row],[data]])</f>
        <v>7</v>
      </c>
      <c r="H2395" s="35">
        <f>IF(Metas_Diarias[[#This Row],[dias_da_demana]]=1,"domingo",IF(Metas_Diarias[[#This Row],[dias_da_demana]]=7,0.5,1))</f>
        <v>0.5</v>
      </c>
      <c r="I2395" s="35">
        <f>_xlfn.XLOOKUP(Metas_Diarias[[#This Row],[data]],Feriados[Data],Feriados[Feriado],1)</f>
        <v>1</v>
      </c>
      <c r="J2395" s="33" cm="1">
        <f t="array" aca="1" ref="J2395" ca="1">SUMPRODUCT(IF((NOT(ISERROR(MATCH(ROW(INDIRECT(DATE(YEAR(B2395),MONTH(B2395),1)&amp;":"&amp;DATE(YEAR(B2395),MONTH(B2395)+1,0))),Feriados[Data],0))))=FALSE,
IF(WEEKDAY(ROW(INDIRECT(DATE(YEAR(B2395),MONTH(B2395),1)&amp;":"&amp;DATE(YEAR(B2395),MONTH(B2395)+1,0))),2)&lt;=5,1,IF(WEEKDAY(ROW(INDIRECT(DATE(YEAR(B2395),MONTH(B2395),1)&amp;":"&amp;DATE(YEAR(B2395),MONTH(B2395)+1,0))),2)=6,0.5,0)),0))</f>
        <v>25</v>
      </c>
      <c r="K2395" s="22" cm="1">
        <f t="array" ref="K2395">_xlfn.XLOOKUP(1,((Metas_Diarias[[#This Row],[tipo_equipe_id]]=Metas[equipe])*(Metas_Diarias[[#This Row],[data]]&gt;Metas[data_inicio])*(Metas_Diarias[[#This Row],[data]]&lt;Metas[data_fim])),Metas[meta_mensal],0)</f>
        <v>110000</v>
      </c>
      <c r="L2395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2396" spans="2:12" x14ac:dyDescent="0.3">
      <c r="B2396" s="34">
        <v>46222</v>
      </c>
      <c r="C2396" s="34" t="str">
        <f>TEXT(Metas_Diarias[[#This Row],[data]],"dddd")</f>
        <v>domingo</v>
      </c>
      <c r="D2396" s="33">
        <v>3</v>
      </c>
      <c r="E2396" s="33">
        <v>3</v>
      </c>
      <c r="F2396" s="18"/>
      <c r="G2396" s="35">
        <f>WEEKDAY(Metas_Diarias[[#This Row],[data]])</f>
        <v>1</v>
      </c>
      <c r="H2396" s="35" t="str">
        <f>IF(Metas_Diarias[[#This Row],[dias_da_demana]]=1,"domingo",IF(Metas_Diarias[[#This Row],[dias_da_demana]]=7,0.5,1))</f>
        <v>domingo</v>
      </c>
      <c r="I2396" s="35">
        <f>_xlfn.XLOOKUP(Metas_Diarias[[#This Row],[data]],Feriados[Data],Feriados[Feriado],1)</f>
        <v>1</v>
      </c>
      <c r="J2396" s="33" cm="1">
        <f t="array" aca="1" ref="J2396" ca="1">SUMPRODUCT(IF((NOT(ISERROR(MATCH(ROW(INDIRECT(DATE(YEAR(B2396),MONTH(B2396),1)&amp;":"&amp;DATE(YEAR(B2396),MONTH(B2396)+1,0))),Feriados[Data],0))))=FALSE,
IF(WEEKDAY(ROW(INDIRECT(DATE(YEAR(B2396),MONTH(B2396),1)&amp;":"&amp;DATE(YEAR(B2396),MONTH(B2396)+1,0))),2)&lt;=5,1,IF(WEEKDAY(ROW(INDIRECT(DATE(YEAR(B2396),MONTH(B2396),1)&amp;":"&amp;DATE(YEAR(B2396),MONTH(B2396)+1,0))),2)=6,0.5,0)),0))</f>
        <v>25</v>
      </c>
      <c r="K2396" s="22" cm="1">
        <f t="array" ref="K2396">_xlfn.XLOOKUP(1,((Metas_Diarias[[#This Row],[tipo_equipe_id]]=Metas[equipe])*(Metas_Diarias[[#This Row],[data]]&gt;Metas[data_inicio])*(Metas_Diarias[[#This Row],[data]]&lt;Metas[data_fim])),Metas[meta_mensal],0)</f>
        <v>110000</v>
      </c>
      <c r="L23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397" spans="2:12" x14ac:dyDescent="0.3">
      <c r="B2397" s="34">
        <v>46223</v>
      </c>
      <c r="C2397" s="34" t="str">
        <f>TEXT(Metas_Diarias[[#This Row],[data]],"dddd")</f>
        <v>segunda-feira</v>
      </c>
      <c r="D2397" s="33">
        <v>3</v>
      </c>
      <c r="E2397" s="33">
        <v>3</v>
      </c>
      <c r="F2397" s="18"/>
      <c r="G2397" s="35">
        <f>WEEKDAY(Metas_Diarias[[#This Row],[data]])</f>
        <v>2</v>
      </c>
      <c r="H2397" s="35">
        <f>IF(Metas_Diarias[[#This Row],[dias_da_demana]]=1,"domingo",IF(Metas_Diarias[[#This Row],[dias_da_demana]]=7,0.5,1))</f>
        <v>1</v>
      </c>
      <c r="I2397" s="35">
        <f>_xlfn.XLOOKUP(Metas_Diarias[[#This Row],[data]],Feriados[Data],Feriados[Feriado],1)</f>
        <v>1</v>
      </c>
      <c r="J2397" s="33" cm="1">
        <f t="array" aca="1" ref="J2397" ca="1">SUMPRODUCT(IF((NOT(ISERROR(MATCH(ROW(INDIRECT(DATE(YEAR(B2397),MONTH(B2397),1)&amp;":"&amp;DATE(YEAR(B2397),MONTH(B2397)+1,0))),Feriados[Data],0))))=FALSE,
IF(WEEKDAY(ROW(INDIRECT(DATE(YEAR(B2397),MONTH(B2397),1)&amp;":"&amp;DATE(YEAR(B2397),MONTH(B2397)+1,0))),2)&lt;=5,1,IF(WEEKDAY(ROW(INDIRECT(DATE(YEAR(B2397),MONTH(B2397),1)&amp;":"&amp;DATE(YEAR(B2397),MONTH(B2397)+1,0))),2)=6,0.5,0)),0))</f>
        <v>25</v>
      </c>
      <c r="K2397" s="22" cm="1">
        <f t="array" ref="K2397">_xlfn.XLOOKUP(1,((Metas_Diarias[[#This Row],[tipo_equipe_id]]=Metas[equipe])*(Metas_Diarias[[#This Row],[data]]&gt;Metas[data_inicio])*(Metas_Diarias[[#This Row],[data]]&lt;Metas[data_fim])),Metas[meta_mensal],0)</f>
        <v>110000</v>
      </c>
      <c r="L2397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98" spans="2:12" x14ac:dyDescent="0.3">
      <c r="B2398" s="34">
        <v>46224</v>
      </c>
      <c r="C2398" s="34" t="str">
        <f>TEXT(Metas_Diarias[[#This Row],[data]],"dddd")</f>
        <v>terça-feira</v>
      </c>
      <c r="D2398" s="33">
        <v>3</v>
      </c>
      <c r="E2398" s="33">
        <v>3</v>
      </c>
      <c r="F2398" s="18"/>
      <c r="G2398" s="35">
        <f>WEEKDAY(Metas_Diarias[[#This Row],[data]])</f>
        <v>3</v>
      </c>
      <c r="H2398" s="35">
        <f>IF(Metas_Diarias[[#This Row],[dias_da_demana]]=1,"domingo",IF(Metas_Diarias[[#This Row],[dias_da_demana]]=7,0.5,1))</f>
        <v>1</v>
      </c>
      <c r="I2398" s="35">
        <f>_xlfn.XLOOKUP(Metas_Diarias[[#This Row],[data]],Feriados[Data],Feriados[Feriado],1)</f>
        <v>1</v>
      </c>
      <c r="J2398" s="33" cm="1">
        <f t="array" aca="1" ref="J2398" ca="1">SUMPRODUCT(IF((NOT(ISERROR(MATCH(ROW(INDIRECT(DATE(YEAR(B2398),MONTH(B2398),1)&amp;":"&amp;DATE(YEAR(B2398),MONTH(B2398)+1,0))),Feriados[Data],0))))=FALSE,
IF(WEEKDAY(ROW(INDIRECT(DATE(YEAR(B2398),MONTH(B2398),1)&amp;":"&amp;DATE(YEAR(B2398),MONTH(B2398)+1,0))),2)&lt;=5,1,IF(WEEKDAY(ROW(INDIRECT(DATE(YEAR(B2398),MONTH(B2398),1)&amp;":"&amp;DATE(YEAR(B2398),MONTH(B2398)+1,0))),2)=6,0.5,0)),0))</f>
        <v>25</v>
      </c>
      <c r="K2398" s="22" cm="1">
        <f t="array" ref="K2398">_xlfn.XLOOKUP(1,((Metas_Diarias[[#This Row],[tipo_equipe_id]]=Metas[equipe])*(Metas_Diarias[[#This Row],[data]]&gt;Metas[data_inicio])*(Metas_Diarias[[#This Row],[data]]&lt;Metas[data_fim])),Metas[meta_mensal],0)</f>
        <v>110000</v>
      </c>
      <c r="L2398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399" spans="2:12" x14ac:dyDescent="0.3">
      <c r="B2399" s="34">
        <v>46225</v>
      </c>
      <c r="C2399" s="34" t="str">
        <f>TEXT(Metas_Diarias[[#This Row],[data]],"dddd")</f>
        <v>quarta-feira</v>
      </c>
      <c r="D2399" s="33">
        <v>3</v>
      </c>
      <c r="E2399" s="33">
        <v>3</v>
      </c>
      <c r="F2399" s="18"/>
      <c r="G2399" s="35">
        <f>WEEKDAY(Metas_Diarias[[#This Row],[data]])</f>
        <v>4</v>
      </c>
      <c r="H2399" s="35">
        <f>IF(Metas_Diarias[[#This Row],[dias_da_demana]]=1,"domingo",IF(Metas_Diarias[[#This Row],[dias_da_demana]]=7,0.5,1))</f>
        <v>1</v>
      </c>
      <c r="I2399" s="35">
        <f>_xlfn.XLOOKUP(Metas_Diarias[[#This Row],[data]],Feriados[Data],Feriados[Feriado],1)</f>
        <v>1</v>
      </c>
      <c r="J2399" s="33" cm="1">
        <f t="array" aca="1" ref="J2399" ca="1">SUMPRODUCT(IF((NOT(ISERROR(MATCH(ROW(INDIRECT(DATE(YEAR(B2399),MONTH(B2399),1)&amp;":"&amp;DATE(YEAR(B2399),MONTH(B2399)+1,0))),Feriados[Data],0))))=FALSE,
IF(WEEKDAY(ROW(INDIRECT(DATE(YEAR(B2399),MONTH(B2399),1)&amp;":"&amp;DATE(YEAR(B2399),MONTH(B2399)+1,0))),2)&lt;=5,1,IF(WEEKDAY(ROW(INDIRECT(DATE(YEAR(B2399),MONTH(B2399),1)&amp;":"&amp;DATE(YEAR(B2399),MONTH(B2399)+1,0))),2)=6,0.5,0)),0))</f>
        <v>25</v>
      </c>
      <c r="K2399" s="22" cm="1">
        <f t="array" ref="K2399">_xlfn.XLOOKUP(1,((Metas_Diarias[[#This Row],[tipo_equipe_id]]=Metas[equipe])*(Metas_Diarias[[#This Row],[data]]&gt;Metas[data_inicio])*(Metas_Diarias[[#This Row],[data]]&lt;Metas[data_fim])),Metas[meta_mensal],0)</f>
        <v>110000</v>
      </c>
      <c r="L2399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400" spans="2:12" x14ac:dyDescent="0.3">
      <c r="B2400" s="34">
        <v>46226</v>
      </c>
      <c r="C2400" s="34" t="str">
        <f>TEXT(Metas_Diarias[[#This Row],[data]],"dddd")</f>
        <v>quinta-feira</v>
      </c>
      <c r="D2400" s="33">
        <v>3</v>
      </c>
      <c r="E2400" s="33">
        <v>3</v>
      </c>
      <c r="F2400" s="18"/>
      <c r="G2400" s="35">
        <f>WEEKDAY(Metas_Diarias[[#This Row],[data]])</f>
        <v>5</v>
      </c>
      <c r="H2400" s="35">
        <f>IF(Metas_Diarias[[#This Row],[dias_da_demana]]=1,"domingo",IF(Metas_Diarias[[#This Row],[dias_da_demana]]=7,0.5,1))</f>
        <v>1</v>
      </c>
      <c r="I2400" s="35">
        <f>_xlfn.XLOOKUP(Metas_Diarias[[#This Row],[data]],Feriados[Data],Feriados[Feriado],1)</f>
        <v>1</v>
      </c>
      <c r="J2400" s="33" cm="1">
        <f t="array" aca="1" ref="J2400" ca="1">SUMPRODUCT(IF((NOT(ISERROR(MATCH(ROW(INDIRECT(DATE(YEAR(B2400),MONTH(B2400),1)&amp;":"&amp;DATE(YEAR(B2400),MONTH(B2400)+1,0))),Feriados[Data],0))))=FALSE,
IF(WEEKDAY(ROW(INDIRECT(DATE(YEAR(B2400),MONTH(B2400),1)&amp;":"&amp;DATE(YEAR(B2400),MONTH(B2400)+1,0))),2)&lt;=5,1,IF(WEEKDAY(ROW(INDIRECT(DATE(YEAR(B2400),MONTH(B2400),1)&amp;":"&amp;DATE(YEAR(B2400),MONTH(B2400)+1,0))),2)=6,0.5,0)),0))</f>
        <v>25</v>
      </c>
      <c r="K2400" s="22" cm="1">
        <f t="array" ref="K2400">_xlfn.XLOOKUP(1,((Metas_Diarias[[#This Row],[tipo_equipe_id]]=Metas[equipe])*(Metas_Diarias[[#This Row],[data]]&gt;Metas[data_inicio])*(Metas_Diarias[[#This Row],[data]]&lt;Metas[data_fim])),Metas[meta_mensal],0)</f>
        <v>110000</v>
      </c>
      <c r="L2400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401" spans="2:12" x14ac:dyDescent="0.3">
      <c r="B2401" s="34">
        <v>46227</v>
      </c>
      <c r="C2401" s="34" t="str">
        <f>TEXT(Metas_Diarias[[#This Row],[data]],"dddd")</f>
        <v>sexta-feira</v>
      </c>
      <c r="D2401" s="33">
        <v>3</v>
      </c>
      <c r="E2401" s="33">
        <v>3</v>
      </c>
      <c r="F2401" s="18"/>
      <c r="G2401" s="35">
        <f>WEEKDAY(Metas_Diarias[[#This Row],[data]])</f>
        <v>6</v>
      </c>
      <c r="H2401" s="35">
        <f>IF(Metas_Diarias[[#This Row],[dias_da_demana]]=1,"domingo",IF(Metas_Diarias[[#This Row],[dias_da_demana]]=7,0.5,1))</f>
        <v>1</v>
      </c>
      <c r="I2401" s="35">
        <f>_xlfn.XLOOKUP(Metas_Diarias[[#This Row],[data]],Feriados[Data],Feriados[Feriado],1)</f>
        <v>1</v>
      </c>
      <c r="J2401" s="33" cm="1">
        <f t="array" aca="1" ref="J2401" ca="1">SUMPRODUCT(IF((NOT(ISERROR(MATCH(ROW(INDIRECT(DATE(YEAR(B2401),MONTH(B2401),1)&amp;":"&amp;DATE(YEAR(B2401),MONTH(B2401)+1,0))),Feriados[Data],0))))=FALSE,
IF(WEEKDAY(ROW(INDIRECT(DATE(YEAR(B2401),MONTH(B2401),1)&amp;":"&amp;DATE(YEAR(B2401),MONTH(B2401)+1,0))),2)&lt;=5,1,IF(WEEKDAY(ROW(INDIRECT(DATE(YEAR(B2401),MONTH(B2401),1)&amp;":"&amp;DATE(YEAR(B2401),MONTH(B2401)+1,0))),2)=6,0.5,0)),0))</f>
        <v>25</v>
      </c>
      <c r="K2401" s="22" cm="1">
        <f t="array" ref="K2401">_xlfn.XLOOKUP(1,((Metas_Diarias[[#This Row],[tipo_equipe_id]]=Metas[equipe])*(Metas_Diarias[[#This Row],[data]]&gt;Metas[data_inicio])*(Metas_Diarias[[#This Row],[data]]&lt;Metas[data_fim])),Metas[meta_mensal],0)</f>
        <v>110000</v>
      </c>
      <c r="L2401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402" spans="2:12" x14ac:dyDescent="0.3">
      <c r="B2402" s="34">
        <v>46228</v>
      </c>
      <c r="C2402" s="34" t="str">
        <f>TEXT(Metas_Diarias[[#This Row],[data]],"dddd")</f>
        <v>sábado</v>
      </c>
      <c r="D2402" s="33">
        <v>3</v>
      </c>
      <c r="E2402" s="33">
        <v>3</v>
      </c>
      <c r="F2402" s="18"/>
      <c r="G2402" s="35">
        <f>WEEKDAY(Metas_Diarias[[#This Row],[data]])</f>
        <v>7</v>
      </c>
      <c r="H2402" s="35">
        <f>IF(Metas_Diarias[[#This Row],[dias_da_demana]]=1,"domingo",IF(Metas_Diarias[[#This Row],[dias_da_demana]]=7,0.5,1))</f>
        <v>0.5</v>
      </c>
      <c r="I2402" s="35">
        <f>_xlfn.XLOOKUP(Metas_Diarias[[#This Row],[data]],Feriados[Data],Feriados[Feriado],1)</f>
        <v>1</v>
      </c>
      <c r="J2402" s="33" cm="1">
        <f t="array" aca="1" ref="J2402" ca="1">SUMPRODUCT(IF((NOT(ISERROR(MATCH(ROW(INDIRECT(DATE(YEAR(B2402),MONTH(B2402),1)&amp;":"&amp;DATE(YEAR(B2402),MONTH(B2402)+1,0))),Feriados[Data],0))))=FALSE,
IF(WEEKDAY(ROW(INDIRECT(DATE(YEAR(B2402),MONTH(B2402),1)&amp;":"&amp;DATE(YEAR(B2402),MONTH(B2402)+1,0))),2)&lt;=5,1,IF(WEEKDAY(ROW(INDIRECT(DATE(YEAR(B2402),MONTH(B2402),1)&amp;":"&amp;DATE(YEAR(B2402),MONTH(B2402)+1,0))),2)=6,0.5,0)),0))</f>
        <v>25</v>
      </c>
      <c r="K2402" s="22" cm="1">
        <f t="array" ref="K2402">_xlfn.XLOOKUP(1,((Metas_Diarias[[#This Row],[tipo_equipe_id]]=Metas[equipe])*(Metas_Diarias[[#This Row],[data]]&gt;Metas[data_inicio])*(Metas_Diarias[[#This Row],[data]]&lt;Metas[data_fim])),Metas[meta_mensal],0)</f>
        <v>110000</v>
      </c>
      <c r="L2402" s="24">
        <f ca="1">Metas_Diarias[[#This Row],[meta_mensal]]*IF(Metas_Diarias[[#This Row],[semana]]="domingo",0,Metas_Diarias[[#This Row],[semana]])*IF(Metas_Diarias[[#This Row],[feriado]]&lt;&gt;1,0,1)/Metas_Diarias[[#This Row],[dias_úteis_Mês]]</f>
        <v>2200</v>
      </c>
    </row>
    <row r="2403" spans="2:12" x14ac:dyDescent="0.3">
      <c r="B2403" s="34">
        <v>46229</v>
      </c>
      <c r="C2403" s="34" t="str">
        <f>TEXT(Metas_Diarias[[#This Row],[data]],"dddd")</f>
        <v>domingo</v>
      </c>
      <c r="D2403" s="33">
        <v>3</v>
      </c>
      <c r="E2403" s="33">
        <v>3</v>
      </c>
      <c r="F2403" s="18"/>
      <c r="G2403" s="35">
        <f>WEEKDAY(Metas_Diarias[[#This Row],[data]])</f>
        <v>1</v>
      </c>
      <c r="H2403" s="35" t="str">
        <f>IF(Metas_Diarias[[#This Row],[dias_da_demana]]=1,"domingo",IF(Metas_Diarias[[#This Row],[dias_da_demana]]=7,0.5,1))</f>
        <v>domingo</v>
      </c>
      <c r="I2403" s="35">
        <f>_xlfn.XLOOKUP(Metas_Diarias[[#This Row],[data]],Feriados[Data],Feriados[Feriado],1)</f>
        <v>1</v>
      </c>
      <c r="J2403" s="33" cm="1">
        <f t="array" aca="1" ref="J2403" ca="1">SUMPRODUCT(IF((NOT(ISERROR(MATCH(ROW(INDIRECT(DATE(YEAR(B2403),MONTH(B2403),1)&amp;":"&amp;DATE(YEAR(B2403),MONTH(B2403)+1,0))),Feriados[Data],0))))=FALSE,
IF(WEEKDAY(ROW(INDIRECT(DATE(YEAR(B2403),MONTH(B2403),1)&amp;":"&amp;DATE(YEAR(B2403),MONTH(B2403)+1,0))),2)&lt;=5,1,IF(WEEKDAY(ROW(INDIRECT(DATE(YEAR(B2403),MONTH(B2403),1)&amp;":"&amp;DATE(YEAR(B2403),MONTH(B2403)+1,0))),2)=6,0.5,0)),0))</f>
        <v>25</v>
      </c>
      <c r="K2403" s="22" cm="1">
        <f t="array" ref="K2403">_xlfn.XLOOKUP(1,((Metas_Diarias[[#This Row],[tipo_equipe_id]]=Metas[equipe])*(Metas_Diarias[[#This Row],[data]]&gt;Metas[data_inicio])*(Metas_Diarias[[#This Row],[data]]&lt;Metas[data_fim])),Metas[meta_mensal],0)</f>
        <v>110000</v>
      </c>
      <c r="L24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04" spans="2:12" x14ac:dyDescent="0.3">
      <c r="B2404" s="34">
        <v>46230</v>
      </c>
      <c r="C2404" s="34" t="str">
        <f>TEXT(Metas_Diarias[[#This Row],[data]],"dddd")</f>
        <v>segunda-feira</v>
      </c>
      <c r="D2404" s="33">
        <v>3</v>
      </c>
      <c r="E2404" s="33">
        <v>3</v>
      </c>
      <c r="F2404" s="18"/>
      <c r="G2404" s="35">
        <f>WEEKDAY(Metas_Diarias[[#This Row],[data]])</f>
        <v>2</v>
      </c>
      <c r="H2404" s="35">
        <f>IF(Metas_Diarias[[#This Row],[dias_da_demana]]=1,"domingo",IF(Metas_Diarias[[#This Row],[dias_da_demana]]=7,0.5,1))</f>
        <v>1</v>
      </c>
      <c r="I2404" s="35">
        <f>_xlfn.XLOOKUP(Metas_Diarias[[#This Row],[data]],Feriados[Data],Feriados[Feriado],1)</f>
        <v>1</v>
      </c>
      <c r="J2404" s="33" cm="1">
        <f t="array" aca="1" ref="J2404" ca="1">SUMPRODUCT(IF((NOT(ISERROR(MATCH(ROW(INDIRECT(DATE(YEAR(B2404),MONTH(B2404),1)&amp;":"&amp;DATE(YEAR(B2404),MONTH(B2404)+1,0))),Feriados[Data],0))))=FALSE,
IF(WEEKDAY(ROW(INDIRECT(DATE(YEAR(B2404),MONTH(B2404),1)&amp;":"&amp;DATE(YEAR(B2404),MONTH(B2404)+1,0))),2)&lt;=5,1,IF(WEEKDAY(ROW(INDIRECT(DATE(YEAR(B2404),MONTH(B2404),1)&amp;":"&amp;DATE(YEAR(B2404),MONTH(B2404)+1,0))),2)=6,0.5,0)),0))</f>
        <v>25</v>
      </c>
      <c r="K2404" s="22" cm="1">
        <f t="array" ref="K2404">_xlfn.XLOOKUP(1,((Metas_Diarias[[#This Row],[tipo_equipe_id]]=Metas[equipe])*(Metas_Diarias[[#This Row],[data]]&gt;Metas[data_inicio])*(Metas_Diarias[[#This Row],[data]]&lt;Metas[data_fim])),Metas[meta_mensal],0)</f>
        <v>110000</v>
      </c>
      <c r="L2404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405" spans="2:12" x14ac:dyDescent="0.3">
      <c r="B2405" s="34">
        <v>46231</v>
      </c>
      <c r="C2405" s="34" t="str">
        <f>TEXT(Metas_Diarias[[#This Row],[data]],"dddd")</f>
        <v>terça-feira</v>
      </c>
      <c r="D2405" s="33">
        <v>3</v>
      </c>
      <c r="E2405" s="33">
        <v>3</v>
      </c>
      <c r="F2405" s="18"/>
      <c r="G2405" s="35">
        <f>WEEKDAY(Metas_Diarias[[#This Row],[data]])</f>
        <v>3</v>
      </c>
      <c r="H2405" s="35">
        <f>IF(Metas_Diarias[[#This Row],[dias_da_demana]]=1,"domingo",IF(Metas_Diarias[[#This Row],[dias_da_demana]]=7,0.5,1))</f>
        <v>1</v>
      </c>
      <c r="I2405" s="35">
        <f>_xlfn.XLOOKUP(Metas_Diarias[[#This Row],[data]],Feriados[Data],Feriados[Feriado],1)</f>
        <v>1</v>
      </c>
      <c r="J2405" s="33" cm="1">
        <f t="array" aca="1" ref="J2405" ca="1">SUMPRODUCT(IF((NOT(ISERROR(MATCH(ROW(INDIRECT(DATE(YEAR(B2405),MONTH(B2405),1)&amp;":"&amp;DATE(YEAR(B2405),MONTH(B2405)+1,0))),Feriados[Data],0))))=FALSE,
IF(WEEKDAY(ROW(INDIRECT(DATE(YEAR(B2405),MONTH(B2405),1)&amp;":"&amp;DATE(YEAR(B2405),MONTH(B2405)+1,0))),2)&lt;=5,1,IF(WEEKDAY(ROW(INDIRECT(DATE(YEAR(B2405),MONTH(B2405),1)&amp;":"&amp;DATE(YEAR(B2405),MONTH(B2405)+1,0))),2)=6,0.5,0)),0))</f>
        <v>25</v>
      </c>
      <c r="K2405" s="22" cm="1">
        <f t="array" ref="K2405">_xlfn.XLOOKUP(1,((Metas_Diarias[[#This Row],[tipo_equipe_id]]=Metas[equipe])*(Metas_Diarias[[#This Row],[data]]&gt;Metas[data_inicio])*(Metas_Diarias[[#This Row],[data]]&lt;Metas[data_fim])),Metas[meta_mensal],0)</f>
        <v>110000</v>
      </c>
      <c r="L2405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406" spans="2:12" x14ac:dyDescent="0.3">
      <c r="B2406" s="34">
        <v>46232</v>
      </c>
      <c r="C2406" s="34" t="str">
        <f>TEXT(Metas_Diarias[[#This Row],[data]],"dddd")</f>
        <v>quarta-feira</v>
      </c>
      <c r="D2406" s="33">
        <v>3</v>
      </c>
      <c r="E2406" s="33">
        <v>3</v>
      </c>
      <c r="F2406" s="18"/>
      <c r="G2406" s="35">
        <f>WEEKDAY(Metas_Diarias[[#This Row],[data]])</f>
        <v>4</v>
      </c>
      <c r="H2406" s="35">
        <f>IF(Metas_Diarias[[#This Row],[dias_da_demana]]=1,"domingo",IF(Metas_Diarias[[#This Row],[dias_da_demana]]=7,0.5,1))</f>
        <v>1</v>
      </c>
      <c r="I2406" s="35">
        <f>_xlfn.XLOOKUP(Metas_Diarias[[#This Row],[data]],Feriados[Data],Feriados[Feriado],1)</f>
        <v>1</v>
      </c>
      <c r="J2406" s="33" cm="1">
        <f t="array" aca="1" ref="J2406" ca="1">SUMPRODUCT(IF((NOT(ISERROR(MATCH(ROW(INDIRECT(DATE(YEAR(B2406),MONTH(B2406),1)&amp;":"&amp;DATE(YEAR(B2406),MONTH(B2406)+1,0))),Feriados[Data],0))))=FALSE,
IF(WEEKDAY(ROW(INDIRECT(DATE(YEAR(B2406),MONTH(B2406),1)&amp;":"&amp;DATE(YEAR(B2406),MONTH(B2406)+1,0))),2)&lt;=5,1,IF(WEEKDAY(ROW(INDIRECT(DATE(YEAR(B2406),MONTH(B2406),1)&amp;":"&amp;DATE(YEAR(B2406),MONTH(B2406)+1,0))),2)=6,0.5,0)),0))</f>
        <v>25</v>
      </c>
      <c r="K2406" s="22" cm="1">
        <f t="array" ref="K2406">_xlfn.XLOOKUP(1,((Metas_Diarias[[#This Row],[tipo_equipe_id]]=Metas[equipe])*(Metas_Diarias[[#This Row],[data]]&gt;Metas[data_inicio])*(Metas_Diarias[[#This Row],[data]]&lt;Metas[data_fim])),Metas[meta_mensal],0)</f>
        <v>110000</v>
      </c>
      <c r="L2406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407" spans="2:12" x14ac:dyDescent="0.3">
      <c r="B2407" s="34">
        <v>46233</v>
      </c>
      <c r="C2407" s="34" t="str">
        <f>TEXT(Metas_Diarias[[#This Row],[data]],"dddd")</f>
        <v>quinta-feira</v>
      </c>
      <c r="D2407" s="33">
        <v>3</v>
      </c>
      <c r="E2407" s="33">
        <v>3</v>
      </c>
      <c r="F2407" s="18"/>
      <c r="G2407" s="35">
        <f>WEEKDAY(Metas_Diarias[[#This Row],[data]])</f>
        <v>5</v>
      </c>
      <c r="H2407" s="35">
        <f>IF(Metas_Diarias[[#This Row],[dias_da_demana]]=1,"domingo",IF(Metas_Diarias[[#This Row],[dias_da_demana]]=7,0.5,1))</f>
        <v>1</v>
      </c>
      <c r="I2407" s="35">
        <f>_xlfn.XLOOKUP(Metas_Diarias[[#This Row],[data]],Feriados[Data],Feriados[Feriado],1)</f>
        <v>1</v>
      </c>
      <c r="J2407" s="33" cm="1">
        <f t="array" aca="1" ref="J2407" ca="1">SUMPRODUCT(IF((NOT(ISERROR(MATCH(ROW(INDIRECT(DATE(YEAR(B2407),MONTH(B2407),1)&amp;":"&amp;DATE(YEAR(B2407),MONTH(B2407)+1,0))),Feriados[Data],0))))=FALSE,
IF(WEEKDAY(ROW(INDIRECT(DATE(YEAR(B2407),MONTH(B2407),1)&amp;":"&amp;DATE(YEAR(B2407),MONTH(B2407)+1,0))),2)&lt;=5,1,IF(WEEKDAY(ROW(INDIRECT(DATE(YEAR(B2407),MONTH(B2407),1)&amp;":"&amp;DATE(YEAR(B2407),MONTH(B2407)+1,0))),2)=6,0.5,0)),0))</f>
        <v>25</v>
      </c>
      <c r="K2407" s="22" cm="1">
        <f t="array" ref="K2407">_xlfn.XLOOKUP(1,((Metas_Diarias[[#This Row],[tipo_equipe_id]]=Metas[equipe])*(Metas_Diarias[[#This Row],[data]]&gt;Metas[data_inicio])*(Metas_Diarias[[#This Row],[data]]&lt;Metas[data_fim])),Metas[meta_mensal],0)</f>
        <v>110000</v>
      </c>
      <c r="L2407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408" spans="2:12" x14ac:dyDescent="0.3">
      <c r="B2408" s="34">
        <v>46234</v>
      </c>
      <c r="C2408" s="34" t="str">
        <f>TEXT(Metas_Diarias[[#This Row],[data]],"dddd")</f>
        <v>sexta-feira</v>
      </c>
      <c r="D2408" s="33">
        <v>3</v>
      </c>
      <c r="E2408" s="33">
        <v>3</v>
      </c>
      <c r="F2408" s="18"/>
      <c r="G2408" s="35">
        <f>WEEKDAY(Metas_Diarias[[#This Row],[data]])</f>
        <v>6</v>
      </c>
      <c r="H2408" s="35">
        <f>IF(Metas_Diarias[[#This Row],[dias_da_demana]]=1,"domingo",IF(Metas_Diarias[[#This Row],[dias_da_demana]]=7,0.5,1))</f>
        <v>1</v>
      </c>
      <c r="I2408" s="35">
        <f>_xlfn.XLOOKUP(Metas_Diarias[[#This Row],[data]],Feriados[Data],Feriados[Feriado],1)</f>
        <v>1</v>
      </c>
      <c r="J2408" s="33" cm="1">
        <f t="array" aca="1" ref="J2408" ca="1">SUMPRODUCT(IF((NOT(ISERROR(MATCH(ROW(INDIRECT(DATE(YEAR(B2408),MONTH(B2408),1)&amp;":"&amp;DATE(YEAR(B2408),MONTH(B2408)+1,0))),Feriados[Data],0))))=FALSE,
IF(WEEKDAY(ROW(INDIRECT(DATE(YEAR(B2408),MONTH(B2408),1)&amp;":"&amp;DATE(YEAR(B2408),MONTH(B2408)+1,0))),2)&lt;=5,1,IF(WEEKDAY(ROW(INDIRECT(DATE(YEAR(B2408),MONTH(B2408),1)&amp;":"&amp;DATE(YEAR(B2408),MONTH(B2408)+1,0))),2)=6,0.5,0)),0))</f>
        <v>25</v>
      </c>
      <c r="K2408" s="22" cm="1">
        <f t="array" ref="K2408">_xlfn.XLOOKUP(1,((Metas_Diarias[[#This Row],[tipo_equipe_id]]=Metas[equipe])*(Metas_Diarias[[#This Row],[data]]&gt;Metas[data_inicio])*(Metas_Diarias[[#This Row],[data]]&lt;Metas[data_fim])),Metas[meta_mensal],0)</f>
        <v>110000</v>
      </c>
      <c r="L2408" s="24">
        <f ca="1">Metas_Diarias[[#This Row],[meta_mensal]]*IF(Metas_Diarias[[#This Row],[semana]]="domingo",0,Metas_Diarias[[#This Row],[semana]])*IF(Metas_Diarias[[#This Row],[feriado]]&lt;&gt;1,0,1)/Metas_Diarias[[#This Row],[dias_úteis_Mês]]</f>
        <v>4400</v>
      </c>
    </row>
    <row r="2409" spans="2:12" x14ac:dyDescent="0.3">
      <c r="B2409" s="34">
        <v>46235</v>
      </c>
      <c r="C2409" s="34" t="str">
        <f>TEXT(Metas_Diarias[[#This Row],[data]],"dddd")</f>
        <v>sábado</v>
      </c>
      <c r="D2409" s="33">
        <v>3</v>
      </c>
      <c r="E2409" s="33">
        <v>3</v>
      </c>
      <c r="F2409" s="18"/>
      <c r="G2409" s="35">
        <f>WEEKDAY(Metas_Diarias[[#This Row],[data]])</f>
        <v>7</v>
      </c>
      <c r="H2409" s="35">
        <f>IF(Metas_Diarias[[#This Row],[dias_da_demana]]=1,"domingo",IF(Metas_Diarias[[#This Row],[dias_da_demana]]=7,0.5,1))</f>
        <v>0.5</v>
      </c>
      <c r="I2409" s="35">
        <f>_xlfn.XLOOKUP(Metas_Diarias[[#This Row],[data]],Feriados[Data],Feriados[Feriado],1)</f>
        <v>1</v>
      </c>
      <c r="J2409" s="33" cm="1">
        <f t="array" aca="1" ref="J2409" ca="1">SUMPRODUCT(IF((NOT(ISERROR(MATCH(ROW(INDIRECT(DATE(YEAR(B2409),MONTH(B2409),1)&amp;":"&amp;DATE(YEAR(B2409),MONTH(B2409)+1,0))),Feriados[Data],0))))=FALSE,
IF(WEEKDAY(ROW(INDIRECT(DATE(YEAR(B2409),MONTH(B2409),1)&amp;":"&amp;DATE(YEAR(B2409),MONTH(B2409)+1,0))),2)&lt;=5,1,IF(WEEKDAY(ROW(INDIRECT(DATE(YEAR(B2409),MONTH(B2409),1)&amp;":"&amp;DATE(YEAR(B2409),MONTH(B2409)+1,0))),2)=6,0.5,0)),0))</f>
        <v>23.5</v>
      </c>
      <c r="K2409" s="22" cm="1">
        <f t="array" ref="K2409">_xlfn.XLOOKUP(1,((Metas_Diarias[[#This Row],[tipo_equipe_id]]=Metas[equipe])*(Metas_Diarias[[#This Row],[data]]&gt;Metas[data_inicio])*(Metas_Diarias[[#This Row],[data]]&lt;Metas[data_fim])),Metas[meta_mensal],0)</f>
        <v>110000</v>
      </c>
      <c r="L2409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10" spans="2:12" x14ac:dyDescent="0.3">
      <c r="B2410" s="34">
        <v>46236</v>
      </c>
      <c r="C2410" s="34" t="str">
        <f>TEXT(Metas_Diarias[[#This Row],[data]],"dddd")</f>
        <v>domingo</v>
      </c>
      <c r="D2410" s="33">
        <v>3</v>
      </c>
      <c r="E2410" s="33">
        <v>3</v>
      </c>
      <c r="F2410" s="18"/>
      <c r="G2410" s="35">
        <f>WEEKDAY(Metas_Diarias[[#This Row],[data]])</f>
        <v>1</v>
      </c>
      <c r="H2410" s="35" t="str">
        <f>IF(Metas_Diarias[[#This Row],[dias_da_demana]]=1,"domingo",IF(Metas_Diarias[[#This Row],[dias_da_demana]]=7,0.5,1))</f>
        <v>domingo</v>
      </c>
      <c r="I2410" s="35">
        <f>_xlfn.XLOOKUP(Metas_Diarias[[#This Row],[data]],Feriados[Data],Feriados[Feriado],1)</f>
        <v>1</v>
      </c>
      <c r="J2410" s="33" cm="1">
        <f t="array" aca="1" ref="J2410" ca="1">SUMPRODUCT(IF((NOT(ISERROR(MATCH(ROW(INDIRECT(DATE(YEAR(B2410),MONTH(B2410),1)&amp;":"&amp;DATE(YEAR(B2410),MONTH(B2410)+1,0))),Feriados[Data],0))))=FALSE,
IF(WEEKDAY(ROW(INDIRECT(DATE(YEAR(B2410),MONTH(B2410),1)&amp;":"&amp;DATE(YEAR(B2410),MONTH(B2410)+1,0))),2)&lt;=5,1,IF(WEEKDAY(ROW(INDIRECT(DATE(YEAR(B2410),MONTH(B2410),1)&amp;":"&amp;DATE(YEAR(B2410),MONTH(B2410)+1,0))),2)=6,0.5,0)),0))</f>
        <v>23.5</v>
      </c>
      <c r="K2410" s="22" cm="1">
        <f t="array" ref="K2410">_xlfn.XLOOKUP(1,((Metas_Diarias[[#This Row],[tipo_equipe_id]]=Metas[equipe])*(Metas_Diarias[[#This Row],[data]]&gt;Metas[data_inicio])*(Metas_Diarias[[#This Row],[data]]&lt;Metas[data_fim])),Metas[meta_mensal],0)</f>
        <v>110000</v>
      </c>
      <c r="L24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11" spans="2:12" x14ac:dyDescent="0.3">
      <c r="B2411" s="34">
        <v>46237</v>
      </c>
      <c r="C2411" s="34" t="str">
        <f>TEXT(Metas_Diarias[[#This Row],[data]],"dddd")</f>
        <v>segunda-feira</v>
      </c>
      <c r="D2411" s="33">
        <v>3</v>
      </c>
      <c r="E2411" s="33">
        <v>3</v>
      </c>
      <c r="F2411" s="18"/>
      <c r="G2411" s="35">
        <f>WEEKDAY(Metas_Diarias[[#This Row],[data]])</f>
        <v>2</v>
      </c>
      <c r="H2411" s="35">
        <f>IF(Metas_Diarias[[#This Row],[dias_da_demana]]=1,"domingo",IF(Metas_Diarias[[#This Row],[dias_da_demana]]=7,0.5,1))</f>
        <v>1</v>
      </c>
      <c r="I2411" s="35">
        <f>_xlfn.XLOOKUP(Metas_Diarias[[#This Row],[data]],Feriados[Data],Feriados[Feriado],1)</f>
        <v>1</v>
      </c>
      <c r="J2411" s="33" cm="1">
        <f t="array" aca="1" ref="J2411" ca="1">SUMPRODUCT(IF((NOT(ISERROR(MATCH(ROW(INDIRECT(DATE(YEAR(B2411),MONTH(B2411),1)&amp;":"&amp;DATE(YEAR(B2411),MONTH(B2411)+1,0))),Feriados[Data],0))))=FALSE,
IF(WEEKDAY(ROW(INDIRECT(DATE(YEAR(B2411),MONTH(B2411),1)&amp;":"&amp;DATE(YEAR(B2411),MONTH(B2411)+1,0))),2)&lt;=5,1,IF(WEEKDAY(ROW(INDIRECT(DATE(YEAR(B2411),MONTH(B2411),1)&amp;":"&amp;DATE(YEAR(B2411),MONTH(B2411)+1,0))),2)=6,0.5,0)),0))</f>
        <v>23.5</v>
      </c>
      <c r="K2411" s="22" cm="1">
        <f t="array" ref="K2411">_xlfn.XLOOKUP(1,((Metas_Diarias[[#This Row],[tipo_equipe_id]]=Metas[equipe])*(Metas_Diarias[[#This Row],[data]]&gt;Metas[data_inicio])*(Metas_Diarias[[#This Row],[data]]&lt;Metas[data_fim])),Metas[meta_mensal],0)</f>
        <v>110000</v>
      </c>
      <c r="L2411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12" spans="2:12" x14ac:dyDescent="0.3">
      <c r="B2412" s="34">
        <v>46238</v>
      </c>
      <c r="C2412" s="34" t="str">
        <f>TEXT(Metas_Diarias[[#This Row],[data]],"dddd")</f>
        <v>terça-feira</v>
      </c>
      <c r="D2412" s="33">
        <v>3</v>
      </c>
      <c r="E2412" s="33">
        <v>3</v>
      </c>
      <c r="F2412" s="18"/>
      <c r="G2412" s="35">
        <f>WEEKDAY(Metas_Diarias[[#This Row],[data]])</f>
        <v>3</v>
      </c>
      <c r="H2412" s="35">
        <f>IF(Metas_Diarias[[#This Row],[dias_da_demana]]=1,"domingo",IF(Metas_Diarias[[#This Row],[dias_da_demana]]=7,0.5,1))</f>
        <v>1</v>
      </c>
      <c r="I2412" s="35">
        <f>_xlfn.XLOOKUP(Metas_Diarias[[#This Row],[data]],Feriados[Data],Feriados[Feriado],1)</f>
        <v>1</v>
      </c>
      <c r="J2412" s="33" cm="1">
        <f t="array" aca="1" ref="J2412" ca="1">SUMPRODUCT(IF((NOT(ISERROR(MATCH(ROW(INDIRECT(DATE(YEAR(B2412),MONTH(B2412),1)&amp;":"&amp;DATE(YEAR(B2412),MONTH(B2412)+1,0))),Feriados[Data],0))))=FALSE,
IF(WEEKDAY(ROW(INDIRECT(DATE(YEAR(B2412),MONTH(B2412),1)&amp;":"&amp;DATE(YEAR(B2412),MONTH(B2412)+1,0))),2)&lt;=5,1,IF(WEEKDAY(ROW(INDIRECT(DATE(YEAR(B2412),MONTH(B2412),1)&amp;":"&amp;DATE(YEAR(B2412),MONTH(B2412)+1,0))),2)=6,0.5,0)),0))</f>
        <v>23.5</v>
      </c>
      <c r="K2412" s="22" cm="1">
        <f t="array" ref="K2412">_xlfn.XLOOKUP(1,((Metas_Diarias[[#This Row],[tipo_equipe_id]]=Metas[equipe])*(Metas_Diarias[[#This Row],[data]]&gt;Metas[data_inicio])*(Metas_Diarias[[#This Row],[data]]&lt;Metas[data_fim])),Metas[meta_mensal],0)</f>
        <v>110000</v>
      </c>
      <c r="L241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13" spans="2:12" x14ac:dyDescent="0.3">
      <c r="B2413" s="34">
        <v>46239</v>
      </c>
      <c r="C2413" s="34" t="str">
        <f>TEXT(Metas_Diarias[[#This Row],[data]],"dddd")</f>
        <v>quarta-feira</v>
      </c>
      <c r="D2413" s="33">
        <v>3</v>
      </c>
      <c r="E2413" s="33">
        <v>3</v>
      </c>
      <c r="F2413" s="18"/>
      <c r="G2413" s="35">
        <f>WEEKDAY(Metas_Diarias[[#This Row],[data]])</f>
        <v>4</v>
      </c>
      <c r="H2413" s="35">
        <f>IF(Metas_Diarias[[#This Row],[dias_da_demana]]=1,"domingo",IF(Metas_Diarias[[#This Row],[dias_da_demana]]=7,0.5,1))</f>
        <v>1</v>
      </c>
      <c r="I2413" s="35">
        <f>_xlfn.XLOOKUP(Metas_Diarias[[#This Row],[data]],Feriados[Data],Feriados[Feriado],1)</f>
        <v>1</v>
      </c>
      <c r="J2413" s="33" cm="1">
        <f t="array" aca="1" ref="J2413" ca="1">SUMPRODUCT(IF((NOT(ISERROR(MATCH(ROW(INDIRECT(DATE(YEAR(B2413),MONTH(B2413),1)&amp;":"&amp;DATE(YEAR(B2413),MONTH(B2413)+1,0))),Feriados[Data],0))))=FALSE,
IF(WEEKDAY(ROW(INDIRECT(DATE(YEAR(B2413),MONTH(B2413),1)&amp;":"&amp;DATE(YEAR(B2413),MONTH(B2413)+1,0))),2)&lt;=5,1,IF(WEEKDAY(ROW(INDIRECT(DATE(YEAR(B2413),MONTH(B2413),1)&amp;":"&amp;DATE(YEAR(B2413),MONTH(B2413)+1,0))),2)=6,0.5,0)),0))</f>
        <v>23.5</v>
      </c>
      <c r="K2413" s="22" cm="1">
        <f t="array" ref="K2413">_xlfn.XLOOKUP(1,((Metas_Diarias[[#This Row],[tipo_equipe_id]]=Metas[equipe])*(Metas_Diarias[[#This Row],[data]]&gt;Metas[data_inicio])*(Metas_Diarias[[#This Row],[data]]&lt;Metas[data_fim])),Metas[meta_mensal],0)</f>
        <v>110000</v>
      </c>
      <c r="L2413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14" spans="2:12" x14ac:dyDescent="0.3">
      <c r="B2414" s="34">
        <v>46240</v>
      </c>
      <c r="C2414" s="34" t="str">
        <f>TEXT(Metas_Diarias[[#This Row],[data]],"dddd")</f>
        <v>quinta-feira</v>
      </c>
      <c r="D2414" s="33">
        <v>3</v>
      </c>
      <c r="E2414" s="33">
        <v>3</v>
      </c>
      <c r="F2414" s="18"/>
      <c r="G2414" s="35">
        <f>WEEKDAY(Metas_Diarias[[#This Row],[data]])</f>
        <v>5</v>
      </c>
      <c r="H2414" s="35">
        <f>IF(Metas_Diarias[[#This Row],[dias_da_demana]]=1,"domingo",IF(Metas_Diarias[[#This Row],[dias_da_demana]]=7,0.5,1))</f>
        <v>1</v>
      </c>
      <c r="I2414" s="35">
        <f>_xlfn.XLOOKUP(Metas_Diarias[[#This Row],[data]],Feriados[Data],Feriados[Feriado],1)</f>
        <v>1</v>
      </c>
      <c r="J2414" s="33" cm="1">
        <f t="array" aca="1" ref="J2414" ca="1">SUMPRODUCT(IF((NOT(ISERROR(MATCH(ROW(INDIRECT(DATE(YEAR(B2414),MONTH(B2414),1)&amp;":"&amp;DATE(YEAR(B2414),MONTH(B2414)+1,0))),Feriados[Data],0))))=FALSE,
IF(WEEKDAY(ROW(INDIRECT(DATE(YEAR(B2414),MONTH(B2414),1)&amp;":"&amp;DATE(YEAR(B2414),MONTH(B2414)+1,0))),2)&lt;=5,1,IF(WEEKDAY(ROW(INDIRECT(DATE(YEAR(B2414),MONTH(B2414),1)&amp;":"&amp;DATE(YEAR(B2414),MONTH(B2414)+1,0))),2)=6,0.5,0)),0))</f>
        <v>23.5</v>
      </c>
      <c r="K2414" s="22" cm="1">
        <f t="array" ref="K2414">_xlfn.XLOOKUP(1,((Metas_Diarias[[#This Row],[tipo_equipe_id]]=Metas[equipe])*(Metas_Diarias[[#This Row],[data]]&gt;Metas[data_inicio])*(Metas_Diarias[[#This Row],[data]]&lt;Metas[data_fim])),Metas[meta_mensal],0)</f>
        <v>110000</v>
      </c>
      <c r="L2414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15" spans="2:12" x14ac:dyDescent="0.3">
      <c r="B2415" s="34">
        <v>46241</v>
      </c>
      <c r="C2415" s="34" t="str">
        <f>TEXT(Metas_Diarias[[#This Row],[data]],"dddd")</f>
        <v>sexta-feira</v>
      </c>
      <c r="D2415" s="33">
        <v>3</v>
      </c>
      <c r="E2415" s="33">
        <v>3</v>
      </c>
      <c r="F2415" s="18"/>
      <c r="G2415" s="35">
        <f>WEEKDAY(Metas_Diarias[[#This Row],[data]])</f>
        <v>6</v>
      </c>
      <c r="H2415" s="35">
        <f>IF(Metas_Diarias[[#This Row],[dias_da_demana]]=1,"domingo",IF(Metas_Diarias[[#This Row],[dias_da_demana]]=7,0.5,1))</f>
        <v>1</v>
      </c>
      <c r="I2415" s="35">
        <f>_xlfn.XLOOKUP(Metas_Diarias[[#This Row],[data]],Feriados[Data],Feriados[Feriado],1)</f>
        <v>1</v>
      </c>
      <c r="J2415" s="33" cm="1">
        <f t="array" aca="1" ref="J2415" ca="1">SUMPRODUCT(IF((NOT(ISERROR(MATCH(ROW(INDIRECT(DATE(YEAR(B2415),MONTH(B2415),1)&amp;":"&amp;DATE(YEAR(B2415),MONTH(B2415)+1,0))),Feriados[Data],0))))=FALSE,
IF(WEEKDAY(ROW(INDIRECT(DATE(YEAR(B2415),MONTH(B2415),1)&amp;":"&amp;DATE(YEAR(B2415),MONTH(B2415)+1,0))),2)&lt;=5,1,IF(WEEKDAY(ROW(INDIRECT(DATE(YEAR(B2415),MONTH(B2415),1)&amp;":"&amp;DATE(YEAR(B2415),MONTH(B2415)+1,0))),2)=6,0.5,0)),0))</f>
        <v>23.5</v>
      </c>
      <c r="K2415" s="22" cm="1">
        <f t="array" ref="K2415">_xlfn.XLOOKUP(1,((Metas_Diarias[[#This Row],[tipo_equipe_id]]=Metas[equipe])*(Metas_Diarias[[#This Row],[data]]&gt;Metas[data_inicio])*(Metas_Diarias[[#This Row],[data]]&lt;Metas[data_fim])),Metas[meta_mensal],0)</f>
        <v>110000</v>
      </c>
      <c r="L241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16" spans="2:12" x14ac:dyDescent="0.3">
      <c r="B2416" s="34">
        <v>46242</v>
      </c>
      <c r="C2416" s="34" t="str">
        <f>TEXT(Metas_Diarias[[#This Row],[data]],"dddd")</f>
        <v>sábado</v>
      </c>
      <c r="D2416" s="33">
        <v>3</v>
      </c>
      <c r="E2416" s="33">
        <v>3</v>
      </c>
      <c r="F2416" s="18"/>
      <c r="G2416" s="35">
        <f>WEEKDAY(Metas_Diarias[[#This Row],[data]])</f>
        <v>7</v>
      </c>
      <c r="H2416" s="35">
        <f>IF(Metas_Diarias[[#This Row],[dias_da_demana]]=1,"domingo",IF(Metas_Diarias[[#This Row],[dias_da_demana]]=7,0.5,1))</f>
        <v>0.5</v>
      </c>
      <c r="I2416" s="35">
        <f>_xlfn.XLOOKUP(Metas_Diarias[[#This Row],[data]],Feriados[Data],Feriados[Feriado],1)</f>
        <v>1</v>
      </c>
      <c r="J2416" s="33" cm="1">
        <f t="array" aca="1" ref="J2416" ca="1">SUMPRODUCT(IF((NOT(ISERROR(MATCH(ROW(INDIRECT(DATE(YEAR(B2416),MONTH(B2416),1)&amp;":"&amp;DATE(YEAR(B2416),MONTH(B2416)+1,0))),Feriados[Data],0))))=FALSE,
IF(WEEKDAY(ROW(INDIRECT(DATE(YEAR(B2416),MONTH(B2416),1)&amp;":"&amp;DATE(YEAR(B2416),MONTH(B2416)+1,0))),2)&lt;=5,1,IF(WEEKDAY(ROW(INDIRECT(DATE(YEAR(B2416),MONTH(B2416),1)&amp;":"&amp;DATE(YEAR(B2416),MONTH(B2416)+1,0))),2)=6,0.5,0)),0))</f>
        <v>23.5</v>
      </c>
      <c r="K2416" s="22" cm="1">
        <f t="array" ref="K2416">_xlfn.XLOOKUP(1,((Metas_Diarias[[#This Row],[tipo_equipe_id]]=Metas[equipe])*(Metas_Diarias[[#This Row],[data]]&gt;Metas[data_inicio])*(Metas_Diarias[[#This Row],[data]]&lt;Metas[data_fim])),Metas[meta_mensal],0)</f>
        <v>110000</v>
      </c>
      <c r="L2416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17" spans="2:12" x14ac:dyDescent="0.3">
      <c r="B2417" s="34">
        <v>46243</v>
      </c>
      <c r="C2417" s="34" t="str">
        <f>TEXT(Metas_Diarias[[#This Row],[data]],"dddd")</f>
        <v>domingo</v>
      </c>
      <c r="D2417" s="33">
        <v>3</v>
      </c>
      <c r="E2417" s="33">
        <v>3</v>
      </c>
      <c r="F2417" s="18"/>
      <c r="G2417" s="35">
        <f>WEEKDAY(Metas_Diarias[[#This Row],[data]])</f>
        <v>1</v>
      </c>
      <c r="H2417" s="35" t="str">
        <f>IF(Metas_Diarias[[#This Row],[dias_da_demana]]=1,"domingo",IF(Metas_Diarias[[#This Row],[dias_da_demana]]=7,0.5,1))</f>
        <v>domingo</v>
      </c>
      <c r="I2417" s="35">
        <f>_xlfn.XLOOKUP(Metas_Diarias[[#This Row],[data]],Feriados[Data],Feriados[Feriado],1)</f>
        <v>1</v>
      </c>
      <c r="J2417" s="33" cm="1">
        <f t="array" aca="1" ref="J2417" ca="1">SUMPRODUCT(IF((NOT(ISERROR(MATCH(ROW(INDIRECT(DATE(YEAR(B2417),MONTH(B2417),1)&amp;":"&amp;DATE(YEAR(B2417),MONTH(B2417)+1,0))),Feriados[Data],0))))=FALSE,
IF(WEEKDAY(ROW(INDIRECT(DATE(YEAR(B2417),MONTH(B2417),1)&amp;":"&amp;DATE(YEAR(B2417),MONTH(B2417)+1,0))),2)&lt;=5,1,IF(WEEKDAY(ROW(INDIRECT(DATE(YEAR(B2417),MONTH(B2417),1)&amp;":"&amp;DATE(YEAR(B2417),MONTH(B2417)+1,0))),2)=6,0.5,0)),0))</f>
        <v>23.5</v>
      </c>
      <c r="K2417" s="22" cm="1">
        <f t="array" ref="K2417">_xlfn.XLOOKUP(1,((Metas_Diarias[[#This Row],[tipo_equipe_id]]=Metas[equipe])*(Metas_Diarias[[#This Row],[data]]&gt;Metas[data_inicio])*(Metas_Diarias[[#This Row],[data]]&lt;Metas[data_fim])),Metas[meta_mensal],0)</f>
        <v>110000</v>
      </c>
      <c r="L24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18" spans="2:12" x14ac:dyDescent="0.3">
      <c r="B2418" s="34">
        <v>46244</v>
      </c>
      <c r="C2418" s="34" t="str">
        <f>TEXT(Metas_Diarias[[#This Row],[data]],"dddd")</f>
        <v>segunda-feira</v>
      </c>
      <c r="D2418" s="33">
        <v>3</v>
      </c>
      <c r="E2418" s="33">
        <v>3</v>
      </c>
      <c r="F2418" s="18"/>
      <c r="G2418" s="35">
        <f>WEEKDAY(Metas_Diarias[[#This Row],[data]])</f>
        <v>2</v>
      </c>
      <c r="H2418" s="35">
        <f>IF(Metas_Diarias[[#This Row],[dias_da_demana]]=1,"domingo",IF(Metas_Diarias[[#This Row],[dias_da_demana]]=7,0.5,1))</f>
        <v>1</v>
      </c>
      <c r="I2418" s="35">
        <f>_xlfn.XLOOKUP(Metas_Diarias[[#This Row],[data]],Feriados[Data],Feriados[Feriado],1)</f>
        <v>1</v>
      </c>
      <c r="J2418" s="33" cm="1">
        <f t="array" aca="1" ref="J2418" ca="1">SUMPRODUCT(IF((NOT(ISERROR(MATCH(ROW(INDIRECT(DATE(YEAR(B2418),MONTH(B2418),1)&amp;":"&amp;DATE(YEAR(B2418),MONTH(B2418)+1,0))),Feriados[Data],0))))=FALSE,
IF(WEEKDAY(ROW(INDIRECT(DATE(YEAR(B2418),MONTH(B2418),1)&amp;":"&amp;DATE(YEAR(B2418),MONTH(B2418)+1,0))),2)&lt;=5,1,IF(WEEKDAY(ROW(INDIRECT(DATE(YEAR(B2418),MONTH(B2418),1)&amp;":"&amp;DATE(YEAR(B2418),MONTH(B2418)+1,0))),2)=6,0.5,0)),0))</f>
        <v>23.5</v>
      </c>
      <c r="K2418" s="22" cm="1">
        <f t="array" ref="K2418">_xlfn.XLOOKUP(1,((Metas_Diarias[[#This Row],[tipo_equipe_id]]=Metas[equipe])*(Metas_Diarias[[#This Row],[data]]&gt;Metas[data_inicio])*(Metas_Diarias[[#This Row],[data]]&lt;Metas[data_fim])),Metas[meta_mensal],0)</f>
        <v>110000</v>
      </c>
      <c r="L241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19" spans="2:12" x14ac:dyDescent="0.3">
      <c r="B2419" s="34">
        <v>46245</v>
      </c>
      <c r="C2419" s="34" t="str">
        <f>TEXT(Metas_Diarias[[#This Row],[data]],"dddd")</f>
        <v>terça-feira</v>
      </c>
      <c r="D2419" s="33">
        <v>3</v>
      </c>
      <c r="E2419" s="33">
        <v>3</v>
      </c>
      <c r="F2419" s="18"/>
      <c r="G2419" s="35">
        <f>WEEKDAY(Metas_Diarias[[#This Row],[data]])</f>
        <v>3</v>
      </c>
      <c r="H2419" s="35">
        <f>IF(Metas_Diarias[[#This Row],[dias_da_demana]]=1,"domingo",IF(Metas_Diarias[[#This Row],[dias_da_demana]]=7,0.5,1))</f>
        <v>1</v>
      </c>
      <c r="I2419" s="35">
        <f>_xlfn.XLOOKUP(Metas_Diarias[[#This Row],[data]],Feriados[Data],Feriados[Feriado],1)</f>
        <v>1</v>
      </c>
      <c r="J2419" s="33" cm="1">
        <f t="array" aca="1" ref="J2419" ca="1">SUMPRODUCT(IF((NOT(ISERROR(MATCH(ROW(INDIRECT(DATE(YEAR(B2419),MONTH(B2419),1)&amp;":"&amp;DATE(YEAR(B2419),MONTH(B2419)+1,0))),Feriados[Data],0))))=FALSE,
IF(WEEKDAY(ROW(INDIRECT(DATE(YEAR(B2419),MONTH(B2419),1)&amp;":"&amp;DATE(YEAR(B2419),MONTH(B2419)+1,0))),2)&lt;=5,1,IF(WEEKDAY(ROW(INDIRECT(DATE(YEAR(B2419),MONTH(B2419),1)&amp;":"&amp;DATE(YEAR(B2419),MONTH(B2419)+1,0))),2)=6,0.5,0)),0))</f>
        <v>23.5</v>
      </c>
      <c r="K2419" s="22" cm="1">
        <f t="array" ref="K2419">_xlfn.XLOOKUP(1,((Metas_Diarias[[#This Row],[tipo_equipe_id]]=Metas[equipe])*(Metas_Diarias[[#This Row],[data]]&gt;Metas[data_inicio])*(Metas_Diarias[[#This Row],[data]]&lt;Metas[data_fim])),Metas[meta_mensal],0)</f>
        <v>110000</v>
      </c>
      <c r="L241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20" spans="2:12" x14ac:dyDescent="0.3">
      <c r="B2420" s="34">
        <v>46246</v>
      </c>
      <c r="C2420" s="34" t="str">
        <f>TEXT(Metas_Diarias[[#This Row],[data]],"dddd")</f>
        <v>quarta-feira</v>
      </c>
      <c r="D2420" s="33">
        <v>3</v>
      </c>
      <c r="E2420" s="33">
        <v>3</v>
      </c>
      <c r="F2420" s="18"/>
      <c r="G2420" s="35">
        <f>WEEKDAY(Metas_Diarias[[#This Row],[data]])</f>
        <v>4</v>
      </c>
      <c r="H2420" s="35">
        <f>IF(Metas_Diarias[[#This Row],[dias_da_demana]]=1,"domingo",IF(Metas_Diarias[[#This Row],[dias_da_demana]]=7,0.5,1))</f>
        <v>1</v>
      </c>
      <c r="I2420" s="35">
        <f>_xlfn.XLOOKUP(Metas_Diarias[[#This Row],[data]],Feriados[Data],Feriados[Feriado],1)</f>
        <v>1</v>
      </c>
      <c r="J2420" s="33" cm="1">
        <f t="array" aca="1" ref="J2420" ca="1">SUMPRODUCT(IF((NOT(ISERROR(MATCH(ROW(INDIRECT(DATE(YEAR(B2420),MONTH(B2420),1)&amp;":"&amp;DATE(YEAR(B2420),MONTH(B2420)+1,0))),Feriados[Data],0))))=FALSE,
IF(WEEKDAY(ROW(INDIRECT(DATE(YEAR(B2420),MONTH(B2420),1)&amp;":"&amp;DATE(YEAR(B2420),MONTH(B2420)+1,0))),2)&lt;=5,1,IF(WEEKDAY(ROW(INDIRECT(DATE(YEAR(B2420),MONTH(B2420),1)&amp;":"&amp;DATE(YEAR(B2420),MONTH(B2420)+1,0))),2)=6,0.5,0)),0))</f>
        <v>23.5</v>
      </c>
      <c r="K2420" s="22" cm="1">
        <f t="array" ref="K2420">_xlfn.XLOOKUP(1,((Metas_Diarias[[#This Row],[tipo_equipe_id]]=Metas[equipe])*(Metas_Diarias[[#This Row],[data]]&gt;Metas[data_inicio])*(Metas_Diarias[[#This Row],[data]]&lt;Metas[data_fim])),Metas[meta_mensal],0)</f>
        <v>110000</v>
      </c>
      <c r="L2420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21" spans="2:12" x14ac:dyDescent="0.3">
      <c r="B2421" s="34">
        <v>46247</v>
      </c>
      <c r="C2421" s="34" t="str">
        <f>TEXT(Metas_Diarias[[#This Row],[data]],"dddd")</f>
        <v>quinta-feira</v>
      </c>
      <c r="D2421" s="33">
        <v>3</v>
      </c>
      <c r="E2421" s="33">
        <v>3</v>
      </c>
      <c r="F2421" s="18"/>
      <c r="G2421" s="35">
        <f>WEEKDAY(Metas_Diarias[[#This Row],[data]])</f>
        <v>5</v>
      </c>
      <c r="H2421" s="35">
        <f>IF(Metas_Diarias[[#This Row],[dias_da_demana]]=1,"domingo",IF(Metas_Diarias[[#This Row],[dias_da_demana]]=7,0.5,1))</f>
        <v>1</v>
      </c>
      <c r="I2421" s="35">
        <f>_xlfn.XLOOKUP(Metas_Diarias[[#This Row],[data]],Feriados[Data],Feriados[Feriado],1)</f>
        <v>1</v>
      </c>
      <c r="J2421" s="33" cm="1">
        <f t="array" aca="1" ref="J2421" ca="1">SUMPRODUCT(IF((NOT(ISERROR(MATCH(ROW(INDIRECT(DATE(YEAR(B2421),MONTH(B2421),1)&amp;":"&amp;DATE(YEAR(B2421),MONTH(B2421)+1,0))),Feriados[Data],0))))=FALSE,
IF(WEEKDAY(ROW(INDIRECT(DATE(YEAR(B2421),MONTH(B2421),1)&amp;":"&amp;DATE(YEAR(B2421),MONTH(B2421)+1,0))),2)&lt;=5,1,IF(WEEKDAY(ROW(INDIRECT(DATE(YEAR(B2421),MONTH(B2421),1)&amp;":"&amp;DATE(YEAR(B2421),MONTH(B2421)+1,0))),2)=6,0.5,0)),0))</f>
        <v>23.5</v>
      </c>
      <c r="K2421" s="22" cm="1">
        <f t="array" ref="K2421">_xlfn.XLOOKUP(1,((Metas_Diarias[[#This Row],[tipo_equipe_id]]=Metas[equipe])*(Metas_Diarias[[#This Row],[data]]&gt;Metas[data_inicio])*(Metas_Diarias[[#This Row],[data]]&lt;Metas[data_fim])),Metas[meta_mensal],0)</f>
        <v>110000</v>
      </c>
      <c r="L2421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22" spans="2:12" x14ac:dyDescent="0.3">
      <c r="B2422" s="34">
        <v>46248</v>
      </c>
      <c r="C2422" s="34" t="str">
        <f>TEXT(Metas_Diarias[[#This Row],[data]],"dddd")</f>
        <v>sexta-feira</v>
      </c>
      <c r="D2422" s="33">
        <v>3</v>
      </c>
      <c r="E2422" s="33">
        <v>3</v>
      </c>
      <c r="F2422" s="18"/>
      <c r="G2422" s="35">
        <f>WEEKDAY(Metas_Diarias[[#This Row],[data]])</f>
        <v>6</v>
      </c>
      <c r="H2422" s="35">
        <f>IF(Metas_Diarias[[#This Row],[dias_da_demana]]=1,"domingo",IF(Metas_Diarias[[#This Row],[dias_da_demana]]=7,0.5,1))</f>
        <v>1</v>
      </c>
      <c r="I2422" s="35">
        <f>_xlfn.XLOOKUP(Metas_Diarias[[#This Row],[data]],Feriados[Data],Feriados[Feriado],1)</f>
        <v>1</v>
      </c>
      <c r="J2422" s="33" cm="1">
        <f t="array" aca="1" ref="J2422" ca="1">SUMPRODUCT(IF((NOT(ISERROR(MATCH(ROW(INDIRECT(DATE(YEAR(B2422),MONTH(B2422),1)&amp;":"&amp;DATE(YEAR(B2422),MONTH(B2422)+1,0))),Feriados[Data],0))))=FALSE,
IF(WEEKDAY(ROW(INDIRECT(DATE(YEAR(B2422),MONTH(B2422),1)&amp;":"&amp;DATE(YEAR(B2422),MONTH(B2422)+1,0))),2)&lt;=5,1,IF(WEEKDAY(ROW(INDIRECT(DATE(YEAR(B2422),MONTH(B2422),1)&amp;":"&amp;DATE(YEAR(B2422),MONTH(B2422)+1,0))),2)=6,0.5,0)),0))</f>
        <v>23.5</v>
      </c>
      <c r="K2422" s="22" cm="1">
        <f t="array" ref="K2422">_xlfn.XLOOKUP(1,((Metas_Diarias[[#This Row],[tipo_equipe_id]]=Metas[equipe])*(Metas_Diarias[[#This Row],[data]]&gt;Metas[data_inicio])*(Metas_Diarias[[#This Row],[data]]&lt;Metas[data_fim])),Metas[meta_mensal],0)</f>
        <v>110000</v>
      </c>
      <c r="L242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23" spans="2:12" x14ac:dyDescent="0.3">
      <c r="B2423" s="34">
        <v>46249</v>
      </c>
      <c r="C2423" s="34" t="str">
        <f>TEXT(Metas_Diarias[[#This Row],[data]],"dddd")</f>
        <v>sábado</v>
      </c>
      <c r="D2423" s="33">
        <v>3</v>
      </c>
      <c r="E2423" s="33">
        <v>3</v>
      </c>
      <c r="F2423" s="18"/>
      <c r="G2423" s="35">
        <f>WEEKDAY(Metas_Diarias[[#This Row],[data]])</f>
        <v>7</v>
      </c>
      <c r="H2423" s="35">
        <f>IF(Metas_Diarias[[#This Row],[dias_da_demana]]=1,"domingo",IF(Metas_Diarias[[#This Row],[dias_da_demana]]=7,0.5,1))</f>
        <v>0.5</v>
      </c>
      <c r="I2423" s="35">
        <f>_xlfn.XLOOKUP(Metas_Diarias[[#This Row],[data]],Feriados[Data],Feriados[Feriado],1)</f>
        <v>1</v>
      </c>
      <c r="J2423" s="33" cm="1">
        <f t="array" aca="1" ref="J2423" ca="1">SUMPRODUCT(IF((NOT(ISERROR(MATCH(ROW(INDIRECT(DATE(YEAR(B2423),MONTH(B2423),1)&amp;":"&amp;DATE(YEAR(B2423),MONTH(B2423)+1,0))),Feriados[Data],0))))=FALSE,
IF(WEEKDAY(ROW(INDIRECT(DATE(YEAR(B2423),MONTH(B2423),1)&amp;":"&amp;DATE(YEAR(B2423),MONTH(B2423)+1,0))),2)&lt;=5,1,IF(WEEKDAY(ROW(INDIRECT(DATE(YEAR(B2423),MONTH(B2423),1)&amp;":"&amp;DATE(YEAR(B2423),MONTH(B2423)+1,0))),2)=6,0.5,0)),0))</f>
        <v>23.5</v>
      </c>
      <c r="K2423" s="22" cm="1">
        <f t="array" ref="K2423">_xlfn.XLOOKUP(1,((Metas_Diarias[[#This Row],[tipo_equipe_id]]=Metas[equipe])*(Metas_Diarias[[#This Row],[data]]&gt;Metas[data_inicio])*(Metas_Diarias[[#This Row],[data]]&lt;Metas[data_fim])),Metas[meta_mensal],0)</f>
        <v>110000</v>
      </c>
      <c r="L2423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24" spans="2:12" x14ac:dyDescent="0.3">
      <c r="B2424" s="34">
        <v>46250</v>
      </c>
      <c r="C2424" s="34" t="str">
        <f>TEXT(Metas_Diarias[[#This Row],[data]],"dddd")</f>
        <v>domingo</v>
      </c>
      <c r="D2424" s="33">
        <v>3</v>
      </c>
      <c r="E2424" s="33">
        <v>3</v>
      </c>
      <c r="F2424" s="18"/>
      <c r="G2424" s="35">
        <f>WEEKDAY(Metas_Diarias[[#This Row],[data]])</f>
        <v>1</v>
      </c>
      <c r="H2424" s="35" t="str">
        <f>IF(Metas_Diarias[[#This Row],[dias_da_demana]]=1,"domingo",IF(Metas_Diarias[[#This Row],[dias_da_demana]]=7,0.5,1))</f>
        <v>domingo</v>
      </c>
      <c r="I2424" s="35">
        <f>_xlfn.XLOOKUP(Metas_Diarias[[#This Row],[data]],Feriados[Data],Feriados[Feriado],1)</f>
        <v>1</v>
      </c>
      <c r="J2424" s="33" cm="1">
        <f t="array" aca="1" ref="J2424" ca="1">SUMPRODUCT(IF((NOT(ISERROR(MATCH(ROW(INDIRECT(DATE(YEAR(B2424),MONTH(B2424),1)&amp;":"&amp;DATE(YEAR(B2424),MONTH(B2424)+1,0))),Feriados[Data],0))))=FALSE,
IF(WEEKDAY(ROW(INDIRECT(DATE(YEAR(B2424),MONTH(B2424),1)&amp;":"&amp;DATE(YEAR(B2424),MONTH(B2424)+1,0))),2)&lt;=5,1,IF(WEEKDAY(ROW(INDIRECT(DATE(YEAR(B2424),MONTH(B2424),1)&amp;":"&amp;DATE(YEAR(B2424),MONTH(B2424)+1,0))),2)=6,0.5,0)),0))</f>
        <v>23.5</v>
      </c>
      <c r="K2424" s="22" cm="1">
        <f t="array" ref="K2424">_xlfn.XLOOKUP(1,((Metas_Diarias[[#This Row],[tipo_equipe_id]]=Metas[equipe])*(Metas_Diarias[[#This Row],[data]]&gt;Metas[data_inicio])*(Metas_Diarias[[#This Row],[data]]&lt;Metas[data_fim])),Metas[meta_mensal],0)</f>
        <v>110000</v>
      </c>
      <c r="L24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25" spans="2:12" x14ac:dyDescent="0.3">
      <c r="B2425" s="34">
        <v>46251</v>
      </c>
      <c r="C2425" s="34" t="str">
        <f>TEXT(Metas_Diarias[[#This Row],[data]],"dddd")</f>
        <v>segunda-feira</v>
      </c>
      <c r="D2425" s="33">
        <v>3</v>
      </c>
      <c r="E2425" s="33">
        <v>3</v>
      </c>
      <c r="F2425" s="18"/>
      <c r="G2425" s="35">
        <f>WEEKDAY(Metas_Diarias[[#This Row],[data]])</f>
        <v>2</v>
      </c>
      <c r="H2425" s="35">
        <f>IF(Metas_Diarias[[#This Row],[dias_da_demana]]=1,"domingo",IF(Metas_Diarias[[#This Row],[dias_da_demana]]=7,0.5,1))</f>
        <v>1</v>
      </c>
      <c r="I2425" s="35">
        <f>_xlfn.XLOOKUP(Metas_Diarias[[#This Row],[data]],Feriados[Data],Feriados[Feriado],1)</f>
        <v>1</v>
      </c>
      <c r="J2425" s="33" cm="1">
        <f t="array" aca="1" ref="J2425" ca="1">SUMPRODUCT(IF((NOT(ISERROR(MATCH(ROW(INDIRECT(DATE(YEAR(B2425),MONTH(B2425),1)&amp;":"&amp;DATE(YEAR(B2425),MONTH(B2425)+1,0))),Feriados[Data],0))))=FALSE,
IF(WEEKDAY(ROW(INDIRECT(DATE(YEAR(B2425),MONTH(B2425),1)&amp;":"&amp;DATE(YEAR(B2425),MONTH(B2425)+1,0))),2)&lt;=5,1,IF(WEEKDAY(ROW(INDIRECT(DATE(YEAR(B2425),MONTH(B2425),1)&amp;":"&amp;DATE(YEAR(B2425),MONTH(B2425)+1,0))),2)=6,0.5,0)),0))</f>
        <v>23.5</v>
      </c>
      <c r="K2425" s="22" cm="1">
        <f t="array" ref="K2425">_xlfn.XLOOKUP(1,((Metas_Diarias[[#This Row],[tipo_equipe_id]]=Metas[equipe])*(Metas_Diarias[[#This Row],[data]]&gt;Metas[data_inicio])*(Metas_Diarias[[#This Row],[data]]&lt;Metas[data_fim])),Metas[meta_mensal],0)</f>
        <v>110000</v>
      </c>
      <c r="L242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26" spans="2:12" x14ac:dyDescent="0.3">
      <c r="B2426" s="34">
        <v>46252</v>
      </c>
      <c r="C2426" s="34" t="str">
        <f>TEXT(Metas_Diarias[[#This Row],[data]],"dddd")</f>
        <v>terça-feira</v>
      </c>
      <c r="D2426" s="33">
        <v>3</v>
      </c>
      <c r="E2426" s="33">
        <v>3</v>
      </c>
      <c r="F2426" s="18"/>
      <c r="G2426" s="35">
        <f>WEEKDAY(Metas_Diarias[[#This Row],[data]])</f>
        <v>3</v>
      </c>
      <c r="H2426" s="35">
        <f>IF(Metas_Diarias[[#This Row],[dias_da_demana]]=1,"domingo",IF(Metas_Diarias[[#This Row],[dias_da_demana]]=7,0.5,1))</f>
        <v>1</v>
      </c>
      <c r="I2426" s="35">
        <f>_xlfn.XLOOKUP(Metas_Diarias[[#This Row],[data]],Feriados[Data],Feriados[Feriado],1)</f>
        <v>1</v>
      </c>
      <c r="J2426" s="33" cm="1">
        <f t="array" aca="1" ref="J2426" ca="1">SUMPRODUCT(IF((NOT(ISERROR(MATCH(ROW(INDIRECT(DATE(YEAR(B2426),MONTH(B2426),1)&amp;":"&amp;DATE(YEAR(B2426),MONTH(B2426)+1,0))),Feriados[Data],0))))=FALSE,
IF(WEEKDAY(ROW(INDIRECT(DATE(YEAR(B2426),MONTH(B2426),1)&amp;":"&amp;DATE(YEAR(B2426),MONTH(B2426)+1,0))),2)&lt;=5,1,IF(WEEKDAY(ROW(INDIRECT(DATE(YEAR(B2426),MONTH(B2426),1)&amp;":"&amp;DATE(YEAR(B2426),MONTH(B2426)+1,0))),2)=6,0.5,0)),0))</f>
        <v>23.5</v>
      </c>
      <c r="K2426" s="22" cm="1">
        <f t="array" ref="K2426">_xlfn.XLOOKUP(1,((Metas_Diarias[[#This Row],[tipo_equipe_id]]=Metas[equipe])*(Metas_Diarias[[#This Row],[data]]&gt;Metas[data_inicio])*(Metas_Diarias[[#This Row],[data]]&lt;Metas[data_fim])),Metas[meta_mensal],0)</f>
        <v>110000</v>
      </c>
      <c r="L2426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27" spans="2:12" x14ac:dyDescent="0.3">
      <c r="B2427" s="34">
        <v>46253</v>
      </c>
      <c r="C2427" s="34" t="str">
        <f>TEXT(Metas_Diarias[[#This Row],[data]],"dddd")</f>
        <v>quarta-feira</v>
      </c>
      <c r="D2427" s="33">
        <v>3</v>
      </c>
      <c r="E2427" s="33">
        <v>3</v>
      </c>
      <c r="F2427" s="18"/>
      <c r="G2427" s="35">
        <f>WEEKDAY(Metas_Diarias[[#This Row],[data]])</f>
        <v>4</v>
      </c>
      <c r="H2427" s="35">
        <f>IF(Metas_Diarias[[#This Row],[dias_da_demana]]=1,"domingo",IF(Metas_Diarias[[#This Row],[dias_da_demana]]=7,0.5,1))</f>
        <v>1</v>
      </c>
      <c r="I2427" s="35">
        <f>_xlfn.XLOOKUP(Metas_Diarias[[#This Row],[data]],Feriados[Data],Feriados[Feriado],1)</f>
        <v>1</v>
      </c>
      <c r="J2427" s="33" cm="1">
        <f t="array" aca="1" ref="J2427" ca="1">SUMPRODUCT(IF((NOT(ISERROR(MATCH(ROW(INDIRECT(DATE(YEAR(B2427),MONTH(B2427),1)&amp;":"&amp;DATE(YEAR(B2427),MONTH(B2427)+1,0))),Feriados[Data],0))))=FALSE,
IF(WEEKDAY(ROW(INDIRECT(DATE(YEAR(B2427),MONTH(B2427),1)&amp;":"&amp;DATE(YEAR(B2427),MONTH(B2427)+1,0))),2)&lt;=5,1,IF(WEEKDAY(ROW(INDIRECT(DATE(YEAR(B2427),MONTH(B2427),1)&amp;":"&amp;DATE(YEAR(B2427),MONTH(B2427)+1,0))),2)=6,0.5,0)),0))</f>
        <v>23.5</v>
      </c>
      <c r="K2427" s="22" cm="1">
        <f t="array" ref="K2427">_xlfn.XLOOKUP(1,((Metas_Diarias[[#This Row],[tipo_equipe_id]]=Metas[equipe])*(Metas_Diarias[[#This Row],[data]]&gt;Metas[data_inicio])*(Metas_Diarias[[#This Row],[data]]&lt;Metas[data_fim])),Metas[meta_mensal],0)</f>
        <v>110000</v>
      </c>
      <c r="L2427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28" spans="2:12" x14ac:dyDescent="0.3">
      <c r="B2428" s="34">
        <v>46254</v>
      </c>
      <c r="C2428" s="34" t="str">
        <f>TEXT(Metas_Diarias[[#This Row],[data]],"dddd")</f>
        <v>quinta-feira</v>
      </c>
      <c r="D2428" s="33">
        <v>3</v>
      </c>
      <c r="E2428" s="33">
        <v>3</v>
      </c>
      <c r="F2428" s="18"/>
      <c r="G2428" s="35">
        <f>WEEKDAY(Metas_Diarias[[#This Row],[data]])</f>
        <v>5</v>
      </c>
      <c r="H2428" s="35">
        <f>IF(Metas_Diarias[[#This Row],[dias_da_demana]]=1,"domingo",IF(Metas_Diarias[[#This Row],[dias_da_demana]]=7,0.5,1))</f>
        <v>1</v>
      </c>
      <c r="I2428" s="35">
        <f>_xlfn.XLOOKUP(Metas_Diarias[[#This Row],[data]],Feriados[Data],Feriados[Feriado],1)</f>
        <v>1</v>
      </c>
      <c r="J2428" s="33" cm="1">
        <f t="array" aca="1" ref="J2428" ca="1">SUMPRODUCT(IF((NOT(ISERROR(MATCH(ROW(INDIRECT(DATE(YEAR(B2428),MONTH(B2428),1)&amp;":"&amp;DATE(YEAR(B2428),MONTH(B2428)+1,0))),Feriados[Data],0))))=FALSE,
IF(WEEKDAY(ROW(INDIRECT(DATE(YEAR(B2428),MONTH(B2428),1)&amp;":"&amp;DATE(YEAR(B2428),MONTH(B2428)+1,0))),2)&lt;=5,1,IF(WEEKDAY(ROW(INDIRECT(DATE(YEAR(B2428),MONTH(B2428),1)&amp;":"&amp;DATE(YEAR(B2428),MONTH(B2428)+1,0))),2)=6,0.5,0)),0))</f>
        <v>23.5</v>
      </c>
      <c r="K2428" s="22" cm="1">
        <f t="array" ref="K2428">_xlfn.XLOOKUP(1,((Metas_Diarias[[#This Row],[tipo_equipe_id]]=Metas[equipe])*(Metas_Diarias[[#This Row],[data]]&gt;Metas[data_inicio])*(Metas_Diarias[[#This Row],[data]]&lt;Metas[data_fim])),Metas[meta_mensal],0)</f>
        <v>110000</v>
      </c>
      <c r="L242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29" spans="2:12" x14ac:dyDescent="0.3">
      <c r="B2429" s="34">
        <v>46255</v>
      </c>
      <c r="C2429" s="34" t="str">
        <f>TEXT(Metas_Diarias[[#This Row],[data]],"dddd")</f>
        <v>sexta-feira</v>
      </c>
      <c r="D2429" s="33">
        <v>3</v>
      </c>
      <c r="E2429" s="33">
        <v>3</v>
      </c>
      <c r="F2429" s="18"/>
      <c r="G2429" s="35">
        <f>WEEKDAY(Metas_Diarias[[#This Row],[data]])</f>
        <v>6</v>
      </c>
      <c r="H2429" s="35">
        <f>IF(Metas_Diarias[[#This Row],[dias_da_demana]]=1,"domingo",IF(Metas_Diarias[[#This Row],[dias_da_demana]]=7,0.5,1))</f>
        <v>1</v>
      </c>
      <c r="I2429" s="35">
        <f>_xlfn.XLOOKUP(Metas_Diarias[[#This Row],[data]],Feriados[Data],Feriados[Feriado],1)</f>
        <v>1</v>
      </c>
      <c r="J2429" s="33" cm="1">
        <f t="array" aca="1" ref="J2429" ca="1">SUMPRODUCT(IF((NOT(ISERROR(MATCH(ROW(INDIRECT(DATE(YEAR(B2429),MONTH(B2429),1)&amp;":"&amp;DATE(YEAR(B2429),MONTH(B2429)+1,0))),Feriados[Data],0))))=FALSE,
IF(WEEKDAY(ROW(INDIRECT(DATE(YEAR(B2429),MONTH(B2429),1)&amp;":"&amp;DATE(YEAR(B2429),MONTH(B2429)+1,0))),2)&lt;=5,1,IF(WEEKDAY(ROW(INDIRECT(DATE(YEAR(B2429),MONTH(B2429),1)&amp;":"&amp;DATE(YEAR(B2429),MONTH(B2429)+1,0))),2)=6,0.5,0)),0))</f>
        <v>23.5</v>
      </c>
      <c r="K2429" s="22" cm="1">
        <f t="array" ref="K2429">_xlfn.XLOOKUP(1,((Metas_Diarias[[#This Row],[tipo_equipe_id]]=Metas[equipe])*(Metas_Diarias[[#This Row],[data]]&gt;Metas[data_inicio])*(Metas_Diarias[[#This Row],[data]]&lt;Metas[data_fim])),Metas[meta_mensal],0)</f>
        <v>110000</v>
      </c>
      <c r="L242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30" spans="2:12" x14ac:dyDescent="0.3">
      <c r="B2430" s="34">
        <v>46256</v>
      </c>
      <c r="C2430" s="34" t="str">
        <f>TEXT(Metas_Diarias[[#This Row],[data]],"dddd")</f>
        <v>sábado</v>
      </c>
      <c r="D2430" s="33">
        <v>3</v>
      </c>
      <c r="E2430" s="33">
        <v>3</v>
      </c>
      <c r="F2430" s="18"/>
      <c r="G2430" s="35">
        <f>WEEKDAY(Metas_Diarias[[#This Row],[data]])</f>
        <v>7</v>
      </c>
      <c r="H2430" s="35">
        <f>IF(Metas_Diarias[[#This Row],[dias_da_demana]]=1,"domingo",IF(Metas_Diarias[[#This Row],[dias_da_demana]]=7,0.5,1))</f>
        <v>0.5</v>
      </c>
      <c r="I2430" s="35">
        <f>_xlfn.XLOOKUP(Metas_Diarias[[#This Row],[data]],Feriados[Data],Feriados[Feriado],1)</f>
        <v>1</v>
      </c>
      <c r="J2430" s="33" cm="1">
        <f t="array" aca="1" ref="J2430" ca="1">SUMPRODUCT(IF((NOT(ISERROR(MATCH(ROW(INDIRECT(DATE(YEAR(B2430),MONTH(B2430),1)&amp;":"&amp;DATE(YEAR(B2430),MONTH(B2430)+1,0))),Feriados[Data],0))))=FALSE,
IF(WEEKDAY(ROW(INDIRECT(DATE(YEAR(B2430),MONTH(B2430),1)&amp;":"&amp;DATE(YEAR(B2430),MONTH(B2430)+1,0))),2)&lt;=5,1,IF(WEEKDAY(ROW(INDIRECT(DATE(YEAR(B2430),MONTH(B2430),1)&amp;":"&amp;DATE(YEAR(B2430),MONTH(B2430)+1,0))),2)=6,0.5,0)),0))</f>
        <v>23.5</v>
      </c>
      <c r="K2430" s="22" cm="1">
        <f t="array" ref="K2430">_xlfn.XLOOKUP(1,((Metas_Diarias[[#This Row],[tipo_equipe_id]]=Metas[equipe])*(Metas_Diarias[[#This Row],[data]]&gt;Metas[data_inicio])*(Metas_Diarias[[#This Row],[data]]&lt;Metas[data_fim])),Metas[meta_mensal],0)</f>
        <v>110000</v>
      </c>
      <c r="L2430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31" spans="2:12" x14ac:dyDescent="0.3">
      <c r="B2431" s="34">
        <v>46257</v>
      </c>
      <c r="C2431" s="34" t="str">
        <f>TEXT(Metas_Diarias[[#This Row],[data]],"dddd")</f>
        <v>domingo</v>
      </c>
      <c r="D2431" s="33">
        <v>3</v>
      </c>
      <c r="E2431" s="33">
        <v>3</v>
      </c>
      <c r="F2431" s="18"/>
      <c r="G2431" s="35">
        <f>WEEKDAY(Metas_Diarias[[#This Row],[data]])</f>
        <v>1</v>
      </c>
      <c r="H2431" s="35" t="str">
        <f>IF(Metas_Diarias[[#This Row],[dias_da_demana]]=1,"domingo",IF(Metas_Diarias[[#This Row],[dias_da_demana]]=7,0.5,1))</f>
        <v>domingo</v>
      </c>
      <c r="I2431" s="35">
        <f>_xlfn.XLOOKUP(Metas_Diarias[[#This Row],[data]],Feriados[Data],Feriados[Feriado],1)</f>
        <v>1</v>
      </c>
      <c r="J2431" s="33" cm="1">
        <f t="array" aca="1" ref="J2431" ca="1">SUMPRODUCT(IF((NOT(ISERROR(MATCH(ROW(INDIRECT(DATE(YEAR(B2431),MONTH(B2431),1)&amp;":"&amp;DATE(YEAR(B2431),MONTH(B2431)+1,0))),Feriados[Data],0))))=FALSE,
IF(WEEKDAY(ROW(INDIRECT(DATE(YEAR(B2431),MONTH(B2431),1)&amp;":"&amp;DATE(YEAR(B2431),MONTH(B2431)+1,0))),2)&lt;=5,1,IF(WEEKDAY(ROW(INDIRECT(DATE(YEAR(B2431),MONTH(B2431),1)&amp;":"&amp;DATE(YEAR(B2431),MONTH(B2431)+1,0))),2)=6,0.5,0)),0))</f>
        <v>23.5</v>
      </c>
      <c r="K2431" s="22" cm="1">
        <f t="array" ref="K2431">_xlfn.XLOOKUP(1,((Metas_Diarias[[#This Row],[tipo_equipe_id]]=Metas[equipe])*(Metas_Diarias[[#This Row],[data]]&gt;Metas[data_inicio])*(Metas_Diarias[[#This Row],[data]]&lt;Metas[data_fim])),Metas[meta_mensal],0)</f>
        <v>110000</v>
      </c>
      <c r="L24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32" spans="2:12" x14ac:dyDescent="0.3">
      <c r="B2432" s="34">
        <v>46258</v>
      </c>
      <c r="C2432" s="34" t="str">
        <f>TEXT(Metas_Diarias[[#This Row],[data]],"dddd")</f>
        <v>segunda-feira</v>
      </c>
      <c r="D2432" s="33">
        <v>3</v>
      </c>
      <c r="E2432" s="33">
        <v>3</v>
      </c>
      <c r="F2432" s="18"/>
      <c r="G2432" s="35">
        <f>WEEKDAY(Metas_Diarias[[#This Row],[data]])</f>
        <v>2</v>
      </c>
      <c r="H2432" s="35">
        <f>IF(Metas_Diarias[[#This Row],[dias_da_demana]]=1,"domingo",IF(Metas_Diarias[[#This Row],[dias_da_demana]]=7,0.5,1))</f>
        <v>1</v>
      </c>
      <c r="I2432" s="35">
        <f>_xlfn.XLOOKUP(Metas_Diarias[[#This Row],[data]],Feriados[Data],Feriados[Feriado],1)</f>
        <v>1</v>
      </c>
      <c r="J2432" s="33" cm="1">
        <f t="array" aca="1" ref="J2432" ca="1">SUMPRODUCT(IF((NOT(ISERROR(MATCH(ROW(INDIRECT(DATE(YEAR(B2432),MONTH(B2432),1)&amp;":"&amp;DATE(YEAR(B2432),MONTH(B2432)+1,0))),Feriados[Data],0))))=FALSE,
IF(WEEKDAY(ROW(INDIRECT(DATE(YEAR(B2432),MONTH(B2432),1)&amp;":"&amp;DATE(YEAR(B2432),MONTH(B2432)+1,0))),2)&lt;=5,1,IF(WEEKDAY(ROW(INDIRECT(DATE(YEAR(B2432),MONTH(B2432),1)&amp;":"&amp;DATE(YEAR(B2432),MONTH(B2432)+1,0))),2)=6,0.5,0)),0))</f>
        <v>23.5</v>
      </c>
      <c r="K2432" s="22" cm="1">
        <f t="array" ref="K2432">_xlfn.XLOOKUP(1,((Metas_Diarias[[#This Row],[tipo_equipe_id]]=Metas[equipe])*(Metas_Diarias[[#This Row],[data]]&gt;Metas[data_inicio])*(Metas_Diarias[[#This Row],[data]]&lt;Metas[data_fim])),Metas[meta_mensal],0)</f>
        <v>110000</v>
      </c>
      <c r="L243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33" spans="2:12" x14ac:dyDescent="0.3">
      <c r="B2433" s="34">
        <v>46259</v>
      </c>
      <c r="C2433" s="34" t="str">
        <f>TEXT(Metas_Diarias[[#This Row],[data]],"dddd")</f>
        <v>terça-feira</v>
      </c>
      <c r="D2433" s="33">
        <v>3</v>
      </c>
      <c r="E2433" s="33">
        <v>3</v>
      </c>
      <c r="F2433" s="18"/>
      <c r="G2433" s="35">
        <f>WEEKDAY(Metas_Diarias[[#This Row],[data]])</f>
        <v>3</v>
      </c>
      <c r="H2433" s="35">
        <f>IF(Metas_Diarias[[#This Row],[dias_da_demana]]=1,"domingo",IF(Metas_Diarias[[#This Row],[dias_da_demana]]=7,0.5,1))</f>
        <v>1</v>
      </c>
      <c r="I2433" s="35">
        <f>_xlfn.XLOOKUP(Metas_Diarias[[#This Row],[data]],Feriados[Data],Feriados[Feriado],1)</f>
        <v>1</v>
      </c>
      <c r="J2433" s="33" cm="1">
        <f t="array" aca="1" ref="J2433" ca="1">SUMPRODUCT(IF((NOT(ISERROR(MATCH(ROW(INDIRECT(DATE(YEAR(B2433),MONTH(B2433),1)&amp;":"&amp;DATE(YEAR(B2433),MONTH(B2433)+1,0))),Feriados[Data],0))))=FALSE,
IF(WEEKDAY(ROW(INDIRECT(DATE(YEAR(B2433),MONTH(B2433),1)&amp;":"&amp;DATE(YEAR(B2433),MONTH(B2433)+1,0))),2)&lt;=5,1,IF(WEEKDAY(ROW(INDIRECT(DATE(YEAR(B2433),MONTH(B2433),1)&amp;":"&amp;DATE(YEAR(B2433),MONTH(B2433)+1,0))),2)=6,0.5,0)),0))</f>
        <v>23.5</v>
      </c>
      <c r="K2433" s="22" cm="1">
        <f t="array" ref="K2433">_xlfn.XLOOKUP(1,((Metas_Diarias[[#This Row],[tipo_equipe_id]]=Metas[equipe])*(Metas_Diarias[[#This Row],[data]]&gt;Metas[data_inicio])*(Metas_Diarias[[#This Row],[data]]&lt;Metas[data_fim])),Metas[meta_mensal],0)</f>
        <v>110000</v>
      </c>
      <c r="L2433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34" spans="2:12" x14ac:dyDescent="0.3">
      <c r="B2434" s="34">
        <v>46260</v>
      </c>
      <c r="C2434" s="34" t="str">
        <f>TEXT(Metas_Diarias[[#This Row],[data]],"dddd")</f>
        <v>quarta-feira</v>
      </c>
      <c r="D2434" s="33">
        <v>3</v>
      </c>
      <c r="E2434" s="33">
        <v>3</v>
      </c>
      <c r="F2434" s="18"/>
      <c r="G2434" s="35">
        <f>WEEKDAY(Metas_Diarias[[#This Row],[data]])</f>
        <v>4</v>
      </c>
      <c r="H2434" s="35">
        <f>IF(Metas_Diarias[[#This Row],[dias_da_demana]]=1,"domingo",IF(Metas_Diarias[[#This Row],[dias_da_demana]]=7,0.5,1))</f>
        <v>1</v>
      </c>
      <c r="I2434" s="35">
        <f>_xlfn.XLOOKUP(Metas_Diarias[[#This Row],[data]],Feriados[Data],Feriados[Feriado],1)</f>
        <v>1</v>
      </c>
      <c r="J2434" s="33" cm="1">
        <f t="array" aca="1" ref="J2434" ca="1">SUMPRODUCT(IF((NOT(ISERROR(MATCH(ROW(INDIRECT(DATE(YEAR(B2434),MONTH(B2434),1)&amp;":"&amp;DATE(YEAR(B2434),MONTH(B2434)+1,0))),Feriados[Data],0))))=FALSE,
IF(WEEKDAY(ROW(INDIRECT(DATE(YEAR(B2434),MONTH(B2434),1)&amp;":"&amp;DATE(YEAR(B2434),MONTH(B2434)+1,0))),2)&lt;=5,1,IF(WEEKDAY(ROW(INDIRECT(DATE(YEAR(B2434),MONTH(B2434),1)&amp;":"&amp;DATE(YEAR(B2434),MONTH(B2434)+1,0))),2)=6,0.5,0)),0))</f>
        <v>23.5</v>
      </c>
      <c r="K2434" s="22" cm="1">
        <f t="array" ref="K2434">_xlfn.XLOOKUP(1,((Metas_Diarias[[#This Row],[tipo_equipe_id]]=Metas[equipe])*(Metas_Diarias[[#This Row],[data]]&gt;Metas[data_inicio])*(Metas_Diarias[[#This Row],[data]]&lt;Metas[data_fim])),Metas[meta_mensal],0)</f>
        <v>110000</v>
      </c>
      <c r="L2434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35" spans="2:12" x14ac:dyDescent="0.3">
      <c r="B2435" s="34">
        <v>46261</v>
      </c>
      <c r="C2435" s="34" t="str">
        <f>TEXT(Metas_Diarias[[#This Row],[data]],"dddd")</f>
        <v>quinta-feira</v>
      </c>
      <c r="D2435" s="33">
        <v>3</v>
      </c>
      <c r="E2435" s="33">
        <v>3</v>
      </c>
      <c r="F2435" s="18"/>
      <c r="G2435" s="35">
        <f>WEEKDAY(Metas_Diarias[[#This Row],[data]])</f>
        <v>5</v>
      </c>
      <c r="H2435" s="35">
        <f>IF(Metas_Diarias[[#This Row],[dias_da_demana]]=1,"domingo",IF(Metas_Diarias[[#This Row],[dias_da_demana]]=7,0.5,1))</f>
        <v>1</v>
      </c>
      <c r="I2435" s="35">
        <f>_xlfn.XLOOKUP(Metas_Diarias[[#This Row],[data]],Feriados[Data],Feriados[Feriado],1)</f>
        <v>1</v>
      </c>
      <c r="J2435" s="33" cm="1">
        <f t="array" aca="1" ref="J2435" ca="1">SUMPRODUCT(IF((NOT(ISERROR(MATCH(ROW(INDIRECT(DATE(YEAR(B2435),MONTH(B2435),1)&amp;":"&amp;DATE(YEAR(B2435),MONTH(B2435)+1,0))),Feriados[Data],0))))=FALSE,
IF(WEEKDAY(ROW(INDIRECT(DATE(YEAR(B2435),MONTH(B2435),1)&amp;":"&amp;DATE(YEAR(B2435),MONTH(B2435)+1,0))),2)&lt;=5,1,IF(WEEKDAY(ROW(INDIRECT(DATE(YEAR(B2435),MONTH(B2435),1)&amp;":"&amp;DATE(YEAR(B2435),MONTH(B2435)+1,0))),2)=6,0.5,0)),0))</f>
        <v>23.5</v>
      </c>
      <c r="K2435" s="22" cm="1">
        <f t="array" ref="K2435">_xlfn.XLOOKUP(1,((Metas_Diarias[[#This Row],[tipo_equipe_id]]=Metas[equipe])*(Metas_Diarias[[#This Row],[data]]&gt;Metas[data_inicio])*(Metas_Diarias[[#This Row],[data]]&lt;Metas[data_fim])),Metas[meta_mensal],0)</f>
        <v>110000</v>
      </c>
      <c r="L243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36" spans="2:12" x14ac:dyDescent="0.3">
      <c r="B2436" s="34">
        <v>46262</v>
      </c>
      <c r="C2436" s="34" t="str">
        <f>TEXT(Metas_Diarias[[#This Row],[data]],"dddd")</f>
        <v>sexta-feira</v>
      </c>
      <c r="D2436" s="33">
        <v>3</v>
      </c>
      <c r="E2436" s="33">
        <v>3</v>
      </c>
      <c r="F2436" s="18"/>
      <c r="G2436" s="35">
        <f>WEEKDAY(Metas_Diarias[[#This Row],[data]])</f>
        <v>6</v>
      </c>
      <c r="H2436" s="35">
        <f>IF(Metas_Diarias[[#This Row],[dias_da_demana]]=1,"domingo",IF(Metas_Diarias[[#This Row],[dias_da_demana]]=7,0.5,1))</f>
        <v>1</v>
      </c>
      <c r="I2436" s="35">
        <f>_xlfn.XLOOKUP(Metas_Diarias[[#This Row],[data]],Feriados[Data],Feriados[Feriado],1)</f>
        <v>1</v>
      </c>
      <c r="J2436" s="33" cm="1">
        <f t="array" aca="1" ref="J2436" ca="1">SUMPRODUCT(IF((NOT(ISERROR(MATCH(ROW(INDIRECT(DATE(YEAR(B2436),MONTH(B2436),1)&amp;":"&amp;DATE(YEAR(B2436),MONTH(B2436)+1,0))),Feriados[Data],0))))=FALSE,
IF(WEEKDAY(ROW(INDIRECT(DATE(YEAR(B2436),MONTH(B2436),1)&amp;":"&amp;DATE(YEAR(B2436),MONTH(B2436)+1,0))),2)&lt;=5,1,IF(WEEKDAY(ROW(INDIRECT(DATE(YEAR(B2436),MONTH(B2436),1)&amp;":"&amp;DATE(YEAR(B2436),MONTH(B2436)+1,0))),2)=6,0.5,0)),0))</f>
        <v>23.5</v>
      </c>
      <c r="K2436" s="22" cm="1">
        <f t="array" ref="K2436">_xlfn.XLOOKUP(1,((Metas_Diarias[[#This Row],[tipo_equipe_id]]=Metas[equipe])*(Metas_Diarias[[#This Row],[data]]&gt;Metas[data_inicio])*(Metas_Diarias[[#This Row],[data]]&lt;Metas[data_fim])),Metas[meta_mensal],0)</f>
        <v>110000</v>
      </c>
      <c r="L2436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37" spans="2:12" x14ac:dyDescent="0.3">
      <c r="B2437" s="34">
        <v>46263</v>
      </c>
      <c r="C2437" s="34" t="str">
        <f>TEXT(Metas_Diarias[[#This Row],[data]],"dddd")</f>
        <v>sábado</v>
      </c>
      <c r="D2437" s="33">
        <v>3</v>
      </c>
      <c r="E2437" s="33">
        <v>3</v>
      </c>
      <c r="F2437" s="18"/>
      <c r="G2437" s="35">
        <f>WEEKDAY(Metas_Diarias[[#This Row],[data]])</f>
        <v>7</v>
      </c>
      <c r="H2437" s="35">
        <f>IF(Metas_Diarias[[#This Row],[dias_da_demana]]=1,"domingo",IF(Metas_Diarias[[#This Row],[dias_da_demana]]=7,0.5,1))</f>
        <v>0.5</v>
      </c>
      <c r="I2437" s="35">
        <f>_xlfn.XLOOKUP(Metas_Diarias[[#This Row],[data]],Feriados[Data],Feriados[Feriado],1)</f>
        <v>1</v>
      </c>
      <c r="J2437" s="33" cm="1">
        <f t="array" aca="1" ref="J2437" ca="1">SUMPRODUCT(IF((NOT(ISERROR(MATCH(ROW(INDIRECT(DATE(YEAR(B2437),MONTH(B2437),1)&amp;":"&amp;DATE(YEAR(B2437),MONTH(B2437)+1,0))),Feriados[Data],0))))=FALSE,
IF(WEEKDAY(ROW(INDIRECT(DATE(YEAR(B2437),MONTH(B2437),1)&amp;":"&amp;DATE(YEAR(B2437),MONTH(B2437)+1,0))),2)&lt;=5,1,IF(WEEKDAY(ROW(INDIRECT(DATE(YEAR(B2437),MONTH(B2437),1)&amp;":"&amp;DATE(YEAR(B2437),MONTH(B2437)+1,0))),2)=6,0.5,0)),0))</f>
        <v>23.5</v>
      </c>
      <c r="K2437" s="22" cm="1">
        <f t="array" ref="K2437">_xlfn.XLOOKUP(1,((Metas_Diarias[[#This Row],[tipo_equipe_id]]=Metas[equipe])*(Metas_Diarias[[#This Row],[data]]&gt;Metas[data_inicio])*(Metas_Diarias[[#This Row],[data]]&lt;Metas[data_fim])),Metas[meta_mensal],0)</f>
        <v>110000</v>
      </c>
      <c r="L2437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38" spans="2:12" x14ac:dyDescent="0.3">
      <c r="B2438" s="34">
        <v>46264</v>
      </c>
      <c r="C2438" s="34" t="str">
        <f>TEXT(Metas_Diarias[[#This Row],[data]],"dddd")</f>
        <v>domingo</v>
      </c>
      <c r="D2438" s="33">
        <v>3</v>
      </c>
      <c r="E2438" s="33">
        <v>3</v>
      </c>
      <c r="F2438" s="18"/>
      <c r="G2438" s="35">
        <f>WEEKDAY(Metas_Diarias[[#This Row],[data]])</f>
        <v>1</v>
      </c>
      <c r="H2438" s="35" t="str">
        <f>IF(Metas_Diarias[[#This Row],[dias_da_demana]]=1,"domingo",IF(Metas_Diarias[[#This Row],[dias_da_demana]]=7,0.5,1))</f>
        <v>domingo</v>
      </c>
      <c r="I2438" s="35">
        <f>_xlfn.XLOOKUP(Metas_Diarias[[#This Row],[data]],Feriados[Data],Feriados[Feriado],1)</f>
        <v>1</v>
      </c>
      <c r="J2438" s="33" cm="1">
        <f t="array" aca="1" ref="J2438" ca="1">SUMPRODUCT(IF((NOT(ISERROR(MATCH(ROW(INDIRECT(DATE(YEAR(B2438),MONTH(B2438),1)&amp;":"&amp;DATE(YEAR(B2438),MONTH(B2438)+1,0))),Feriados[Data],0))))=FALSE,
IF(WEEKDAY(ROW(INDIRECT(DATE(YEAR(B2438),MONTH(B2438),1)&amp;":"&amp;DATE(YEAR(B2438),MONTH(B2438)+1,0))),2)&lt;=5,1,IF(WEEKDAY(ROW(INDIRECT(DATE(YEAR(B2438),MONTH(B2438),1)&amp;":"&amp;DATE(YEAR(B2438),MONTH(B2438)+1,0))),2)=6,0.5,0)),0))</f>
        <v>23.5</v>
      </c>
      <c r="K2438" s="22" cm="1">
        <f t="array" ref="K2438">_xlfn.XLOOKUP(1,((Metas_Diarias[[#This Row],[tipo_equipe_id]]=Metas[equipe])*(Metas_Diarias[[#This Row],[data]]&gt;Metas[data_inicio])*(Metas_Diarias[[#This Row],[data]]&lt;Metas[data_fim])),Metas[meta_mensal],0)</f>
        <v>110000</v>
      </c>
      <c r="L24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39" spans="2:12" x14ac:dyDescent="0.3">
      <c r="B2439" s="34">
        <v>46265</v>
      </c>
      <c r="C2439" s="34" t="str">
        <f>TEXT(Metas_Diarias[[#This Row],[data]],"dddd")</f>
        <v>segunda-feira</v>
      </c>
      <c r="D2439" s="33">
        <v>3</v>
      </c>
      <c r="E2439" s="33">
        <v>3</v>
      </c>
      <c r="F2439" s="18"/>
      <c r="G2439" s="35">
        <f>WEEKDAY(Metas_Diarias[[#This Row],[data]])</f>
        <v>2</v>
      </c>
      <c r="H2439" s="35">
        <f>IF(Metas_Diarias[[#This Row],[dias_da_demana]]=1,"domingo",IF(Metas_Diarias[[#This Row],[dias_da_demana]]=7,0.5,1))</f>
        <v>1</v>
      </c>
      <c r="I2439" s="35">
        <f>_xlfn.XLOOKUP(Metas_Diarias[[#This Row],[data]],Feriados[Data],Feriados[Feriado],1)</f>
        <v>1</v>
      </c>
      <c r="J2439" s="33" cm="1">
        <f t="array" aca="1" ref="J2439" ca="1">SUMPRODUCT(IF((NOT(ISERROR(MATCH(ROW(INDIRECT(DATE(YEAR(B2439),MONTH(B2439),1)&amp;":"&amp;DATE(YEAR(B2439),MONTH(B2439)+1,0))),Feriados[Data],0))))=FALSE,
IF(WEEKDAY(ROW(INDIRECT(DATE(YEAR(B2439),MONTH(B2439),1)&amp;":"&amp;DATE(YEAR(B2439),MONTH(B2439)+1,0))),2)&lt;=5,1,IF(WEEKDAY(ROW(INDIRECT(DATE(YEAR(B2439),MONTH(B2439),1)&amp;":"&amp;DATE(YEAR(B2439),MONTH(B2439)+1,0))),2)=6,0.5,0)),0))</f>
        <v>23.5</v>
      </c>
      <c r="K2439" s="22" cm="1">
        <f t="array" ref="K2439">_xlfn.XLOOKUP(1,((Metas_Diarias[[#This Row],[tipo_equipe_id]]=Metas[equipe])*(Metas_Diarias[[#This Row],[data]]&gt;Metas[data_inicio])*(Metas_Diarias[[#This Row],[data]]&lt;Metas[data_fim])),Metas[meta_mensal],0)</f>
        <v>110000</v>
      </c>
      <c r="L243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40" spans="2:12" x14ac:dyDescent="0.3">
      <c r="B2440" s="34">
        <v>46266</v>
      </c>
      <c r="C2440" s="34" t="str">
        <f>TEXT(Metas_Diarias[[#This Row],[data]],"dddd")</f>
        <v>terça-feira</v>
      </c>
      <c r="D2440" s="33">
        <v>3</v>
      </c>
      <c r="E2440" s="33">
        <v>3</v>
      </c>
      <c r="F2440" s="18"/>
      <c r="G2440" s="35">
        <f>WEEKDAY(Metas_Diarias[[#This Row],[data]])</f>
        <v>3</v>
      </c>
      <c r="H2440" s="35">
        <f>IF(Metas_Diarias[[#This Row],[dias_da_demana]]=1,"domingo",IF(Metas_Diarias[[#This Row],[dias_da_demana]]=7,0.5,1))</f>
        <v>1</v>
      </c>
      <c r="I2440" s="35">
        <f>_xlfn.XLOOKUP(Metas_Diarias[[#This Row],[data]],Feriados[Data],Feriados[Feriado],1)</f>
        <v>1</v>
      </c>
      <c r="J2440" s="33" cm="1">
        <f t="array" aca="1" ref="J2440" ca="1">SUMPRODUCT(IF((NOT(ISERROR(MATCH(ROW(INDIRECT(DATE(YEAR(B2440),MONTH(B2440),1)&amp;":"&amp;DATE(YEAR(B2440),MONTH(B2440)+1,0))),Feriados[Data],0))))=FALSE,
IF(WEEKDAY(ROW(INDIRECT(DATE(YEAR(B2440),MONTH(B2440),1)&amp;":"&amp;DATE(YEAR(B2440),MONTH(B2440)+1,0))),2)&lt;=5,1,IF(WEEKDAY(ROW(INDIRECT(DATE(YEAR(B2440),MONTH(B2440),1)&amp;":"&amp;DATE(YEAR(B2440),MONTH(B2440)+1,0))),2)=6,0.5,0)),0))</f>
        <v>23</v>
      </c>
      <c r="K2440" s="22" cm="1">
        <f t="array" ref="K2440">_xlfn.XLOOKUP(1,((Metas_Diarias[[#This Row],[tipo_equipe_id]]=Metas[equipe])*(Metas_Diarias[[#This Row],[data]]&gt;Metas[data_inicio])*(Metas_Diarias[[#This Row],[data]]&lt;Metas[data_fim])),Metas[meta_mensal],0)</f>
        <v>110000</v>
      </c>
      <c r="L2440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41" spans="2:12" x14ac:dyDescent="0.3">
      <c r="B2441" s="34">
        <v>46267</v>
      </c>
      <c r="C2441" s="34" t="str">
        <f>TEXT(Metas_Diarias[[#This Row],[data]],"dddd")</f>
        <v>quarta-feira</v>
      </c>
      <c r="D2441" s="33">
        <v>3</v>
      </c>
      <c r="E2441" s="33">
        <v>3</v>
      </c>
      <c r="F2441" s="18"/>
      <c r="G2441" s="35">
        <f>WEEKDAY(Metas_Diarias[[#This Row],[data]])</f>
        <v>4</v>
      </c>
      <c r="H2441" s="35">
        <f>IF(Metas_Diarias[[#This Row],[dias_da_demana]]=1,"domingo",IF(Metas_Diarias[[#This Row],[dias_da_demana]]=7,0.5,1))</f>
        <v>1</v>
      </c>
      <c r="I2441" s="35">
        <f>_xlfn.XLOOKUP(Metas_Diarias[[#This Row],[data]],Feriados[Data],Feriados[Feriado],1)</f>
        <v>1</v>
      </c>
      <c r="J2441" s="33" cm="1">
        <f t="array" aca="1" ref="J2441" ca="1">SUMPRODUCT(IF((NOT(ISERROR(MATCH(ROW(INDIRECT(DATE(YEAR(B2441),MONTH(B2441),1)&amp;":"&amp;DATE(YEAR(B2441),MONTH(B2441)+1,0))),Feriados[Data],0))))=FALSE,
IF(WEEKDAY(ROW(INDIRECT(DATE(YEAR(B2441),MONTH(B2441),1)&amp;":"&amp;DATE(YEAR(B2441),MONTH(B2441)+1,0))),2)&lt;=5,1,IF(WEEKDAY(ROW(INDIRECT(DATE(YEAR(B2441),MONTH(B2441),1)&amp;":"&amp;DATE(YEAR(B2441),MONTH(B2441)+1,0))),2)=6,0.5,0)),0))</f>
        <v>23</v>
      </c>
      <c r="K2441" s="22" cm="1">
        <f t="array" ref="K2441">_xlfn.XLOOKUP(1,((Metas_Diarias[[#This Row],[tipo_equipe_id]]=Metas[equipe])*(Metas_Diarias[[#This Row],[data]]&gt;Metas[data_inicio])*(Metas_Diarias[[#This Row],[data]]&lt;Metas[data_fim])),Metas[meta_mensal],0)</f>
        <v>110000</v>
      </c>
      <c r="L2441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42" spans="2:12" x14ac:dyDescent="0.3">
      <c r="B2442" s="34">
        <v>46268</v>
      </c>
      <c r="C2442" s="34" t="str">
        <f>TEXT(Metas_Diarias[[#This Row],[data]],"dddd")</f>
        <v>quinta-feira</v>
      </c>
      <c r="D2442" s="33">
        <v>3</v>
      </c>
      <c r="E2442" s="33">
        <v>3</v>
      </c>
      <c r="F2442" s="18"/>
      <c r="G2442" s="35">
        <f>WEEKDAY(Metas_Diarias[[#This Row],[data]])</f>
        <v>5</v>
      </c>
      <c r="H2442" s="35">
        <f>IF(Metas_Diarias[[#This Row],[dias_da_demana]]=1,"domingo",IF(Metas_Diarias[[#This Row],[dias_da_demana]]=7,0.5,1))</f>
        <v>1</v>
      </c>
      <c r="I2442" s="35">
        <f>_xlfn.XLOOKUP(Metas_Diarias[[#This Row],[data]],Feriados[Data],Feriados[Feriado],1)</f>
        <v>1</v>
      </c>
      <c r="J2442" s="33" cm="1">
        <f t="array" aca="1" ref="J2442" ca="1">SUMPRODUCT(IF((NOT(ISERROR(MATCH(ROW(INDIRECT(DATE(YEAR(B2442),MONTH(B2442),1)&amp;":"&amp;DATE(YEAR(B2442),MONTH(B2442)+1,0))),Feriados[Data],0))))=FALSE,
IF(WEEKDAY(ROW(INDIRECT(DATE(YEAR(B2442),MONTH(B2442),1)&amp;":"&amp;DATE(YEAR(B2442),MONTH(B2442)+1,0))),2)&lt;=5,1,IF(WEEKDAY(ROW(INDIRECT(DATE(YEAR(B2442),MONTH(B2442),1)&amp;":"&amp;DATE(YEAR(B2442),MONTH(B2442)+1,0))),2)=6,0.5,0)),0))</f>
        <v>23</v>
      </c>
      <c r="K2442" s="22" cm="1">
        <f t="array" ref="K2442">_xlfn.XLOOKUP(1,((Metas_Diarias[[#This Row],[tipo_equipe_id]]=Metas[equipe])*(Metas_Diarias[[#This Row],[data]]&gt;Metas[data_inicio])*(Metas_Diarias[[#This Row],[data]]&lt;Metas[data_fim])),Metas[meta_mensal],0)</f>
        <v>110000</v>
      </c>
      <c r="L2442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43" spans="2:12" x14ac:dyDescent="0.3">
      <c r="B2443" s="34">
        <v>46269</v>
      </c>
      <c r="C2443" s="34" t="str">
        <f>TEXT(Metas_Diarias[[#This Row],[data]],"dddd")</f>
        <v>sexta-feira</v>
      </c>
      <c r="D2443" s="33">
        <v>3</v>
      </c>
      <c r="E2443" s="33">
        <v>3</v>
      </c>
      <c r="F2443" s="18"/>
      <c r="G2443" s="35">
        <f>WEEKDAY(Metas_Diarias[[#This Row],[data]])</f>
        <v>6</v>
      </c>
      <c r="H2443" s="35">
        <f>IF(Metas_Diarias[[#This Row],[dias_da_demana]]=1,"domingo",IF(Metas_Diarias[[#This Row],[dias_da_demana]]=7,0.5,1))</f>
        <v>1</v>
      </c>
      <c r="I2443" s="35">
        <f>_xlfn.XLOOKUP(Metas_Diarias[[#This Row],[data]],Feriados[Data],Feriados[Feriado],1)</f>
        <v>1</v>
      </c>
      <c r="J2443" s="33" cm="1">
        <f t="array" aca="1" ref="J2443" ca="1">SUMPRODUCT(IF((NOT(ISERROR(MATCH(ROW(INDIRECT(DATE(YEAR(B2443),MONTH(B2443),1)&amp;":"&amp;DATE(YEAR(B2443),MONTH(B2443)+1,0))),Feriados[Data],0))))=FALSE,
IF(WEEKDAY(ROW(INDIRECT(DATE(YEAR(B2443),MONTH(B2443),1)&amp;":"&amp;DATE(YEAR(B2443),MONTH(B2443)+1,0))),2)&lt;=5,1,IF(WEEKDAY(ROW(INDIRECT(DATE(YEAR(B2443),MONTH(B2443),1)&amp;":"&amp;DATE(YEAR(B2443),MONTH(B2443)+1,0))),2)=6,0.5,0)),0))</f>
        <v>23</v>
      </c>
      <c r="K2443" s="22" cm="1">
        <f t="array" ref="K2443">_xlfn.XLOOKUP(1,((Metas_Diarias[[#This Row],[tipo_equipe_id]]=Metas[equipe])*(Metas_Diarias[[#This Row],[data]]&gt;Metas[data_inicio])*(Metas_Diarias[[#This Row],[data]]&lt;Metas[data_fim])),Metas[meta_mensal],0)</f>
        <v>110000</v>
      </c>
      <c r="L2443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44" spans="2:12" x14ac:dyDescent="0.3">
      <c r="B2444" s="34">
        <v>46270</v>
      </c>
      <c r="C2444" s="34" t="str">
        <f>TEXT(Metas_Diarias[[#This Row],[data]],"dddd")</f>
        <v>sábado</v>
      </c>
      <c r="D2444" s="33">
        <v>3</v>
      </c>
      <c r="E2444" s="33">
        <v>3</v>
      </c>
      <c r="F2444" s="18"/>
      <c r="G2444" s="35">
        <f>WEEKDAY(Metas_Diarias[[#This Row],[data]])</f>
        <v>7</v>
      </c>
      <c r="H2444" s="35">
        <f>IF(Metas_Diarias[[#This Row],[dias_da_demana]]=1,"domingo",IF(Metas_Diarias[[#This Row],[dias_da_demana]]=7,0.5,1))</f>
        <v>0.5</v>
      </c>
      <c r="I2444" s="35">
        <f>_xlfn.XLOOKUP(Metas_Diarias[[#This Row],[data]],Feriados[Data],Feriados[Feriado],1)</f>
        <v>1</v>
      </c>
      <c r="J2444" s="33" cm="1">
        <f t="array" aca="1" ref="J2444" ca="1">SUMPRODUCT(IF((NOT(ISERROR(MATCH(ROW(INDIRECT(DATE(YEAR(B2444),MONTH(B2444),1)&amp;":"&amp;DATE(YEAR(B2444),MONTH(B2444)+1,0))),Feriados[Data],0))))=FALSE,
IF(WEEKDAY(ROW(INDIRECT(DATE(YEAR(B2444),MONTH(B2444),1)&amp;":"&amp;DATE(YEAR(B2444),MONTH(B2444)+1,0))),2)&lt;=5,1,IF(WEEKDAY(ROW(INDIRECT(DATE(YEAR(B2444),MONTH(B2444),1)&amp;":"&amp;DATE(YEAR(B2444),MONTH(B2444)+1,0))),2)=6,0.5,0)),0))</f>
        <v>23</v>
      </c>
      <c r="K2444" s="22" cm="1">
        <f t="array" ref="K2444">_xlfn.XLOOKUP(1,((Metas_Diarias[[#This Row],[tipo_equipe_id]]=Metas[equipe])*(Metas_Diarias[[#This Row],[data]]&gt;Metas[data_inicio])*(Metas_Diarias[[#This Row],[data]]&lt;Metas[data_fim])),Metas[meta_mensal],0)</f>
        <v>110000</v>
      </c>
      <c r="L2444" s="24">
        <f ca="1">Metas_Diarias[[#This Row],[meta_mensal]]*IF(Metas_Diarias[[#This Row],[semana]]="domingo",0,Metas_Diarias[[#This Row],[semana]])*IF(Metas_Diarias[[#This Row],[feriado]]&lt;&gt;1,0,1)/Metas_Diarias[[#This Row],[dias_úteis_Mês]]</f>
        <v>2391.304347826087</v>
      </c>
    </row>
    <row r="2445" spans="2:12" x14ac:dyDescent="0.3">
      <c r="B2445" s="34">
        <v>46271</v>
      </c>
      <c r="C2445" s="34" t="str">
        <f>TEXT(Metas_Diarias[[#This Row],[data]],"dddd")</f>
        <v>domingo</v>
      </c>
      <c r="D2445" s="33">
        <v>3</v>
      </c>
      <c r="E2445" s="33">
        <v>3</v>
      </c>
      <c r="F2445" s="18"/>
      <c r="G2445" s="35">
        <f>WEEKDAY(Metas_Diarias[[#This Row],[data]])</f>
        <v>1</v>
      </c>
      <c r="H2445" s="35" t="str">
        <f>IF(Metas_Diarias[[#This Row],[dias_da_demana]]=1,"domingo",IF(Metas_Diarias[[#This Row],[dias_da_demana]]=7,0.5,1))</f>
        <v>domingo</v>
      </c>
      <c r="I2445" s="35">
        <f>_xlfn.XLOOKUP(Metas_Diarias[[#This Row],[data]],Feriados[Data],Feriados[Feriado],1)</f>
        <v>1</v>
      </c>
      <c r="J2445" s="33" cm="1">
        <f t="array" aca="1" ref="J2445" ca="1">SUMPRODUCT(IF((NOT(ISERROR(MATCH(ROW(INDIRECT(DATE(YEAR(B2445),MONTH(B2445),1)&amp;":"&amp;DATE(YEAR(B2445),MONTH(B2445)+1,0))),Feriados[Data],0))))=FALSE,
IF(WEEKDAY(ROW(INDIRECT(DATE(YEAR(B2445),MONTH(B2445),1)&amp;":"&amp;DATE(YEAR(B2445),MONTH(B2445)+1,0))),2)&lt;=5,1,IF(WEEKDAY(ROW(INDIRECT(DATE(YEAR(B2445),MONTH(B2445),1)&amp;":"&amp;DATE(YEAR(B2445),MONTH(B2445)+1,0))),2)=6,0.5,0)),0))</f>
        <v>23</v>
      </c>
      <c r="K2445" s="22" cm="1">
        <f t="array" ref="K2445">_xlfn.XLOOKUP(1,((Metas_Diarias[[#This Row],[tipo_equipe_id]]=Metas[equipe])*(Metas_Diarias[[#This Row],[data]]&gt;Metas[data_inicio])*(Metas_Diarias[[#This Row],[data]]&lt;Metas[data_fim])),Metas[meta_mensal],0)</f>
        <v>110000</v>
      </c>
      <c r="L24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46" spans="2:12" x14ac:dyDescent="0.3">
      <c r="B2446" s="34">
        <v>46272</v>
      </c>
      <c r="C2446" s="34" t="str">
        <f>TEXT(Metas_Diarias[[#This Row],[data]],"dddd")</f>
        <v>segunda-feira</v>
      </c>
      <c r="D2446" s="33">
        <v>3</v>
      </c>
      <c r="E2446" s="33">
        <v>3</v>
      </c>
      <c r="F2446" s="18"/>
      <c r="G2446" s="35">
        <f>WEEKDAY(Metas_Diarias[[#This Row],[data]])</f>
        <v>2</v>
      </c>
      <c r="H2446" s="35">
        <f>IF(Metas_Diarias[[#This Row],[dias_da_demana]]=1,"domingo",IF(Metas_Diarias[[#This Row],[dias_da_demana]]=7,0.5,1))</f>
        <v>1</v>
      </c>
      <c r="I2446" s="35" t="str">
        <f>_xlfn.XLOOKUP(Metas_Diarias[[#This Row],[data]],Feriados[Data],Feriados[Feriado],1)</f>
        <v>Independência do Brasil</v>
      </c>
      <c r="J2446" s="33" cm="1">
        <f t="array" aca="1" ref="J2446" ca="1">SUMPRODUCT(IF((NOT(ISERROR(MATCH(ROW(INDIRECT(DATE(YEAR(B2446),MONTH(B2446),1)&amp;":"&amp;DATE(YEAR(B2446),MONTH(B2446)+1,0))),Feriados[Data],0))))=FALSE,
IF(WEEKDAY(ROW(INDIRECT(DATE(YEAR(B2446),MONTH(B2446),1)&amp;":"&amp;DATE(YEAR(B2446),MONTH(B2446)+1,0))),2)&lt;=5,1,IF(WEEKDAY(ROW(INDIRECT(DATE(YEAR(B2446),MONTH(B2446),1)&amp;":"&amp;DATE(YEAR(B2446),MONTH(B2446)+1,0))),2)=6,0.5,0)),0))</f>
        <v>23</v>
      </c>
      <c r="K2446" s="22" cm="1">
        <f t="array" ref="K2446">_xlfn.XLOOKUP(1,((Metas_Diarias[[#This Row],[tipo_equipe_id]]=Metas[equipe])*(Metas_Diarias[[#This Row],[data]]&gt;Metas[data_inicio])*(Metas_Diarias[[#This Row],[data]]&lt;Metas[data_fim])),Metas[meta_mensal],0)</f>
        <v>110000</v>
      </c>
      <c r="L244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47" spans="2:12" x14ac:dyDescent="0.3">
      <c r="B2447" s="34">
        <v>46273</v>
      </c>
      <c r="C2447" s="34" t="str">
        <f>TEXT(Metas_Diarias[[#This Row],[data]],"dddd")</f>
        <v>terça-feira</v>
      </c>
      <c r="D2447" s="33">
        <v>3</v>
      </c>
      <c r="E2447" s="33">
        <v>3</v>
      </c>
      <c r="F2447" s="18"/>
      <c r="G2447" s="35">
        <f>WEEKDAY(Metas_Diarias[[#This Row],[data]])</f>
        <v>3</v>
      </c>
      <c r="H2447" s="35">
        <f>IF(Metas_Diarias[[#This Row],[dias_da_demana]]=1,"domingo",IF(Metas_Diarias[[#This Row],[dias_da_demana]]=7,0.5,1))</f>
        <v>1</v>
      </c>
      <c r="I2447" s="35">
        <f>_xlfn.XLOOKUP(Metas_Diarias[[#This Row],[data]],Feriados[Data],Feriados[Feriado],1)</f>
        <v>1</v>
      </c>
      <c r="J2447" s="33" cm="1">
        <f t="array" aca="1" ref="J2447" ca="1">SUMPRODUCT(IF((NOT(ISERROR(MATCH(ROW(INDIRECT(DATE(YEAR(B2447),MONTH(B2447),1)&amp;":"&amp;DATE(YEAR(B2447),MONTH(B2447)+1,0))),Feriados[Data],0))))=FALSE,
IF(WEEKDAY(ROW(INDIRECT(DATE(YEAR(B2447),MONTH(B2447),1)&amp;":"&amp;DATE(YEAR(B2447),MONTH(B2447)+1,0))),2)&lt;=5,1,IF(WEEKDAY(ROW(INDIRECT(DATE(YEAR(B2447),MONTH(B2447),1)&amp;":"&amp;DATE(YEAR(B2447),MONTH(B2447)+1,0))),2)=6,0.5,0)),0))</f>
        <v>23</v>
      </c>
      <c r="K2447" s="22" cm="1">
        <f t="array" ref="K2447">_xlfn.XLOOKUP(1,((Metas_Diarias[[#This Row],[tipo_equipe_id]]=Metas[equipe])*(Metas_Diarias[[#This Row],[data]]&gt;Metas[data_inicio])*(Metas_Diarias[[#This Row],[data]]&lt;Metas[data_fim])),Metas[meta_mensal],0)</f>
        <v>110000</v>
      </c>
      <c r="L2447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48" spans="2:12" x14ac:dyDescent="0.3">
      <c r="B2448" s="34">
        <v>46274</v>
      </c>
      <c r="C2448" s="34" t="str">
        <f>TEXT(Metas_Diarias[[#This Row],[data]],"dddd")</f>
        <v>quarta-feira</v>
      </c>
      <c r="D2448" s="33">
        <v>3</v>
      </c>
      <c r="E2448" s="33">
        <v>3</v>
      </c>
      <c r="F2448" s="18"/>
      <c r="G2448" s="35">
        <f>WEEKDAY(Metas_Diarias[[#This Row],[data]])</f>
        <v>4</v>
      </c>
      <c r="H2448" s="35">
        <f>IF(Metas_Diarias[[#This Row],[dias_da_demana]]=1,"domingo",IF(Metas_Diarias[[#This Row],[dias_da_demana]]=7,0.5,1))</f>
        <v>1</v>
      </c>
      <c r="I2448" s="35">
        <f>_xlfn.XLOOKUP(Metas_Diarias[[#This Row],[data]],Feriados[Data],Feriados[Feriado],1)</f>
        <v>1</v>
      </c>
      <c r="J2448" s="33" cm="1">
        <f t="array" aca="1" ref="J2448" ca="1">SUMPRODUCT(IF((NOT(ISERROR(MATCH(ROW(INDIRECT(DATE(YEAR(B2448),MONTH(B2448),1)&amp;":"&amp;DATE(YEAR(B2448),MONTH(B2448)+1,0))),Feriados[Data],0))))=FALSE,
IF(WEEKDAY(ROW(INDIRECT(DATE(YEAR(B2448),MONTH(B2448),1)&amp;":"&amp;DATE(YEAR(B2448),MONTH(B2448)+1,0))),2)&lt;=5,1,IF(WEEKDAY(ROW(INDIRECT(DATE(YEAR(B2448),MONTH(B2448),1)&amp;":"&amp;DATE(YEAR(B2448),MONTH(B2448)+1,0))),2)=6,0.5,0)),0))</f>
        <v>23</v>
      </c>
      <c r="K2448" s="22" cm="1">
        <f t="array" ref="K2448">_xlfn.XLOOKUP(1,((Metas_Diarias[[#This Row],[tipo_equipe_id]]=Metas[equipe])*(Metas_Diarias[[#This Row],[data]]&gt;Metas[data_inicio])*(Metas_Diarias[[#This Row],[data]]&lt;Metas[data_fim])),Metas[meta_mensal],0)</f>
        <v>110000</v>
      </c>
      <c r="L2448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49" spans="2:12" x14ac:dyDescent="0.3">
      <c r="B2449" s="34">
        <v>46275</v>
      </c>
      <c r="C2449" s="34" t="str">
        <f>TEXT(Metas_Diarias[[#This Row],[data]],"dddd")</f>
        <v>quinta-feira</v>
      </c>
      <c r="D2449" s="33">
        <v>3</v>
      </c>
      <c r="E2449" s="33">
        <v>3</v>
      </c>
      <c r="F2449" s="18"/>
      <c r="G2449" s="35">
        <f>WEEKDAY(Metas_Diarias[[#This Row],[data]])</f>
        <v>5</v>
      </c>
      <c r="H2449" s="35">
        <f>IF(Metas_Diarias[[#This Row],[dias_da_demana]]=1,"domingo",IF(Metas_Diarias[[#This Row],[dias_da_demana]]=7,0.5,1))</f>
        <v>1</v>
      </c>
      <c r="I2449" s="35">
        <f>_xlfn.XLOOKUP(Metas_Diarias[[#This Row],[data]],Feriados[Data],Feriados[Feriado],1)</f>
        <v>1</v>
      </c>
      <c r="J2449" s="33" cm="1">
        <f t="array" aca="1" ref="J2449" ca="1">SUMPRODUCT(IF((NOT(ISERROR(MATCH(ROW(INDIRECT(DATE(YEAR(B2449),MONTH(B2449),1)&amp;":"&amp;DATE(YEAR(B2449),MONTH(B2449)+1,0))),Feriados[Data],0))))=FALSE,
IF(WEEKDAY(ROW(INDIRECT(DATE(YEAR(B2449),MONTH(B2449),1)&amp;":"&amp;DATE(YEAR(B2449),MONTH(B2449)+1,0))),2)&lt;=5,1,IF(WEEKDAY(ROW(INDIRECT(DATE(YEAR(B2449),MONTH(B2449),1)&amp;":"&amp;DATE(YEAR(B2449),MONTH(B2449)+1,0))),2)=6,0.5,0)),0))</f>
        <v>23</v>
      </c>
      <c r="K2449" s="22" cm="1">
        <f t="array" ref="K2449">_xlfn.XLOOKUP(1,((Metas_Diarias[[#This Row],[tipo_equipe_id]]=Metas[equipe])*(Metas_Diarias[[#This Row],[data]]&gt;Metas[data_inicio])*(Metas_Diarias[[#This Row],[data]]&lt;Metas[data_fim])),Metas[meta_mensal],0)</f>
        <v>110000</v>
      </c>
      <c r="L2449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50" spans="2:12" x14ac:dyDescent="0.3">
      <c r="B2450" s="34">
        <v>46276</v>
      </c>
      <c r="C2450" s="34" t="str">
        <f>TEXT(Metas_Diarias[[#This Row],[data]],"dddd")</f>
        <v>sexta-feira</v>
      </c>
      <c r="D2450" s="33">
        <v>3</v>
      </c>
      <c r="E2450" s="33">
        <v>3</v>
      </c>
      <c r="F2450" s="18"/>
      <c r="G2450" s="35">
        <f>WEEKDAY(Metas_Diarias[[#This Row],[data]])</f>
        <v>6</v>
      </c>
      <c r="H2450" s="35">
        <f>IF(Metas_Diarias[[#This Row],[dias_da_demana]]=1,"domingo",IF(Metas_Diarias[[#This Row],[dias_da_demana]]=7,0.5,1))</f>
        <v>1</v>
      </c>
      <c r="I2450" s="35">
        <f>_xlfn.XLOOKUP(Metas_Diarias[[#This Row],[data]],Feriados[Data],Feriados[Feriado],1)</f>
        <v>1</v>
      </c>
      <c r="J2450" s="33" cm="1">
        <f t="array" aca="1" ref="J2450" ca="1">SUMPRODUCT(IF((NOT(ISERROR(MATCH(ROW(INDIRECT(DATE(YEAR(B2450),MONTH(B2450),1)&amp;":"&amp;DATE(YEAR(B2450),MONTH(B2450)+1,0))),Feriados[Data],0))))=FALSE,
IF(WEEKDAY(ROW(INDIRECT(DATE(YEAR(B2450),MONTH(B2450),1)&amp;":"&amp;DATE(YEAR(B2450),MONTH(B2450)+1,0))),2)&lt;=5,1,IF(WEEKDAY(ROW(INDIRECT(DATE(YEAR(B2450),MONTH(B2450),1)&amp;":"&amp;DATE(YEAR(B2450),MONTH(B2450)+1,0))),2)=6,0.5,0)),0))</f>
        <v>23</v>
      </c>
      <c r="K2450" s="22" cm="1">
        <f t="array" ref="K2450">_xlfn.XLOOKUP(1,((Metas_Diarias[[#This Row],[tipo_equipe_id]]=Metas[equipe])*(Metas_Diarias[[#This Row],[data]]&gt;Metas[data_inicio])*(Metas_Diarias[[#This Row],[data]]&lt;Metas[data_fim])),Metas[meta_mensal],0)</f>
        <v>110000</v>
      </c>
      <c r="L2450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51" spans="2:12" x14ac:dyDescent="0.3">
      <c r="B2451" s="34">
        <v>46277</v>
      </c>
      <c r="C2451" s="34" t="str">
        <f>TEXT(Metas_Diarias[[#This Row],[data]],"dddd")</f>
        <v>sábado</v>
      </c>
      <c r="D2451" s="33">
        <v>3</v>
      </c>
      <c r="E2451" s="33">
        <v>3</v>
      </c>
      <c r="F2451" s="18"/>
      <c r="G2451" s="35">
        <f>WEEKDAY(Metas_Diarias[[#This Row],[data]])</f>
        <v>7</v>
      </c>
      <c r="H2451" s="35">
        <f>IF(Metas_Diarias[[#This Row],[dias_da_demana]]=1,"domingo",IF(Metas_Diarias[[#This Row],[dias_da_demana]]=7,0.5,1))</f>
        <v>0.5</v>
      </c>
      <c r="I2451" s="35">
        <f>_xlfn.XLOOKUP(Metas_Diarias[[#This Row],[data]],Feriados[Data],Feriados[Feriado],1)</f>
        <v>1</v>
      </c>
      <c r="J2451" s="33" cm="1">
        <f t="array" aca="1" ref="J2451" ca="1">SUMPRODUCT(IF((NOT(ISERROR(MATCH(ROW(INDIRECT(DATE(YEAR(B2451),MONTH(B2451),1)&amp;":"&amp;DATE(YEAR(B2451),MONTH(B2451)+1,0))),Feriados[Data],0))))=FALSE,
IF(WEEKDAY(ROW(INDIRECT(DATE(YEAR(B2451),MONTH(B2451),1)&amp;":"&amp;DATE(YEAR(B2451),MONTH(B2451)+1,0))),2)&lt;=5,1,IF(WEEKDAY(ROW(INDIRECT(DATE(YEAR(B2451),MONTH(B2451),1)&amp;":"&amp;DATE(YEAR(B2451),MONTH(B2451)+1,0))),2)=6,0.5,0)),0))</f>
        <v>23</v>
      </c>
      <c r="K2451" s="22" cm="1">
        <f t="array" ref="K2451">_xlfn.XLOOKUP(1,((Metas_Diarias[[#This Row],[tipo_equipe_id]]=Metas[equipe])*(Metas_Diarias[[#This Row],[data]]&gt;Metas[data_inicio])*(Metas_Diarias[[#This Row],[data]]&lt;Metas[data_fim])),Metas[meta_mensal],0)</f>
        <v>110000</v>
      </c>
      <c r="L2451" s="24">
        <f ca="1">Metas_Diarias[[#This Row],[meta_mensal]]*IF(Metas_Diarias[[#This Row],[semana]]="domingo",0,Metas_Diarias[[#This Row],[semana]])*IF(Metas_Diarias[[#This Row],[feriado]]&lt;&gt;1,0,1)/Metas_Diarias[[#This Row],[dias_úteis_Mês]]</f>
        <v>2391.304347826087</v>
      </c>
    </row>
    <row r="2452" spans="2:12" x14ac:dyDescent="0.3">
      <c r="B2452" s="34">
        <v>46278</v>
      </c>
      <c r="C2452" s="34" t="str">
        <f>TEXT(Metas_Diarias[[#This Row],[data]],"dddd")</f>
        <v>domingo</v>
      </c>
      <c r="D2452" s="33">
        <v>3</v>
      </c>
      <c r="E2452" s="33">
        <v>3</v>
      </c>
      <c r="F2452" s="18"/>
      <c r="G2452" s="35">
        <f>WEEKDAY(Metas_Diarias[[#This Row],[data]])</f>
        <v>1</v>
      </c>
      <c r="H2452" s="35" t="str">
        <f>IF(Metas_Diarias[[#This Row],[dias_da_demana]]=1,"domingo",IF(Metas_Diarias[[#This Row],[dias_da_demana]]=7,0.5,1))</f>
        <v>domingo</v>
      </c>
      <c r="I2452" s="35">
        <f>_xlfn.XLOOKUP(Metas_Diarias[[#This Row],[data]],Feriados[Data],Feriados[Feriado],1)</f>
        <v>1</v>
      </c>
      <c r="J2452" s="33" cm="1">
        <f t="array" aca="1" ref="J2452" ca="1">SUMPRODUCT(IF((NOT(ISERROR(MATCH(ROW(INDIRECT(DATE(YEAR(B2452),MONTH(B2452),1)&amp;":"&amp;DATE(YEAR(B2452),MONTH(B2452)+1,0))),Feriados[Data],0))))=FALSE,
IF(WEEKDAY(ROW(INDIRECT(DATE(YEAR(B2452),MONTH(B2452),1)&amp;":"&amp;DATE(YEAR(B2452),MONTH(B2452)+1,0))),2)&lt;=5,1,IF(WEEKDAY(ROW(INDIRECT(DATE(YEAR(B2452),MONTH(B2452),1)&amp;":"&amp;DATE(YEAR(B2452),MONTH(B2452)+1,0))),2)=6,0.5,0)),0))</f>
        <v>23</v>
      </c>
      <c r="K2452" s="22" cm="1">
        <f t="array" ref="K2452">_xlfn.XLOOKUP(1,((Metas_Diarias[[#This Row],[tipo_equipe_id]]=Metas[equipe])*(Metas_Diarias[[#This Row],[data]]&gt;Metas[data_inicio])*(Metas_Diarias[[#This Row],[data]]&lt;Metas[data_fim])),Metas[meta_mensal],0)</f>
        <v>110000</v>
      </c>
      <c r="L24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53" spans="2:12" x14ac:dyDescent="0.3">
      <c r="B2453" s="34">
        <v>46279</v>
      </c>
      <c r="C2453" s="34" t="str">
        <f>TEXT(Metas_Diarias[[#This Row],[data]],"dddd")</f>
        <v>segunda-feira</v>
      </c>
      <c r="D2453" s="33">
        <v>3</v>
      </c>
      <c r="E2453" s="33">
        <v>3</v>
      </c>
      <c r="F2453" s="18"/>
      <c r="G2453" s="35">
        <f>WEEKDAY(Metas_Diarias[[#This Row],[data]])</f>
        <v>2</v>
      </c>
      <c r="H2453" s="35">
        <f>IF(Metas_Diarias[[#This Row],[dias_da_demana]]=1,"domingo",IF(Metas_Diarias[[#This Row],[dias_da_demana]]=7,0.5,1))</f>
        <v>1</v>
      </c>
      <c r="I2453" s="35">
        <f>_xlfn.XLOOKUP(Metas_Diarias[[#This Row],[data]],Feriados[Data],Feriados[Feriado],1)</f>
        <v>1</v>
      </c>
      <c r="J2453" s="33" cm="1">
        <f t="array" aca="1" ref="J2453" ca="1">SUMPRODUCT(IF((NOT(ISERROR(MATCH(ROW(INDIRECT(DATE(YEAR(B2453),MONTH(B2453),1)&amp;":"&amp;DATE(YEAR(B2453),MONTH(B2453)+1,0))),Feriados[Data],0))))=FALSE,
IF(WEEKDAY(ROW(INDIRECT(DATE(YEAR(B2453),MONTH(B2453),1)&amp;":"&amp;DATE(YEAR(B2453),MONTH(B2453)+1,0))),2)&lt;=5,1,IF(WEEKDAY(ROW(INDIRECT(DATE(YEAR(B2453),MONTH(B2453),1)&amp;":"&amp;DATE(YEAR(B2453),MONTH(B2453)+1,0))),2)=6,0.5,0)),0))</f>
        <v>23</v>
      </c>
      <c r="K2453" s="22" cm="1">
        <f t="array" ref="K2453">_xlfn.XLOOKUP(1,((Metas_Diarias[[#This Row],[tipo_equipe_id]]=Metas[equipe])*(Metas_Diarias[[#This Row],[data]]&gt;Metas[data_inicio])*(Metas_Diarias[[#This Row],[data]]&lt;Metas[data_fim])),Metas[meta_mensal],0)</f>
        <v>110000</v>
      </c>
      <c r="L2453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54" spans="2:12" x14ac:dyDescent="0.3">
      <c r="B2454" s="34">
        <v>46280</v>
      </c>
      <c r="C2454" s="34" t="str">
        <f>TEXT(Metas_Diarias[[#This Row],[data]],"dddd")</f>
        <v>terça-feira</v>
      </c>
      <c r="D2454" s="33">
        <v>3</v>
      </c>
      <c r="E2454" s="33">
        <v>3</v>
      </c>
      <c r="F2454" s="18"/>
      <c r="G2454" s="35">
        <f>WEEKDAY(Metas_Diarias[[#This Row],[data]])</f>
        <v>3</v>
      </c>
      <c r="H2454" s="35">
        <f>IF(Metas_Diarias[[#This Row],[dias_da_demana]]=1,"domingo",IF(Metas_Diarias[[#This Row],[dias_da_demana]]=7,0.5,1))</f>
        <v>1</v>
      </c>
      <c r="I2454" s="35">
        <f>_xlfn.XLOOKUP(Metas_Diarias[[#This Row],[data]],Feriados[Data],Feriados[Feriado],1)</f>
        <v>1</v>
      </c>
      <c r="J2454" s="33" cm="1">
        <f t="array" aca="1" ref="J2454" ca="1">SUMPRODUCT(IF((NOT(ISERROR(MATCH(ROW(INDIRECT(DATE(YEAR(B2454),MONTH(B2454),1)&amp;":"&amp;DATE(YEAR(B2454),MONTH(B2454)+1,0))),Feriados[Data],0))))=FALSE,
IF(WEEKDAY(ROW(INDIRECT(DATE(YEAR(B2454),MONTH(B2454),1)&amp;":"&amp;DATE(YEAR(B2454),MONTH(B2454)+1,0))),2)&lt;=5,1,IF(WEEKDAY(ROW(INDIRECT(DATE(YEAR(B2454),MONTH(B2454),1)&amp;":"&amp;DATE(YEAR(B2454),MONTH(B2454)+1,0))),2)=6,0.5,0)),0))</f>
        <v>23</v>
      </c>
      <c r="K2454" s="22" cm="1">
        <f t="array" ref="K2454">_xlfn.XLOOKUP(1,((Metas_Diarias[[#This Row],[tipo_equipe_id]]=Metas[equipe])*(Metas_Diarias[[#This Row],[data]]&gt;Metas[data_inicio])*(Metas_Diarias[[#This Row],[data]]&lt;Metas[data_fim])),Metas[meta_mensal],0)</f>
        <v>110000</v>
      </c>
      <c r="L2454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55" spans="2:12" x14ac:dyDescent="0.3">
      <c r="B2455" s="34">
        <v>46281</v>
      </c>
      <c r="C2455" s="34" t="str">
        <f>TEXT(Metas_Diarias[[#This Row],[data]],"dddd")</f>
        <v>quarta-feira</v>
      </c>
      <c r="D2455" s="33">
        <v>3</v>
      </c>
      <c r="E2455" s="33">
        <v>3</v>
      </c>
      <c r="F2455" s="18"/>
      <c r="G2455" s="35">
        <f>WEEKDAY(Metas_Diarias[[#This Row],[data]])</f>
        <v>4</v>
      </c>
      <c r="H2455" s="35">
        <f>IF(Metas_Diarias[[#This Row],[dias_da_demana]]=1,"domingo",IF(Metas_Diarias[[#This Row],[dias_da_demana]]=7,0.5,1))</f>
        <v>1</v>
      </c>
      <c r="I2455" s="35">
        <f>_xlfn.XLOOKUP(Metas_Diarias[[#This Row],[data]],Feriados[Data],Feriados[Feriado],1)</f>
        <v>1</v>
      </c>
      <c r="J2455" s="33" cm="1">
        <f t="array" aca="1" ref="J2455" ca="1">SUMPRODUCT(IF((NOT(ISERROR(MATCH(ROW(INDIRECT(DATE(YEAR(B2455),MONTH(B2455),1)&amp;":"&amp;DATE(YEAR(B2455),MONTH(B2455)+1,0))),Feriados[Data],0))))=FALSE,
IF(WEEKDAY(ROW(INDIRECT(DATE(YEAR(B2455),MONTH(B2455),1)&amp;":"&amp;DATE(YEAR(B2455),MONTH(B2455)+1,0))),2)&lt;=5,1,IF(WEEKDAY(ROW(INDIRECT(DATE(YEAR(B2455),MONTH(B2455),1)&amp;":"&amp;DATE(YEAR(B2455),MONTH(B2455)+1,0))),2)=6,0.5,0)),0))</f>
        <v>23</v>
      </c>
      <c r="K2455" s="22" cm="1">
        <f t="array" ref="K2455">_xlfn.XLOOKUP(1,((Metas_Diarias[[#This Row],[tipo_equipe_id]]=Metas[equipe])*(Metas_Diarias[[#This Row],[data]]&gt;Metas[data_inicio])*(Metas_Diarias[[#This Row],[data]]&lt;Metas[data_fim])),Metas[meta_mensal],0)</f>
        <v>110000</v>
      </c>
      <c r="L2455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56" spans="2:12" x14ac:dyDescent="0.3">
      <c r="B2456" s="34">
        <v>46282</v>
      </c>
      <c r="C2456" s="34" t="str">
        <f>TEXT(Metas_Diarias[[#This Row],[data]],"dddd")</f>
        <v>quinta-feira</v>
      </c>
      <c r="D2456" s="33">
        <v>3</v>
      </c>
      <c r="E2456" s="33">
        <v>3</v>
      </c>
      <c r="F2456" s="18"/>
      <c r="G2456" s="35">
        <f>WEEKDAY(Metas_Diarias[[#This Row],[data]])</f>
        <v>5</v>
      </c>
      <c r="H2456" s="35">
        <f>IF(Metas_Diarias[[#This Row],[dias_da_demana]]=1,"domingo",IF(Metas_Diarias[[#This Row],[dias_da_demana]]=7,0.5,1))</f>
        <v>1</v>
      </c>
      <c r="I2456" s="35">
        <f>_xlfn.XLOOKUP(Metas_Diarias[[#This Row],[data]],Feriados[Data],Feriados[Feriado],1)</f>
        <v>1</v>
      </c>
      <c r="J2456" s="33" cm="1">
        <f t="array" aca="1" ref="J2456" ca="1">SUMPRODUCT(IF((NOT(ISERROR(MATCH(ROW(INDIRECT(DATE(YEAR(B2456),MONTH(B2456),1)&amp;":"&amp;DATE(YEAR(B2456),MONTH(B2456)+1,0))),Feriados[Data],0))))=FALSE,
IF(WEEKDAY(ROW(INDIRECT(DATE(YEAR(B2456),MONTH(B2456),1)&amp;":"&amp;DATE(YEAR(B2456),MONTH(B2456)+1,0))),2)&lt;=5,1,IF(WEEKDAY(ROW(INDIRECT(DATE(YEAR(B2456),MONTH(B2456),1)&amp;":"&amp;DATE(YEAR(B2456),MONTH(B2456)+1,0))),2)=6,0.5,0)),0))</f>
        <v>23</v>
      </c>
      <c r="K2456" s="22" cm="1">
        <f t="array" ref="K2456">_xlfn.XLOOKUP(1,((Metas_Diarias[[#This Row],[tipo_equipe_id]]=Metas[equipe])*(Metas_Diarias[[#This Row],[data]]&gt;Metas[data_inicio])*(Metas_Diarias[[#This Row],[data]]&lt;Metas[data_fim])),Metas[meta_mensal],0)</f>
        <v>110000</v>
      </c>
      <c r="L2456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57" spans="2:12" x14ac:dyDescent="0.3">
      <c r="B2457" s="34">
        <v>46283</v>
      </c>
      <c r="C2457" s="34" t="str">
        <f>TEXT(Metas_Diarias[[#This Row],[data]],"dddd")</f>
        <v>sexta-feira</v>
      </c>
      <c r="D2457" s="33">
        <v>3</v>
      </c>
      <c r="E2457" s="33">
        <v>3</v>
      </c>
      <c r="F2457" s="18"/>
      <c r="G2457" s="35">
        <f>WEEKDAY(Metas_Diarias[[#This Row],[data]])</f>
        <v>6</v>
      </c>
      <c r="H2457" s="35">
        <f>IF(Metas_Diarias[[#This Row],[dias_da_demana]]=1,"domingo",IF(Metas_Diarias[[#This Row],[dias_da_demana]]=7,0.5,1))</f>
        <v>1</v>
      </c>
      <c r="I2457" s="35">
        <f>_xlfn.XLOOKUP(Metas_Diarias[[#This Row],[data]],Feriados[Data],Feriados[Feriado],1)</f>
        <v>1</v>
      </c>
      <c r="J2457" s="33" cm="1">
        <f t="array" aca="1" ref="J2457" ca="1">SUMPRODUCT(IF((NOT(ISERROR(MATCH(ROW(INDIRECT(DATE(YEAR(B2457),MONTH(B2457),1)&amp;":"&amp;DATE(YEAR(B2457),MONTH(B2457)+1,0))),Feriados[Data],0))))=FALSE,
IF(WEEKDAY(ROW(INDIRECT(DATE(YEAR(B2457),MONTH(B2457),1)&amp;":"&amp;DATE(YEAR(B2457),MONTH(B2457)+1,0))),2)&lt;=5,1,IF(WEEKDAY(ROW(INDIRECT(DATE(YEAR(B2457),MONTH(B2457),1)&amp;":"&amp;DATE(YEAR(B2457),MONTH(B2457)+1,0))),2)=6,0.5,0)),0))</f>
        <v>23</v>
      </c>
      <c r="K2457" s="22" cm="1">
        <f t="array" ref="K2457">_xlfn.XLOOKUP(1,((Metas_Diarias[[#This Row],[tipo_equipe_id]]=Metas[equipe])*(Metas_Diarias[[#This Row],[data]]&gt;Metas[data_inicio])*(Metas_Diarias[[#This Row],[data]]&lt;Metas[data_fim])),Metas[meta_mensal],0)</f>
        <v>110000</v>
      </c>
      <c r="L2457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58" spans="2:12" x14ac:dyDescent="0.3">
      <c r="B2458" s="34">
        <v>46284</v>
      </c>
      <c r="C2458" s="34" t="str">
        <f>TEXT(Metas_Diarias[[#This Row],[data]],"dddd")</f>
        <v>sábado</v>
      </c>
      <c r="D2458" s="33">
        <v>3</v>
      </c>
      <c r="E2458" s="33">
        <v>3</v>
      </c>
      <c r="F2458" s="18"/>
      <c r="G2458" s="35">
        <f>WEEKDAY(Metas_Diarias[[#This Row],[data]])</f>
        <v>7</v>
      </c>
      <c r="H2458" s="35">
        <f>IF(Metas_Diarias[[#This Row],[dias_da_demana]]=1,"domingo",IF(Metas_Diarias[[#This Row],[dias_da_demana]]=7,0.5,1))</f>
        <v>0.5</v>
      </c>
      <c r="I2458" s="35">
        <f>_xlfn.XLOOKUP(Metas_Diarias[[#This Row],[data]],Feriados[Data],Feriados[Feriado],1)</f>
        <v>1</v>
      </c>
      <c r="J2458" s="33" cm="1">
        <f t="array" aca="1" ref="J2458" ca="1">SUMPRODUCT(IF((NOT(ISERROR(MATCH(ROW(INDIRECT(DATE(YEAR(B2458),MONTH(B2458),1)&amp;":"&amp;DATE(YEAR(B2458),MONTH(B2458)+1,0))),Feriados[Data],0))))=FALSE,
IF(WEEKDAY(ROW(INDIRECT(DATE(YEAR(B2458),MONTH(B2458),1)&amp;":"&amp;DATE(YEAR(B2458),MONTH(B2458)+1,0))),2)&lt;=5,1,IF(WEEKDAY(ROW(INDIRECT(DATE(YEAR(B2458),MONTH(B2458),1)&amp;":"&amp;DATE(YEAR(B2458),MONTH(B2458)+1,0))),2)=6,0.5,0)),0))</f>
        <v>23</v>
      </c>
      <c r="K2458" s="22" cm="1">
        <f t="array" ref="K2458">_xlfn.XLOOKUP(1,((Metas_Diarias[[#This Row],[tipo_equipe_id]]=Metas[equipe])*(Metas_Diarias[[#This Row],[data]]&gt;Metas[data_inicio])*(Metas_Diarias[[#This Row],[data]]&lt;Metas[data_fim])),Metas[meta_mensal],0)</f>
        <v>110000</v>
      </c>
      <c r="L2458" s="24">
        <f ca="1">Metas_Diarias[[#This Row],[meta_mensal]]*IF(Metas_Diarias[[#This Row],[semana]]="domingo",0,Metas_Diarias[[#This Row],[semana]])*IF(Metas_Diarias[[#This Row],[feriado]]&lt;&gt;1,0,1)/Metas_Diarias[[#This Row],[dias_úteis_Mês]]</f>
        <v>2391.304347826087</v>
      </c>
    </row>
    <row r="2459" spans="2:12" x14ac:dyDescent="0.3">
      <c r="B2459" s="34">
        <v>46285</v>
      </c>
      <c r="C2459" s="34" t="str">
        <f>TEXT(Metas_Diarias[[#This Row],[data]],"dddd")</f>
        <v>domingo</v>
      </c>
      <c r="D2459" s="33">
        <v>3</v>
      </c>
      <c r="E2459" s="33">
        <v>3</v>
      </c>
      <c r="F2459" s="18"/>
      <c r="G2459" s="35">
        <f>WEEKDAY(Metas_Diarias[[#This Row],[data]])</f>
        <v>1</v>
      </c>
      <c r="H2459" s="35" t="str">
        <f>IF(Metas_Diarias[[#This Row],[dias_da_demana]]=1,"domingo",IF(Metas_Diarias[[#This Row],[dias_da_demana]]=7,0.5,1))</f>
        <v>domingo</v>
      </c>
      <c r="I2459" s="35">
        <f>_xlfn.XLOOKUP(Metas_Diarias[[#This Row],[data]],Feriados[Data],Feriados[Feriado],1)</f>
        <v>1</v>
      </c>
      <c r="J2459" s="33" cm="1">
        <f t="array" aca="1" ref="J2459" ca="1">SUMPRODUCT(IF((NOT(ISERROR(MATCH(ROW(INDIRECT(DATE(YEAR(B2459),MONTH(B2459),1)&amp;":"&amp;DATE(YEAR(B2459),MONTH(B2459)+1,0))),Feriados[Data],0))))=FALSE,
IF(WEEKDAY(ROW(INDIRECT(DATE(YEAR(B2459),MONTH(B2459),1)&amp;":"&amp;DATE(YEAR(B2459),MONTH(B2459)+1,0))),2)&lt;=5,1,IF(WEEKDAY(ROW(INDIRECT(DATE(YEAR(B2459),MONTH(B2459),1)&amp;":"&amp;DATE(YEAR(B2459),MONTH(B2459)+1,0))),2)=6,0.5,0)),0))</f>
        <v>23</v>
      </c>
      <c r="K2459" s="22" cm="1">
        <f t="array" ref="K2459">_xlfn.XLOOKUP(1,((Metas_Diarias[[#This Row],[tipo_equipe_id]]=Metas[equipe])*(Metas_Diarias[[#This Row],[data]]&gt;Metas[data_inicio])*(Metas_Diarias[[#This Row],[data]]&lt;Metas[data_fim])),Metas[meta_mensal],0)</f>
        <v>110000</v>
      </c>
      <c r="L24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60" spans="2:12" x14ac:dyDescent="0.3">
      <c r="B2460" s="34">
        <v>46286</v>
      </c>
      <c r="C2460" s="34" t="str">
        <f>TEXT(Metas_Diarias[[#This Row],[data]],"dddd")</f>
        <v>segunda-feira</v>
      </c>
      <c r="D2460" s="33">
        <v>3</v>
      </c>
      <c r="E2460" s="33">
        <v>3</v>
      </c>
      <c r="F2460" s="18"/>
      <c r="G2460" s="35">
        <f>WEEKDAY(Metas_Diarias[[#This Row],[data]])</f>
        <v>2</v>
      </c>
      <c r="H2460" s="35">
        <f>IF(Metas_Diarias[[#This Row],[dias_da_demana]]=1,"domingo",IF(Metas_Diarias[[#This Row],[dias_da_demana]]=7,0.5,1))</f>
        <v>1</v>
      </c>
      <c r="I2460" s="35">
        <f>_xlfn.XLOOKUP(Metas_Diarias[[#This Row],[data]],Feriados[Data],Feriados[Feriado],1)</f>
        <v>1</v>
      </c>
      <c r="J2460" s="33" cm="1">
        <f t="array" aca="1" ref="J2460" ca="1">SUMPRODUCT(IF((NOT(ISERROR(MATCH(ROW(INDIRECT(DATE(YEAR(B2460),MONTH(B2460),1)&amp;":"&amp;DATE(YEAR(B2460),MONTH(B2460)+1,0))),Feriados[Data],0))))=FALSE,
IF(WEEKDAY(ROW(INDIRECT(DATE(YEAR(B2460),MONTH(B2460),1)&amp;":"&amp;DATE(YEAR(B2460),MONTH(B2460)+1,0))),2)&lt;=5,1,IF(WEEKDAY(ROW(INDIRECT(DATE(YEAR(B2460),MONTH(B2460),1)&amp;":"&amp;DATE(YEAR(B2460),MONTH(B2460)+1,0))),2)=6,0.5,0)),0))</f>
        <v>23</v>
      </c>
      <c r="K2460" s="22" cm="1">
        <f t="array" ref="K2460">_xlfn.XLOOKUP(1,((Metas_Diarias[[#This Row],[tipo_equipe_id]]=Metas[equipe])*(Metas_Diarias[[#This Row],[data]]&gt;Metas[data_inicio])*(Metas_Diarias[[#This Row],[data]]&lt;Metas[data_fim])),Metas[meta_mensal],0)</f>
        <v>110000</v>
      </c>
      <c r="L2460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61" spans="2:12" x14ac:dyDescent="0.3">
      <c r="B2461" s="34">
        <v>46287</v>
      </c>
      <c r="C2461" s="34" t="str">
        <f>TEXT(Metas_Diarias[[#This Row],[data]],"dddd")</f>
        <v>terça-feira</v>
      </c>
      <c r="D2461" s="33">
        <v>3</v>
      </c>
      <c r="E2461" s="33">
        <v>3</v>
      </c>
      <c r="F2461" s="18"/>
      <c r="G2461" s="35">
        <f>WEEKDAY(Metas_Diarias[[#This Row],[data]])</f>
        <v>3</v>
      </c>
      <c r="H2461" s="35">
        <f>IF(Metas_Diarias[[#This Row],[dias_da_demana]]=1,"domingo",IF(Metas_Diarias[[#This Row],[dias_da_demana]]=7,0.5,1))</f>
        <v>1</v>
      </c>
      <c r="I2461" s="35">
        <f>_xlfn.XLOOKUP(Metas_Diarias[[#This Row],[data]],Feriados[Data],Feriados[Feriado],1)</f>
        <v>1</v>
      </c>
      <c r="J2461" s="33" cm="1">
        <f t="array" aca="1" ref="J2461" ca="1">SUMPRODUCT(IF((NOT(ISERROR(MATCH(ROW(INDIRECT(DATE(YEAR(B2461),MONTH(B2461),1)&amp;":"&amp;DATE(YEAR(B2461),MONTH(B2461)+1,0))),Feriados[Data],0))))=FALSE,
IF(WEEKDAY(ROW(INDIRECT(DATE(YEAR(B2461),MONTH(B2461),1)&amp;":"&amp;DATE(YEAR(B2461),MONTH(B2461)+1,0))),2)&lt;=5,1,IF(WEEKDAY(ROW(INDIRECT(DATE(YEAR(B2461),MONTH(B2461),1)&amp;":"&amp;DATE(YEAR(B2461),MONTH(B2461)+1,0))),2)=6,0.5,0)),0))</f>
        <v>23</v>
      </c>
      <c r="K2461" s="22" cm="1">
        <f t="array" ref="K2461">_xlfn.XLOOKUP(1,((Metas_Diarias[[#This Row],[tipo_equipe_id]]=Metas[equipe])*(Metas_Diarias[[#This Row],[data]]&gt;Metas[data_inicio])*(Metas_Diarias[[#This Row],[data]]&lt;Metas[data_fim])),Metas[meta_mensal],0)</f>
        <v>110000</v>
      </c>
      <c r="L2461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62" spans="2:12" x14ac:dyDescent="0.3">
      <c r="B2462" s="34">
        <v>46288</v>
      </c>
      <c r="C2462" s="34" t="str">
        <f>TEXT(Metas_Diarias[[#This Row],[data]],"dddd")</f>
        <v>quarta-feira</v>
      </c>
      <c r="D2462" s="33">
        <v>3</v>
      </c>
      <c r="E2462" s="33">
        <v>3</v>
      </c>
      <c r="F2462" s="18"/>
      <c r="G2462" s="35">
        <f>WEEKDAY(Metas_Diarias[[#This Row],[data]])</f>
        <v>4</v>
      </c>
      <c r="H2462" s="35">
        <f>IF(Metas_Diarias[[#This Row],[dias_da_demana]]=1,"domingo",IF(Metas_Diarias[[#This Row],[dias_da_demana]]=7,0.5,1))</f>
        <v>1</v>
      </c>
      <c r="I2462" s="35">
        <f>_xlfn.XLOOKUP(Metas_Diarias[[#This Row],[data]],Feriados[Data],Feriados[Feriado],1)</f>
        <v>1</v>
      </c>
      <c r="J2462" s="33" cm="1">
        <f t="array" aca="1" ref="J2462" ca="1">SUMPRODUCT(IF((NOT(ISERROR(MATCH(ROW(INDIRECT(DATE(YEAR(B2462),MONTH(B2462),1)&amp;":"&amp;DATE(YEAR(B2462),MONTH(B2462)+1,0))),Feriados[Data],0))))=FALSE,
IF(WEEKDAY(ROW(INDIRECT(DATE(YEAR(B2462),MONTH(B2462),1)&amp;":"&amp;DATE(YEAR(B2462),MONTH(B2462)+1,0))),2)&lt;=5,1,IF(WEEKDAY(ROW(INDIRECT(DATE(YEAR(B2462),MONTH(B2462),1)&amp;":"&amp;DATE(YEAR(B2462),MONTH(B2462)+1,0))),2)=6,0.5,0)),0))</f>
        <v>23</v>
      </c>
      <c r="K2462" s="22" cm="1">
        <f t="array" ref="K2462">_xlfn.XLOOKUP(1,((Metas_Diarias[[#This Row],[tipo_equipe_id]]=Metas[equipe])*(Metas_Diarias[[#This Row],[data]]&gt;Metas[data_inicio])*(Metas_Diarias[[#This Row],[data]]&lt;Metas[data_fim])),Metas[meta_mensal],0)</f>
        <v>110000</v>
      </c>
      <c r="L2462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63" spans="2:12" x14ac:dyDescent="0.3">
      <c r="B2463" s="34">
        <v>46289</v>
      </c>
      <c r="C2463" s="34" t="str">
        <f>TEXT(Metas_Diarias[[#This Row],[data]],"dddd")</f>
        <v>quinta-feira</v>
      </c>
      <c r="D2463" s="33">
        <v>3</v>
      </c>
      <c r="E2463" s="33">
        <v>3</v>
      </c>
      <c r="F2463" s="18"/>
      <c r="G2463" s="35">
        <f>WEEKDAY(Metas_Diarias[[#This Row],[data]])</f>
        <v>5</v>
      </c>
      <c r="H2463" s="35">
        <f>IF(Metas_Diarias[[#This Row],[dias_da_demana]]=1,"domingo",IF(Metas_Diarias[[#This Row],[dias_da_demana]]=7,0.5,1))</f>
        <v>1</v>
      </c>
      <c r="I2463" s="35">
        <f>_xlfn.XLOOKUP(Metas_Diarias[[#This Row],[data]],Feriados[Data],Feriados[Feriado],1)</f>
        <v>1</v>
      </c>
      <c r="J2463" s="33" cm="1">
        <f t="array" aca="1" ref="J2463" ca="1">SUMPRODUCT(IF((NOT(ISERROR(MATCH(ROW(INDIRECT(DATE(YEAR(B2463),MONTH(B2463),1)&amp;":"&amp;DATE(YEAR(B2463),MONTH(B2463)+1,0))),Feriados[Data],0))))=FALSE,
IF(WEEKDAY(ROW(INDIRECT(DATE(YEAR(B2463),MONTH(B2463),1)&amp;":"&amp;DATE(YEAR(B2463),MONTH(B2463)+1,0))),2)&lt;=5,1,IF(WEEKDAY(ROW(INDIRECT(DATE(YEAR(B2463),MONTH(B2463),1)&amp;":"&amp;DATE(YEAR(B2463),MONTH(B2463)+1,0))),2)=6,0.5,0)),0))</f>
        <v>23</v>
      </c>
      <c r="K2463" s="22" cm="1">
        <f t="array" ref="K2463">_xlfn.XLOOKUP(1,((Metas_Diarias[[#This Row],[tipo_equipe_id]]=Metas[equipe])*(Metas_Diarias[[#This Row],[data]]&gt;Metas[data_inicio])*(Metas_Diarias[[#This Row],[data]]&lt;Metas[data_fim])),Metas[meta_mensal],0)</f>
        <v>110000</v>
      </c>
      <c r="L2463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64" spans="2:12" x14ac:dyDescent="0.3">
      <c r="B2464" s="34">
        <v>46290</v>
      </c>
      <c r="C2464" s="34" t="str">
        <f>TEXT(Metas_Diarias[[#This Row],[data]],"dddd")</f>
        <v>sexta-feira</v>
      </c>
      <c r="D2464" s="33">
        <v>3</v>
      </c>
      <c r="E2464" s="33">
        <v>3</v>
      </c>
      <c r="F2464" s="18"/>
      <c r="G2464" s="35">
        <f>WEEKDAY(Metas_Diarias[[#This Row],[data]])</f>
        <v>6</v>
      </c>
      <c r="H2464" s="35">
        <f>IF(Metas_Diarias[[#This Row],[dias_da_demana]]=1,"domingo",IF(Metas_Diarias[[#This Row],[dias_da_demana]]=7,0.5,1))</f>
        <v>1</v>
      </c>
      <c r="I2464" s="35">
        <f>_xlfn.XLOOKUP(Metas_Diarias[[#This Row],[data]],Feriados[Data],Feriados[Feriado],1)</f>
        <v>1</v>
      </c>
      <c r="J2464" s="33" cm="1">
        <f t="array" aca="1" ref="J2464" ca="1">SUMPRODUCT(IF((NOT(ISERROR(MATCH(ROW(INDIRECT(DATE(YEAR(B2464),MONTH(B2464),1)&amp;":"&amp;DATE(YEAR(B2464),MONTH(B2464)+1,0))),Feriados[Data],0))))=FALSE,
IF(WEEKDAY(ROW(INDIRECT(DATE(YEAR(B2464),MONTH(B2464),1)&amp;":"&amp;DATE(YEAR(B2464),MONTH(B2464)+1,0))),2)&lt;=5,1,IF(WEEKDAY(ROW(INDIRECT(DATE(YEAR(B2464),MONTH(B2464),1)&amp;":"&amp;DATE(YEAR(B2464),MONTH(B2464)+1,0))),2)=6,0.5,0)),0))</f>
        <v>23</v>
      </c>
      <c r="K2464" s="22" cm="1">
        <f t="array" ref="K2464">_xlfn.XLOOKUP(1,((Metas_Diarias[[#This Row],[tipo_equipe_id]]=Metas[equipe])*(Metas_Diarias[[#This Row],[data]]&gt;Metas[data_inicio])*(Metas_Diarias[[#This Row],[data]]&lt;Metas[data_fim])),Metas[meta_mensal],0)</f>
        <v>110000</v>
      </c>
      <c r="L2464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65" spans="2:12" x14ac:dyDescent="0.3">
      <c r="B2465" s="34">
        <v>46291</v>
      </c>
      <c r="C2465" s="34" t="str">
        <f>TEXT(Metas_Diarias[[#This Row],[data]],"dddd")</f>
        <v>sábado</v>
      </c>
      <c r="D2465" s="33">
        <v>3</v>
      </c>
      <c r="E2465" s="33">
        <v>3</v>
      </c>
      <c r="F2465" s="18"/>
      <c r="G2465" s="35">
        <f>WEEKDAY(Metas_Diarias[[#This Row],[data]])</f>
        <v>7</v>
      </c>
      <c r="H2465" s="35">
        <f>IF(Metas_Diarias[[#This Row],[dias_da_demana]]=1,"domingo",IF(Metas_Diarias[[#This Row],[dias_da_demana]]=7,0.5,1))</f>
        <v>0.5</v>
      </c>
      <c r="I2465" s="35">
        <f>_xlfn.XLOOKUP(Metas_Diarias[[#This Row],[data]],Feriados[Data],Feriados[Feriado],1)</f>
        <v>1</v>
      </c>
      <c r="J2465" s="33" cm="1">
        <f t="array" aca="1" ref="J2465" ca="1">SUMPRODUCT(IF((NOT(ISERROR(MATCH(ROW(INDIRECT(DATE(YEAR(B2465),MONTH(B2465),1)&amp;":"&amp;DATE(YEAR(B2465),MONTH(B2465)+1,0))),Feriados[Data],0))))=FALSE,
IF(WEEKDAY(ROW(INDIRECT(DATE(YEAR(B2465),MONTH(B2465),1)&amp;":"&amp;DATE(YEAR(B2465),MONTH(B2465)+1,0))),2)&lt;=5,1,IF(WEEKDAY(ROW(INDIRECT(DATE(YEAR(B2465),MONTH(B2465),1)&amp;":"&amp;DATE(YEAR(B2465),MONTH(B2465)+1,0))),2)=6,0.5,0)),0))</f>
        <v>23</v>
      </c>
      <c r="K2465" s="22" cm="1">
        <f t="array" ref="K2465">_xlfn.XLOOKUP(1,((Metas_Diarias[[#This Row],[tipo_equipe_id]]=Metas[equipe])*(Metas_Diarias[[#This Row],[data]]&gt;Metas[data_inicio])*(Metas_Diarias[[#This Row],[data]]&lt;Metas[data_fim])),Metas[meta_mensal],0)</f>
        <v>110000</v>
      </c>
      <c r="L2465" s="24">
        <f ca="1">Metas_Diarias[[#This Row],[meta_mensal]]*IF(Metas_Diarias[[#This Row],[semana]]="domingo",0,Metas_Diarias[[#This Row],[semana]])*IF(Metas_Diarias[[#This Row],[feriado]]&lt;&gt;1,0,1)/Metas_Diarias[[#This Row],[dias_úteis_Mês]]</f>
        <v>2391.304347826087</v>
      </c>
    </row>
    <row r="2466" spans="2:12" x14ac:dyDescent="0.3">
      <c r="B2466" s="34">
        <v>46292</v>
      </c>
      <c r="C2466" s="34" t="str">
        <f>TEXT(Metas_Diarias[[#This Row],[data]],"dddd")</f>
        <v>domingo</v>
      </c>
      <c r="D2466" s="33">
        <v>3</v>
      </c>
      <c r="E2466" s="33">
        <v>3</v>
      </c>
      <c r="F2466" s="18"/>
      <c r="G2466" s="35">
        <f>WEEKDAY(Metas_Diarias[[#This Row],[data]])</f>
        <v>1</v>
      </c>
      <c r="H2466" s="35" t="str">
        <f>IF(Metas_Diarias[[#This Row],[dias_da_demana]]=1,"domingo",IF(Metas_Diarias[[#This Row],[dias_da_demana]]=7,0.5,1))</f>
        <v>domingo</v>
      </c>
      <c r="I2466" s="35">
        <f>_xlfn.XLOOKUP(Metas_Diarias[[#This Row],[data]],Feriados[Data],Feriados[Feriado],1)</f>
        <v>1</v>
      </c>
      <c r="J2466" s="33" cm="1">
        <f t="array" aca="1" ref="J2466" ca="1">SUMPRODUCT(IF((NOT(ISERROR(MATCH(ROW(INDIRECT(DATE(YEAR(B2466),MONTH(B2466),1)&amp;":"&amp;DATE(YEAR(B2466),MONTH(B2466)+1,0))),Feriados[Data],0))))=FALSE,
IF(WEEKDAY(ROW(INDIRECT(DATE(YEAR(B2466),MONTH(B2466),1)&amp;":"&amp;DATE(YEAR(B2466),MONTH(B2466)+1,0))),2)&lt;=5,1,IF(WEEKDAY(ROW(INDIRECT(DATE(YEAR(B2466),MONTH(B2466),1)&amp;":"&amp;DATE(YEAR(B2466),MONTH(B2466)+1,0))),2)=6,0.5,0)),0))</f>
        <v>23</v>
      </c>
      <c r="K2466" s="22" cm="1">
        <f t="array" ref="K2466">_xlfn.XLOOKUP(1,((Metas_Diarias[[#This Row],[tipo_equipe_id]]=Metas[equipe])*(Metas_Diarias[[#This Row],[data]]&gt;Metas[data_inicio])*(Metas_Diarias[[#This Row],[data]]&lt;Metas[data_fim])),Metas[meta_mensal],0)</f>
        <v>110000</v>
      </c>
      <c r="L24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67" spans="2:12" x14ac:dyDescent="0.3">
      <c r="B2467" s="34">
        <v>46293</v>
      </c>
      <c r="C2467" s="34" t="str">
        <f>TEXT(Metas_Diarias[[#This Row],[data]],"dddd")</f>
        <v>segunda-feira</v>
      </c>
      <c r="D2467" s="33">
        <v>3</v>
      </c>
      <c r="E2467" s="33">
        <v>3</v>
      </c>
      <c r="F2467" s="18"/>
      <c r="G2467" s="35">
        <f>WEEKDAY(Metas_Diarias[[#This Row],[data]])</f>
        <v>2</v>
      </c>
      <c r="H2467" s="35">
        <f>IF(Metas_Diarias[[#This Row],[dias_da_demana]]=1,"domingo",IF(Metas_Diarias[[#This Row],[dias_da_demana]]=7,0.5,1))</f>
        <v>1</v>
      </c>
      <c r="I2467" s="35">
        <f>_xlfn.XLOOKUP(Metas_Diarias[[#This Row],[data]],Feriados[Data],Feriados[Feriado],1)</f>
        <v>1</v>
      </c>
      <c r="J2467" s="33" cm="1">
        <f t="array" aca="1" ref="J2467" ca="1">SUMPRODUCT(IF((NOT(ISERROR(MATCH(ROW(INDIRECT(DATE(YEAR(B2467),MONTH(B2467),1)&amp;":"&amp;DATE(YEAR(B2467),MONTH(B2467)+1,0))),Feriados[Data],0))))=FALSE,
IF(WEEKDAY(ROW(INDIRECT(DATE(YEAR(B2467),MONTH(B2467),1)&amp;":"&amp;DATE(YEAR(B2467),MONTH(B2467)+1,0))),2)&lt;=5,1,IF(WEEKDAY(ROW(INDIRECT(DATE(YEAR(B2467),MONTH(B2467),1)&amp;":"&amp;DATE(YEAR(B2467),MONTH(B2467)+1,0))),2)=6,0.5,0)),0))</f>
        <v>23</v>
      </c>
      <c r="K2467" s="22" cm="1">
        <f t="array" ref="K2467">_xlfn.XLOOKUP(1,((Metas_Diarias[[#This Row],[tipo_equipe_id]]=Metas[equipe])*(Metas_Diarias[[#This Row],[data]]&gt;Metas[data_inicio])*(Metas_Diarias[[#This Row],[data]]&lt;Metas[data_fim])),Metas[meta_mensal],0)</f>
        <v>110000</v>
      </c>
      <c r="L2467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68" spans="2:12" x14ac:dyDescent="0.3">
      <c r="B2468" s="34">
        <v>46294</v>
      </c>
      <c r="C2468" s="34" t="str">
        <f>TEXT(Metas_Diarias[[#This Row],[data]],"dddd")</f>
        <v>terça-feira</v>
      </c>
      <c r="D2468" s="33">
        <v>3</v>
      </c>
      <c r="E2468" s="33">
        <v>3</v>
      </c>
      <c r="F2468" s="18"/>
      <c r="G2468" s="35">
        <f>WEEKDAY(Metas_Diarias[[#This Row],[data]])</f>
        <v>3</v>
      </c>
      <c r="H2468" s="35">
        <f>IF(Metas_Diarias[[#This Row],[dias_da_demana]]=1,"domingo",IF(Metas_Diarias[[#This Row],[dias_da_demana]]=7,0.5,1))</f>
        <v>1</v>
      </c>
      <c r="I2468" s="35">
        <f>_xlfn.XLOOKUP(Metas_Diarias[[#This Row],[data]],Feriados[Data],Feriados[Feriado],1)</f>
        <v>1</v>
      </c>
      <c r="J2468" s="33" cm="1">
        <f t="array" aca="1" ref="J2468" ca="1">SUMPRODUCT(IF((NOT(ISERROR(MATCH(ROW(INDIRECT(DATE(YEAR(B2468),MONTH(B2468),1)&amp;":"&amp;DATE(YEAR(B2468),MONTH(B2468)+1,0))),Feriados[Data],0))))=FALSE,
IF(WEEKDAY(ROW(INDIRECT(DATE(YEAR(B2468),MONTH(B2468),1)&amp;":"&amp;DATE(YEAR(B2468),MONTH(B2468)+1,0))),2)&lt;=5,1,IF(WEEKDAY(ROW(INDIRECT(DATE(YEAR(B2468),MONTH(B2468),1)&amp;":"&amp;DATE(YEAR(B2468),MONTH(B2468)+1,0))),2)=6,0.5,0)),0))</f>
        <v>23</v>
      </c>
      <c r="K2468" s="22" cm="1">
        <f t="array" ref="K2468">_xlfn.XLOOKUP(1,((Metas_Diarias[[#This Row],[tipo_equipe_id]]=Metas[equipe])*(Metas_Diarias[[#This Row],[data]]&gt;Metas[data_inicio])*(Metas_Diarias[[#This Row],[data]]&lt;Metas[data_fim])),Metas[meta_mensal],0)</f>
        <v>110000</v>
      </c>
      <c r="L2468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69" spans="2:12" x14ac:dyDescent="0.3">
      <c r="B2469" s="34">
        <v>46295</v>
      </c>
      <c r="C2469" s="34" t="str">
        <f>TEXT(Metas_Diarias[[#This Row],[data]],"dddd")</f>
        <v>quarta-feira</v>
      </c>
      <c r="D2469" s="33">
        <v>3</v>
      </c>
      <c r="E2469" s="33">
        <v>3</v>
      </c>
      <c r="F2469" s="18"/>
      <c r="G2469" s="35">
        <f>WEEKDAY(Metas_Diarias[[#This Row],[data]])</f>
        <v>4</v>
      </c>
      <c r="H2469" s="35">
        <f>IF(Metas_Diarias[[#This Row],[dias_da_demana]]=1,"domingo",IF(Metas_Diarias[[#This Row],[dias_da_demana]]=7,0.5,1))</f>
        <v>1</v>
      </c>
      <c r="I2469" s="35">
        <f>_xlfn.XLOOKUP(Metas_Diarias[[#This Row],[data]],Feriados[Data],Feriados[Feriado],1)</f>
        <v>1</v>
      </c>
      <c r="J2469" s="33" cm="1">
        <f t="array" aca="1" ref="J2469" ca="1">SUMPRODUCT(IF((NOT(ISERROR(MATCH(ROW(INDIRECT(DATE(YEAR(B2469),MONTH(B2469),1)&amp;":"&amp;DATE(YEAR(B2469),MONTH(B2469)+1,0))),Feriados[Data],0))))=FALSE,
IF(WEEKDAY(ROW(INDIRECT(DATE(YEAR(B2469),MONTH(B2469),1)&amp;":"&amp;DATE(YEAR(B2469),MONTH(B2469)+1,0))),2)&lt;=5,1,IF(WEEKDAY(ROW(INDIRECT(DATE(YEAR(B2469),MONTH(B2469),1)&amp;":"&amp;DATE(YEAR(B2469),MONTH(B2469)+1,0))),2)=6,0.5,0)),0))</f>
        <v>23</v>
      </c>
      <c r="K2469" s="22" cm="1">
        <f t="array" ref="K2469">_xlfn.XLOOKUP(1,((Metas_Diarias[[#This Row],[tipo_equipe_id]]=Metas[equipe])*(Metas_Diarias[[#This Row],[data]]&gt;Metas[data_inicio])*(Metas_Diarias[[#This Row],[data]]&lt;Metas[data_fim])),Metas[meta_mensal],0)</f>
        <v>110000</v>
      </c>
      <c r="L2469" s="24">
        <f ca="1">Metas_Diarias[[#This Row],[meta_mensal]]*IF(Metas_Diarias[[#This Row],[semana]]="domingo",0,Metas_Diarias[[#This Row],[semana]])*IF(Metas_Diarias[[#This Row],[feriado]]&lt;&gt;1,0,1)/Metas_Diarias[[#This Row],[dias_úteis_Mês]]</f>
        <v>4782.608695652174</v>
      </c>
    </row>
    <row r="2470" spans="2:12" x14ac:dyDescent="0.3">
      <c r="B2470" s="34">
        <v>46296</v>
      </c>
      <c r="C2470" s="34" t="str">
        <f>TEXT(Metas_Diarias[[#This Row],[data]],"dddd")</f>
        <v>quinta-feira</v>
      </c>
      <c r="D2470" s="33">
        <v>3</v>
      </c>
      <c r="E2470" s="33">
        <v>3</v>
      </c>
      <c r="F2470" s="18"/>
      <c r="G2470" s="35">
        <f>WEEKDAY(Metas_Diarias[[#This Row],[data]])</f>
        <v>5</v>
      </c>
      <c r="H2470" s="35">
        <f>IF(Metas_Diarias[[#This Row],[dias_da_demana]]=1,"domingo",IF(Metas_Diarias[[#This Row],[dias_da_demana]]=7,0.5,1))</f>
        <v>1</v>
      </c>
      <c r="I2470" s="35">
        <f>_xlfn.XLOOKUP(Metas_Diarias[[#This Row],[data]],Feriados[Data],Feriados[Feriado],1)</f>
        <v>1</v>
      </c>
      <c r="J2470" s="33" cm="1">
        <f t="array" aca="1" ref="J2470" ca="1">SUMPRODUCT(IF((NOT(ISERROR(MATCH(ROW(INDIRECT(DATE(YEAR(B2470),MONTH(B2470),1)&amp;":"&amp;DATE(YEAR(B2470),MONTH(B2470)+1,0))),Feriados[Data],0))))=FALSE,
IF(WEEKDAY(ROW(INDIRECT(DATE(YEAR(B2470),MONTH(B2470),1)&amp;":"&amp;DATE(YEAR(B2470),MONTH(B2470)+1,0))),2)&lt;=5,1,IF(WEEKDAY(ROW(INDIRECT(DATE(YEAR(B2470),MONTH(B2470),1)&amp;":"&amp;DATE(YEAR(B2470),MONTH(B2470)+1,0))),2)=6,0.5,0)),0))</f>
        <v>23.5</v>
      </c>
      <c r="K2470" s="22" cm="1">
        <f t="array" ref="K2470">_xlfn.XLOOKUP(1,((Metas_Diarias[[#This Row],[tipo_equipe_id]]=Metas[equipe])*(Metas_Diarias[[#This Row],[data]]&gt;Metas[data_inicio])*(Metas_Diarias[[#This Row],[data]]&lt;Metas[data_fim])),Metas[meta_mensal],0)</f>
        <v>110000</v>
      </c>
      <c r="L2470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71" spans="2:12" x14ac:dyDescent="0.3">
      <c r="B2471" s="34">
        <v>46297</v>
      </c>
      <c r="C2471" s="34" t="str">
        <f>TEXT(Metas_Diarias[[#This Row],[data]],"dddd")</f>
        <v>sexta-feira</v>
      </c>
      <c r="D2471" s="33">
        <v>3</v>
      </c>
      <c r="E2471" s="33">
        <v>3</v>
      </c>
      <c r="F2471" s="18"/>
      <c r="G2471" s="35">
        <f>WEEKDAY(Metas_Diarias[[#This Row],[data]])</f>
        <v>6</v>
      </c>
      <c r="H2471" s="35">
        <f>IF(Metas_Diarias[[#This Row],[dias_da_demana]]=1,"domingo",IF(Metas_Diarias[[#This Row],[dias_da_demana]]=7,0.5,1))</f>
        <v>1</v>
      </c>
      <c r="I2471" s="35">
        <f>_xlfn.XLOOKUP(Metas_Diarias[[#This Row],[data]],Feriados[Data],Feriados[Feriado],1)</f>
        <v>1</v>
      </c>
      <c r="J2471" s="33" cm="1">
        <f t="array" aca="1" ref="J2471" ca="1">SUMPRODUCT(IF((NOT(ISERROR(MATCH(ROW(INDIRECT(DATE(YEAR(B2471),MONTH(B2471),1)&amp;":"&amp;DATE(YEAR(B2471),MONTH(B2471)+1,0))),Feriados[Data],0))))=FALSE,
IF(WEEKDAY(ROW(INDIRECT(DATE(YEAR(B2471),MONTH(B2471),1)&amp;":"&amp;DATE(YEAR(B2471),MONTH(B2471)+1,0))),2)&lt;=5,1,IF(WEEKDAY(ROW(INDIRECT(DATE(YEAR(B2471),MONTH(B2471),1)&amp;":"&amp;DATE(YEAR(B2471),MONTH(B2471)+1,0))),2)=6,0.5,0)),0))</f>
        <v>23.5</v>
      </c>
      <c r="K2471" s="22" cm="1">
        <f t="array" ref="K2471">_xlfn.XLOOKUP(1,((Metas_Diarias[[#This Row],[tipo_equipe_id]]=Metas[equipe])*(Metas_Diarias[[#This Row],[data]]&gt;Metas[data_inicio])*(Metas_Diarias[[#This Row],[data]]&lt;Metas[data_fim])),Metas[meta_mensal],0)</f>
        <v>110000</v>
      </c>
      <c r="L2471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72" spans="2:12" x14ac:dyDescent="0.3">
      <c r="B2472" s="34">
        <v>46298</v>
      </c>
      <c r="C2472" s="34" t="str">
        <f>TEXT(Metas_Diarias[[#This Row],[data]],"dddd")</f>
        <v>sábado</v>
      </c>
      <c r="D2472" s="33">
        <v>3</v>
      </c>
      <c r="E2472" s="33">
        <v>3</v>
      </c>
      <c r="F2472" s="18"/>
      <c r="G2472" s="35">
        <f>WEEKDAY(Metas_Diarias[[#This Row],[data]])</f>
        <v>7</v>
      </c>
      <c r="H2472" s="35">
        <f>IF(Metas_Diarias[[#This Row],[dias_da_demana]]=1,"domingo",IF(Metas_Diarias[[#This Row],[dias_da_demana]]=7,0.5,1))</f>
        <v>0.5</v>
      </c>
      <c r="I2472" s="35">
        <f>_xlfn.XLOOKUP(Metas_Diarias[[#This Row],[data]],Feriados[Data],Feriados[Feriado],1)</f>
        <v>1</v>
      </c>
      <c r="J2472" s="33" cm="1">
        <f t="array" aca="1" ref="J2472" ca="1">SUMPRODUCT(IF((NOT(ISERROR(MATCH(ROW(INDIRECT(DATE(YEAR(B2472),MONTH(B2472),1)&amp;":"&amp;DATE(YEAR(B2472),MONTH(B2472)+1,0))),Feriados[Data],0))))=FALSE,
IF(WEEKDAY(ROW(INDIRECT(DATE(YEAR(B2472),MONTH(B2472),1)&amp;":"&amp;DATE(YEAR(B2472),MONTH(B2472)+1,0))),2)&lt;=5,1,IF(WEEKDAY(ROW(INDIRECT(DATE(YEAR(B2472),MONTH(B2472),1)&amp;":"&amp;DATE(YEAR(B2472),MONTH(B2472)+1,0))),2)=6,0.5,0)),0))</f>
        <v>23.5</v>
      </c>
      <c r="K2472" s="22" cm="1">
        <f t="array" ref="K2472">_xlfn.XLOOKUP(1,((Metas_Diarias[[#This Row],[tipo_equipe_id]]=Metas[equipe])*(Metas_Diarias[[#This Row],[data]]&gt;Metas[data_inicio])*(Metas_Diarias[[#This Row],[data]]&lt;Metas[data_fim])),Metas[meta_mensal],0)</f>
        <v>110000</v>
      </c>
      <c r="L2472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73" spans="2:12" x14ac:dyDescent="0.3">
      <c r="B2473" s="34">
        <v>46299</v>
      </c>
      <c r="C2473" s="34" t="str">
        <f>TEXT(Metas_Diarias[[#This Row],[data]],"dddd")</f>
        <v>domingo</v>
      </c>
      <c r="D2473" s="33">
        <v>3</v>
      </c>
      <c r="E2473" s="33">
        <v>3</v>
      </c>
      <c r="F2473" s="18"/>
      <c r="G2473" s="35">
        <f>WEEKDAY(Metas_Diarias[[#This Row],[data]])</f>
        <v>1</v>
      </c>
      <c r="H2473" s="35" t="str">
        <f>IF(Metas_Diarias[[#This Row],[dias_da_demana]]=1,"domingo",IF(Metas_Diarias[[#This Row],[dias_da_demana]]=7,0.5,1))</f>
        <v>domingo</v>
      </c>
      <c r="I2473" s="35">
        <f>_xlfn.XLOOKUP(Metas_Diarias[[#This Row],[data]],Feriados[Data],Feriados[Feriado],1)</f>
        <v>1</v>
      </c>
      <c r="J2473" s="33" cm="1">
        <f t="array" aca="1" ref="J2473" ca="1">SUMPRODUCT(IF((NOT(ISERROR(MATCH(ROW(INDIRECT(DATE(YEAR(B2473),MONTH(B2473),1)&amp;":"&amp;DATE(YEAR(B2473),MONTH(B2473)+1,0))),Feriados[Data],0))))=FALSE,
IF(WEEKDAY(ROW(INDIRECT(DATE(YEAR(B2473),MONTH(B2473),1)&amp;":"&amp;DATE(YEAR(B2473),MONTH(B2473)+1,0))),2)&lt;=5,1,IF(WEEKDAY(ROW(INDIRECT(DATE(YEAR(B2473),MONTH(B2473),1)&amp;":"&amp;DATE(YEAR(B2473),MONTH(B2473)+1,0))),2)=6,0.5,0)),0))</f>
        <v>23.5</v>
      </c>
      <c r="K2473" s="22" cm="1">
        <f t="array" ref="K2473">_xlfn.XLOOKUP(1,((Metas_Diarias[[#This Row],[tipo_equipe_id]]=Metas[equipe])*(Metas_Diarias[[#This Row],[data]]&gt;Metas[data_inicio])*(Metas_Diarias[[#This Row],[data]]&lt;Metas[data_fim])),Metas[meta_mensal],0)</f>
        <v>110000</v>
      </c>
      <c r="L24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74" spans="2:12" x14ac:dyDescent="0.3">
      <c r="B2474" s="34">
        <v>46300</v>
      </c>
      <c r="C2474" s="34" t="str">
        <f>TEXT(Metas_Diarias[[#This Row],[data]],"dddd")</f>
        <v>segunda-feira</v>
      </c>
      <c r="D2474" s="33">
        <v>3</v>
      </c>
      <c r="E2474" s="33">
        <v>3</v>
      </c>
      <c r="F2474" s="18"/>
      <c r="G2474" s="35">
        <f>WEEKDAY(Metas_Diarias[[#This Row],[data]])</f>
        <v>2</v>
      </c>
      <c r="H2474" s="35">
        <f>IF(Metas_Diarias[[#This Row],[dias_da_demana]]=1,"domingo",IF(Metas_Diarias[[#This Row],[dias_da_demana]]=7,0.5,1))</f>
        <v>1</v>
      </c>
      <c r="I2474" s="35">
        <f>_xlfn.XLOOKUP(Metas_Diarias[[#This Row],[data]],Feriados[Data],Feriados[Feriado],1)</f>
        <v>1</v>
      </c>
      <c r="J2474" s="33" cm="1">
        <f t="array" aca="1" ref="J2474" ca="1">SUMPRODUCT(IF((NOT(ISERROR(MATCH(ROW(INDIRECT(DATE(YEAR(B2474),MONTH(B2474),1)&amp;":"&amp;DATE(YEAR(B2474),MONTH(B2474)+1,0))),Feriados[Data],0))))=FALSE,
IF(WEEKDAY(ROW(INDIRECT(DATE(YEAR(B2474),MONTH(B2474),1)&amp;":"&amp;DATE(YEAR(B2474),MONTH(B2474)+1,0))),2)&lt;=5,1,IF(WEEKDAY(ROW(INDIRECT(DATE(YEAR(B2474),MONTH(B2474),1)&amp;":"&amp;DATE(YEAR(B2474),MONTH(B2474)+1,0))),2)=6,0.5,0)),0))</f>
        <v>23.5</v>
      </c>
      <c r="K2474" s="22" cm="1">
        <f t="array" ref="K2474">_xlfn.XLOOKUP(1,((Metas_Diarias[[#This Row],[tipo_equipe_id]]=Metas[equipe])*(Metas_Diarias[[#This Row],[data]]&gt;Metas[data_inicio])*(Metas_Diarias[[#This Row],[data]]&lt;Metas[data_fim])),Metas[meta_mensal],0)</f>
        <v>110000</v>
      </c>
      <c r="L2474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75" spans="2:12" x14ac:dyDescent="0.3">
      <c r="B2475" s="34">
        <v>46301</v>
      </c>
      <c r="C2475" s="34" t="str">
        <f>TEXT(Metas_Diarias[[#This Row],[data]],"dddd")</f>
        <v>terça-feira</v>
      </c>
      <c r="D2475" s="33">
        <v>3</v>
      </c>
      <c r="E2475" s="33">
        <v>3</v>
      </c>
      <c r="F2475" s="18"/>
      <c r="G2475" s="35">
        <f>WEEKDAY(Metas_Diarias[[#This Row],[data]])</f>
        <v>3</v>
      </c>
      <c r="H2475" s="35">
        <f>IF(Metas_Diarias[[#This Row],[dias_da_demana]]=1,"domingo",IF(Metas_Diarias[[#This Row],[dias_da_demana]]=7,0.5,1))</f>
        <v>1</v>
      </c>
      <c r="I2475" s="35">
        <f>_xlfn.XLOOKUP(Metas_Diarias[[#This Row],[data]],Feriados[Data],Feriados[Feriado],1)</f>
        <v>1</v>
      </c>
      <c r="J2475" s="33" cm="1">
        <f t="array" aca="1" ref="J2475" ca="1">SUMPRODUCT(IF((NOT(ISERROR(MATCH(ROW(INDIRECT(DATE(YEAR(B2475),MONTH(B2475),1)&amp;":"&amp;DATE(YEAR(B2475),MONTH(B2475)+1,0))),Feriados[Data],0))))=FALSE,
IF(WEEKDAY(ROW(INDIRECT(DATE(YEAR(B2475),MONTH(B2475),1)&amp;":"&amp;DATE(YEAR(B2475),MONTH(B2475)+1,0))),2)&lt;=5,1,IF(WEEKDAY(ROW(INDIRECT(DATE(YEAR(B2475),MONTH(B2475),1)&amp;":"&amp;DATE(YEAR(B2475),MONTH(B2475)+1,0))),2)=6,0.5,0)),0))</f>
        <v>23.5</v>
      </c>
      <c r="K2475" s="22" cm="1">
        <f t="array" ref="K2475">_xlfn.XLOOKUP(1,((Metas_Diarias[[#This Row],[tipo_equipe_id]]=Metas[equipe])*(Metas_Diarias[[#This Row],[data]]&gt;Metas[data_inicio])*(Metas_Diarias[[#This Row],[data]]&lt;Metas[data_fim])),Metas[meta_mensal],0)</f>
        <v>110000</v>
      </c>
      <c r="L247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76" spans="2:12" x14ac:dyDescent="0.3">
      <c r="B2476" s="34">
        <v>46302</v>
      </c>
      <c r="C2476" s="34" t="str">
        <f>TEXT(Metas_Diarias[[#This Row],[data]],"dddd")</f>
        <v>quarta-feira</v>
      </c>
      <c r="D2476" s="33">
        <v>3</v>
      </c>
      <c r="E2476" s="33">
        <v>3</v>
      </c>
      <c r="F2476" s="18"/>
      <c r="G2476" s="35">
        <f>WEEKDAY(Metas_Diarias[[#This Row],[data]])</f>
        <v>4</v>
      </c>
      <c r="H2476" s="35">
        <f>IF(Metas_Diarias[[#This Row],[dias_da_demana]]=1,"domingo",IF(Metas_Diarias[[#This Row],[dias_da_demana]]=7,0.5,1))</f>
        <v>1</v>
      </c>
      <c r="I2476" s="35">
        <f>_xlfn.XLOOKUP(Metas_Diarias[[#This Row],[data]],Feriados[Data],Feriados[Feriado],1)</f>
        <v>1</v>
      </c>
      <c r="J2476" s="33" cm="1">
        <f t="array" aca="1" ref="J2476" ca="1">SUMPRODUCT(IF((NOT(ISERROR(MATCH(ROW(INDIRECT(DATE(YEAR(B2476),MONTH(B2476),1)&amp;":"&amp;DATE(YEAR(B2476),MONTH(B2476)+1,0))),Feriados[Data],0))))=FALSE,
IF(WEEKDAY(ROW(INDIRECT(DATE(YEAR(B2476),MONTH(B2476),1)&amp;":"&amp;DATE(YEAR(B2476),MONTH(B2476)+1,0))),2)&lt;=5,1,IF(WEEKDAY(ROW(INDIRECT(DATE(YEAR(B2476),MONTH(B2476),1)&amp;":"&amp;DATE(YEAR(B2476),MONTH(B2476)+1,0))),2)=6,0.5,0)),0))</f>
        <v>23.5</v>
      </c>
      <c r="K2476" s="22" cm="1">
        <f t="array" ref="K2476">_xlfn.XLOOKUP(1,((Metas_Diarias[[#This Row],[tipo_equipe_id]]=Metas[equipe])*(Metas_Diarias[[#This Row],[data]]&gt;Metas[data_inicio])*(Metas_Diarias[[#This Row],[data]]&lt;Metas[data_fim])),Metas[meta_mensal],0)</f>
        <v>110000</v>
      </c>
      <c r="L2476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77" spans="2:12" x14ac:dyDescent="0.3">
      <c r="B2477" s="34">
        <v>46303</v>
      </c>
      <c r="C2477" s="34" t="str">
        <f>TEXT(Metas_Diarias[[#This Row],[data]],"dddd")</f>
        <v>quinta-feira</v>
      </c>
      <c r="D2477" s="33">
        <v>3</v>
      </c>
      <c r="E2477" s="33">
        <v>3</v>
      </c>
      <c r="F2477" s="18"/>
      <c r="G2477" s="35">
        <f>WEEKDAY(Metas_Diarias[[#This Row],[data]])</f>
        <v>5</v>
      </c>
      <c r="H2477" s="35">
        <f>IF(Metas_Diarias[[#This Row],[dias_da_demana]]=1,"domingo",IF(Metas_Diarias[[#This Row],[dias_da_demana]]=7,0.5,1))</f>
        <v>1</v>
      </c>
      <c r="I2477" s="35">
        <f>_xlfn.XLOOKUP(Metas_Diarias[[#This Row],[data]],Feriados[Data],Feriados[Feriado],1)</f>
        <v>1</v>
      </c>
      <c r="J2477" s="33" cm="1">
        <f t="array" aca="1" ref="J2477" ca="1">SUMPRODUCT(IF((NOT(ISERROR(MATCH(ROW(INDIRECT(DATE(YEAR(B2477),MONTH(B2477),1)&amp;":"&amp;DATE(YEAR(B2477),MONTH(B2477)+1,0))),Feriados[Data],0))))=FALSE,
IF(WEEKDAY(ROW(INDIRECT(DATE(YEAR(B2477),MONTH(B2477),1)&amp;":"&amp;DATE(YEAR(B2477),MONTH(B2477)+1,0))),2)&lt;=5,1,IF(WEEKDAY(ROW(INDIRECT(DATE(YEAR(B2477),MONTH(B2477),1)&amp;":"&amp;DATE(YEAR(B2477),MONTH(B2477)+1,0))),2)=6,0.5,0)),0))</f>
        <v>23.5</v>
      </c>
      <c r="K2477" s="22" cm="1">
        <f t="array" ref="K2477">_xlfn.XLOOKUP(1,((Metas_Diarias[[#This Row],[tipo_equipe_id]]=Metas[equipe])*(Metas_Diarias[[#This Row],[data]]&gt;Metas[data_inicio])*(Metas_Diarias[[#This Row],[data]]&lt;Metas[data_fim])),Metas[meta_mensal],0)</f>
        <v>110000</v>
      </c>
      <c r="L2477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78" spans="2:12" x14ac:dyDescent="0.3">
      <c r="B2478" s="34">
        <v>46304</v>
      </c>
      <c r="C2478" s="34" t="str">
        <f>TEXT(Metas_Diarias[[#This Row],[data]],"dddd")</f>
        <v>sexta-feira</v>
      </c>
      <c r="D2478" s="33">
        <v>3</v>
      </c>
      <c r="E2478" s="33">
        <v>3</v>
      </c>
      <c r="F2478" s="18"/>
      <c r="G2478" s="35">
        <f>WEEKDAY(Metas_Diarias[[#This Row],[data]])</f>
        <v>6</v>
      </c>
      <c r="H2478" s="35">
        <f>IF(Metas_Diarias[[#This Row],[dias_da_demana]]=1,"domingo",IF(Metas_Diarias[[#This Row],[dias_da_demana]]=7,0.5,1))</f>
        <v>1</v>
      </c>
      <c r="I2478" s="35">
        <f>_xlfn.XLOOKUP(Metas_Diarias[[#This Row],[data]],Feriados[Data],Feriados[Feriado],1)</f>
        <v>1</v>
      </c>
      <c r="J2478" s="33" cm="1">
        <f t="array" aca="1" ref="J2478" ca="1">SUMPRODUCT(IF((NOT(ISERROR(MATCH(ROW(INDIRECT(DATE(YEAR(B2478),MONTH(B2478),1)&amp;":"&amp;DATE(YEAR(B2478),MONTH(B2478)+1,0))),Feriados[Data],0))))=FALSE,
IF(WEEKDAY(ROW(INDIRECT(DATE(YEAR(B2478),MONTH(B2478),1)&amp;":"&amp;DATE(YEAR(B2478),MONTH(B2478)+1,0))),2)&lt;=5,1,IF(WEEKDAY(ROW(INDIRECT(DATE(YEAR(B2478),MONTH(B2478),1)&amp;":"&amp;DATE(YEAR(B2478),MONTH(B2478)+1,0))),2)=6,0.5,0)),0))</f>
        <v>23.5</v>
      </c>
      <c r="K2478" s="22" cm="1">
        <f t="array" ref="K2478">_xlfn.XLOOKUP(1,((Metas_Diarias[[#This Row],[tipo_equipe_id]]=Metas[equipe])*(Metas_Diarias[[#This Row],[data]]&gt;Metas[data_inicio])*(Metas_Diarias[[#This Row],[data]]&lt;Metas[data_fim])),Metas[meta_mensal],0)</f>
        <v>110000</v>
      </c>
      <c r="L247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79" spans="2:12" x14ac:dyDescent="0.3">
      <c r="B2479" s="34">
        <v>46305</v>
      </c>
      <c r="C2479" s="34" t="str">
        <f>TEXT(Metas_Diarias[[#This Row],[data]],"dddd")</f>
        <v>sábado</v>
      </c>
      <c r="D2479" s="33">
        <v>3</v>
      </c>
      <c r="E2479" s="33">
        <v>3</v>
      </c>
      <c r="F2479" s="18"/>
      <c r="G2479" s="35">
        <f>WEEKDAY(Metas_Diarias[[#This Row],[data]])</f>
        <v>7</v>
      </c>
      <c r="H2479" s="35">
        <f>IF(Metas_Diarias[[#This Row],[dias_da_demana]]=1,"domingo",IF(Metas_Diarias[[#This Row],[dias_da_demana]]=7,0.5,1))</f>
        <v>0.5</v>
      </c>
      <c r="I2479" s="35">
        <f>_xlfn.XLOOKUP(Metas_Diarias[[#This Row],[data]],Feriados[Data],Feriados[Feriado],1)</f>
        <v>1</v>
      </c>
      <c r="J2479" s="33" cm="1">
        <f t="array" aca="1" ref="J2479" ca="1">SUMPRODUCT(IF((NOT(ISERROR(MATCH(ROW(INDIRECT(DATE(YEAR(B2479),MONTH(B2479),1)&amp;":"&amp;DATE(YEAR(B2479),MONTH(B2479)+1,0))),Feriados[Data],0))))=FALSE,
IF(WEEKDAY(ROW(INDIRECT(DATE(YEAR(B2479),MONTH(B2479),1)&amp;":"&amp;DATE(YEAR(B2479),MONTH(B2479)+1,0))),2)&lt;=5,1,IF(WEEKDAY(ROW(INDIRECT(DATE(YEAR(B2479),MONTH(B2479),1)&amp;":"&amp;DATE(YEAR(B2479),MONTH(B2479)+1,0))),2)=6,0.5,0)),0))</f>
        <v>23.5</v>
      </c>
      <c r="K2479" s="22" cm="1">
        <f t="array" ref="K2479">_xlfn.XLOOKUP(1,((Metas_Diarias[[#This Row],[tipo_equipe_id]]=Metas[equipe])*(Metas_Diarias[[#This Row],[data]]&gt;Metas[data_inicio])*(Metas_Diarias[[#This Row],[data]]&lt;Metas[data_fim])),Metas[meta_mensal],0)</f>
        <v>110000</v>
      </c>
      <c r="L2479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80" spans="2:12" x14ac:dyDescent="0.3">
      <c r="B2480" s="34">
        <v>46306</v>
      </c>
      <c r="C2480" s="34" t="str">
        <f>TEXT(Metas_Diarias[[#This Row],[data]],"dddd")</f>
        <v>domingo</v>
      </c>
      <c r="D2480" s="33">
        <v>3</v>
      </c>
      <c r="E2480" s="33">
        <v>3</v>
      </c>
      <c r="F2480" s="18"/>
      <c r="G2480" s="35">
        <f>WEEKDAY(Metas_Diarias[[#This Row],[data]])</f>
        <v>1</v>
      </c>
      <c r="H2480" s="35" t="str">
        <f>IF(Metas_Diarias[[#This Row],[dias_da_demana]]=1,"domingo",IF(Metas_Diarias[[#This Row],[dias_da_demana]]=7,0.5,1))</f>
        <v>domingo</v>
      </c>
      <c r="I2480" s="35">
        <f>_xlfn.XLOOKUP(Metas_Diarias[[#This Row],[data]],Feriados[Data],Feriados[Feriado],1)</f>
        <v>1</v>
      </c>
      <c r="J2480" s="33" cm="1">
        <f t="array" aca="1" ref="J2480" ca="1">SUMPRODUCT(IF((NOT(ISERROR(MATCH(ROW(INDIRECT(DATE(YEAR(B2480),MONTH(B2480),1)&amp;":"&amp;DATE(YEAR(B2480),MONTH(B2480)+1,0))),Feriados[Data],0))))=FALSE,
IF(WEEKDAY(ROW(INDIRECT(DATE(YEAR(B2480),MONTH(B2480),1)&amp;":"&amp;DATE(YEAR(B2480),MONTH(B2480)+1,0))),2)&lt;=5,1,IF(WEEKDAY(ROW(INDIRECT(DATE(YEAR(B2480),MONTH(B2480),1)&amp;":"&amp;DATE(YEAR(B2480),MONTH(B2480)+1,0))),2)=6,0.5,0)),0))</f>
        <v>23.5</v>
      </c>
      <c r="K2480" s="22" cm="1">
        <f t="array" ref="K2480">_xlfn.XLOOKUP(1,((Metas_Diarias[[#This Row],[tipo_equipe_id]]=Metas[equipe])*(Metas_Diarias[[#This Row],[data]]&gt;Metas[data_inicio])*(Metas_Diarias[[#This Row],[data]]&lt;Metas[data_fim])),Metas[meta_mensal],0)</f>
        <v>110000</v>
      </c>
      <c r="L24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81" spans="2:12" x14ac:dyDescent="0.3">
      <c r="B2481" s="34">
        <v>46307</v>
      </c>
      <c r="C2481" s="34" t="str">
        <f>TEXT(Metas_Diarias[[#This Row],[data]],"dddd")</f>
        <v>segunda-feira</v>
      </c>
      <c r="D2481" s="33">
        <v>3</v>
      </c>
      <c r="E2481" s="33">
        <v>3</v>
      </c>
      <c r="F2481" s="18"/>
      <c r="G2481" s="35">
        <f>WEEKDAY(Metas_Diarias[[#This Row],[data]])</f>
        <v>2</v>
      </c>
      <c r="H2481" s="35">
        <f>IF(Metas_Diarias[[#This Row],[dias_da_demana]]=1,"domingo",IF(Metas_Diarias[[#This Row],[dias_da_demana]]=7,0.5,1))</f>
        <v>1</v>
      </c>
      <c r="I2481" s="35" t="str">
        <f>_xlfn.XLOOKUP(Metas_Diarias[[#This Row],[data]],Feriados[Data],Feriados[Feriado],1)</f>
        <v>Nossa Sr.a Aparecida - Padroeira do Brasil</v>
      </c>
      <c r="J2481" s="33" cm="1">
        <f t="array" aca="1" ref="J2481" ca="1">SUMPRODUCT(IF((NOT(ISERROR(MATCH(ROW(INDIRECT(DATE(YEAR(B2481),MONTH(B2481),1)&amp;":"&amp;DATE(YEAR(B2481),MONTH(B2481)+1,0))),Feriados[Data],0))))=FALSE,
IF(WEEKDAY(ROW(INDIRECT(DATE(YEAR(B2481),MONTH(B2481),1)&amp;":"&amp;DATE(YEAR(B2481),MONTH(B2481)+1,0))),2)&lt;=5,1,IF(WEEKDAY(ROW(INDIRECT(DATE(YEAR(B2481),MONTH(B2481),1)&amp;":"&amp;DATE(YEAR(B2481),MONTH(B2481)+1,0))),2)=6,0.5,0)),0))</f>
        <v>23.5</v>
      </c>
      <c r="K2481" s="22" cm="1">
        <f t="array" ref="K2481">_xlfn.XLOOKUP(1,((Metas_Diarias[[#This Row],[tipo_equipe_id]]=Metas[equipe])*(Metas_Diarias[[#This Row],[data]]&gt;Metas[data_inicio])*(Metas_Diarias[[#This Row],[data]]&lt;Metas[data_fim])),Metas[meta_mensal],0)</f>
        <v>110000</v>
      </c>
      <c r="L248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82" spans="2:12" x14ac:dyDescent="0.3">
      <c r="B2482" s="34">
        <v>46308</v>
      </c>
      <c r="C2482" s="34" t="str">
        <f>TEXT(Metas_Diarias[[#This Row],[data]],"dddd")</f>
        <v>terça-feira</v>
      </c>
      <c r="D2482" s="33">
        <v>3</v>
      </c>
      <c r="E2482" s="33">
        <v>3</v>
      </c>
      <c r="F2482" s="18"/>
      <c r="G2482" s="35">
        <f>WEEKDAY(Metas_Diarias[[#This Row],[data]])</f>
        <v>3</v>
      </c>
      <c r="H2482" s="35">
        <f>IF(Metas_Diarias[[#This Row],[dias_da_demana]]=1,"domingo",IF(Metas_Diarias[[#This Row],[dias_da_demana]]=7,0.5,1))</f>
        <v>1</v>
      </c>
      <c r="I2482" s="35">
        <f>_xlfn.XLOOKUP(Metas_Diarias[[#This Row],[data]],Feriados[Data],Feriados[Feriado],1)</f>
        <v>1</v>
      </c>
      <c r="J2482" s="33" cm="1">
        <f t="array" aca="1" ref="J2482" ca="1">SUMPRODUCT(IF((NOT(ISERROR(MATCH(ROW(INDIRECT(DATE(YEAR(B2482),MONTH(B2482),1)&amp;":"&amp;DATE(YEAR(B2482),MONTH(B2482)+1,0))),Feriados[Data],0))))=FALSE,
IF(WEEKDAY(ROW(INDIRECT(DATE(YEAR(B2482),MONTH(B2482),1)&amp;":"&amp;DATE(YEAR(B2482),MONTH(B2482)+1,0))),2)&lt;=5,1,IF(WEEKDAY(ROW(INDIRECT(DATE(YEAR(B2482),MONTH(B2482),1)&amp;":"&amp;DATE(YEAR(B2482),MONTH(B2482)+1,0))),2)=6,0.5,0)),0))</f>
        <v>23.5</v>
      </c>
      <c r="K2482" s="22" cm="1">
        <f t="array" ref="K2482">_xlfn.XLOOKUP(1,((Metas_Diarias[[#This Row],[tipo_equipe_id]]=Metas[equipe])*(Metas_Diarias[[#This Row],[data]]&gt;Metas[data_inicio])*(Metas_Diarias[[#This Row],[data]]&lt;Metas[data_fim])),Metas[meta_mensal],0)</f>
        <v>110000</v>
      </c>
      <c r="L248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83" spans="2:12" x14ac:dyDescent="0.3">
      <c r="B2483" s="34">
        <v>46309</v>
      </c>
      <c r="C2483" s="34" t="str">
        <f>TEXT(Metas_Diarias[[#This Row],[data]],"dddd")</f>
        <v>quarta-feira</v>
      </c>
      <c r="D2483" s="33">
        <v>3</v>
      </c>
      <c r="E2483" s="33">
        <v>3</v>
      </c>
      <c r="F2483" s="18"/>
      <c r="G2483" s="35">
        <f>WEEKDAY(Metas_Diarias[[#This Row],[data]])</f>
        <v>4</v>
      </c>
      <c r="H2483" s="35">
        <f>IF(Metas_Diarias[[#This Row],[dias_da_demana]]=1,"domingo",IF(Metas_Diarias[[#This Row],[dias_da_demana]]=7,0.5,1))</f>
        <v>1</v>
      </c>
      <c r="I2483" s="35">
        <f>_xlfn.XLOOKUP(Metas_Diarias[[#This Row],[data]],Feriados[Data],Feriados[Feriado],1)</f>
        <v>1</v>
      </c>
      <c r="J2483" s="33" cm="1">
        <f t="array" aca="1" ref="J2483" ca="1">SUMPRODUCT(IF((NOT(ISERROR(MATCH(ROW(INDIRECT(DATE(YEAR(B2483),MONTH(B2483),1)&amp;":"&amp;DATE(YEAR(B2483),MONTH(B2483)+1,0))),Feriados[Data],0))))=FALSE,
IF(WEEKDAY(ROW(INDIRECT(DATE(YEAR(B2483),MONTH(B2483),1)&amp;":"&amp;DATE(YEAR(B2483),MONTH(B2483)+1,0))),2)&lt;=5,1,IF(WEEKDAY(ROW(INDIRECT(DATE(YEAR(B2483),MONTH(B2483),1)&amp;":"&amp;DATE(YEAR(B2483),MONTH(B2483)+1,0))),2)=6,0.5,0)),0))</f>
        <v>23.5</v>
      </c>
      <c r="K2483" s="22" cm="1">
        <f t="array" ref="K2483">_xlfn.XLOOKUP(1,((Metas_Diarias[[#This Row],[tipo_equipe_id]]=Metas[equipe])*(Metas_Diarias[[#This Row],[data]]&gt;Metas[data_inicio])*(Metas_Diarias[[#This Row],[data]]&lt;Metas[data_fim])),Metas[meta_mensal],0)</f>
        <v>110000</v>
      </c>
      <c r="L2483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84" spans="2:12" x14ac:dyDescent="0.3">
      <c r="B2484" s="34">
        <v>46310</v>
      </c>
      <c r="C2484" s="34" t="str">
        <f>TEXT(Metas_Diarias[[#This Row],[data]],"dddd")</f>
        <v>quinta-feira</v>
      </c>
      <c r="D2484" s="33">
        <v>3</v>
      </c>
      <c r="E2484" s="33">
        <v>3</v>
      </c>
      <c r="F2484" s="18"/>
      <c r="G2484" s="35">
        <f>WEEKDAY(Metas_Diarias[[#This Row],[data]])</f>
        <v>5</v>
      </c>
      <c r="H2484" s="35">
        <f>IF(Metas_Diarias[[#This Row],[dias_da_demana]]=1,"domingo",IF(Metas_Diarias[[#This Row],[dias_da_demana]]=7,0.5,1))</f>
        <v>1</v>
      </c>
      <c r="I2484" s="35">
        <f>_xlfn.XLOOKUP(Metas_Diarias[[#This Row],[data]],Feriados[Data],Feriados[Feriado],1)</f>
        <v>1</v>
      </c>
      <c r="J2484" s="33" cm="1">
        <f t="array" aca="1" ref="J2484" ca="1">SUMPRODUCT(IF((NOT(ISERROR(MATCH(ROW(INDIRECT(DATE(YEAR(B2484),MONTH(B2484),1)&amp;":"&amp;DATE(YEAR(B2484),MONTH(B2484)+1,0))),Feriados[Data],0))))=FALSE,
IF(WEEKDAY(ROW(INDIRECT(DATE(YEAR(B2484),MONTH(B2484),1)&amp;":"&amp;DATE(YEAR(B2484),MONTH(B2484)+1,0))),2)&lt;=5,1,IF(WEEKDAY(ROW(INDIRECT(DATE(YEAR(B2484),MONTH(B2484),1)&amp;":"&amp;DATE(YEAR(B2484),MONTH(B2484)+1,0))),2)=6,0.5,0)),0))</f>
        <v>23.5</v>
      </c>
      <c r="K2484" s="22" cm="1">
        <f t="array" ref="K2484">_xlfn.XLOOKUP(1,((Metas_Diarias[[#This Row],[tipo_equipe_id]]=Metas[equipe])*(Metas_Diarias[[#This Row],[data]]&gt;Metas[data_inicio])*(Metas_Diarias[[#This Row],[data]]&lt;Metas[data_fim])),Metas[meta_mensal],0)</f>
        <v>110000</v>
      </c>
      <c r="L2484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85" spans="2:12" x14ac:dyDescent="0.3">
      <c r="B2485" s="34">
        <v>46311</v>
      </c>
      <c r="C2485" s="34" t="str">
        <f>TEXT(Metas_Diarias[[#This Row],[data]],"dddd")</f>
        <v>sexta-feira</v>
      </c>
      <c r="D2485" s="33">
        <v>3</v>
      </c>
      <c r="E2485" s="33">
        <v>3</v>
      </c>
      <c r="F2485" s="18"/>
      <c r="G2485" s="35">
        <f>WEEKDAY(Metas_Diarias[[#This Row],[data]])</f>
        <v>6</v>
      </c>
      <c r="H2485" s="35">
        <f>IF(Metas_Diarias[[#This Row],[dias_da_demana]]=1,"domingo",IF(Metas_Diarias[[#This Row],[dias_da_demana]]=7,0.5,1))</f>
        <v>1</v>
      </c>
      <c r="I2485" s="35">
        <f>_xlfn.XLOOKUP(Metas_Diarias[[#This Row],[data]],Feriados[Data],Feriados[Feriado],1)</f>
        <v>1</v>
      </c>
      <c r="J2485" s="33" cm="1">
        <f t="array" aca="1" ref="J2485" ca="1">SUMPRODUCT(IF((NOT(ISERROR(MATCH(ROW(INDIRECT(DATE(YEAR(B2485),MONTH(B2485),1)&amp;":"&amp;DATE(YEAR(B2485),MONTH(B2485)+1,0))),Feriados[Data],0))))=FALSE,
IF(WEEKDAY(ROW(INDIRECT(DATE(YEAR(B2485),MONTH(B2485),1)&amp;":"&amp;DATE(YEAR(B2485),MONTH(B2485)+1,0))),2)&lt;=5,1,IF(WEEKDAY(ROW(INDIRECT(DATE(YEAR(B2485),MONTH(B2485),1)&amp;":"&amp;DATE(YEAR(B2485),MONTH(B2485)+1,0))),2)=6,0.5,0)),0))</f>
        <v>23.5</v>
      </c>
      <c r="K2485" s="22" cm="1">
        <f t="array" ref="K2485">_xlfn.XLOOKUP(1,((Metas_Diarias[[#This Row],[tipo_equipe_id]]=Metas[equipe])*(Metas_Diarias[[#This Row],[data]]&gt;Metas[data_inicio])*(Metas_Diarias[[#This Row],[data]]&lt;Metas[data_fim])),Metas[meta_mensal],0)</f>
        <v>110000</v>
      </c>
      <c r="L248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86" spans="2:12" x14ac:dyDescent="0.3">
      <c r="B2486" s="34">
        <v>46312</v>
      </c>
      <c r="C2486" s="34" t="str">
        <f>TEXT(Metas_Diarias[[#This Row],[data]],"dddd")</f>
        <v>sábado</v>
      </c>
      <c r="D2486" s="33">
        <v>3</v>
      </c>
      <c r="E2486" s="33">
        <v>3</v>
      </c>
      <c r="F2486" s="18"/>
      <c r="G2486" s="35">
        <f>WEEKDAY(Metas_Diarias[[#This Row],[data]])</f>
        <v>7</v>
      </c>
      <c r="H2486" s="35">
        <f>IF(Metas_Diarias[[#This Row],[dias_da_demana]]=1,"domingo",IF(Metas_Diarias[[#This Row],[dias_da_demana]]=7,0.5,1))</f>
        <v>0.5</v>
      </c>
      <c r="I2486" s="35">
        <f>_xlfn.XLOOKUP(Metas_Diarias[[#This Row],[data]],Feriados[Data],Feriados[Feriado],1)</f>
        <v>1</v>
      </c>
      <c r="J2486" s="33" cm="1">
        <f t="array" aca="1" ref="J2486" ca="1">SUMPRODUCT(IF((NOT(ISERROR(MATCH(ROW(INDIRECT(DATE(YEAR(B2486),MONTH(B2486),1)&amp;":"&amp;DATE(YEAR(B2486),MONTH(B2486)+1,0))),Feriados[Data],0))))=FALSE,
IF(WEEKDAY(ROW(INDIRECT(DATE(YEAR(B2486),MONTH(B2486),1)&amp;":"&amp;DATE(YEAR(B2486),MONTH(B2486)+1,0))),2)&lt;=5,1,IF(WEEKDAY(ROW(INDIRECT(DATE(YEAR(B2486),MONTH(B2486),1)&amp;":"&amp;DATE(YEAR(B2486),MONTH(B2486)+1,0))),2)=6,0.5,0)),0))</f>
        <v>23.5</v>
      </c>
      <c r="K2486" s="22" cm="1">
        <f t="array" ref="K2486">_xlfn.XLOOKUP(1,((Metas_Diarias[[#This Row],[tipo_equipe_id]]=Metas[equipe])*(Metas_Diarias[[#This Row],[data]]&gt;Metas[data_inicio])*(Metas_Diarias[[#This Row],[data]]&lt;Metas[data_fim])),Metas[meta_mensal],0)</f>
        <v>110000</v>
      </c>
      <c r="L2486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87" spans="2:12" x14ac:dyDescent="0.3">
      <c r="B2487" s="34">
        <v>46313</v>
      </c>
      <c r="C2487" s="34" t="str">
        <f>TEXT(Metas_Diarias[[#This Row],[data]],"dddd")</f>
        <v>domingo</v>
      </c>
      <c r="D2487" s="33">
        <v>3</v>
      </c>
      <c r="E2487" s="33">
        <v>3</v>
      </c>
      <c r="F2487" s="18"/>
      <c r="G2487" s="35">
        <f>WEEKDAY(Metas_Diarias[[#This Row],[data]])</f>
        <v>1</v>
      </c>
      <c r="H2487" s="35" t="str">
        <f>IF(Metas_Diarias[[#This Row],[dias_da_demana]]=1,"domingo",IF(Metas_Diarias[[#This Row],[dias_da_demana]]=7,0.5,1))</f>
        <v>domingo</v>
      </c>
      <c r="I2487" s="35">
        <f>_xlfn.XLOOKUP(Metas_Diarias[[#This Row],[data]],Feriados[Data],Feriados[Feriado],1)</f>
        <v>1</v>
      </c>
      <c r="J2487" s="33" cm="1">
        <f t="array" aca="1" ref="J2487" ca="1">SUMPRODUCT(IF((NOT(ISERROR(MATCH(ROW(INDIRECT(DATE(YEAR(B2487),MONTH(B2487),1)&amp;":"&amp;DATE(YEAR(B2487),MONTH(B2487)+1,0))),Feriados[Data],0))))=FALSE,
IF(WEEKDAY(ROW(INDIRECT(DATE(YEAR(B2487),MONTH(B2487),1)&amp;":"&amp;DATE(YEAR(B2487),MONTH(B2487)+1,0))),2)&lt;=5,1,IF(WEEKDAY(ROW(INDIRECT(DATE(YEAR(B2487),MONTH(B2487),1)&amp;":"&amp;DATE(YEAR(B2487),MONTH(B2487)+1,0))),2)=6,0.5,0)),0))</f>
        <v>23.5</v>
      </c>
      <c r="K2487" s="22" cm="1">
        <f t="array" ref="K2487">_xlfn.XLOOKUP(1,((Metas_Diarias[[#This Row],[tipo_equipe_id]]=Metas[equipe])*(Metas_Diarias[[#This Row],[data]]&gt;Metas[data_inicio])*(Metas_Diarias[[#This Row],[data]]&lt;Metas[data_fim])),Metas[meta_mensal],0)</f>
        <v>110000</v>
      </c>
      <c r="L24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88" spans="2:12" x14ac:dyDescent="0.3">
      <c r="B2488" s="34">
        <v>46314</v>
      </c>
      <c r="C2488" s="34" t="str">
        <f>TEXT(Metas_Diarias[[#This Row],[data]],"dddd")</f>
        <v>segunda-feira</v>
      </c>
      <c r="D2488" s="33">
        <v>3</v>
      </c>
      <c r="E2488" s="33">
        <v>3</v>
      </c>
      <c r="F2488" s="18"/>
      <c r="G2488" s="35">
        <f>WEEKDAY(Metas_Diarias[[#This Row],[data]])</f>
        <v>2</v>
      </c>
      <c r="H2488" s="35">
        <f>IF(Metas_Diarias[[#This Row],[dias_da_demana]]=1,"domingo",IF(Metas_Diarias[[#This Row],[dias_da_demana]]=7,0.5,1))</f>
        <v>1</v>
      </c>
      <c r="I2488" s="35">
        <f>_xlfn.XLOOKUP(Metas_Diarias[[#This Row],[data]],Feriados[Data],Feriados[Feriado],1)</f>
        <v>1</v>
      </c>
      <c r="J2488" s="33" cm="1">
        <f t="array" aca="1" ref="J2488" ca="1">SUMPRODUCT(IF((NOT(ISERROR(MATCH(ROW(INDIRECT(DATE(YEAR(B2488),MONTH(B2488),1)&amp;":"&amp;DATE(YEAR(B2488),MONTH(B2488)+1,0))),Feriados[Data],0))))=FALSE,
IF(WEEKDAY(ROW(INDIRECT(DATE(YEAR(B2488),MONTH(B2488),1)&amp;":"&amp;DATE(YEAR(B2488),MONTH(B2488)+1,0))),2)&lt;=5,1,IF(WEEKDAY(ROW(INDIRECT(DATE(YEAR(B2488),MONTH(B2488),1)&amp;":"&amp;DATE(YEAR(B2488),MONTH(B2488)+1,0))),2)=6,0.5,0)),0))</f>
        <v>23.5</v>
      </c>
      <c r="K2488" s="22" cm="1">
        <f t="array" ref="K2488">_xlfn.XLOOKUP(1,((Metas_Diarias[[#This Row],[tipo_equipe_id]]=Metas[equipe])*(Metas_Diarias[[#This Row],[data]]&gt;Metas[data_inicio])*(Metas_Diarias[[#This Row],[data]]&lt;Metas[data_fim])),Metas[meta_mensal],0)</f>
        <v>110000</v>
      </c>
      <c r="L248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89" spans="2:12" x14ac:dyDescent="0.3">
      <c r="B2489" s="34">
        <v>46315</v>
      </c>
      <c r="C2489" s="34" t="str">
        <f>TEXT(Metas_Diarias[[#This Row],[data]],"dddd")</f>
        <v>terça-feira</v>
      </c>
      <c r="D2489" s="33">
        <v>3</v>
      </c>
      <c r="E2489" s="33">
        <v>3</v>
      </c>
      <c r="F2489" s="18"/>
      <c r="G2489" s="35">
        <f>WEEKDAY(Metas_Diarias[[#This Row],[data]])</f>
        <v>3</v>
      </c>
      <c r="H2489" s="35">
        <f>IF(Metas_Diarias[[#This Row],[dias_da_demana]]=1,"domingo",IF(Metas_Diarias[[#This Row],[dias_da_demana]]=7,0.5,1))</f>
        <v>1</v>
      </c>
      <c r="I2489" s="35">
        <f>_xlfn.XLOOKUP(Metas_Diarias[[#This Row],[data]],Feriados[Data],Feriados[Feriado],1)</f>
        <v>1</v>
      </c>
      <c r="J2489" s="33" cm="1">
        <f t="array" aca="1" ref="J2489" ca="1">SUMPRODUCT(IF((NOT(ISERROR(MATCH(ROW(INDIRECT(DATE(YEAR(B2489),MONTH(B2489),1)&amp;":"&amp;DATE(YEAR(B2489),MONTH(B2489)+1,0))),Feriados[Data],0))))=FALSE,
IF(WEEKDAY(ROW(INDIRECT(DATE(YEAR(B2489),MONTH(B2489),1)&amp;":"&amp;DATE(YEAR(B2489),MONTH(B2489)+1,0))),2)&lt;=5,1,IF(WEEKDAY(ROW(INDIRECT(DATE(YEAR(B2489),MONTH(B2489),1)&amp;":"&amp;DATE(YEAR(B2489),MONTH(B2489)+1,0))),2)=6,0.5,0)),0))</f>
        <v>23.5</v>
      </c>
      <c r="K2489" s="22" cm="1">
        <f t="array" ref="K2489">_xlfn.XLOOKUP(1,((Metas_Diarias[[#This Row],[tipo_equipe_id]]=Metas[equipe])*(Metas_Diarias[[#This Row],[data]]&gt;Metas[data_inicio])*(Metas_Diarias[[#This Row],[data]]&lt;Metas[data_fim])),Metas[meta_mensal],0)</f>
        <v>110000</v>
      </c>
      <c r="L248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90" spans="2:12" x14ac:dyDescent="0.3">
      <c r="B2490" s="34">
        <v>46316</v>
      </c>
      <c r="C2490" s="34" t="str">
        <f>TEXT(Metas_Diarias[[#This Row],[data]],"dddd")</f>
        <v>quarta-feira</v>
      </c>
      <c r="D2490" s="33">
        <v>3</v>
      </c>
      <c r="E2490" s="33">
        <v>3</v>
      </c>
      <c r="F2490" s="18"/>
      <c r="G2490" s="35">
        <f>WEEKDAY(Metas_Diarias[[#This Row],[data]])</f>
        <v>4</v>
      </c>
      <c r="H2490" s="35">
        <f>IF(Metas_Diarias[[#This Row],[dias_da_demana]]=1,"domingo",IF(Metas_Diarias[[#This Row],[dias_da_demana]]=7,0.5,1))</f>
        <v>1</v>
      </c>
      <c r="I2490" s="35">
        <f>_xlfn.XLOOKUP(Metas_Diarias[[#This Row],[data]],Feriados[Data],Feriados[Feriado],1)</f>
        <v>1</v>
      </c>
      <c r="J2490" s="33" cm="1">
        <f t="array" aca="1" ref="J2490" ca="1">SUMPRODUCT(IF((NOT(ISERROR(MATCH(ROW(INDIRECT(DATE(YEAR(B2490),MONTH(B2490),1)&amp;":"&amp;DATE(YEAR(B2490),MONTH(B2490)+1,0))),Feriados[Data],0))))=FALSE,
IF(WEEKDAY(ROW(INDIRECT(DATE(YEAR(B2490),MONTH(B2490),1)&amp;":"&amp;DATE(YEAR(B2490),MONTH(B2490)+1,0))),2)&lt;=5,1,IF(WEEKDAY(ROW(INDIRECT(DATE(YEAR(B2490),MONTH(B2490),1)&amp;":"&amp;DATE(YEAR(B2490),MONTH(B2490)+1,0))),2)=6,0.5,0)),0))</f>
        <v>23.5</v>
      </c>
      <c r="K2490" s="22" cm="1">
        <f t="array" ref="K2490">_xlfn.XLOOKUP(1,((Metas_Diarias[[#This Row],[tipo_equipe_id]]=Metas[equipe])*(Metas_Diarias[[#This Row],[data]]&gt;Metas[data_inicio])*(Metas_Diarias[[#This Row],[data]]&lt;Metas[data_fim])),Metas[meta_mensal],0)</f>
        <v>110000</v>
      </c>
      <c r="L2490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91" spans="2:12" x14ac:dyDescent="0.3">
      <c r="B2491" s="34">
        <v>46317</v>
      </c>
      <c r="C2491" s="34" t="str">
        <f>TEXT(Metas_Diarias[[#This Row],[data]],"dddd")</f>
        <v>quinta-feira</v>
      </c>
      <c r="D2491" s="33">
        <v>3</v>
      </c>
      <c r="E2491" s="33">
        <v>3</v>
      </c>
      <c r="F2491" s="18"/>
      <c r="G2491" s="35">
        <f>WEEKDAY(Metas_Diarias[[#This Row],[data]])</f>
        <v>5</v>
      </c>
      <c r="H2491" s="35">
        <f>IF(Metas_Diarias[[#This Row],[dias_da_demana]]=1,"domingo",IF(Metas_Diarias[[#This Row],[dias_da_demana]]=7,0.5,1))</f>
        <v>1</v>
      </c>
      <c r="I2491" s="35">
        <f>_xlfn.XLOOKUP(Metas_Diarias[[#This Row],[data]],Feriados[Data],Feriados[Feriado],1)</f>
        <v>1</v>
      </c>
      <c r="J2491" s="33" cm="1">
        <f t="array" aca="1" ref="J2491" ca="1">SUMPRODUCT(IF((NOT(ISERROR(MATCH(ROW(INDIRECT(DATE(YEAR(B2491),MONTH(B2491),1)&amp;":"&amp;DATE(YEAR(B2491),MONTH(B2491)+1,0))),Feriados[Data],0))))=FALSE,
IF(WEEKDAY(ROW(INDIRECT(DATE(YEAR(B2491),MONTH(B2491),1)&amp;":"&amp;DATE(YEAR(B2491),MONTH(B2491)+1,0))),2)&lt;=5,1,IF(WEEKDAY(ROW(INDIRECT(DATE(YEAR(B2491),MONTH(B2491),1)&amp;":"&amp;DATE(YEAR(B2491),MONTH(B2491)+1,0))),2)=6,0.5,0)),0))</f>
        <v>23.5</v>
      </c>
      <c r="K2491" s="22" cm="1">
        <f t="array" ref="K2491">_xlfn.XLOOKUP(1,((Metas_Diarias[[#This Row],[tipo_equipe_id]]=Metas[equipe])*(Metas_Diarias[[#This Row],[data]]&gt;Metas[data_inicio])*(Metas_Diarias[[#This Row],[data]]&lt;Metas[data_fim])),Metas[meta_mensal],0)</f>
        <v>110000</v>
      </c>
      <c r="L2491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92" spans="2:12" x14ac:dyDescent="0.3">
      <c r="B2492" s="34">
        <v>46318</v>
      </c>
      <c r="C2492" s="34" t="str">
        <f>TEXT(Metas_Diarias[[#This Row],[data]],"dddd")</f>
        <v>sexta-feira</v>
      </c>
      <c r="D2492" s="33">
        <v>3</v>
      </c>
      <c r="E2492" s="33">
        <v>3</v>
      </c>
      <c r="F2492" s="18"/>
      <c r="G2492" s="35">
        <f>WEEKDAY(Metas_Diarias[[#This Row],[data]])</f>
        <v>6</v>
      </c>
      <c r="H2492" s="35">
        <f>IF(Metas_Diarias[[#This Row],[dias_da_demana]]=1,"domingo",IF(Metas_Diarias[[#This Row],[dias_da_demana]]=7,0.5,1))</f>
        <v>1</v>
      </c>
      <c r="I2492" s="35">
        <f>_xlfn.XLOOKUP(Metas_Diarias[[#This Row],[data]],Feriados[Data],Feriados[Feriado],1)</f>
        <v>1</v>
      </c>
      <c r="J2492" s="33" cm="1">
        <f t="array" aca="1" ref="J2492" ca="1">SUMPRODUCT(IF((NOT(ISERROR(MATCH(ROW(INDIRECT(DATE(YEAR(B2492),MONTH(B2492),1)&amp;":"&amp;DATE(YEAR(B2492),MONTH(B2492)+1,0))),Feriados[Data],0))))=FALSE,
IF(WEEKDAY(ROW(INDIRECT(DATE(YEAR(B2492),MONTH(B2492),1)&amp;":"&amp;DATE(YEAR(B2492),MONTH(B2492)+1,0))),2)&lt;=5,1,IF(WEEKDAY(ROW(INDIRECT(DATE(YEAR(B2492),MONTH(B2492),1)&amp;":"&amp;DATE(YEAR(B2492),MONTH(B2492)+1,0))),2)=6,0.5,0)),0))</f>
        <v>23.5</v>
      </c>
      <c r="K2492" s="22" cm="1">
        <f t="array" ref="K2492">_xlfn.XLOOKUP(1,((Metas_Diarias[[#This Row],[tipo_equipe_id]]=Metas[equipe])*(Metas_Diarias[[#This Row],[data]]&gt;Metas[data_inicio])*(Metas_Diarias[[#This Row],[data]]&lt;Metas[data_fim])),Metas[meta_mensal],0)</f>
        <v>110000</v>
      </c>
      <c r="L2492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93" spans="2:12" x14ac:dyDescent="0.3">
      <c r="B2493" s="34">
        <v>46319</v>
      </c>
      <c r="C2493" s="34" t="str">
        <f>TEXT(Metas_Diarias[[#This Row],[data]],"dddd")</f>
        <v>sábado</v>
      </c>
      <c r="D2493" s="33">
        <v>3</v>
      </c>
      <c r="E2493" s="33">
        <v>3</v>
      </c>
      <c r="F2493" s="18"/>
      <c r="G2493" s="35">
        <f>WEEKDAY(Metas_Diarias[[#This Row],[data]])</f>
        <v>7</v>
      </c>
      <c r="H2493" s="35">
        <f>IF(Metas_Diarias[[#This Row],[dias_da_demana]]=1,"domingo",IF(Metas_Diarias[[#This Row],[dias_da_demana]]=7,0.5,1))</f>
        <v>0.5</v>
      </c>
      <c r="I2493" s="35">
        <f>_xlfn.XLOOKUP(Metas_Diarias[[#This Row],[data]],Feriados[Data],Feriados[Feriado],1)</f>
        <v>1</v>
      </c>
      <c r="J2493" s="33" cm="1">
        <f t="array" aca="1" ref="J2493" ca="1">SUMPRODUCT(IF((NOT(ISERROR(MATCH(ROW(INDIRECT(DATE(YEAR(B2493),MONTH(B2493),1)&amp;":"&amp;DATE(YEAR(B2493),MONTH(B2493)+1,0))),Feriados[Data],0))))=FALSE,
IF(WEEKDAY(ROW(INDIRECT(DATE(YEAR(B2493),MONTH(B2493),1)&amp;":"&amp;DATE(YEAR(B2493),MONTH(B2493)+1,0))),2)&lt;=5,1,IF(WEEKDAY(ROW(INDIRECT(DATE(YEAR(B2493),MONTH(B2493),1)&amp;":"&amp;DATE(YEAR(B2493),MONTH(B2493)+1,0))),2)=6,0.5,0)),0))</f>
        <v>23.5</v>
      </c>
      <c r="K2493" s="22" cm="1">
        <f t="array" ref="K2493">_xlfn.XLOOKUP(1,((Metas_Diarias[[#This Row],[tipo_equipe_id]]=Metas[equipe])*(Metas_Diarias[[#This Row],[data]]&gt;Metas[data_inicio])*(Metas_Diarias[[#This Row],[data]]&lt;Metas[data_fim])),Metas[meta_mensal],0)</f>
        <v>110000</v>
      </c>
      <c r="L2493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494" spans="2:12" x14ac:dyDescent="0.3">
      <c r="B2494" s="34">
        <v>46320</v>
      </c>
      <c r="C2494" s="34" t="str">
        <f>TEXT(Metas_Diarias[[#This Row],[data]],"dddd")</f>
        <v>domingo</v>
      </c>
      <c r="D2494" s="33">
        <v>3</v>
      </c>
      <c r="E2494" s="33">
        <v>3</v>
      </c>
      <c r="F2494" s="18"/>
      <c r="G2494" s="35">
        <f>WEEKDAY(Metas_Diarias[[#This Row],[data]])</f>
        <v>1</v>
      </c>
      <c r="H2494" s="35" t="str">
        <f>IF(Metas_Diarias[[#This Row],[dias_da_demana]]=1,"domingo",IF(Metas_Diarias[[#This Row],[dias_da_demana]]=7,0.5,1))</f>
        <v>domingo</v>
      </c>
      <c r="I2494" s="35">
        <f>_xlfn.XLOOKUP(Metas_Diarias[[#This Row],[data]],Feriados[Data],Feriados[Feriado],1)</f>
        <v>1</v>
      </c>
      <c r="J2494" s="33" cm="1">
        <f t="array" aca="1" ref="J2494" ca="1">SUMPRODUCT(IF((NOT(ISERROR(MATCH(ROW(INDIRECT(DATE(YEAR(B2494),MONTH(B2494),1)&amp;":"&amp;DATE(YEAR(B2494),MONTH(B2494)+1,0))),Feriados[Data],0))))=FALSE,
IF(WEEKDAY(ROW(INDIRECT(DATE(YEAR(B2494),MONTH(B2494),1)&amp;":"&amp;DATE(YEAR(B2494),MONTH(B2494)+1,0))),2)&lt;=5,1,IF(WEEKDAY(ROW(INDIRECT(DATE(YEAR(B2494),MONTH(B2494),1)&amp;":"&amp;DATE(YEAR(B2494),MONTH(B2494)+1,0))),2)=6,0.5,0)),0))</f>
        <v>23.5</v>
      </c>
      <c r="K2494" s="22" cm="1">
        <f t="array" ref="K2494">_xlfn.XLOOKUP(1,((Metas_Diarias[[#This Row],[tipo_equipe_id]]=Metas[equipe])*(Metas_Diarias[[#This Row],[data]]&gt;Metas[data_inicio])*(Metas_Diarias[[#This Row],[data]]&lt;Metas[data_fim])),Metas[meta_mensal],0)</f>
        <v>110000</v>
      </c>
      <c r="L24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495" spans="2:12" x14ac:dyDescent="0.3">
      <c r="B2495" s="34">
        <v>46321</v>
      </c>
      <c r="C2495" s="34" t="str">
        <f>TEXT(Metas_Diarias[[#This Row],[data]],"dddd")</f>
        <v>segunda-feira</v>
      </c>
      <c r="D2495" s="33">
        <v>3</v>
      </c>
      <c r="E2495" s="33">
        <v>3</v>
      </c>
      <c r="F2495" s="18"/>
      <c r="G2495" s="35">
        <f>WEEKDAY(Metas_Diarias[[#This Row],[data]])</f>
        <v>2</v>
      </c>
      <c r="H2495" s="35">
        <f>IF(Metas_Diarias[[#This Row],[dias_da_demana]]=1,"domingo",IF(Metas_Diarias[[#This Row],[dias_da_demana]]=7,0.5,1))</f>
        <v>1</v>
      </c>
      <c r="I2495" s="35">
        <f>_xlfn.XLOOKUP(Metas_Diarias[[#This Row],[data]],Feriados[Data],Feriados[Feriado],1)</f>
        <v>1</v>
      </c>
      <c r="J2495" s="33" cm="1">
        <f t="array" aca="1" ref="J2495" ca="1">SUMPRODUCT(IF((NOT(ISERROR(MATCH(ROW(INDIRECT(DATE(YEAR(B2495),MONTH(B2495),1)&amp;":"&amp;DATE(YEAR(B2495),MONTH(B2495)+1,0))),Feriados[Data],0))))=FALSE,
IF(WEEKDAY(ROW(INDIRECT(DATE(YEAR(B2495),MONTH(B2495),1)&amp;":"&amp;DATE(YEAR(B2495),MONTH(B2495)+1,0))),2)&lt;=5,1,IF(WEEKDAY(ROW(INDIRECT(DATE(YEAR(B2495),MONTH(B2495),1)&amp;":"&amp;DATE(YEAR(B2495),MONTH(B2495)+1,0))),2)=6,0.5,0)),0))</f>
        <v>23.5</v>
      </c>
      <c r="K2495" s="22" cm="1">
        <f t="array" ref="K2495">_xlfn.XLOOKUP(1,((Metas_Diarias[[#This Row],[tipo_equipe_id]]=Metas[equipe])*(Metas_Diarias[[#This Row],[data]]&gt;Metas[data_inicio])*(Metas_Diarias[[#This Row],[data]]&lt;Metas[data_fim])),Metas[meta_mensal],0)</f>
        <v>110000</v>
      </c>
      <c r="L2495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96" spans="2:12" x14ac:dyDescent="0.3">
      <c r="B2496" s="34">
        <v>46322</v>
      </c>
      <c r="C2496" s="34" t="str">
        <f>TEXT(Metas_Diarias[[#This Row],[data]],"dddd")</f>
        <v>terça-feira</v>
      </c>
      <c r="D2496" s="33">
        <v>3</v>
      </c>
      <c r="E2496" s="33">
        <v>3</v>
      </c>
      <c r="F2496" s="18"/>
      <c r="G2496" s="35">
        <f>WEEKDAY(Metas_Diarias[[#This Row],[data]])</f>
        <v>3</v>
      </c>
      <c r="H2496" s="35">
        <f>IF(Metas_Diarias[[#This Row],[dias_da_demana]]=1,"domingo",IF(Metas_Diarias[[#This Row],[dias_da_demana]]=7,0.5,1))</f>
        <v>1</v>
      </c>
      <c r="I2496" s="35">
        <f>_xlfn.XLOOKUP(Metas_Diarias[[#This Row],[data]],Feriados[Data],Feriados[Feriado],1)</f>
        <v>1</v>
      </c>
      <c r="J2496" s="33" cm="1">
        <f t="array" aca="1" ref="J2496" ca="1">SUMPRODUCT(IF((NOT(ISERROR(MATCH(ROW(INDIRECT(DATE(YEAR(B2496),MONTH(B2496),1)&amp;":"&amp;DATE(YEAR(B2496),MONTH(B2496)+1,0))),Feriados[Data],0))))=FALSE,
IF(WEEKDAY(ROW(INDIRECT(DATE(YEAR(B2496),MONTH(B2496),1)&amp;":"&amp;DATE(YEAR(B2496),MONTH(B2496)+1,0))),2)&lt;=5,1,IF(WEEKDAY(ROW(INDIRECT(DATE(YEAR(B2496),MONTH(B2496),1)&amp;":"&amp;DATE(YEAR(B2496),MONTH(B2496)+1,0))),2)=6,0.5,0)),0))</f>
        <v>23.5</v>
      </c>
      <c r="K2496" s="22" cm="1">
        <f t="array" ref="K2496">_xlfn.XLOOKUP(1,((Metas_Diarias[[#This Row],[tipo_equipe_id]]=Metas[equipe])*(Metas_Diarias[[#This Row],[data]]&gt;Metas[data_inicio])*(Metas_Diarias[[#This Row],[data]]&lt;Metas[data_fim])),Metas[meta_mensal],0)</f>
        <v>110000</v>
      </c>
      <c r="L2496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97" spans="2:12" x14ac:dyDescent="0.3">
      <c r="B2497" s="34">
        <v>46323</v>
      </c>
      <c r="C2497" s="34" t="str">
        <f>TEXT(Metas_Diarias[[#This Row],[data]],"dddd")</f>
        <v>quarta-feira</v>
      </c>
      <c r="D2497" s="33">
        <v>3</v>
      </c>
      <c r="E2497" s="33">
        <v>3</v>
      </c>
      <c r="F2497" s="18"/>
      <c r="G2497" s="35">
        <f>WEEKDAY(Metas_Diarias[[#This Row],[data]])</f>
        <v>4</v>
      </c>
      <c r="H2497" s="35">
        <f>IF(Metas_Diarias[[#This Row],[dias_da_demana]]=1,"domingo",IF(Metas_Diarias[[#This Row],[dias_da_demana]]=7,0.5,1))</f>
        <v>1</v>
      </c>
      <c r="I2497" s="35">
        <f>_xlfn.XLOOKUP(Metas_Diarias[[#This Row],[data]],Feriados[Data],Feriados[Feriado],1)</f>
        <v>1</v>
      </c>
      <c r="J2497" s="33" cm="1">
        <f t="array" aca="1" ref="J2497" ca="1">SUMPRODUCT(IF((NOT(ISERROR(MATCH(ROW(INDIRECT(DATE(YEAR(B2497),MONTH(B2497),1)&amp;":"&amp;DATE(YEAR(B2497),MONTH(B2497)+1,0))),Feriados[Data],0))))=FALSE,
IF(WEEKDAY(ROW(INDIRECT(DATE(YEAR(B2497),MONTH(B2497),1)&amp;":"&amp;DATE(YEAR(B2497),MONTH(B2497)+1,0))),2)&lt;=5,1,IF(WEEKDAY(ROW(INDIRECT(DATE(YEAR(B2497),MONTH(B2497),1)&amp;":"&amp;DATE(YEAR(B2497),MONTH(B2497)+1,0))),2)=6,0.5,0)),0))</f>
        <v>23.5</v>
      </c>
      <c r="K2497" s="22" cm="1">
        <f t="array" ref="K2497">_xlfn.XLOOKUP(1,((Metas_Diarias[[#This Row],[tipo_equipe_id]]=Metas[equipe])*(Metas_Diarias[[#This Row],[data]]&gt;Metas[data_inicio])*(Metas_Diarias[[#This Row],[data]]&lt;Metas[data_fim])),Metas[meta_mensal],0)</f>
        <v>110000</v>
      </c>
      <c r="L2497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98" spans="2:12" x14ac:dyDescent="0.3">
      <c r="B2498" s="34">
        <v>46324</v>
      </c>
      <c r="C2498" s="34" t="str">
        <f>TEXT(Metas_Diarias[[#This Row],[data]],"dddd")</f>
        <v>quinta-feira</v>
      </c>
      <c r="D2498" s="33">
        <v>3</v>
      </c>
      <c r="E2498" s="33">
        <v>3</v>
      </c>
      <c r="F2498" s="18"/>
      <c r="G2498" s="35">
        <f>WEEKDAY(Metas_Diarias[[#This Row],[data]])</f>
        <v>5</v>
      </c>
      <c r="H2498" s="35">
        <f>IF(Metas_Diarias[[#This Row],[dias_da_demana]]=1,"domingo",IF(Metas_Diarias[[#This Row],[dias_da_demana]]=7,0.5,1))</f>
        <v>1</v>
      </c>
      <c r="I2498" s="35">
        <f>_xlfn.XLOOKUP(Metas_Diarias[[#This Row],[data]],Feriados[Data],Feriados[Feriado],1)</f>
        <v>1</v>
      </c>
      <c r="J2498" s="33" cm="1">
        <f t="array" aca="1" ref="J2498" ca="1">SUMPRODUCT(IF((NOT(ISERROR(MATCH(ROW(INDIRECT(DATE(YEAR(B2498),MONTH(B2498),1)&amp;":"&amp;DATE(YEAR(B2498),MONTH(B2498)+1,0))),Feriados[Data],0))))=FALSE,
IF(WEEKDAY(ROW(INDIRECT(DATE(YEAR(B2498),MONTH(B2498),1)&amp;":"&amp;DATE(YEAR(B2498),MONTH(B2498)+1,0))),2)&lt;=5,1,IF(WEEKDAY(ROW(INDIRECT(DATE(YEAR(B2498),MONTH(B2498),1)&amp;":"&amp;DATE(YEAR(B2498),MONTH(B2498)+1,0))),2)=6,0.5,0)),0))</f>
        <v>23.5</v>
      </c>
      <c r="K2498" s="22" cm="1">
        <f t="array" ref="K2498">_xlfn.XLOOKUP(1,((Metas_Diarias[[#This Row],[tipo_equipe_id]]=Metas[equipe])*(Metas_Diarias[[#This Row],[data]]&gt;Metas[data_inicio])*(Metas_Diarias[[#This Row],[data]]&lt;Metas[data_fim])),Metas[meta_mensal],0)</f>
        <v>110000</v>
      </c>
      <c r="L2498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499" spans="2:12" x14ac:dyDescent="0.3">
      <c r="B2499" s="34">
        <v>46325</v>
      </c>
      <c r="C2499" s="34" t="str">
        <f>TEXT(Metas_Diarias[[#This Row],[data]],"dddd")</f>
        <v>sexta-feira</v>
      </c>
      <c r="D2499" s="33">
        <v>3</v>
      </c>
      <c r="E2499" s="33">
        <v>3</v>
      </c>
      <c r="F2499" s="18"/>
      <c r="G2499" s="35">
        <f>WEEKDAY(Metas_Diarias[[#This Row],[data]])</f>
        <v>6</v>
      </c>
      <c r="H2499" s="35">
        <f>IF(Metas_Diarias[[#This Row],[dias_da_demana]]=1,"domingo",IF(Metas_Diarias[[#This Row],[dias_da_demana]]=7,0.5,1))</f>
        <v>1</v>
      </c>
      <c r="I2499" s="35">
        <f>_xlfn.XLOOKUP(Metas_Diarias[[#This Row],[data]],Feriados[Data],Feriados[Feriado],1)</f>
        <v>1</v>
      </c>
      <c r="J2499" s="33" cm="1">
        <f t="array" aca="1" ref="J2499" ca="1">SUMPRODUCT(IF((NOT(ISERROR(MATCH(ROW(INDIRECT(DATE(YEAR(B2499),MONTH(B2499),1)&amp;":"&amp;DATE(YEAR(B2499),MONTH(B2499)+1,0))),Feriados[Data],0))))=FALSE,
IF(WEEKDAY(ROW(INDIRECT(DATE(YEAR(B2499),MONTH(B2499),1)&amp;":"&amp;DATE(YEAR(B2499),MONTH(B2499)+1,0))),2)&lt;=5,1,IF(WEEKDAY(ROW(INDIRECT(DATE(YEAR(B2499),MONTH(B2499),1)&amp;":"&amp;DATE(YEAR(B2499),MONTH(B2499)+1,0))),2)=6,0.5,0)),0))</f>
        <v>23.5</v>
      </c>
      <c r="K2499" s="22" cm="1">
        <f t="array" ref="K2499">_xlfn.XLOOKUP(1,((Metas_Diarias[[#This Row],[tipo_equipe_id]]=Metas[equipe])*(Metas_Diarias[[#This Row],[data]]&gt;Metas[data_inicio])*(Metas_Diarias[[#This Row],[data]]&lt;Metas[data_fim])),Metas[meta_mensal],0)</f>
        <v>110000</v>
      </c>
      <c r="L2499" s="24">
        <f ca="1">Metas_Diarias[[#This Row],[meta_mensal]]*IF(Metas_Diarias[[#This Row],[semana]]="domingo",0,Metas_Diarias[[#This Row],[semana]])*IF(Metas_Diarias[[#This Row],[feriado]]&lt;&gt;1,0,1)/Metas_Diarias[[#This Row],[dias_úteis_Mês]]</f>
        <v>4680.8510638297876</v>
      </c>
    </row>
    <row r="2500" spans="2:12" x14ac:dyDescent="0.3">
      <c r="B2500" s="34">
        <v>46326</v>
      </c>
      <c r="C2500" s="34" t="str">
        <f>TEXT(Metas_Diarias[[#This Row],[data]],"dddd")</f>
        <v>sábado</v>
      </c>
      <c r="D2500" s="33">
        <v>3</v>
      </c>
      <c r="E2500" s="33">
        <v>3</v>
      </c>
      <c r="F2500" s="18"/>
      <c r="G2500" s="35">
        <f>WEEKDAY(Metas_Diarias[[#This Row],[data]])</f>
        <v>7</v>
      </c>
      <c r="H2500" s="35">
        <f>IF(Metas_Diarias[[#This Row],[dias_da_demana]]=1,"domingo",IF(Metas_Diarias[[#This Row],[dias_da_demana]]=7,0.5,1))</f>
        <v>0.5</v>
      </c>
      <c r="I2500" s="35">
        <f>_xlfn.XLOOKUP(Metas_Diarias[[#This Row],[data]],Feriados[Data],Feriados[Feriado],1)</f>
        <v>1</v>
      </c>
      <c r="J2500" s="33" cm="1">
        <f t="array" aca="1" ref="J2500" ca="1">SUMPRODUCT(IF((NOT(ISERROR(MATCH(ROW(INDIRECT(DATE(YEAR(B2500),MONTH(B2500),1)&amp;":"&amp;DATE(YEAR(B2500),MONTH(B2500)+1,0))),Feriados[Data],0))))=FALSE,
IF(WEEKDAY(ROW(INDIRECT(DATE(YEAR(B2500),MONTH(B2500),1)&amp;":"&amp;DATE(YEAR(B2500),MONTH(B2500)+1,0))),2)&lt;=5,1,IF(WEEKDAY(ROW(INDIRECT(DATE(YEAR(B2500),MONTH(B2500),1)&amp;":"&amp;DATE(YEAR(B2500),MONTH(B2500)+1,0))),2)=6,0.5,0)),0))</f>
        <v>23.5</v>
      </c>
      <c r="K2500" s="22" cm="1">
        <f t="array" ref="K2500">_xlfn.XLOOKUP(1,((Metas_Diarias[[#This Row],[tipo_equipe_id]]=Metas[equipe])*(Metas_Diarias[[#This Row],[data]]&gt;Metas[data_inicio])*(Metas_Diarias[[#This Row],[data]]&lt;Metas[data_fim])),Metas[meta_mensal],0)</f>
        <v>110000</v>
      </c>
      <c r="L2500" s="24">
        <f ca="1">Metas_Diarias[[#This Row],[meta_mensal]]*IF(Metas_Diarias[[#This Row],[semana]]="domingo",0,Metas_Diarias[[#This Row],[semana]])*IF(Metas_Diarias[[#This Row],[feriado]]&lt;&gt;1,0,1)/Metas_Diarias[[#This Row],[dias_úteis_Mês]]</f>
        <v>2340.4255319148938</v>
      </c>
    </row>
    <row r="2501" spans="2:12" x14ac:dyDescent="0.3">
      <c r="B2501" s="34">
        <v>46327</v>
      </c>
      <c r="C2501" s="34" t="str">
        <f>TEXT(Metas_Diarias[[#This Row],[data]],"dddd")</f>
        <v>domingo</v>
      </c>
      <c r="D2501" s="33">
        <v>3</v>
      </c>
      <c r="E2501" s="33">
        <v>3</v>
      </c>
      <c r="F2501" s="18"/>
      <c r="G2501" s="35">
        <f>WEEKDAY(Metas_Diarias[[#This Row],[data]])</f>
        <v>1</v>
      </c>
      <c r="H2501" s="35" t="str">
        <f>IF(Metas_Diarias[[#This Row],[dias_da_demana]]=1,"domingo",IF(Metas_Diarias[[#This Row],[dias_da_demana]]=7,0.5,1))</f>
        <v>domingo</v>
      </c>
      <c r="I2501" s="35">
        <f>_xlfn.XLOOKUP(Metas_Diarias[[#This Row],[data]],Feriados[Data],Feriados[Feriado],1)</f>
        <v>1</v>
      </c>
      <c r="J2501" s="33" cm="1">
        <f t="array" aca="1" ref="J2501" ca="1">SUMPRODUCT(IF((NOT(ISERROR(MATCH(ROW(INDIRECT(DATE(YEAR(B2501),MONTH(B2501),1)&amp;":"&amp;DATE(YEAR(B2501),MONTH(B2501)+1,0))),Feriados[Data],0))))=FALSE,
IF(WEEKDAY(ROW(INDIRECT(DATE(YEAR(B2501),MONTH(B2501),1)&amp;":"&amp;DATE(YEAR(B2501),MONTH(B2501)+1,0))),2)&lt;=5,1,IF(WEEKDAY(ROW(INDIRECT(DATE(YEAR(B2501),MONTH(B2501),1)&amp;":"&amp;DATE(YEAR(B2501),MONTH(B2501)+1,0))),2)=6,0.5,0)),0))</f>
        <v>22</v>
      </c>
      <c r="K2501" s="22" cm="1">
        <f t="array" ref="K2501">_xlfn.XLOOKUP(1,((Metas_Diarias[[#This Row],[tipo_equipe_id]]=Metas[equipe])*(Metas_Diarias[[#This Row],[data]]&gt;Metas[data_inicio])*(Metas_Diarias[[#This Row],[data]]&lt;Metas[data_fim])),Metas[meta_mensal],0)</f>
        <v>110000</v>
      </c>
      <c r="L25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02" spans="2:12" x14ac:dyDescent="0.3">
      <c r="B2502" s="34">
        <v>46328</v>
      </c>
      <c r="C2502" s="34" t="str">
        <f>TEXT(Metas_Diarias[[#This Row],[data]],"dddd")</f>
        <v>segunda-feira</v>
      </c>
      <c r="D2502" s="33">
        <v>3</v>
      </c>
      <c r="E2502" s="33">
        <v>3</v>
      </c>
      <c r="F2502" s="18"/>
      <c r="G2502" s="35">
        <f>WEEKDAY(Metas_Diarias[[#This Row],[data]])</f>
        <v>2</v>
      </c>
      <c r="H2502" s="35">
        <f>IF(Metas_Diarias[[#This Row],[dias_da_demana]]=1,"domingo",IF(Metas_Diarias[[#This Row],[dias_da_demana]]=7,0.5,1))</f>
        <v>1</v>
      </c>
      <c r="I2502" s="35" t="str">
        <f>_xlfn.XLOOKUP(Metas_Diarias[[#This Row],[data]],Feriados[Data],Feriados[Feriado],1)</f>
        <v>Finados</v>
      </c>
      <c r="J2502" s="33" cm="1">
        <f t="array" aca="1" ref="J2502" ca="1">SUMPRODUCT(IF((NOT(ISERROR(MATCH(ROW(INDIRECT(DATE(YEAR(B2502),MONTH(B2502),1)&amp;":"&amp;DATE(YEAR(B2502),MONTH(B2502)+1,0))),Feriados[Data],0))))=FALSE,
IF(WEEKDAY(ROW(INDIRECT(DATE(YEAR(B2502),MONTH(B2502),1)&amp;":"&amp;DATE(YEAR(B2502),MONTH(B2502)+1,0))),2)&lt;=5,1,IF(WEEKDAY(ROW(INDIRECT(DATE(YEAR(B2502),MONTH(B2502),1)&amp;":"&amp;DATE(YEAR(B2502),MONTH(B2502)+1,0))),2)=6,0.5,0)),0))</f>
        <v>22</v>
      </c>
      <c r="K2502" s="22" cm="1">
        <f t="array" ref="K2502">_xlfn.XLOOKUP(1,((Metas_Diarias[[#This Row],[tipo_equipe_id]]=Metas[equipe])*(Metas_Diarias[[#This Row],[data]]&gt;Metas[data_inicio])*(Metas_Diarias[[#This Row],[data]]&lt;Metas[data_fim])),Metas[meta_mensal],0)</f>
        <v>110000</v>
      </c>
      <c r="L250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03" spans="2:12" x14ac:dyDescent="0.3">
      <c r="B2503" s="34">
        <v>46329</v>
      </c>
      <c r="C2503" s="34" t="str">
        <f>TEXT(Metas_Diarias[[#This Row],[data]],"dddd")</f>
        <v>terça-feira</v>
      </c>
      <c r="D2503" s="33">
        <v>3</v>
      </c>
      <c r="E2503" s="33">
        <v>3</v>
      </c>
      <c r="F2503" s="18"/>
      <c r="G2503" s="35">
        <f>WEEKDAY(Metas_Diarias[[#This Row],[data]])</f>
        <v>3</v>
      </c>
      <c r="H2503" s="35">
        <f>IF(Metas_Diarias[[#This Row],[dias_da_demana]]=1,"domingo",IF(Metas_Diarias[[#This Row],[dias_da_demana]]=7,0.5,1))</f>
        <v>1</v>
      </c>
      <c r="I2503" s="35">
        <f>_xlfn.XLOOKUP(Metas_Diarias[[#This Row],[data]],Feriados[Data],Feriados[Feriado],1)</f>
        <v>1</v>
      </c>
      <c r="J2503" s="33" cm="1">
        <f t="array" aca="1" ref="J2503" ca="1">SUMPRODUCT(IF((NOT(ISERROR(MATCH(ROW(INDIRECT(DATE(YEAR(B2503),MONTH(B2503),1)&amp;":"&amp;DATE(YEAR(B2503),MONTH(B2503)+1,0))),Feriados[Data],0))))=FALSE,
IF(WEEKDAY(ROW(INDIRECT(DATE(YEAR(B2503),MONTH(B2503),1)&amp;":"&amp;DATE(YEAR(B2503),MONTH(B2503)+1,0))),2)&lt;=5,1,IF(WEEKDAY(ROW(INDIRECT(DATE(YEAR(B2503),MONTH(B2503),1)&amp;":"&amp;DATE(YEAR(B2503),MONTH(B2503)+1,0))),2)=6,0.5,0)),0))</f>
        <v>22</v>
      </c>
      <c r="K2503" s="22" cm="1">
        <f t="array" ref="K2503">_xlfn.XLOOKUP(1,((Metas_Diarias[[#This Row],[tipo_equipe_id]]=Metas[equipe])*(Metas_Diarias[[#This Row],[data]]&gt;Metas[data_inicio])*(Metas_Diarias[[#This Row],[data]]&lt;Metas[data_fim])),Metas[meta_mensal],0)</f>
        <v>110000</v>
      </c>
      <c r="L250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04" spans="2:12" x14ac:dyDescent="0.3">
      <c r="B2504" s="34">
        <v>46330</v>
      </c>
      <c r="C2504" s="34" t="str">
        <f>TEXT(Metas_Diarias[[#This Row],[data]],"dddd")</f>
        <v>quarta-feira</v>
      </c>
      <c r="D2504" s="33">
        <v>3</v>
      </c>
      <c r="E2504" s="33">
        <v>3</v>
      </c>
      <c r="F2504" s="18"/>
      <c r="G2504" s="35">
        <f>WEEKDAY(Metas_Diarias[[#This Row],[data]])</f>
        <v>4</v>
      </c>
      <c r="H2504" s="35">
        <f>IF(Metas_Diarias[[#This Row],[dias_da_demana]]=1,"domingo",IF(Metas_Diarias[[#This Row],[dias_da_demana]]=7,0.5,1))</f>
        <v>1</v>
      </c>
      <c r="I2504" s="35">
        <f>_xlfn.XLOOKUP(Metas_Diarias[[#This Row],[data]],Feriados[Data],Feriados[Feriado],1)</f>
        <v>1</v>
      </c>
      <c r="J2504" s="33" cm="1">
        <f t="array" aca="1" ref="J2504" ca="1">SUMPRODUCT(IF((NOT(ISERROR(MATCH(ROW(INDIRECT(DATE(YEAR(B2504),MONTH(B2504),1)&amp;":"&amp;DATE(YEAR(B2504),MONTH(B2504)+1,0))),Feriados[Data],0))))=FALSE,
IF(WEEKDAY(ROW(INDIRECT(DATE(YEAR(B2504),MONTH(B2504),1)&amp;":"&amp;DATE(YEAR(B2504),MONTH(B2504)+1,0))),2)&lt;=5,1,IF(WEEKDAY(ROW(INDIRECT(DATE(YEAR(B2504),MONTH(B2504),1)&amp;":"&amp;DATE(YEAR(B2504),MONTH(B2504)+1,0))),2)=6,0.5,0)),0))</f>
        <v>22</v>
      </c>
      <c r="K2504" s="22" cm="1">
        <f t="array" ref="K2504">_xlfn.XLOOKUP(1,((Metas_Diarias[[#This Row],[tipo_equipe_id]]=Metas[equipe])*(Metas_Diarias[[#This Row],[data]]&gt;Metas[data_inicio])*(Metas_Diarias[[#This Row],[data]]&lt;Metas[data_fim])),Metas[meta_mensal],0)</f>
        <v>110000</v>
      </c>
      <c r="L2504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05" spans="2:12" x14ac:dyDescent="0.3">
      <c r="B2505" s="34">
        <v>46331</v>
      </c>
      <c r="C2505" s="34" t="str">
        <f>TEXT(Metas_Diarias[[#This Row],[data]],"dddd")</f>
        <v>quinta-feira</v>
      </c>
      <c r="D2505" s="33">
        <v>3</v>
      </c>
      <c r="E2505" s="33">
        <v>3</v>
      </c>
      <c r="F2505" s="18"/>
      <c r="G2505" s="35">
        <f>WEEKDAY(Metas_Diarias[[#This Row],[data]])</f>
        <v>5</v>
      </c>
      <c r="H2505" s="35">
        <f>IF(Metas_Diarias[[#This Row],[dias_da_demana]]=1,"domingo",IF(Metas_Diarias[[#This Row],[dias_da_demana]]=7,0.5,1))</f>
        <v>1</v>
      </c>
      <c r="I2505" s="35">
        <f>_xlfn.XLOOKUP(Metas_Diarias[[#This Row],[data]],Feriados[Data],Feriados[Feriado],1)</f>
        <v>1</v>
      </c>
      <c r="J2505" s="33" cm="1">
        <f t="array" aca="1" ref="J2505" ca="1">SUMPRODUCT(IF((NOT(ISERROR(MATCH(ROW(INDIRECT(DATE(YEAR(B2505),MONTH(B2505),1)&amp;":"&amp;DATE(YEAR(B2505),MONTH(B2505)+1,0))),Feriados[Data],0))))=FALSE,
IF(WEEKDAY(ROW(INDIRECT(DATE(YEAR(B2505),MONTH(B2505),1)&amp;":"&amp;DATE(YEAR(B2505),MONTH(B2505)+1,0))),2)&lt;=5,1,IF(WEEKDAY(ROW(INDIRECT(DATE(YEAR(B2505),MONTH(B2505),1)&amp;":"&amp;DATE(YEAR(B2505),MONTH(B2505)+1,0))),2)=6,0.5,0)),0))</f>
        <v>22</v>
      </c>
      <c r="K2505" s="22" cm="1">
        <f t="array" ref="K2505">_xlfn.XLOOKUP(1,((Metas_Diarias[[#This Row],[tipo_equipe_id]]=Metas[equipe])*(Metas_Diarias[[#This Row],[data]]&gt;Metas[data_inicio])*(Metas_Diarias[[#This Row],[data]]&lt;Metas[data_fim])),Metas[meta_mensal],0)</f>
        <v>110000</v>
      </c>
      <c r="L2505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06" spans="2:12" x14ac:dyDescent="0.3">
      <c r="B2506" s="34">
        <v>46332</v>
      </c>
      <c r="C2506" s="34" t="str">
        <f>TEXT(Metas_Diarias[[#This Row],[data]],"dddd")</f>
        <v>sexta-feira</v>
      </c>
      <c r="D2506" s="33">
        <v>3</v>
      </c>
      <c r="E2506" s="33">
        <v>3</v>
      </c>
      <c r="F2506" s="18"/>
      <c r="G2506" s="35">
        <f>WEEKDAY(Metas_Diarias[[#This Row],[data]])</f>
        <v>6</v>
      </c>
      <c r="H2506" s="35">
        <f>IF(Metas_Diarias[[#This Row],[dias_da_demana]]=1,"domingo",IF(Metas_Diarias[[#This Row],[dias_da_demana]]=7,0.5,1))</f>
        <v>1</v>
      </c>
      <c r="I2506" s="35">
        <f>_xlfn.XLOOKUP(Metas_Diarias[[#This Row],[data]],Feriados[Data],Feriados[Feriado],1)</f>
        <v>1</v>
      </c>
      <c r="J2506" s="33" cm="1">
        <f t="array" aca="1" ref="J2506" ca="1">SUMPRODUCT(IF((NOT(ISERROR(MATCH(ROW(INDIRECT(DATE(YEAR(B2506),MONTH(B2506),1)&amp;":"&amp;DATE(YEAR(B2506),MONTH(B2506)+1,0))),Feriados[Data],0))))=FALSE,
IF(WEEKDAY(ROW(INDIRECT(DATE(YEAR(B2506),MONTH(B2506),1)&amp;":"&amp;DATE(YEAR(B2506),MONTH(B2506)+1,0))),2)&lt;=5,1,IF(WEEKDAY(ROW(INDIRECT(DATE(YEAR(B2506),MONTH(B2506),1)&amp;":"&amp;DATE(YEAR(B2506),MONTH(B2506)+1,0))),2)=6,0.5,0)),0))</f>
        <v>22</v>
      </c>
      <c r="K2506" s="22" cm="1">
        <f t="array" ref="K2506">_xlfn.XLOOKUP(1,((Metas_Diarias[[#This Row],[tipo_equipe_id]]=Metas[equipe])*(Metas_Diarias[[#This Row],[data]]&gt;Metas[data_inicio])*(Metas_Diarias[[#This Row],[data]]&lt;Metas[data_fim])),Metas[meta_mensal],0)</f>
        <v>110000</v>
      </c>
      <c r="L2506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07" spans="2:12" x14ac:dyDescent="0.3">
      <c r="B2507" s="34">
        <v>46333</v>
      </c>
      <c r="C2507" s="34" t="str">
        <f>TEXT(Metas_Diarias[[#This Row],[data]],"dddd")</f>
        <v>sábado</v>
      </c>
      <c r="D2507" s="33">
        <v>3</v>
      </c>
      <c r="E2507" s="33">
        <v>3</v>
      </c>
      <c r="F2507" s="18"/>
      <c r="G2507" s="35">
        <f>WEEKDAY(Metas_Diarias[[#This Row],[data]])</f>
        <v>7</v>
      </c>
      <c r="H2507" s="35">
        <f>IF(Metas_Diarias[[#This Row],[dias_da_demana]]=1,"domingo",IF(Metas_Diarias[[#This Row],[dias_da_demana]]=7,0.5,1))</f>
        <v>0.5</v>
      </c>
      <c r="I2507" s="35">
        <f>_xlfn.XLOOKUP(Metas_Diarias[[#This Row],[data]],Feriados[Data],Feriados[Feriado],1)</f>
        <v>1</v>
      </c>
      <c r="J2507" s="33" cm="1">
        <f t="array" aca="1" ref="J2507" ca="1">SUMPRODUCT(IF((NOT(ISERROR(MATCH(ROW(INDIRECT(DATE(YEAR(B2507),MONTH(B2507),1)&amp;":"&amp;DATE(YEAR(B2507),MONTH(B2507)+1,0))),Feriados[Data],0))))=FALSE,
IF(WEEKDAY(ROW(INDIRECT(DATE(YEAR(B2507),MONTH(B2507),1)&amp;":"&amp;DATE(YEAR(B2507),MONTH(B2507)+1,0))),2)&lt;=5,1,IF(WEEKDAY(ROW(INDIRECT(DATE(YEAR(B2507),MONTH(B2507),1)&amp;":"&amp;DATE(YEAR(B2507),MONTH(B2507)+1,0))),2)=6,0.5,0)),0))</f>
        <v>22</v>
      </c>
      <c r="K2507" s="22" cm="1">
        <f t="array" ref="K2507">_xlfn.XLOOKUP(1,((Metas_Diarias[[#This Row],[tipo_equipe_id]]=Metas[equipe])*(Metas_Diarias[[#This Row],[data]]&gt;Metas[data_inicio])*(Metas_Diarias[[#This Row],[data]]&lt;Metas[data_fim])),Metas[meta_mensal],0)</f>
        <v>110000</v>
      </c>
      <c r="L2507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2508" spans="2:12" x14ac:dyDescent="0.3">
      <c r="B2508" s="34">
        <v>46334</v>
      </c>
      <c r="C2508" s="34" t="str">
        <f>TEXT(Metas_Diarias[[#This Row],[data]],"dddd")</f>
        <v>domingo</v>
      </c>
      <c r="D2508" s="33">
        <v>3</v>
      </c>
      <c r="E2508" s="33">
        <v>3</v>
      </c>
      <c r="F2508" s="18"/>
      <c r="G2508" s="35">
        <f>WEEKDAY(Metas_Diarias[[#This Row],[data]])</f>
        <v>1</v>
      </c>
      <c r="H2508" s="35" t="str">
        <f>IF(Metas_Diarias[[#This Row],[dias_da_demana]]=1,"domingo",IF(Metas_Diarias[[#This Row],[dias_da_demana]]=7,0.5,1))</f>
        <v>domingo</v>
      </c>
      <c r="I2508" s="35">
        <f>_xlfn.XLOOKUP(Metas_Diarias[[#This Row],[data]],Feriados[Data],Feriados[Feriado],1)</f>
        <v>1</v>
      </c>
      <c r="J2508" s="33" cm="1">
        <f t="array" aca="1" ref="J2508" ca="1">SUMPRODUCT(IF((NOT(ISERROR(MATCH(ROW(INDIRECT(DATE(YEAR(B2508),MONTH(B2508),1)&amp;":"&amp;DATE(YEAR(B2508),MONTH(B2508)+1,0))),Feriados[Data],0))))=FALSE,
IF(WEEKDAY(ROW(INDIRECT(DATE(YEAR(B2508),MONTH(B2508),1)&amp;":"&amp;DATE(YEAR(B2508),MONTH(B2508)+1,0))),2)&lt;=5,1,IF(WEEKDAY(ROW(INDIRECT(DATE(YEAR(B2508),MONTH(B2508),1)&amp;":"&amp;DATE(YEAR(B2508),MONTH(B2508)+1,0))),2)=6,0.5,0)),0))</f>
        <v>22</v>
      </c>
      <c r="K2508" s="22" cm="1">
        <f t="array" ref="K2508">_xlfn.XLOOKUP(1,((Metas_Diarias[[#This Row],[tipo_equipe_id]]=Metas[equipe])*(Metas_Diarias[[#This Row],[data]]&gt;Metas[data_inicio])*(Metas_Diarias[[#This Row],[data]]&lt;Metas[data_fim])),Metas[meta_mensal],0)</f>
        <v>110000</v>
      </c>
      <c r="L25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09" spans="2:12" x14ac:dyDescent="0.3">
      <c r="B2509" s="34">
        <v>46335</v>
      </c>
      <c r="C2509" s="34" t="str">
        <f>TEXT(Metas_Diarias[[#This Row],[data]],"dddd")</f>
        <v>segunda-feira</v>
      </c>
      <c r="D2509" s="33">
        <v>3</v>
      </c>
      <c r="E2509" s="33">
        <v>3</v>
      </c>
      <c r="F2509" s="18"/>
      <c r="G2509" s="35">
        <f>WEEKDAY(Metas_Diarias[[#This Row],[data]])</f>
        <v>2</v>
      </c>
      <c r="H2509" s="35">
        <f>IF(Metas_Diarias[[#This Row],[dias_da_demana]]=1,"domingo",IF(Metas_Diarias[[#This Row],[dias_da_demana]]=7,0.5,1))</f>
        <v>1</v>
      </c>
      <c r="I2509" s="35">
        <f>_xlfn.XLOOKUP(Metas_Diarias[[#This Row],[data]],Feriados[Data],Feriados[Feriado],1)</f>
        <v>1</v>
      </c>
      <c r="J2509" s="33" cm="1">
        <f t="array" aca="1" ref="J2509" ca="1">SUMPRODUCT(IF((NOT(ISERROR(MATCH(ROW(INDIRECT(DATE(YEAR(B2509),MONTH(B2509),1)&amp;":"&amp;DATE(YEAR(B2509),MONTH(B2509)+1,0))),Feriados[Data],0))))=FALSE,
IF(WEEKDAY(ROW(INDIRECT(DATE(YEAR(B2509),MONTH(B2509),1)&amp;":"&amp;DATE(YEAR(B2509),MONTH(B2509)+1,0))),2)&lt;=5,1,IF(WEEKDAY(ROW(INDIRECT(DATE(YEAR(B2509),MONTH(B2509),1)&amp;":"&amp;DATE(YEAR(B2509),MONTH(B2509)+1,0))),2)=6,0.5,0)),0))</f>
        <v>22</v>
      </c>
      <c r="K2509" s="22" cm="1">
        <f t="array" ref="K2509">_xlfn.XLOOKUP(1,((Metas_Diarias[[#This Row],[tipo_equipe_id]]=Metas[equipe])*(Metas_Diarias[[#This Row],[data]]&gt;Metas[data_inicio])*(Metas_Diarias[[#This Row],[data]]&lt;Metas[data_fim])),Metas[meta_mensal],0)</f>
        <v>110000</v>
      </c>
      <c r="L2509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10" spans="2:12" x14ac:dyDescent="0.3">
      <c r="B2510" s="34">
        <v>46336</v>
      </c>
      <c r="C2510" s="34" t="str">
        <f>TEXT(Metas_Diarias[[#This Row],[data]],"dddd")</f>
        <v>terça-feira</v>
      </c>
      <c r="D2510" s="33">
        <v>3</v>
      </c>
      <c r="E2510" s="33">
        <v>3</v>
      </c>
      <c r="F2510" s="18"/>
      <c r="G2510" s="35">
        <f>WEEKDAY(Metas_Diarias[[#This Row],[data]])</f>
        <v>3</v>
      </c>
      <c r="H2510" s="35">
        <f>IF(Metas_Diarias[[#This Row],[dias_da_demana]]=1,"domingo",IF(Metas_Diarias[[#This Row],[dias_da_demana]]=7,0.5,1))</f>
        <v>1</v>
      </c>
      <c r="I2510" s="35">
        <f>_xlfn.XLOOKUP(Metas_Diarias[[#This Row],[data]],Feriados[Data],Feriados[Feriado],1)</f>
        <v>1</v>
      </c>
      <c r="J2510" s="33" cm="1">
        <f t="array" aca="1" ref="J2510" ca="1">SUMPRODUCT(IF((NOT(ISERROR(MATCH(ROW(INDIRECT(DATE(YEAR(B2510),MONTH(B2510),1)&amp;":"&amp;DATE(YEAR(B2510),MONTH(B2510)+1,0))),Feriados[Data],0))))=FALSE,
IF(WEEKDAY(ROW(INDIRECT(DATE(YEAR(B2510),MONTH(B2510),1)&amp;":"&amp;DATE(YEAR(B2510),MONTH(B2510)+1,0))),2)&lt;=5,1,IF(WEEKDAY(ROW(INDIRECT(DATE(YEAR(B2510),MONTH(B2510),1)&amp;":"&amp;DATE(YEAR(B2510),MONTH(B2510)+1,0))),2)=6,0.5,0)),0))</f>
        <v>22</v>
      </c>
      <c r="K2510" s="22" cm="1">
        <f t="array" ref="K2510">_xlfn.XLOOKUP(1,((Metas_Diarias[[#This Row],[tipo_equipe_id]]=Metas[equipe])*(Metas_Diarias[[#This Row],[data]]&gt;Metas[data_inicio])*(Metas_Diarias[[#This Row],[data]]&lt;Metas[data_fim])),Metas[meta_mensal],0)</f>
        <v>110000</v>
      </c>
      <c r="L2510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11" spans="2:12" x14ac:dyDescent="0.3">
      <c r="B2511" s="34">
        <v>46337</v>
      </c>
      <c r="C2511" s="34" t="str">
        <f>TEXT(Metas_Diarias[[#This Row],[data]],"dddd")</f>
        <v>quarta-feira</v>
      </c>
      <c r="D2511" s="33">
        <v>3</v>
      </c>
      <c r="E2511" s="33">
        <v>3</v>
      </c>
      <c r="F2511" s="18"/>
      <c r="G2511" s="35">
        <f>WEEKDAY(Metas_Diarias[[#This Row],[data]])</f>
        <v>4</v>
      </c>
      <c r="H2511" s="35">
        <f>IF(Metas_Diarias[[#This Row],[dias_da_demana]]=1,"domingo",IF(Metas_Diarias[[#This Row],[dias_da_demana]]=7,0.5,1))</f>
        <v>1</v>
      </c>
      <c r="I2511" s="35">
        <f>_xlfn.XLOOKUP(Metas_Diarias[[#This Row],[data]],Feriados[Data],Feriados[Feriado],1)</f>
        <v>1</v>
      </c>
      <c r="J2511" s="33" cm="1">
        <f t="array" aca="1" ref="J2511" ca="1">SUMPRODUCT(IF((NOT(ISERROR(MATCH(ROW(INDIRECT(DATE(YEAR(B2511),MONTH(B2511),1)&amp;":"&amp;DATE(YEAR(B2511),MONTH(B2511)+1,0))),Feriados[Data],0))))=FALSE,
IF(WEEKDAY(ROW(INDIRECT(DATE(YEAR(B2511),MONTH(B2511),1)&amp;":"&amp;DATE(YEAR(B2511),MONTH(B2511)+1,0))),2)&lt;=5,1,IF(WEEKDAY(ROW(INDIRECT(DATE(YEAR(B2511),MONTH(B2511),1)&amp;":"&amp;DATE(YEAR(B2511),MONTH(B2511)+1,0))),2)=6,0.5,0)),0))</f>
        <v>22</v>
      </c>
      <c r="K2511" s="22" cm="1">
        <f t="array" ref="K2511">_xlfn.XLOOKUP(1,((Metas_Diarias[[#This Row],[tipo_equipe_id]]=Metas[equipe])*(Metas_Diarias[[#This Row],[data]]&gt;Metas[data_inicio])*(Metas_Diarias[[#This Row],[data]]&lt;Metas[data_fim])),Metas[meta_mensal],0)</f>
        <v>110000</v>
      </c>
      <c r="L2511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12" spans="2:12" x14ac:dyDescent="0.3">
      <c r="B2512" s="34">
        <v>46338</v>
      </c>
      <c r="C2512" s="34" t="str">
        <f>TEXT(Metas_Diarias[[#This Row],[data]],"dddd")</f>
        <v>quinta-feira</v>
      </c>
      <c r="D2512" s="33">
        <v>3</v>
      </c>
      <c r="E2512" s="33">
        <v>3</v>
      </c>
      <c r="F2512" s="18"/>
      <c r="G2512" s="35">
        <f>WEEKDAY(Metas_Diarias[[#This Row],[data]])</f>
        <v>5</v>
      </c>
      <c r="H2512" s="35">
        <f>IF(Metas_Diarias[[#This Row],[dias_da_demana]]=1,"domingo",IF(Metas_Diarias[[#This Row],[dias_da_demana]]=7,0.5,1))</f>
        <v>1</v>
      </c>
      <c r="I2512" s="35">
        <f>_xlfn.XLOOKUP(Metas_Diarias[[#This Row],[data]],Feriados[Data],Feriados[Feriado],1)</f>
        <v>1</v>
      </c>
      <c r="J2512" s="33" cm="1">
        <f t="array" aca="1" ref="J2512" ca="1">SUMPRODUCT(IF((NOT(ISERROR(MATCH(ROW(INDIRECT(DATE(YEAR(B2512),MONTH(B2512),1)&amp;":"&amp;DATE(YEAR(B2512),MONTH(B2512)+1,0))),Feriados[Data],0))))=FALSE,
IF(WEEKDAY(ROW(INDIRECT(DATE(YEAR(B2512),MONTH(B2512),1)&amp;":"&amp;DATE(YEAR(B2512),MONTH(B2512)+1,0))),2)&lt;=5,1,IF(WEEKDAY(ROW(INDIRECT(DATE(YEAR(B2512),MONTH(B2512),1)&amp;":"&amp;DATE(YEAR(B2512),MONTH(B2512)+1,0))),2)=6,0.5,0)),0))</f>
        <v>22</v>
      </c>
      <c r="K2512" s="22" cm="1">
        <f t="array" ref="K2512">_xlfn.XLOOKUP(1,((Metas_Diarias[[#This Row],[tipo_equipe_id]]=Metas[equipe])*(Metas_Diarias[[#This Row],[data]]&gt;Metas[data_inicio])*(Metas_Diarias[[#This Row],[data]]&lt;Metas[data_fim])),Metas[meta_mensal],0)</f>
        <v>110000</v>
      </c>
      <c r="L2512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13" spans="2:12" x14ac:dyDescent="0.3">
      <c r="B2513" s="34">
        <v>46339</v>
      </c>
      <c r="C2513" s="34" t="str">
        <f>TEXT(Metas_Diarias[[#This Row],[data]],"dddd")</f>
        <v>sexta-feira</v>
      </c>
      <c r="D2513" s="33">
        <v>3</v>
      </c>
      <c r="E2513" s="33">
        <v>3</v>
      </c>
      <c r="F2513" s="18"/>
      <c r="G2513" s="35">
        <f>WEEKDAY(Metas_Diarias[[#This Row],[data]])</f>
        <v>6</v>
      </c>
      <c r="H2513" s="35">
        <f>IF(Metas_Diarias[[#This Row],[dias_da_demana]]=1,"domingo",IF(Metas_Diarias[[#This Row],[dias_da_demana]]=7,0.5,1))</f>
        <v>1</v>
      </c>
      <c r="I2513" s="35">
        <f>_xlfn.XLOOKUP(Metas_Diarias[[#This Row],[data]],Feriados[Data],Feriados[Feriado],1)</f>
        <v>1</v>
      </c>
      <c r="J2513" s="33" cm="1">
        <f t="array" aca="1" ref="J2513" ca="1">SUMPRODUCT(IF((NOT(ISERROR(MATCH(ROW(INDIRECT(DATE(YEAR(B2513),MONTH(B2513),1)&amp;":"&amp;DATE(YEAR(B2513),MONTH(B2513)+1,0))),Feriados[Data],0))))=FALSE,
IF(WEEKDAY(ROW(INDIRECT(DATE(YEAR(B2513),MONTH(B2513),1)&amp;":"&amp;DATE(YEAR(B2513),MONTH(B2513)+1,0))),2)&lt;=5,1,IF(WEEKDAY(ROW(INDIRECT(DATE(YEAR(B2513),MONTH(B2513),1)&amp;":"&amp;DATE(YEAR(B2513),MONTH(B2513)+1,0))),2)=6,0.5,0)),0))</f>
        <v>22</v>
      </c>
      <c r="K2513" s="22" cm="1">
        <f t="array" ref="K2513">_xlfn.XLOOKUP(1,((Metas_Diarias[[#This Row],[tipo_equipe_id]]=Metas[equipe])*(Metas_Diarias[[#This Row],[data]]&gt;Metas[data_inicio])*(Metas_Diarias[[#This Row],[data]]&lt;Metas[data_fim])),Metas[meta_mensal],0)</f>
        <v>110000</v>
      </c>
      <c r="L251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14" spans="2:12" x14ac:dyDescent="0.3">
      <c r="B2514" s="34">
        <v>46340</v>
      </c>
      <c r="C2514" s="34" t="str">
        <f>TEXT(Metas_Diarias[[#This Row],[data]],"dddd")</f>
        <v>sábado</v>
      </c>
      <c r="D2514" s="33">
        <v>3</v>
      </c>
      <c r="E2514" s="33">
        <v>3</v>
      </c>
      <c r="F2514" s="18"/>
      <c r="G2514" s="35">
        <f>WEEKDAY(Metas_Diarias[[#This Row],[data]])</f>
        <v>7</v>
      </c>
      <c r="H2514" s="35">
        <f>IF(Metas_Diarias[[#This Row],[dias_da_demana]]=1,"domingo",IF(Metas_Diarias[[#This Row],[dias_da_demana]]=7,0.5,1))</f>
        <v>0.5</v>
      </c>
      <c r="I2514" s="35">
        <f>_xlfn.XLOOKUP(Metas_Diarias[[#This Row],[data]],Feriados[Data],Feriados[Feriado],1)</f>
        <v>1</v>
      </c>
      <c r="J2514" s="33" cm="1">
        <f t="array" aca="1" ref="J2514" ca="1">SUMPRODUCT(IF((NOT(ISERROR(MATCH(ROW(INDIRECT(DATE(YEAR(B2514),MONTH(B2514),1)&amp;":"&amp;DATE(YEAR(B2514),MONTH(B2514)+1,0))),Feriados[Data],0))))=FALSE,
IF(WEEKDAY(ROW(INDIRECT(DATE(YEAR(B2514),MONTH(B2514),1)&amp;":"&amp;DATE(YEAR(B2514),MONTH(B2514)+1,0))),2)&lt;=5,1,IF(WEEKDAY(ROW(INDIRECT(DATE(YEAR(B2514),MONTH(B2514),1)&amp;":"&amp;DATE(YEAR(B2514),MONTH(B2514)+1,0))),2)=6,0.5,0)),0))</f>
        <v>22</v>
      </c>
      <c r="K2514" s="22" cm="1">
        <f t="array" ref="K2514">_xlfn.XLOOKUP(1,((Metas_Diarias[[#This Row],[tipo_equipe_id]]=Metas[equipe])*(Metas_Diarias[[#This Row],[data]]&gt;Metas[data_inicio])*(Metas_Diarias[[#This Row],[data]]&lt;Metas[data_fim])),Metas[meta_mensal],0)</f>
        <v>110000</v>
      </c>
      <c r="L2514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2515" spans="2:12" x14ac:dyDescent="0.3">
      <c r="B2515" s="34">
        <v>46341</v>
      </c>
      <c r="C2515" s="34" t="str">
        <f>TEXT(Metas_Diarias[[#This Row],[data]],"dddd")</f>
        <v>domingo</v>
      </c>
      <c r="D2515" s="33">
        <v>3</v>
      </c>
      <c r="E2515" s="33">
        <v>3</v>
      </c>
      <c r="F2515" s="18"/>
      <c r="G2515" s="35">
        <f>WEEKDAY(Metas_Diarias[[#This Row],[data]])</f>
        <v>1</v>
      </c>
      <c r="H2515" s="35" t="str">
        <f>IF(Metas_Diarias[[#This Row],[dias_da_demana]]=1,"domingo",IF(Metas_Diarias[[#This Row],[dias_da_demana]]=7,0.5,1))</f>
        <v>domingo</v>
      </c>
      <c r="I2515" s="35" t="str">
        <f>_xlfn.XLOOKUP(Metas_Diarias[[#This Row],[data]],Feriados[Data],Feriados[Feriado],1)</f>
        <v>Proclamação da República</v>
      </c>
      <c r="J2515" s="33" cm="1">
        <f t="array" aca="1" ref="J2515" ca="1">SUMPRODUCT(IF((NOT(ISERROR(MATCH(ROW(INDIRECT(DATE(YEAR(B2515),MONTH(B2515),1)&amp;":"&amp;DATE(YEAR(B2515),MONTH(B2515)+1,0))),Feriados[Data],0))))=FALSE,
IF(WEEKDAY(ROW(INDIRECT(DATE(YEAR(B2515),MONTH(B2515),1)&amp;":"&amp;DATE(YEAR(B2515),MONTH(B2515)+1,0))),2)&lt;=5,1,IF(WEEKDAY(ROW(INDIRECT(DATE(YEAR(B2515),MONTH(B2515),1)&amp;":"&amp;DATE(YEAR(B2515),MONTH(B2515)+1,0))),2)=6,0.5,0)),0))</f>
        <v>22</v>
      </c>
      <c r="K2515" s="22" cm="1">
        <f t="array" ref="K2515">_xlfn.XLOOKUP(1,((Metas_Diarias[[#This Row],[tipo_equipe_id]]=Metas[equipe])*(Metas_Diarias[[#This Row],[data]]&gt;Metas[data_inicio])*(Metas_Diarias[[#This Row],[data]]&lt;Metas[data_fim])),Metas[meta_mensal],0)</f>
        <v>110000</v>
      </c>
      <c r="L25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16" spans="2:12" x14ac:dyDescent="0.3">
      <c r="B2516" s="34">
        <v>46342</v>
      </c>
      <c r="C2516" s="34" t="str">
        <f>TEXT(Metas_Diarias[[#This Row],[data]],"dddd")</f>
        <v>segunda-feira</v>
      </c>
      <c r="D2516" s="33">
        <v>3</v>
      </c>
      <c r="E2516" s="33">
        <v>3</v>
      </c>
      <c r="F2516" s="18"/>
      <c r="G2516" s="35">
        <f>WEEKDAY(Metas_Diarias[[#This Row],[data]])</f>
        <v>2</v>
      </c>
      <c r="H2516" s="35">
        <f>IF(Metas_Diarias[[#This Row],[dias_da_demana]]=1,"domingo",IF(Metas_Diarias[[#This Row],[dias_da_demana]]=7,0.5,1))</f>
        <v>1</v>
      </c>
      <c r="I2516" s="35">
        <f>_xlfn.XLOOKUP(Metas_Diarias[[#This Row],[data]],Feriados[Data],Feriados[Feriado],1)</f>
        <v>1</v>
      </c>
      <c r="J2516" s="33" cm="1">
        <f t="array" aca="1" ref="J2516" ca="1">SUMPRODUCT(IF((NOT(ISERROR(MATCH(ROW(INDIRECT(DATE(YEAR(B2516),MONTH(B2516),1)&amp;":"&amp;DATE(YEAR(B2516),MONTH(B2516)+1,0))),Feriados[Data],0))))=FALSE,
IF(WEEKDAY(ROW(INDIRECT(DATE(YEAR(B2516),MONTH(B2516),1)&amp;":"&amp;DATE(YEAR(B2516),MONTH(B2516)+1,0))),2)&lt;=5,1,IF(WEEKDAY(ROW(INDIRECT(DATE(YEAR(B2516),MONTH(B2516),1)&amp;":"&amp;DATE(YEAR(B2516),MONTH(B2516)+1,0))),2)=6,0.5,0)),0))</f>
        <v>22</v>
      </c>
      <c r="K2516" s="22" cm="1">
        <f t="array" ref="K2516">_xlfn.XLOOKUP(1,((Metas_Diarias[[#This Row],[tipo_equipe_id]]=Metas[equipe])*(Metas_Diarias[[#This Row],[data]]&gt;Metas[data_inicio])*(Metas_Diarias[[#This Row],[data]]&lt;Metas[data_fim])),Metas[meta_mensal],0)</f>
        <v>110000</v>
      </c>
      <c r="L2516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17" spans="2:12" x14ac:dyDescent="0.3">
      <c r="B2517" s="34">
        <v>46343</v>
      </c>
      <c r="C2517" s="34" t="str">
        <f>TEXT(Metas_Diarias[[#This Row],[data]],"dddd")</f>
        <v>terça-feira</v>
      </c>
      <c r="D2517" s="33">
        <v>3</v>
      </c>
      <c r="E2517" s="33">
        <v>3</v>
      </c>
      <c r="F2517" s="18"/>
      <c r="G2517" s="35">
        <f>WEEKDAY(Metas_Diarias[[#This Row],[data]])</f>
        <v>3</v>
      </c>
      <c r="H2517" s="35">
        <f>IF(Metas_Diarias[[#This Row],[dias_da_demana]]=1,"domingo",IF(Metas_Diarias[[#This Row],[dias_da_demana]]=7,0.5,1))</f>
        <v>1</v>
      </c>
      <c r="I2517" s="35">
        <f>_xlfn.XLOOKUP(Metas_Diarias[[#This Row],[data]],Feriados[Data],Feriados[Feriado],1)</f>
        <v>1</v>
      </c>
      <c r="J2517" s="33" cm="1">
        <f t="array" aca="1" ref="J2517" ca="1">SUMPRODUCT(IF((NOT(ISERROR(MATCH(ROW(INDIRECT(DATE(YEAR(B2517),MONTH(B2517),1)&amp;":"&amp;DATE(YEAR(B2517),MONTH(B2517)+1,0))),Feriados[Data],0))))=FALSE,
IF(WEEKDAY(ROW(INDIRECT(DATE(YEAR(B2517),MONTH(B2517),1)&amp;":"&amp;DATE(YEAR(B2517),MONTH(B2517)+1,0))),2)&lt;=5,1,IF(WEEKDAY(ROW(INDIRECT(DATE(YEAR(B2517),MONTH(B2517),1)&amp;":"&amp;DATE(YEAR(B2517),MONTH(B2517)+1,0))),2)=6,0.5,0)),0))</f>
        <v>22</v>
      </c>
      <c r="K2517" s="22" cm="1">
        <f t="array" ref="K2517">_xlfn.XLOOKUP(1,((Metas_Diarias[[#This Row],[tipo_equipe_id]]=Metas[equipe])*(Metas_Diarias[[#This Row],[data]]&gt;Metas[data_inicio])*(Metas_Diarias[[#This Row],[data]]&lt;Metas[data_fim])),Metas[meta_mensal],0)</f>
        <v>110000</v>
      </c>
      <c r="L2517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18" spans="2:12" x14ac:dyDescent="0.3">
      <c r="B2518" s="34">
        <v>46344</v>
      </c>
      <c r="C2518" s="34" t="str">
        <f>TEXT(Metas_Diarias[[#This Row],[data]],"dddd")</f>
        <v>quarta-feira</v>
      </c>
      <c r="D2518" s="33">
        <v>3</v>
      </c>
      <c r="E2518" s="33">
        <v>3</v>
      </c>
      <c r="F2518" s="18"/>
      <c r="G2518" s="35">
        <f>WEEKDAY(Metas_Diarias[[#This Row],[data]])</f>
        <v>4</v>
      </c>
      <c r="H2518" s="35">
        <f>IF(Metas_Diarias[[#This Row],[dias_da_demana]]=1,"domingo",IF(Metas_Diarias[[#This Row],[dias_da_demana]]=7,0.5,1))</f>
        <v>1</v>
      </c>
      <c r="I2518" s="35">
        <f>_xlfn.XLOOKUP(Metas_Diarias[[#This Row],[data]],Feriados[Data],Feriados[Feriado],1)</f>
        <v>1</v>
      </c>
      <c r="J2518" s="33" cm="1">
        <f t="array" aca="1" ref="J2518" ca="1">SUMPRODUCT(IF((NOT(ISERROR(MATCH(ROW(INDIRECT(DATE(YEAR(B2518),MONTH(B2518),1)&amp;":"&amp;DATE(YEAR(B2518),MONTH(B2518)+1,0))),Feriados[Data],0))))=FALSE,
IF(WEEKDAY(ROW(INDIRECT(DATE(YEAR(B2518),MONTH(B2518),1)&amp;":"&amp;DATE(YEAR(B2518),MONTH(B2518)+1,0))),2)&lt;=5,1,IF(WEEKDAY(ROW(INDIRECT(DATE(YEAR(B2518),MONTH(B2518),1)&amp;":"&amp;DATE(YEAR(B2518),MONTH(B2518)+1,0))),2)=6,0.5,0)),0))</f>
        <v>22</v>
      </c>
      <c r="K2518" s="22" cm="1">
        <f t="array" ref="K2518">_xlfn.XLOOKUP(1,((Metas_Diarias[[#This Row],[tipo_equipe_id]]=Metas[equipe])*(Metas_Diarias[[#This Row],[data]]&gt;Metas[data_inicio])*(Metas_Diarias[[#This Row],[data]]&lt;Metas[data_fim])),Metas[meta_mensal],0)</f>
        <v>110000</v>
      </c>
      <c r="L2518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19" spans="2:12" x14ac:dyDescent="0.3">
      <c r="B2519" s="34">
        <v>46345</v>
      </c>
      <c r="C2519" s="34" t="str">
        <f>TEXT(Metas_Diarias[[#This Row],[data]],"dddd")</f>
        <v>quinta-feira</v>
      </c>
      <c r="D2519" s="33">
        <v>3</v>
      </c>
      <c r="E2519" s="33">
        <v>3</v>
      </c>
      <c r="F2519" s="18"/>
      <c r="G2519" s="35">
        <f>WEEKDAY(Metas_Diarias[[#This Row],[data]])</f>
        <v>5</v>
      </c>
      <c r="H2519" s="35">
        <f>IF(Metas_Diarias[[#This Row],[dias_da_demana]]=1,"domingo",IF(Metas_Diarias[[#This Row],[dias_da_demana]]=7,0.5,1))</f>
        <v>1</v>
      </c>
      <c r="I2519" s="35">
        <f>_xlfn.XLOOKUP(Metas_Diarias[[#This Row],[data]],Feriados[Data],Feriados[Feriado],1)</f>
        <v>1</v>
      </c>
      <c r="J2519" s="33" cm="1">
        <f t="array" aca="1" ref="J2519" ca="1">SUMPRODUCT(IF((NOT(ISERROR(MATCH(ROW(INDIRECT(DATE(YEAR(B2519),MONTH(B2519),1)&amp;":"&amp;DATE(YEAR(B2519),MONTH(B2519)+1,0))),Feriados[Data],0))))=FALSE,
IF(WEEKDAY(ROW(INDIRECT(DATE(YEAR(B2519),MONTH(B2519),1)&amp;":"&amp;DATE(YEAR(B2519),MONTH(B2519)+1,0))),2)&lt;=5,1,IF(WEEKDAY(ROW(INDIRECT(DATE(YEAR(B2519),MONTH(B2519),1)&amp;":"&amp;DATE(YEAR(B2519),MONTH(B2519)+1,0))),2)=6,0.5,0)),0))</f>
        <v>22</v>
      </c>
      <c r="K2519" s="22" cm="1">
        <f t="array" ref="K2519">_xlfn.XLOOKUP(1,((Metas_Diarias[[#This Row],[tipo_equipe_id]]=Metas[equipe])*(Metas_Diarias[[#This Row],[data]]&gt;Metas[data_inicio])*(Metas_Diarias[[#This Row],[data]]&lt;Metas[data_fim])),Metas[meta_mensal],0)</f>
        <v>110000</v>
      </c>
      <c r="L2519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20" spans="2:12" x14ac:dyDescent="0.3">
      <c r="B2520" s="34">
        <v>46346</v>
      </c>
      <c r="C2520" s="34" t="str">
        <f>TEXT(Metas_Diarias[[#This Row],[data]],"dddd")</f>
        <v>sexta-feira</v>
      </c>
      <c r="D2520" s="33">
        <v>3</v>
      </c>
      <c r="E2520" s="33">
        <v>3</v>
      </c>
      <c r="F2520" s="18"/>
      <c r="G2520" s="35">
        <f>WEEKDAY(Metas_Diarias[[#This Row],[data]])</f>
        <v>6</v>
      </c>
      <c r="H2520" s="35">
        <f>IF(Metas_Diarias[[#This Row],[dias_da_demana]]=1,"domingo",IF(Metas_Diarias[[#This Row],[dias_da_demana]]=7,0.5,1))</f>
        <v>1</v>
      </c>
      <c r="I2520" s="35">
        <f>_xlfn.XLOOKUP(Metas_Diarias[[#This Row],[data]],Feriados[Data],Feriados[Feriado],1)</f>
        <v>1</v>
      </c>
      <c r="J2520" s="33" cm="1">
        <f t="array" aca="1" ref="J2520" ca="1">SUMPRODUCT(IF((NOT(ISERROR(MATCH(ROW(INDIRECT(DATE(YEAR(B2520),MONTH(B2520),1)&amp;":"&amp;DATE(YEAR(B2520),MONTH(B2520)+1,0))),Feriados[Data],0))))=FALSE,
IF(WEEKDAY(ROW(INDIRECT(DATE(YEAR(B2520),MONTH(B2520),1)&amp;":"&amp;DATE(YEAR(B2520),MONTH(B2520)+1,0))),2)&lt;=5,1,IF(WEEKDAY(ROW(INDIRECT(DATE(YEAR(B2520),MONTH(B2520),1)&amp;":"&amp;DATE(YEAR(B2520),MONTH(B2520)+1,0))),2)=6,0.5,0)),0))</f>
        <v>22</v>
      </c>
      <c r="K2520" s="22" cm="1">
        <f t="array" ref="K2520">_xlfn.XLOOKUP(1,((Metas_Diarias[[#This Row],[tipo_equipe_id]]=Metas[equipe])*(Metas_Diarias[[#This Row],[data]]&gt;Metas[data_inicio])*(Metas_Diarias[[#This Row],[data]]&lt;Metas[data_fim])),Metas[meta_mensal],0)</f>
        <v>110000</v>
      </c>
      <c r="L2520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21" spans="2:12" x14ac:dyDescent="0.3">
      <c r="B2521" s="34">
        <v>46347</v>
      </c>
      <c r="C2521" s="34" t="str">
        <f>TEXT(Metas_Diarias[[#This Row],[data]],"dddd")</f>
        <v>sábado</v>
      </c>
      <c r="D2521" s="33">
        <v>3</v>
      </c>
      <c r="E2521" s="33">
        <v>3</v>
      </c>
      <c r="F2521" s="18"/>
      <c r="G2521" s="35">
        <f>WEEKDAY(Metas_Diarias[[#This Row],[data]])</f>
        <v>7</v>
      </c>
      <c r="H2521" s="35">
        <f>IF(Metas_Diarias[[#This Row],[dias_da_demana]]=1,"domingo",IF(Metas_Diarias[[#This Row],[dias_da_demana]]=7,0.5,1))</f>
        <v>0.5</v>
      </c>
      <c r="I2521" s="35">
        <f>_xlfn.XLOOKUP(Metas_Diarias[[#This Row],[data]],Feriados[Data],Feriados[Feriado],1)</f>
        <v>1</v>
      </c>
      <c r="J2521" s="33" cm="1">
        <f t="array" aca="1" ref="J2521" ca="1">SUMPRODUCT(IF((NOT(ISERROR(MATCH(ROW(INDIRECT(DATE(YEAR(B2521),MONTH(B2521),1)&amp;":"&amp;DATE(YEAR(B2521),MONTH(B2521)+1,0))),Feriados[Data],0))))=FALSE,
IF(WEEKDAY(ROW(INDIRECT(DATE(YEAR(B2521),MONTH(B2521),1)&amp;":"&amp;DATE(YEAR(B2521),MONTH(B2521)+1,0))),2)&lt;=5,1,IF(WEEKDAY(ROW(INDIRECT(DATE(YEAR(B2521),MONTH(B2521),1)&amp;":"&amp;DATE(YEAR(B2521),MONTH(B2521)+1,0))),2)=6,0.5,0)),0))</f>
        <v>22</v>
      </c>
      <c r="K2521" s="22" cm="1">
        <f t="array" ref="K2521">_xlfn.XLOOKUP(1,((Metas_Diarias[[#This Row],[tipo_equipe_id]]=Metas[equipe])*(Metas_Diarias[[#This Row],[data]]&gt;Metas[data_inicio])*(Metas_Diarias[[#This Row],[data]]&lt;Metas[data_fim])),Metas[meta_mensal],0)</f>
        <v>110000</v>
      </c>
      <c r="L2521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2522" spans="2:12" x14ac:dyDescent="0.3">
      <c r="B2522" s="34">
        <v>46348</v>
      </c>
      <c r="C2522" s="34" t="str">
        <f>TEXT(Metas_Diarias[[#This Row],[data]],"dddd")</f>
        <v>domingo</v>
      </c>
      <c r="D2522" s="33">
        <v>3</v>
      </c>
      <c r="E2522" s="33">
        <v>3</v>
      </c>
      <c r="F2522" s="18"/>
      <c r="G2522" s="35">
        <f>WEEKDAY(Metas_Diarias[[#This Row],[data]])</f>
        <v>1</v>
      </c>
      <c r="H2522" s="35" t="str">
        <f>IF(Metas_Diarias[[#This Row],[dias_da_demana]]=1,"domingo",IF(Metas_Diarias[[#This Row],[dias_da_demana]]=7,0.5,1))</f>
        <v>domingo</v>
      </c>
      <c r="I2522" s="35">
        <f>_xlfn.XLOOKUP(Metas_Diarias[[#This Row],[data]],Feriados[Data],Feriados[Feriado],1)</f>
        <v>1</v>
      </c>
      <c r="J2522" s="33" cm="1">
        <f t="array" aca="1" ref="J2522" ca="1">SUMPRODUCT(IF((NOT(ISERROR(MATCH(ROW(INDIRECT(DATE(YEAR(B2522),MONTH(B2522),1)&amp;":"&amp;DATE(YEAR(B2522),MONTH(B2522)+1,0))),Feriados[Data],0))))=FALSE,
IF(WEEKDAY(ROW(INDIRECT(DATE(YEAR(B2522),MONTH(B2522),1)&amp;":"&amp;DATE(YEAR(B2522),MONTH(B2522)+1,0))),2)&lt;=5,1,IF(WEEKDAY(ROW(INDIRECT(DATE(YEAR(B2522),MONTH(B2522),1)&amp;":"&amp;DATE(YEAR(B2522),MONTH(B2522)+1,0))),2)=6,0.5,0)),0))</f>
        <v>22</v>
      </c>
      <c r="K2522" s="22" cm="1">
        <f t="array" ref="K2522">_xlfn.XLOOKUP(1,((Metas_Diarias[[#This Row],[tipo_equipe_id]]=Metas[equipe])*(Metas_Diarias[[#This Row],[data]]&gt;Metas[data_inicio])*(Metas_Diarias[[#This Row],[data]]&lt;Metas[data_fim])),Metas[meta_mensal],0)</f>
        <v>110000</v>
      </c>
      <c r="L25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23" spans="2:12" x14ac:dyDescent="0.3">
      <c r="B2523" s="34">
        <v>46349</v>
      </c>
      <c r="C2523" s="34" t="str">
        <f>TEXT(Metas_Diarias[[#This Row],[data]],"dddd")</f>
        <v>segunda-feira</v>
      </c>
      <c r="D2523" s="33">
        <v>3</v>
      </c>
      <c r="E2523" s="33">
        <v>3</v>
      </c>
      <c r="F2523" s="18"/>
      <c r="G2523" s="35">
        <f>WEEKDAY(Metas_Diarias[[#This Row],[data]])</f>
        <v>2</v>
      </c>
      <c r="H2523" s="35">
        <f>IF(Metas_Diarias[[#This Row],[dias_da_demana]]=1,"domingo",IF(Metas_Diarias[[#This Row],[dias_da_demana]]=7,0.5,1))</f>
        <v>1</v>
      </c>
      <c r="I2523" s="35">
        <f>_xlfn.XLOOKUP(Metas_Diarias[[#This Row],[data]],Feriados[Data],Feriados[Feriado],1)</f>
        <v>1</v>
      </c>
      <c r="J2523" s="33" cm="1">
        <f t="array" aca="1" ref="J2523" ca="1">SUMPRODUCT(IF((NOT(ISERROR(MATCH(ROW(INDIRECT(DATE(YEAR(B2523),MONTH(B2523),1)&amp;":"&amp;DATE(YEAR(B2523),MONTH(B2523)+1,0))),Feriados[Data],0))))=FALSE,
IF(WEEKDAY(ROW(INDIRECT(DATE(YEAR(B2523),MONTH(B2523),1)&amp;":"&amp;DATE(YEAR(B2523),MONTH(B2523)+1,0))),2)&lt;=5,1,IF(WEEKDAY(ROW(INDIRECT(DATE(YEAR(B2523),MONTH(B2523),1)&amp;":"&amp;DATE(YEAR(B2523),MONTH(B2523)+1,0))),2)=6,0.5,0)),0))</f>
        <v>22</v>
      </c>
      <c r="K2523" s="22" cm="1">
        <f t="array" ref="K2523">_xlfn.XLOOKUP(1,((Metas_Diarias[[#This Row],[tipo_equipe_id]]=Metas[equipe])*(Metas_Diarias[[#This Row],[data]]&gt;Metas[data_inicio])*(Metas_Diarias[[#This Row],[data]]&lt;Metas[data_fim])),Metas[meta_mensal],0)</f>
        <v>110000</v>
      </c>
      <c r="L2523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24" spans="2:12" x14ac:dyDescent="0.3">
      <c r="B2524" s="34">
        <v>46350</v>
      </c>
      <c r="C2524" s="34" t="str">
        <f>TEXT(Metas_Diarias[[#This Row],[data]],"dddd")</f>
        <v>terça-feira</v>
      </c>
      <c r="D2524" s="33">
        <v>3</v>
      </c>
      <c r="E2524" s="33">
        <v>3</v>
      </c>
      <c r="F2524" s="18"/>
      <c r="G2524" s="35">
        <f>WEEKDAY(Metas_Diarias[[#This Row],[data]])</f>
        <v>3</v>
      </c>
      <c r="H2524" s="35">
        <f>IF(Metas_Diarias[[#This Row],[dias_da_demana]]=1,"domingo",IF(Metas_Diarias[[#This Row],[dias_da_demana]]=7,0.5,1))</f>
        <v>1</v>
      </c>
      <c r="I2524" s="35">
        <f>_xlfn.XLOOKUP(Metas_Diarias[[#This Row],[data]],Feriados[Data],Feriados[Feriado],1)</f>
        <v>1</v>
      </c>
      <c r="J2524" s="33" cm="1">
        <f t="array" aca="1" ref="J2524" ca="1">SUMPRODUCT(IF((NOT(ISERROR(MATCH(ROW(INDIRECT(DATE(YEAR(B2524),MONTH(B2524),1)&amp;":"&amp;DATE(YEAR(B2524),MONTH(B2524)+1,0))),Feriados[Data],0))))=FALSE,
IF(WEEKDAY(ROW(INDIRECT(DATE(YEAR(B2524),MONTH(B2524),1)&amp;":"&amp;DATE(YEAR(B2524),MONTH(B2524)+1,0))),2)&lt;=5,1,IF(WEEKDAY(ROW(INDIRECT(DATE(YEAR(B2524),MONTH(B2524),1)&amp;":"&amp;DATE(YEAR(B2524),MONTH(B2524)+1,0))),2)=6,0.5,0)),0))</f>
        <v>22</v>
      </c>
      <c r="K2524" s="22" cm="1">
        <f t="array" ref="K2524">_xlfn.XLOOKUP(1,((Metas_Diarias[[#This Row],[tipo_equipe_id]]=Metas[equipe])*(Metas_Diarias[[#This Row],[data]]&gt;Metas[data_inicio])*(Metas_Diarias[[#This Row],[data]]&lt;Metas[data_fim])),Metas[meta_mensal],0)</f>
        <v>110000</v>
      </c>
      <c r="L2524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25" spans="2:12" x14ac:dyDescent="0.3">
      <c r="B2525" s="34">
        <v>46351</v>
      </c>
      <c r="C2525" s="34" t="str">
        <f>TEXT(Metas_Diarias[[#This Row],[data]],"dddd")</f>
        <v>quarta-feira</v>
      </c>
      <c r="D2525" s="33">
        <v>3</v>
      </c>
      <c r="E2525" s="33">
        <v>3</v>
      </c>
      <c r="F2525" s="18"/>
      <c r="G2525" s="35">
        <f>WEEKDAY(Metas_Diarias[[#This Row],[data]])</f>
        <v>4</v>
      </c>
      <c r="H2525" s="35">
        <f>IF(Metas_Diarias[[#This Row],[dias_da_demana]]=1,"domingo",IF(Metas_Diarias[[#This Row],[dias_da_demana]]=7,0.5,1))</f>
        <v>1</v>
      </c>
      <c r="I2525" s="35">
        <f>_xlfn.XLOOKUP(Metas_Diarias[[#This Row],[data]],Feriados[Data],Feriados[Feriado],1)</f>
        <v>1</v>
      </c>
      <c r="J2525" s="33" cm="1">
        <f t="array" aca="1" ref="J2525" ca="1">SUMPRODUCT(IF((NOT(ISERROR(MATCH(ROW(INDIRECT(DATE(YEAR(B2525),MONTH(B2525),1)&amp;":"&amp;DATE(YEAR(B2525),MONTH(B2525)+1,0))),Feriados[Data],0))))=FALSE,
IF(WEEKDAY(ROW(INDIRECT(DATE(YEAR(B2525),MONTH(B2525),1)&amp;":"&amp;DATE(YEAR(B2525),MONTH(B2525)+1,0))),2)&lt;=5,1,IF(WEEKDAY(ROW(INDIRECT(DATE(YEAR(B2525),MONTH(B2525),1)&amp;":"&amp;DATE(YEAR(B2525),MONTH(B2525)+1,0))),2)=6,0.5,0)),0))</f>
        <v>22</v>
      </c>
      <c r="K2525" s="22" cm="1">
        <f t="array" ref="K2525">_xlfn.XLOOKUP(1,((Metas_Diarias[[#This Row],[tipo_equipe_id]]=Metas[equipe])*(Metas_Diarias[[#This Row],[data]]&gt;Metas[data_inicio])*(Metas_Diarias[[#This Row],[data]]&lt;Metas[data_fim])),Metas[meta_mensal],0)</f>
        <v>110000</v>
      </c>
      <c r="L2525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26" spans="2:12" x14ac:dyDescent="0.3">
      <c r="B2526" s="34">
        <v>46352</v>
      </c>
      <c r="C2526" s="34" t="str">
        <f>TEXT(Metas_Diarias[[#This Row],[data]],"dddd")</f>
        <v>quinta-feira</v>
      </c>
      <c r="D2526" s="33">
        <v>3</v>
      </c>
      <c r="E2526" s="33">
        <v>3</v>
      </c>
      <c r="F2526" s="18"/>
      <c r="G2526" s="35">
        <f>WEEKDAY(Metas_Diarias[[#This Row],[data]])</f>
        <v>5</v>
      </c>
      <c r="H2526" s="35">
        <f>IF(Metas_Diarias[[#This Row],[dias_da_demana]]=1,"domingo",IF(Metas_Diarias[[#This Row],[dias_da_demana]]=7,0.5,1))</f>
        <v>1</v>
      </c>
      <c r="I2526" s="35">
        <f>_xlfn.XLOOKUP(Metas_Diarias[[#This Row],[data]],Feriados[Data],Feriados[Feriado],1)</f>
        <v>1</v>
      </c>
      <c r="J2526" s="33" cm="1">
        <f t="array" aca="1" ref="J2526" ca="1">SUMPRODUCT(IF((NOT(ISERROR(MATCH(ROW(INDIRECT(DATE(YEAR(B2526),MONTH(B2526),1)&amp;":"&amp;DATE(YEAR(B2526),MONTH(B2526)+1,0))),Feriados[Data],0))))=FALSE,
IF(WEEKDAY(ROW(INDIRECT(DATE(YEAR(B2526),MONTH(B2526),1)&amp;":"&amp;DATE(YEAR(B2526),MONTH(B2526)+1,0))),2)&lt;=5,1,IF(WEEKDAY(ROW(INDIRECT(DATE(YEAR(B2526),MONTH(B2526),1)&amp;":"&amp;DATE(YEAR(B2526),MONTH(B2526)+1,0))),2)=6,0.5,0)),0))</f>
        <v>22</v>
      </c>
      <c r="K2526" s="22" cm="1">
        <f t="array" ref="K2526">_xlfn.XLOOKUP(1,((Metas_Diarias[[#This Row],[tipo_equipe_id]]=Metas[equipe])*(Metas_Diarias[[#This Row],[data]]&gt;Metas[data_inicio])*(Metas_Diarias[[#This Row],[data]]&lt;Metas[data_fim])),Metas[meta_mensal],0)</f>
        <v>110000</v>
      </c>
      <c r="L2526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27" spans="2:12" x14ac:dyDescent="0.3">
      <c r="B2527" s="34">
        <v>46353</v>
      </c>
      <c r="C2527" s="34" t="str">
        <f>TEXT(Metas_Diarias[[#This Row],[data]],"dddd")</f>
        <v>sexta-feira</v>
      </c>
      <c r="D2527" s="33">
        <v>3</v>
      </c>
      <c r="E2527" s="33">
        <v>3</v>
      </c>
      <c r="F2527" s="18"/>
      <c r="G2527" s="35">
        <f>WEEKDAY(Metas_Diarias[[#This Row],[data]])</f>
        <v>6</v>
      </c>
      <c r="H2527" s="35">
        <f>IF(Metas_Diarias[[#This Row],[dias_da_demana]]=1,"domingo",IF(Metas_Diarias[[#This Row],[dias_da_demana]]=7,0.5,1))</f>
        <v>1</v>
      </c>
      <c r="I2527" s="35">
        <f>_xlfn.XLOOKUP(Metas_Diarias[[#This Row],[data]],Feriados[Data],Feriados[Feriado],1)</f>
        <v>1</v>
      </c>
      <c r="J2527" s="33" cm="1">
        <f t="array" aca="1" ref="J2527" ca="1">SUMPRODUCT(IF((NOT(ISERROR(MATCH(ROW(INDIRECT(DATE(YEAR(B2527),MONTH(B2527),1)&amp;":"&amp;DATE(YEAR(B2527),MONTH(B2527)+1,0))),Feriados[Data],0))))=FALSE,
IF(WEEKDAY(ROW(INDIRECT(DATE(YEAR(B2527),MONTH(B2527),1)&amp;":"&amp;DATE(YEAR(B2527),MONTH(B2527)+1,0))),2)&lt;=5,1,IF(WEEKDAY(ROW(INDIRECT(DATE(YEAR(B2527),MONTH(B2527),1)&amp;":"&amp;DATE(YEAR(B2527),MONTH(B2527)+1,0))),2)=6,0.5,0)),0))</f>
        <v>22</v>
      </c>
      <c r="K2527" s="22" cm="1">
        <f t="array" ref="K2527">_xlfn.XLOOKUP(1,((Metas_Diarias[[#This Row],[tipo_equipe_id]]=Metas[equipe])*(Metas_Diarias[[#This Row],[data]]&gt;Metas[data_inicio])*(Metas_Diarias[[#This Row],[data]]&lt;Metas[data_fim])),Metas[meta_mensal],0)</f>
        <v>110000</v>
      </c>
      <c r="L2527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28" spans="2:12" x14ac:dyDescent="0.3">
      <c r="B2528" s="34">
        <v>46354</v>
      </c>
      <c r="C2528" s="34" t="str">
        <f>TEXT(Metas_Diarias[[#This Row],[data]],"dddd")</f>
        <v>sábado</v>
      </c>
      <c r="D2528" s="33">
        <v>3</v>
      </c>
      <c r="E2528" s="33">
        <v>3</v>
      </c>
      <c r="F2528" s="18"/>
      <c r="G2528" s="35">
        <f>WEEKDAY(Metas_Diarias[[#This Row],[data]])</f>
        <v>7</v>
      </c>
      <c r="H2528" s="35">
        <f>IF(Metas_Diarias[[#This Row],[dias_da_demana]]=1,"domingo",IF(Metas_Diarias[[#This Row],[dias_da_demana]]=7,0.5,1))</f>
        <v>0.5</v>
      </c>
      <c r="I2528" s="35">
        <f>_xlfn.XLOOKUP(Metas_Diarias[[#This Row],[data]],Feriados[Data],Feriados[Feriado],1)</f>
        <v>1</v>
      </c>
      <c r="J2528" s="33" cm="1">
        <f t="array" aca="1" ref="J2528" ca="1">SUMPRODUCT(IF((NOT(ISERROR(MATCH(ROW(INDIRECT(DATE(YEAR(B2528),MONTH(B2528),1)&amp;":"&amp;DATE(YEAR(B2528),MONTH(B2528)+1,0))),Feriados[Data],0))))=FALSE,
IF(WEEKDAY(ROW(INDIRECT(DATE(YEAR(B2528),MONTH(B2528),1)&amp;":"&amp;DATE(YEAR(B2528),MONTH(B2528)+1,0))),2)&lt;=5,1,IF(WEEKDAY(ROW(INDIRECT(DATE(YEAR(B2528),MONTH(B2528),1)&amp;":"&amp;DATE(YEAR(B2528),MONTH(B2528)+1,0))),2)=6,0.5,0)),0))</f>
        <v>22</v>
      </c>
      <c r="K2528" s="22" cm="1">
        <f t="array" ref="K2528">_xlfn.XLOOKUP(1,((Metas_Diarias[[#This Row],[tipo_equipe_id]]=Metas[equipe])*(Metas_Diarias[[#This Row],[data]]&gt;Metas[data_inicio])*(Metas_Diarias[[#This Row],[data]]&lt;Metas[data_fim])),Metas[meta_mensal],0)</f>
        <v>110000</v>
      </c>
      <c r="L2528" s="24">
        <f ca="1">Metas_Diarias[[#This Row],[meta_mensal]]*IF(Metas_Diarias[[#This Row],[semana]]="domingo",0,Metas_Diarias[[#This Row],[semana]])*IF(Metas_Diarias[[#This Row],[feriado]]&lt;&gt;1,0,1)/Metas_Diarias[[#This Row],[dias_úteis_Mês]]</f>
        <v>2500</v>
      </c>
    </row>
    <row r="2529" spans="2:12" x14ac:dyDescent="0.3">
      <c r="B2529" s="34">
        <v>46355</v>
      </c>
      <c r="C2529" s="34" t="str">
        <f>TEXT(Metas_Diarias[[#This Row],[data]],"dddd")</f>
        <v>domingo</v>
      </c>
      <c r="D2529" s="33">
        <v>3</v>
      </c>
      <c r="E2529" s="33">
        <v>3</v>
      </c>
      <c r="F2529" s="18"/>
      <c r="G2529" s="35">
        <f>WEEKDAY(Metas_Diarias[[#This Row],[data]])</f>
        <v>1</v>
      </c>
      <c r="H2529" s="35" t="str">
        <f>IF(Metas_Diarias[[#This Row],[dias_da_demana]]=1,"domingo",IF(Metas_Diarias[[#This Row],[dias_da_demana]]=7,0.5,1))</f>
        <v>domingo</v>
      </c>
      <c r="I2529" s="35">
        <f>_xlfn.XLOOKUP(Metas_Diarias[[#This Row],[data]],Feriados[Data],Feriados[Feriado],1)</f>
        <v>1</v>
      </c>
      <c r="J2529" s="33" cm="1">
        <f t="array" aca="1" ref="J2529" ca="1">SUMPRODUCT(IF((NOT(ISERROR(MATCH(ROW(INDIRECT(DATE(YEAR(B2529),MONTH(B2529),1)&amp;":"&amp;DATE(YEAR(B2529),MONTH(B2529)+1,0))),Feriados[Data],0))))=FALSE,
IF(WEEKDAY(ROW(INDIRECT(DATE(YEAR(B2529),MONTH(B2529),1)&amp;":"&amp;DATE(YEAR(B2529),MONTH(B2529)+1,0))),2)&lt;=5,1,IF(WEEKDAY(ROW(INDIRECT(DATE(YEAR(B2529),MONTH(B2529),1)&amp;":"&amp;DATE(YEAR(B2529),MONTH(B2529)+1,0))),2)=6,0.5,0)),0))</f>
        <v>22</v>
      </c>
      <c r="K2529" s="22" cm="1">
        <f t="array" ref="K2529">_xlfn.XLOOKUP(1,((Metas_Diarias[[#This Row],[tipo_equipe_id]]=Metas[equipe])*(Metas_Diarias[[#This Row],[data]]&gt;Metas[data_inicio])*(Metas_Diarias[[#This Row],[data]]&lt;Metas[data_fim])),Metas[meta_mensal],0)</f>
        <v>110000</v>
      </c>
      <c r="L252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30" spans="2:12" x14ac:dyDescent="0.3">
      <c r="B2530" s="34">
        <v>46356</v>
      </c>
      <c r="C2530" s="34" t="str">
        <f>TEXT(Metas_Diarias[[#This Row],[data]],"dddd")</f>
        <v>segunda-feira</v>
      </c>
      <c r="D2530" s="33">
        <v>3</v>
      </c>
      <c r="E2530" s="33">
        <v>3</v>
      </c>
      <c r="F2530" s="18"/>
      <c r="G2530" s="35">
        <f>WEEKDAY(Metas_Diarias[[#This Row],[data]])</f>
        <v>2</v>
      </c>
      <c r="H2530" s="35">
        <f>IF(Metas_Diarias[[#This Row],[dias_da_demana]]=1,"domingo",IF(Metas_Diarias[[#This Row],[dias_da_demana]]=7,0.5,1))</f>
        <v>1</v>
      </c>
      <c r="I2530" s="35">
        <f>_xlfn.XLOOKUP(Metas_Diarias[[#This Row],[data]],Feriados[Data],Feriados[Feriado],1)</f>
        <v>1</v>
      </c>
      <c r="J2530" s="33" cm="1">
        <f t="array" aca="1" ref="J2530" ca="1">SUMPRODUCT(IF((NOT(ISERROR(MATCH(ROW(INDIRECT(DATE(YEAR(B2530),MONTH(B2530),1)&amp;":"&amp;DATE(YEAR(B2530),MONTH(B2530)+1,0))),Feriados[Data],0))))=FALSE,
IF(WEEKDAY(ROW(INDIRECT(DATE(YEAR(B2530),MONTH(B2530),1)&amp;":"&amp;DATE(YEAR(B2530),MONTH(B2530)+1,0))),2)&lt;=5,1,IF(WEEKDAY(ROW(INDIRECT(DATE(YEAR(B2530),MONTH(B2530),1)&amp;":"&amp;DATE(YEAR(B2530),MONTH(B2530)+1,0))),2)=6,0.5,0)),0))</f>
        <v>22</v>
      </c>
      <c r="K2530" s="22" cm="1">
        <f t="array" ref="K2530">_xlfn.XLOOKUP(1,((Metas_Diarias[[#This Row],[tipo_equipe_id]]=Metas[equipe])*(Metas_Diarias[[#This Row],[data]]&gt;Metas[data_inicio])*(Metas_Diarias[[#This Row],[data]]&lt;Metas[data_fim])),Metas[meta_mensal],0)</f>
        <v>110000</v>
      </c>
      <c r="L2530" s="24">
        <f ca="1">Metas_Diarias[[#This Row],[meta_mensal]]*IF(Metas_Diarias[[#This Row],[semana]]="domingo",0,Metas_Diarias[[#This Row],[semana]])*IF(Metas_Diarias[[#This Row],[feriado]]&lt;&gt;1,0,1)/Metas_Diarias[[#This Row],[dias_úteis_Mês]]</f>
        <v>5000</v>
      </c>
    </row>
    <row r="2531" spans="2:12" x14ac:dyDescent="0.3">
      <c r="B2531" s="34">
        <v>46357</v>
      </c>
      <c r="C2531" s="34" t="str">
        <f>TEXT(Metas_Diarias[[#This Row],[data]],"dddd")</f>
        <v>terça-feira</v>
      </c>
      <c r="D2531" s="33">
        <v>3</v>
      </c>
      <c r="E2531" s="33">
        <v>3</v>
      </c>
      <c r="F2531" s="18"/>
      <c r="G2531" s="35">
        <f>WEEKDAY(Metas_Diarias[[#This Row],[data]])</f>
        <v>3</v>
      </c>
      <c r="H2531" s="35">
        <f>IF(Metas_Diarias[[#This Row],[dias_da_demana]]=1,"domingo",IF(Metas_Diarias[[#This Row],[dias_da_demana]]=7,0.5,1))</f>
        <v>1</v>
      </c>
      <c r="I2531" s="35">
        <f>_xlfn.XLOOKUP(Metas_Diarias[[#This Row],[data]],Feriados[Data],Feriados[Feriado],1)</f>
        <v>1</v>
      </c>
      <c r="J2531" s="33" cm="1">
        <f t="array" aca="1" ref="J2531" ca="1">SUMPRODUCT(IF((NOT(ISERROR(MATCH(ROW(INDIRECT(DATE(YEAR(B2531),MONTH(B2531),1)&amp;":"&amp;DATE(YEAR(B2531),MONTH(B2531)+1,0))),Feriados[Data],0))))=FALSE,
IF(WEEKDAY(ROW(INDIRECT(DATE(YEAR(B2531),MONTH(B2531),1)&amp;":"&amp;DATE(YEAR(B2531),MONTH(B2531)+1,0))),2)&lt;=5,1,IF(WEEKDAY(ROW(INDIRECT(DATE(YEAR(B2531),MONTH(B2531),1)&amp;":"&amp;DATE(YEAR(B2531),MONTH(B2531)+1,0))),2)=6,0.5,0)),0))</f>
        <v>24</v>
      </c>
      <c r="K2531" s="22" cm="1">
        <f t="array" ref="K2531">_xlfn.XLOOKUP(1,((Metas_Diarias[[#This Row],[tipo_equipe_id]]=Metas[equipe])*(Metas_Diarias[[#This Row],[data]]&gt;Metas[data_inicio])*(Metas_Diarias[[#This Row],[data]]&lt;Metas[data_fim])),Metas[meta_mensal],0)</f>
        <v>110000</v>
      </c>
      <c r="L253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32" spans="2:12" x14ac:dyDescent="0.3">
      <c r="B2532" s="34">
        <v>46358</v>
      </c>
      <c r="C2532" s="34" t="str">
        <f>TEXT(Metas_Diarias[[#This Row],[data]],"dddd")</f>
        <v>quarta-feira</v>
      </c>
      <c r="D2532" s="33">
        <v>3</v>
      </c>
      <c r="E2532" s="33">
        <v>3</v>
      </c>
      <c r="F2532" s="18"/>
      <c r="G2532" s="35">
        <f>WEEKDAY(Metas_Diarias[[#This Row],[data]])</f>
        <v>4</v>
      </c>
      <c r="H2532" s="35">
        <f>IF(Metas_Diarias[[#This Row],[dias_da_demana]]=1,"domingo",IF(Metas_Diarias[[#This Row],[dias_da_demana]]=7,0.5,1))</f>
        <v>1</v>
      </c>
      <c r="I2532" s="35">
        <f>_xlfn.XLOOKUP(Metas_Diarias[[#This Row],[data]],Feriados[Data],Feriados[Feriado],1)</f>
        <v>1</v>
      </c>
      <c r="J2532" s="33" cm="1">
        <f t="array" aca="1" ref="J2532" ca="1">SUMPRODUCT(IF((NOT(ISERROR(MATCH(ROW(INDIRECT(DATE(YEAR(B2532),MONTH(B2532),1)&amp;":"&amp;DATE(YEAR(B2532),MONTH(B2532)+1,0))),Feriados[Data],0))))=FALSE,
IF(WEEKDAY(ROW(INDIRECT(DATE(YEAR(B2532),MONTH(B2532),1)&amp;":"&amp;DATE(YEAR(B2532),MONTH(B2532)+1,0))),2)&lt;=5,1,IF(WEEKDAY(ROW(INDIRECT(DATE(YEAR(B2532),MONTH(B2532),1)&amp;":"&amp;DATE(YEAR(B2532),MONTH(B2532)+1,0))),2)=6,0.5,0)),0))</f>
        <v>24</v>
      </c>
      <c r="K2532" s="22" cm="1">
        <f t="array" ref="K2532">_xlfn.XLOOKUP(1,((Metas_Diarias[[#This Row],[tipo_equipe_id]]=Metas[equipe])*(Metas_Diarias[[#This Row],[data]]&gt;Metas[data_inicio])*(Metas_Diarias[[#This Row],[data]]&lt;Metas[data_fim])),Metas[meta_mensal],0)</f>
        <v>110000</v>
      </c>
      <c r="L2532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33" spans="2:12" x14ac:dyDescent="0.3">
      <c r="B2533" s="34">
        <v>46359</v>
      </c>
      <c r="C2533" s="34" t="str">
        <f>TEXT(Metas_Diarias[[#This Row],[data]],"dddd")</f>
        <v>quinta-feira</v>
      </c>
      <c r="D2533" s="33">
        <v>3</v>
      </c>
      <c r="E2533" s="33">
        <v>3</v>
      </c>
      <c r="F2533" s="18"/>
      <c r="G2533" s="35">
        <f>WEEKDAY(Metas_Diarias[[#This Row],[data]])</f>
        <v>5</v>
      </c>
      <c r="H2533" s="35">
        <f>IF(Metas_Diarias[[#This Row],[dias_da_demana]]=1,"domingo",IF(Metas_Diarias[[#This Row],[dias_da_demana]]=7,0.5,1))</f>
        <v>1</v>
      </c>
      <c r="I2533" s="35">
        <f>_xlfn.XLOOKUP(Metas_Diarias[[#This Row],[data]],Feriados[Data],Feriados[Feriado],1)</f>
        <v>1</v>
      </c>
      <c r="J2533" s="33" cm="1">
        <f t="array" aca="1" ref="J2533" ca="1">SUMPRODUCT(IF((NOT(ISERROR(MATCH(ROW(INDIRECT(DATE(YEAR(B2533),MONTH(B2533),1)&amp;":"&amp;DATE(YEAR(B2533),MONTH(B2533)+1,0))),Feriados[Data],0))))=FALSE,
IF(WEEKDAY(ROW(INDIRECT(DATE(YEAR(B2533),MONTH(B2533),1)&amp;":"&amp;DATE(YEAR(B2533),MONTH(B2533)+1,0))),2)&lt;=5,1,IF(WEEKDAY(ROW(INDIRECT(DATE(YEAR(B2533),MONTH(B2533),1)&amp;":"&amp;DATE(YEAR(B2533),MONTH(B2533)+1,0))),2)=6,0.5,0)),0))</f>
        <v>24</v>
      </c>
      <c r="K2533" s="22" cm="1">
        <f t="array" ref="K2533">_xlfn.XLOOKUP(1,((Metas_Diarias[[#This Row],[tipo_equipe_id]]=Metas[equipe])*(Metas_Diarias[[#This Row],[data]]&gt;Metas[data_inicio])*(Metas_Diarias[[#This Row],[data]]&lt;Metas[data_fim])),Metas[meta_mensal],0)</f>
        <v>110000</v>
      </c>
      <c r="L2533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34" spans="2:12" x14ac:dyDescent="0.3">
      <c r="B2534" s="34">
        <v>46360</v>
      </c>
      <c r="C2534" s="34" t="str">
        <f>TEXT(Metas_Diarias[[#This Row],[data]],"dddd")</f>
        <v>sexta-feira</v>
      </c>
      <c r="D2534" s="33">
        <v>3</v>
      </c>
      <c r="E2534" s="33">
        <v>3</v>
      </c>
      <c r="F2534" s="18"/>
      <c r="G2534" s="35">
        <f>WEEKDAY(Metas_Diarias[[#This Row],[data]])</f>
        <v>6</v>
      </c>
      <c r="H2534" s="35">
        <f>IF(Metas_Diarias[[#This Row],[dias_da_demana]]=1,"domingo",IF(Metas_Diarias[[#This Row],[dias_da_demana]]=7,0.5,1))</f>
        <v>1</v>
      </c>
      <c r="I2534" s="35">
        <f>_xlfn.XLOOKUP(Metas_Diarias[[#This Row],[data]],Feriados[Data],Feriados[Feriado],1)</f>
        <v>1</v>
      </c>
      <c r="J2534" s="33" cm="1">
        <f t="array" aca="1" ref="J2534" ca="1">SUMPRODUCT(IF((NOT(ISERROR(MATCH(ROW(INDIRECT(DATE(YEAR(B2534),MONTH(B2534),1)&amp;":"&amp;DATE(YEAR(B2534),MONTH(B2534)+1,0))),Feriados[Data],0))))=FALSE,
IF(WEEKDAY(ROW(INDIRECT(DATE(YEAR(B2534),MONTH(B2534),1)&amp;":"&amp;DATE(YEAR(B2534),MONTH(B2534)+1,0))),2)&lt;=5,1,IF(WEEKDAY(ROW(INDIRECT(DATE(YEAR(B2534),MONTH(B2534),1)&amp;":"&amp;DATE(YEAR(B2534),MONTH(B2534)+1,0))),2)=6,0.5,0)),0))</f>
        <v>24</v>
      </c>
      <c r="K2534" s="22" cm="1">
        <f t="array" ref="K2534">_xlfn.XLOOKUP(1,((Metas_Diarias[[#This Row],[tipo_equipe_id]]=Metas[equipe])*(Metas_Diarias[[#This Row],[data]]&gt;Metas[data_inicio])*(Metas_Diarias[[#This Row],[data]]&lt;Metas[data_fim])),Metas[meta_mensal],0)</f>
        <v>110000</v>
      </c>
      <c r="L253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35" spans="2:12" x14ac:dyDescent="0.3">
      <c r="B2535" s="34">
        <v>46361</v>
      </c>
      <c r="C2535" s="34" t="str">
        <f>TEXT(Metas_Diarias[[#This Row],[data]],"dddd")</f>
        <v>sábado</v>
      </c>
      <c r="D2535" s="33">
        <v>3</v>
      </c>
      <c r="E2535" s="33">
        <v>3</v>
      </c>
      <c r="F2535" s="18"/>
      <c r="G2535" s="35">
        <f>WEEKDAY(Metas_Diarias[[#This Row],[data]])</f>
        <v>7</v>
      </c>
      <c r="H2535" s="35">
        <f>IF(Metas_Diarias[[#This Row],[dias_da_demana]]=1,"domingo",IF(Metas_Diarias[[#This Row],[dias_da_demana]]=7,0.5,1))</f>
        <v>0.5</v>
      </c>
      <c r="I2535" s="35">
        <f>_xlfn.XLOOKUP(Metas_Diarias[[#This Row],[data]],Feriados[Data],Feriados[Feriado],1)</f>
        <v>1</v>
      </c>
      <c r="J2535" s="33" cm="1">
        <f t="array" aca="1" ref="J2535" ca="1">SUMPRODUCT(IF((NOT(ISERROR(MATCH(ROW(INDIRECT(DATE(YEAR(B2535),MONTH(B2535),1)&amp;":"&amp;DATE(YEAR(B2535),MONTH(B2535)+1,0))),Feriados[Data],0))))=FALSE,
IF(WEEKDAY(ROW(INDIRECT(DATE(YEAR(B2535),MONTH(B2535),1)&amp;":"&amp;DATE(YEAR(B2535),MONTH(B2535)+1,0))),2)&lt;=5,1,IF(WEEKDAY(ROW(INDIRECT(DATE(YEAR(B2535),MONTH(B2535),1)&amp;":"&amp;DATE(YEAR(B2535),MONTH(B2535)+1,0))),2)=6,0.5,0)),0))</f>
        <v>24</v>
      </c>
      <c r="K2535" s="22" cm="1">
        <f t="array" ref="K2535">_xlfn.XLOOKUP(1,((Metas_Diarias[[#This Row],[tipo_equipe_id]]=Metas[equipe])*(Metas_Diarias[[#This Row],[data]]&gt;Metas[data_inicio])*(Metas_Diarias[[#This Row],[data]]&lt;Metas[data_fim])),Metas[meta_mensal],0)</f>
        <v>110000</v>
      </c>
      <c r="L2535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2536" spans="2:12" x14ac:dyDescent="0.3">
      <c r="B2536" s="34">
        <v>46362</v>
      </c>
      <c r="C2536" s="34" t="str">
        <f>TEXT(Metas_Diarias[[#This Row],[data]],"dddd")</f>
        <v>domingo</v>
      </c>
      <c r="D2536" s="33">
        <v>3</v>
      </c>
      <c r="E2536" s="33">
        <v>3</v>
      </c>
      <c r="F2536" s="18"/>
      <c r="G2536" s="35">
        <f>WEEKDAY(Metas_Diarias[[#This Row],[data]])</f>
        <v>1</v>
      </c>
      <c r="H2536" s="35" t="str">
        <f>IF(Metas_Diarias[[#This Row],[dias_da_demana]]=1,"domingo",IF(Metas_Diarias[[#This Row],[dias_da_demana]]=7,0.5,1))</f>
        <v>domingo</v>
      </c>
      <c r="I2536" s="35">
        <f>_xlfn.XLOOKUP(Metas_Diarias[[#This Row],[data]],Feriados[Data],Feriados[Feriado],1)</f>
        <v>1</v>
      </c>
      <c r="J2536" s="33" cm="1">
        <f t="array" aca="1" ref="J2536" ca="1">SUMPRODUCT(IF((NOT(ISERROR(MATCH(ROW(INDIRECT(DATE(YEAR(B2536),MONTH(B2536),1)&amp;":"&amp;DATE(YEAR(B2536),MONTH(B2536)+1,0))),Feriados[Data],0))))=FALSE,
IF(WEEKDAY(ROW(INDIRECT(DATE(YEAR(B2536),MONTH(B2536),1)&amp;":"&amp;DATE(YEAR(B2536),MONTH(B2536)+1,0))),2)&lt;=5,1,IF(WEEKDAY(ROW(INDIRECT(DATE(YEAR(B2536),MONTH(B2536),1)&amp;":"&amp;DATE(YEAR(B2536),MONTH(B2536)+1,0))),2)=6,0.5,0)),0))</f>
        <v>24</v>
      </c>
      <c r="K2536" s="22" cm="1">
        <f t="array" ref="K2536">_xlfn.XLOOKUP(1,((Metas_Diarias[[#This Row],[tipo_equipe_id]]=Metas[equipe])*(Metas_Diarias[[#This Row],[data]]&gt;Metas[data_inicio])*(Metas_Diarias[[#This Row],[data]]&lt;Metas[data_fim])),Metas[meta_mensal],0)</f>
        <v>110000</v>
      </c>
      <c r="L253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37" spans="2:12" x14ac:dyDescent="0.3">
      <c r="B2537" s="34">
        <v>46363</v>
      </c>
      <c r="C2537" s="34" t="str">
        <f>TEXT(Metas_Diarias[[#This Row],[data]],"dddd")</f>
        <v>segunda-feira</v>
      </c>
      <c r="D2537" s="33">
        <v>3</v>
      </c>
      <c r="E2537" s="33">
        <v>3</v>
      </c>
      <c r="F2537" s="18"/>
      <c r="G2537" s="35">
        <f>WEEKDAY(Metas_Diarias[[#This Row],[data]])</f>
        <v>2</v>
      </c>
      <c r="H2537" s="35">
        <f>IF(Metas_Diarias[[#This Row],[dias_da_demana]]=1,"domingo",IF(Metas_Diarias[[#This Row],[dias_da_demana]]=7,0.5,1))</f>
        <v>1</v>
      </c>
      <c r="I2537" s="35">
        <f>_xlfn.XLOOKUP(Metas_Diarias[[#This Row],[data]],Feriados[Data],Feriados[Feriado],1)</f>
        <v>1</v>
      </c>
      <c r="J2537" s="33" cm="1">
        <f t="array" aca="1" ref="J2537" ca="1">SUMPRODUCT(IF((NOT(ISERROR(MATCH(ROW(INDIRECT(DATE(YEAR(B2537),MONTH(B2537),1)&amp;":"&amp;DATE(YEAR(B2537),MONTH(B2537)+1,0))),Feriados[Data],0))))=FALSE,
IF(WEEKDAY(ROW(INDIRECT(DATE(YEAR(B2537),MONTH(B2537),1)&amp;":"&amp;DATE(YEAR(B2537),MONTH(B2537)+1,0))),2)&lt;=5,1,IF(WEEKDAY(ROW(INDIRECT(DATE(YEAR(B2537),MONTH(B2537),1)&amp;":"&amp;DATE(YEAR(B2537),MONTH(B2537)+1,0))),2)=6,0.5,0)),0))</f>
        <v>24</v>
      </c>
      <c r="K2537" s="22" cm="1">
        <f t="array" ref="K2537">_xlfn.XLOOKUP(1,((Metas_Diarias[[#This Row],[tipo_equipe_id]]=Metas[equipe])*(Metas_Diarias[[#This Row],[data]]&gt;Metas[data_inicio])*(Metas_Diarias[[#This Row],[data]]&lt;Metas[data_fim])),Metas[meta_mensal],0)</f>
        <v>110000</v>
      </c>
      <c r="L253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38" spans="2:12" x14ac:dyDescent="0.3">
      <c r="B2538" s="34">
        <v>46364</v>
      </c>
      <c r="C2538" s="34" t="str">
        <f>TEXT(Metas_Diarias[[#This Row],[data]],"dddd")</f>
        <v>terça-feira</v>
      </c>
      <c r="D2538" s="33">
        <v>3</v>
      </c>
      <c r="E2538" s="33">
        <v>3</v>
      </c>
      <c r="F2538" s="18"/>
      <c r="G2538" s="35">
        <f>WEEKDAY(Metas_Diarias[[#This Row],[data]])</f>
        <v>3</v>
      </c>
      <c r="H2538" s="35">
        <f>IF(Metas_Diarias[[#This Row],[dias_da_demana]]=1,"domingo",IF(Metas_Diarias[[#This Row],[dias_da_demana]]=7,0.5,1))</f>
        <v>1</v>
      </c>
      <c r="I2538" s="35">
        <f>_xlfn.XLOOKUP(Metas_Diarias[[#This Row],[data]],Feriados[Data],Feriados[Feriado],1)</f>
        <v>1</v>
      </c>
      <c r="J2538" s="33" cm="1">
        <f t="array" aca="1" ref="J2538" ca="1">SUMPRODUCT(IF((NOT(ISERROR(MATCH(ROW(INDIRECT(DATE(YEAR(B2538),MONTH(B2538),1)&amp;":"&amp;DATE(YEAR(B2538),MONTH(B2538)+1,0))),Feriados[Data],0))))=FALSE,
IF(WEEKDAY(ROW(INDIRECT(DATE(YEAR(B2538),MONTH(B2538),1)&amp;":"&amp;DATE(YEAR(B2538),MONTH(B2538)+1,0))),2)&lt;=5,1,IF(WEEKDAY(ROW(INDIRECT(DATE(YEAR(B2538),MONTH(B2538),1)&amp;":"&amp;DATE(YEAR(B2538),MONTH(B2538)+1,0))),2)=6,0.5,0)),0))</f>
        <v>24</v>
      </c>
      <c r="K2538" s="22" cm="1">
        <f t="array" ref="K2538">_xlfn.XLOOKUP(1,((Metas_Diarias[[#This Row],[tipo_equipe_id]]=Metas[equipe])*(Metas_Diarias[[#This Row],[data]]&gt;Metas[data_inicio])*(Metas_Diarias[[#This Row],[data]]&lt;Metas[data_fim])),Metas[meta_mensal],0)</f>
        <v>110000</v>
      </c>
      <c r="L253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39" spans="2:12" x14ac:dyDescent="0.3">
      <c r="B2539" s="34">
        <v>46365</v>
      </c>
      <c r="C2539" s="34" t="str">
        <f>TEXT(Metas_Diarias[[#This Row],[data]],"dddd")</f>
        <v>quarta-feira</v>
      </c>
      <c r="D2539" s="33">
        <v>3</v>
      </c>
      <c r="E2539" s="33">
        <v>3</v>
      </c>
      <c r="F2539" s="18"/>
      <c r="G2539" s="35">
        <f>WEEKDAY(Metas_Diarias[[#This Row],[data]])</f>
        <v>4</v>
      </c>
      <c r="H2539" s="35">
        <f>IF(Metas_Diarias[[#This Row],[dias_da_demana]]=1,"domingo",IF(Metas_Diarias[[#This Row],[dias_da_demana]]=7,0.5,1))</f>
        <v>1</v>
      </c>
      <c r="I2539" s="35">
        <f>_xlfn.XLOOKUP(Metas_Diarias[[#This Row],[data]],Feriados[Data],Feriados[Feriado],1)</f>
        <v>1</v>
      </c>
      <c r="J2539" s="33" cm="1">
        <f t="array" aca="1" ref="J2539" ca="1">SUMPRODUCT(IF((NOT(ISERROR(MATCH(ROW(INDIRECT(DATE(YEAR(B2539),MONTH(B2539),1)&amp;":"&amp;DATE(YEAR(B2539),MONTH(B2539)+1,0))),Feriados[Data],0))))=FALSE,
IF(WEEKDAY(ROW(INDIRECT(DATE(YEAR(B2539),MONTH(B2539),1)&amp;":"&amp;DATE(YEAR(B2539),MONTH(B2539)+1,0))),2)&lt;=5,1,IF(WEEKDAY(ROW(INDIRECT(DATE(YEAR(B2539),MONTH(B2539),1)&amp;":"&amp;DATE(YEAR(B2539),MONTH(B2539)+1,0))),2)=6,0.5,0)),0))</f>
        <v>24</v>
      </c>
      <c r="K2539" s="22" cm="1">
        <f t="array" ref="K2539">_xlfn.XLOOKUP(1,((Metas_Diarias[[#This Row],[tipo_equipe_id]]=Metas[equipe])*(Metas_Diarias[[#This Row],[data]]&gt;Metas[data_inicio])*(Metas_Diarias[[#This Row],[data]]&lt;Metas[data_fim])),Metas[meta_mensal],0)</f>
        <v>110000</v>
      </c>
      <c r="L2539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40" spans="2:12" x14ac:dyDescent="0.3">
      <c r="B2540" s="34">
        <v>46366</v>
      </c>
      <c r="C2540" s="34" t="str">
        <f>TEXT(Metas_Diarias[[#This Row],[data]],"dddd")</f>
        <v>quinta-feira</v>
      </c>
      <c r="D2540" s="33">
        <v>3</v>
      </c>
      <c r="E2540" s="33">
        <v>3</v>
      </c>
      <c r="F2540" s="18"/>
      <c r="G2540" s="35">
        <f>WEEKDAY(Metas_Diarias[[#This Row],[data]])</f>
        <v>5</v>
      </c>
      <c r="H2540" s="35">
        <f>IF(Metas_Diarias[[#This Row],[dias_da_demana]]=1,"domingo",IF(Metas_Diarias[[#This Row],[dias_da_demana]]=7,0.5,1))</f>
        <v>1</v>
      </c>
      <c r="I2540" s="35">
        <f>_xlfn.XLOOKUP(Metas_Diarias[[#This Row],[data]],Feriados[Data],Feriados[Feriado],1)</f>
        <v>1</v>
      </c>
      <c r="J2540" s="33" cm="1">
        <f t="array" aca="1" ref="J2540" ca="1">SUMPRODUCT(IF((NOT(ISERROR(MATCH(ROW(INDIRECT(DATE(YEAR(B2540),MONTH(B2540),1)&amp;":"&amp;DATE(YEAR(B2540),MONTH(B2540)+1,0))),Feriados[Data],0))))=FALSE,
IF(WEEKDAY(ROW(INDIRECT(DATE(YEAR(B2540),MONTH(B2540),1)&amp;":"&amp;DATE(YEAR(B2540),MONTH(B2540)+1,0))),2)&lt;=5,1,IF(WEEKDAY(ROW(INDIRECT(DATE(YEAR(B2540),MONTH(B2540),1)&amp;":"&amp;DATE(YEAR(B2540),MONTH(B2540)+1,0))),2)=6,0.5,0)),0))</f>
        <v>24</v>
      </c>
      <c r="K2540" s="22" cm="1">
        <f t="array" ref="K2540">_xlfn.XLOOKUP(1,((Metas_Diarias[[#This Row],[tipo_equipe_id]]=Metas[equipe])*(Metas_Diarias[[#This Row],[data]]&gt;Metas[data_inicio])*(Metas_Diarias[[#This Row],[data]]&lt;Metas[data_fim])),Metas[meta_mensal],0)</f>
        <v>110000</v>
      </c>
      <c r="L254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41" spans="2:12" x14ac:dyDescent="0.3">
      <c r="B2541" s="34">
        <v>46367</v>
      </c>
      <c r="C2541" s="34" t="str">
        <f>TEXT(Metas_Diarias[[#This Row],[data]],"dddd")</f>
        <v>sexta-feira</v>
      </c>
      <c r="D2541" s="33">
        <v>3</v>
      </c>
      <c r="E2541" s="33">
        <v>3</v>
      </c>
      <c r="F2541" s="18"/>
      <c r="G2541" s="35">
        <f>WEEKDAY(Metas_Diarias[[#This Row],[data]])</f>
        <v>6</v>
      </c>
      <c r="H2541" s="35">
        <f>IF(Metas_Diarias[[#This Row],[dias_da_demana]]=1,"domingo",IF(Metas_Diarias[[#This Row],[dias_da_demana]]=7,0.5,1))</f>
        <v>1</v>
      </c>
      <c r="I2541" s="35">
        <f>_xlfn.XLOOKUP(Metas_Diarias[[#This Row],[data]],Feriados[Data],Feriados[Feriado],1)</f>
        <v>1</v>
      </c>
      <c r="J2541" s="33" cm="1">
        <f t="array" aca="1" ref="J2541" ca="1">SUMPRODUCT(IF((NOT(ISERROR(MATCH(ROW(INDIRECT(DATE(YEAR(B2541),MONTH(B2541),1)&amp;":"&amp;DATE(YEAR(B2541),MONTH(B2541)+1,0))),Feriados[Data],0))))=FALSE,
IF(WEEKDAY(ROW(INDIRECT(DATE(YEAR(B2541),MONTH(B2541),1)&amp;":"&amp;DATE(YEAR(B2541),MONTH(B2541)+1,0))),2)&lt;=5,1,IF(WEEKDAY(ROW(INDIRECT(DATE(YEAR(B2541),MONTH(B2541),1)&amp;":"&amp;DATE(YEAR(B2541),MONTH(B2541)+1,0))),2)=6,0.5,0)),0))</f>
        <v>24</v>
      </c>
      <c r="K2541" s="22" cm="1">
        <f t="array" ref="K2541">_xlfn.XLOOKUP(1,((Metas_Diarias[[#This Row],[tipo_equipe_id]]=Metas[equipe])*(Metas_Diarias[[#This Row],[data]]&gt;Metas[data_inicio])*(Metas_Diarias[[#This Row],[data]]&lt;Metas[data_fim])),Metas[meta_mensal],0)</f>
        <v>110000</v>
      </c>
      <c r="L254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42" spans="2:12" x14ac:dyDescent="0.3">
      <c r="B2542" s="34">
        <v>46368</v>
      </c>
      <c r="C2542" s="34" t="str">
        <f>TEXT(Metas_Diarias[[#This Row],[data]],"dddd")</f>
        <v>sábado</v>
      </c>
      <c r="D2542" s="33">
        <v>3</v>
      </c>
      <c r="E2542" s="33">
        <v>3</v>
      </c>
      <c r="F2542" s="18"/>
      <c r="G2542" s="35">
        <f>WEEKDAY(Metas_Diarias[[#This Row],[data]])</f>
        <v>7</v>
      </c>
      <c r="H2542" s="35">
        <f>IF(Metas_Diarias[[#This Row],[dias_da_demana]]=1,"domingo",IF(Metas_Diarias[[#This Row],[dias_da_demana]]=7,0.5,1))</f>
        <v>0.5</v>
      </c>
      <c r="I2542" s="35">
        <f>_xlfn.XLOOKUP(Metas_Diarias[[#This Row],[data]],Feriados[Data],Feriados[Feriado],1)</f>
        <v>1</v>
      </c>
      <c r="J2542" s="33" cm="1">
        <f t="array" aca="1" ref="J2542" ca="1">SUMPRODUCT(IF((NOT(ISERROR(MATCH(ROW(INDIRECT(DATE(YEAR(B2542),MONTH(B2542),1)&amp;":"&amp;DATE(YEAR(B2542),MONTH(B2542)+1,0))),Feriados[Data],0))))=FALSE,
IF(WEEKDAY(ROW(INDIRECT(DATE(YEAR(B2542),MONTH(B2542),1)&amp;":"&amp;DATE(YEAR(B2542),MONTH(B2542)+1,0))),2)&lt;=5,1,IF(WEEKDAY(ROW(INDIRECT(DATE(YEAR(B2542),MONTH(B2542),1)&amp;":"&amp;DATE(YEAR(B2542),MONTH(B2542)+1,0))),2)=6,0.5,0)),0))</f>
        <v>24</v>
      </c>
      <c r="K2542" s="22" cm="1">
        <f t="array" ref="K2542">_xlfn.XLOOKUP(1,((Metas_Diarias[[#This Row],[tipo_equipe_id]]=Metas[equipe])*(Metas_Diarias[[#This Row],[data]]&gt;Metas[data_inicio])*(Metas_Diarias[[#This Row],[data]]&lt;Metas[data_fim])),Metas[meta_mensal],0)</f>
        <v>110000</v>
      </c>
      <c r="L2542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2543" spans="2:12" x14ac:dyDescent="0.3">
      <c r="B2543" s="34">
        <v>46369</v>
      </c>
      <c r="C2543" s="34" t="str">
        <f>TEXT(Metas_Diarias[[#This Row],[data]],"dddd")</f>
        <v>domingo</v>
      </c>
      <c r="D2543" s="33">
        <v>3</v>
      </c>
      <c r="E2543" s="33">
        <v>3</v>
      </c>
      <c r="F2543" s="18"/>
      <c r="G2543" s="35">
        <f>WEEKDAY(Metas_Diarias[[#This Row],[data]])</f>
        <v>1</v>
      </c>
      <c r="H2543" s="35" t="str">
        <f>IF(Metas_Diarias[[#This Row],[dias_da_demana]]=1,"domingo",IF(Metas_Diarias[[#This Row],[dias_da_demana]]=7,0.5,1))</f>
        <v>domingo</v>
      </c>
      <c r="I2543" s="35">
        <f>_xlfn.XLOOKUP(Metas_Diarias[[#This Row],[data]],Feriados[Data],Feriados[Feriado],1)</f>
        <v>1</v>
      </c>
      <c r="J2543" s="33" cm="1">
        <f t="array" aca="1" ref="J2543" ca="1">SUMPRODUCT(IF((NOT(ISERROR(MATCH(ROW(INDIRECT(DATE(YEAR(B2543),MONTH(B2543),1)&amp;":"&amp;DATE(YEAR(B2543),MONTH(B2543)+1,0))),Feriados[Data],0))))=FALSE,
IF(WEEKDAY(ROW(INDIRECT(DATE(YEAR(B2543),MONTH(B2543),1)&amp;":"&amp;DATE(YEAR(B2543),MONTH(B2543)+1,0))),2)&lt;=5,1,IF(WEEKDAY(ROW(INDIRECT(DATE(YEAR(B2543),MONTH(B2543),1)&amp;":"&amp;DATE(YEAR(B2543),MONTH(B2543)+1,0))),2)=6,0.5,0)),0))</f>
        <v>24</v>
      </c>
      <c r="K2543" s="22" cm="1">
        <f t="array" ref="K2543">_xlfn.XLOOKUP(1,((Metas_Diarias[[#This Row],[tipo_equipe_id]]=Metas[equipe])*(Metas_Diarias[[#This Row],[data]]&gt;Metas[data_inicio])*(Metas_Diarias[[#This Row],[data]]&lt;Metas[data_fim])),Metas[meta_mensal],0)</f>
        <v>110000</v>
      </c>
      <c r="L25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44" spans="2:12" x14ac:dyDescent="0.3">
      <c r="B2544" s="34">
        <v>46370</v>
      </c>
      <c r="C2544" s="34" t="str">
        <f>TEXT(Metas_Diarias[[#This Row],[data]],"dddd")</f>
        <v>segunda-feira</v>
      </c>
      <c r="D2544" s="33">
        <v>3</v>
      </c>
      <c r="E2544" s="33">
        <v>3</v>
      </c>
      <c r="F2544" s="18"/>
      <c r="G2544" s="35">
        <f>WEEKDAY(Metas_Diarias[[#This Row],[data]])</f>
        <v>2</v>
      </c>
      <c r="H2544" s="35">
        <f>IF(Metas_Diarias[[#This Row],[dias_da_demana]]=1,"domingo",IF(Metas_Diarias[[#This Row],[dias_da_demana]]=7,0.5,1))</f>
        <v>1</v>
      </c>
      <c r="I2544" s="35">
        <f>_xlfn.XLOOKUP(Metas_Diarias[[#This Row],[data]],Feriados[Data],Feriados[Feriado],1)</f>
        <v>1</v>
      </c>
      <c r="J2544" s="33" cm="1">
        <f t="array" aca="1" ref="J2544" ca="1">SUMPRODUCT(IF((NOT(ISERROR(MATCH(ROW(INDIRECT(DATE(YEAR(B2544),MONTH(B2544),1)&amp;":"&amp;DATE(YEAR(B2544),MONTH(B2544)+1,0))),Feriados[Data],0))))=FALSE,
IF(WEEKDAY(ROW(INDIRECT(DATE(YEAR(B2544),MONTH(B2544),1)&amp;":"&amp;DATE(YEAR(B2544),MONTH(B2544)+1,0))),2)&lt;=5,1,IF(WEEKDAY(ROW(INDIRECT(DATE(YEAR(B2544),MONTH(B2544),1)&amp;":"&amp;DATE(YEAR(B2544),MONTH(B2544)+1,0))),2)=6,0.5,0)),0))</f>
        <v>24</v>
      </c>
      <c r="K2544" s="22" cm="1">
        <f t="array" ref="K2544">_xlfn.XLOOKUP(1,((Metas_Diarias[[#This Row],[tipo_equipe_id]]=Metas[equipe])*(Metas_Diarias[[#This Row],[data]]&gt;Metas[data_inicio])*(Metas_Diarias[[#This Row],[data]]&lt;Metas[data_fim])),Metas[meta_mensal],0)</f>
        <v>110000</v>
      </c>
      <c r="L254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45" spans="2:12" x14ac:dyDescent="0.3">
      <c r="B2545" s="34">
        <v>46371</v>
      </c>
      <c r="C2545" s="34" t="str">
        <f>TEXT(Metas_Diarias[[#This Row],[data]],"dddd")</f>
        <v>terça-feira</v>
      </c>
      <c r="D2545" s="33">
        <v>3</v>
      </c>
      <c r="E2545" s="33">
        <v>3</v>
      </c>
      <c r="F2545" s="18"/>
      <c r="G2545" s="35">
        <f>WEEKDAY(Metas_Diarias[[#This Row],[data]])</f>
        <v>3</v>
      </c>
      <c r="H2545" s="35">
        <f>IF(Metas_Diarias[[#This Row],[dias_da_demana]]=1,"domingo",IF(Metas_Diarias[[#This Row],[dias_da_demana]]=7,0.5,1))</f>
        <v>1</v>
      </c>
      <c r="I2545" s="35">
        <f>_xlfn.XLOOKUP(Metas_Diarias[[#This Row],[data]],Feriados[Data],Feriados[Feriado],1)</f>
        <v>1</v>
      </c>
      <c r="J2545" s="33" cm="1">
        <f t="array" aca="1" ref="J2545" ca="1">SUMPRODUCT(IF((NOT(ISERROR(MATCH(ROW(INDIRECT(DATE(YEAR(B2545),MONTH(B2545),1)&amp;":"&amp;DATE(YEAR(B2545),MONTH(B2545)+1,0))),Feriados[Data],0))))=FALSE,
IF(WEEKDAY(ROW(INDIRECT(DATE(YEAR(B2545),MONTH(B2545),1)&amp;":"&amp;DATE(YEAR(B2545),MONTH(B2545)+1,0))),2)&lt;=5,1,IF(WEEKDAY(ROW(INDIRECT(DATE(YEAR(B2545),MONTH(B2545),1)&amp;":"&amp;DATE(YEAR(B2545),MONTH(B2545)+1,0))),2)=6,0.5,0)),0))</f>
        <v>24</v>
      </c>
      <c r="K2545" s="22" cm="1">
        <f t="array" ref="K2545">_xlfn.XLOOKUP(1,((Metas_Diarias[[#This Row],[tipo_equipe_id]]=Metas[equipe])*(Metas_Diarias[[#This Row],[data]]&gt;Metas[data_inicio])*(Metas_Diarias[[#This Row],[data]]&lt;Metas[data_fim])),Metas[meta_mensal],0)</f>
        <v>110000</v>
      </c>
      <c r="L2545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46" spans="2:12" x14ac:dyDescent="0.3">
      <c r="B2546" s="34">
        <v>46372</v>
      </c>
      <c r="C2546" s="34" t="str">
        <f>TEXT(Metas_Diarias[[#This Row],[data]],"dddd")</f>
        <v>quarta-feira</v>
      </c>
      <c r="D2546" s="33">
        <v>3</v>
      </c>
      <c r="E2546" s="33">
        <v>3</v>
      </c>
      <c r="F2546" s="18"/>
      <c r="G2546" s="35">
        <f>WEEKDAY(Metas_Diarias[[#This Row],[data]])</f>
        <v>4</v>
      </c>
      <c r="H2546" s="35">
        <f>IF(Metas_Diarias[[#This Row],[dias_da_demana]]=1,"domingo",IF(Metas_Diarias[[#This Row],[dias_da_demana]]=7,0.5,1))</f>
        <v>1</v>
      </c>
      <c r="I2546" s="35">
        <f>_xlfn.XLOOKUP(Metas_Diarias[[#This Row],[data]],Feriados[Data],Feriados[Feriado],1)</f>
        <v>1</v>
      </c>
      <c r="J2546" s="33" cm="1">
        <f t="array" aca="1" ref="J2546" ca="1">SUMPRODUCT(IF((NOT(ISERROR(MATCH(ROW(INDIRECT(DATE(YEAR(B2546),MONTH(B2546),1)&amp;":"&amp;DATE(YEAR(B2546),MONTH(B2546)+1,0))),Feriados[Data],0))))=FALSE,
IF(WEEKDAY(ROW(INDIRECT(DATE(YEAR(B2546),MONTH(B2546),1)&amp;":"&amp;DATE(YEAR(B2546),MONTH(B2546)+1,0))),2)&lt;=5,1,IF(WEEKDAY(ROW(INDIRECT(DATE(YEAR(B2546),MONTH(B2546),1)&amp;":"&amp;DATE(YEAR(B2546),MONTH(B2546)+1,0))),2)=6,0.5,0)),0))</f>
        <v>24</v>
      </c>
      <c r="K2546" s="22" cm="1">
        <f t="array" ref="K2546">_xlfn.XLOOKUP(1,((Metas_Diarias[[#This Row],[tipo_equipe_id]]=Metas[equipe])*(Metas_Diarias[[#This Row],[data]]&gt;Metas[data_inicio])*(Metas_Diarias[[#This Row],[data]]&lt;Metas[data_fim])),Metas[meta_mensal],0)</f>
        <v>110000</v>
      </c>
      <c r="L2546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47" spans="2:12" x14ac:dyDescent="0.3">
      <c r="B2547" s="34">
        <v>46373</v>
      </c>
      <c r="C2547" s="34" t="str">
        <f>TEXT(Metas_Diarias[[#This Row],[data]],"dddd")</f>
        <v>quinta-feira</v>
      </c>
      <c r="D2547" s="33">
        <v>3</v>
      </c>
      <c r="E2547" s="33">
        <v>3</v>
      </c>
      <c r="F2547" s="18"/>
      <c r="G2547" s="35">
        <f>WEEKDAY(Metas_Diarias[[#This Row],[data]])</f>
        <v>5</v>
      </c>
      <c r="H2547" s="35">
        <f>IF(Metas_Diarias[[#This Row],[dias_da_demana]]=1,"domingo",IF(Metas_Diarias[[#This Row],[dias_da_demana]]=7,0.5,1))</f>
        <v>1</v>
      </c>
      <c r="I2547" s="35">
        <f>_xlfn.XLOOKUP(Metas_Diarias[[#This Row],[data]],Feriados[Data],Feriados[Feriado],1)</f>
        <v>1</v>
      </c>
      <c r="J2547" s="33" cm="1">
        <f t="array" aca="1" ref="J2547" ca="1">SUMPRODUCT(IF((NOT(ISERROR(MATCH(ROW(INDIRECT(DATE(YEAR(B2547),MONTH(B2547),1)&amp;":"&amp;DATE(YEAR(B2547),MONTH(B2547)+1,0))),Feriados[Data],0))))=FALSE,
IF(WEEKDAY(ROW(INDIRECT(DATE(YEAR(B2547),MONTH(B2547),1)&amp;":"&amp;DATE(YEAR(B2547),MONTH(B2547)+1,0))),2)&lt;=5,1,IF(WEEKDAY(ROW(INDIRECT(DATE(YEAR(B2547),MONTH(B2547),1)&amp;":"&amp;DATE(YEAR(B2547),MONTH(B2547)+1,0))),2)=6,0.5,0)),0))</f>
        <v>24</v>
      </c>
      <c r="K2547" s="22" cm="1">
        <f t="array" ref="K2547">_xlfn.XLOOKUP(1,((Metas_Diarias[[#This Row],[tipo_equipe_id]]=Metas[equipe])*(Metas_Diarias[[#This Row],[data]]&gt;Metas[data_inicio])*(Metas_Diarias[[#This Row],[data]]&lt;Metas[data_fim])),Metas[meta_mensal],0)</f>
        <v>110000</v>
      </c>
      <c r="L2547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48" spans="2:12" x14ac:dyDescent="0.3">
      <c r="B2548" s="34">
        <v>46374</v>
      </c>
      <c r="C2548" s="34" t="str">
        <f>TEXT(Metas_Diarias[[#This Row],[data]],"dddd")</f>
        <v>sexta-feira</v>
      </c>
      <c r="D2548" s="33">
        <v>3</v>
      </c>
      <c r="E2548" s="33">
        <v>3</v>
      </c>
      <c r="F2548" s="18"/>
      <c r="G2548" s="35">
        <f>WEEKDAY(Metas_Diarias[[#This Row],[data]])</f>
        <v>6</v>
      </c>
      <c r="H2548" s="35">
        <f>IF(Metas_Diarias[[#This Row],[dias_da_demana]]=1,"domingo",IF(Metas_Diarias[[#This Row],[dias_da_demana]]=7,0.5,1))</f>
        <v>1</v>
      </c>
      <c r="I2548" s="35">
        <f>_xlfn.XLOOKUP(Metas_Diarias[[#This Row],[data]],Feriados[Data],Feriados[Feriado],1)</f>
        <v>1</v>
      </c>
      <c r="J2548" s="33" cm="1">
        <f t="array" aca="1" ref="J2548" ca="1">SUMPRODUCT(IF((NOT(ISERROR(MATCH(ROW(INDIRECT(DATE(YEAR(B2548),MONTH(B2548),1)&amp;":"&amp;DATE(YEAR(B2548),MONTH(B2548)+1,0))),Feriados[Data],0))))=FALSE,
IF(WEEKDAY(ROW(INDIRECT(DATE(YEAR(B2548),MONTH(B2548),1)&amp;":"&amp;DATE(YEAR(B2548),MONTH(B2548)+1,0))),2)&lt;=5,1,IF(WEEKDAY(ROW(INDIRECT(DATE(YEAR(B2548),MONTH(B2548),1)&amp;":"&amp;DATE(YEAR(B2548),MONTH(B2548)+1,0))),2)=6,0.5,0)),0))</f>
        <v>24</v>
      </c>
      <c r="K2548" s="22" cm="1">
        <f t="array" ref="K2548">_xlfn.XLOOKUP(1,((Metas_Diarias[[#This Row],[tipo_equipe_id]]=Metas[equipe])*(Metas_Diarias[[#This Row],[data]]&gt;Metas[data_inicio])*(Metas_Diarias[[#This Row],[data]]&lt;Metas[data_fim])),Metas[meta_mensal],0)</f>
        <v>110000</v>
      </c>
      <c r="L254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49" spans="2:12" x14ac:dyDescent="0.3">
      <c r="B2549" s="34">
        <v>46375</v>
      </c>
      <c r="C2549" s="34" t="str">
        <f>TEXT(Metas_Diarias[[#This Row],[data]],"dddd")</f>
        <v>sábado</v>
      </c>
      <c r="D2549" s="33">
        <v>3</v>
      </c>
      <c r="E2549" s="33">
        <v>3</v>
      </c>
      <c r="F2549" s="18"/>
      <c r="G2549" s="35">
        <f>WEEKDAY(Metas_Diarias[[#This Row],[data]])</f>
        <v>7</v>
      </c>
      <c r="H2549" s="35">
        <f>IF(Metas_Diarias[[#This Row],[dias_da_demana]]=1,"domingo",IF(Metas_Diarias[[#This Row],[dias_da_demana]]=7,0.5,1))</f>
        <v>0.5</v>
      </c>
      <c r="I2549" s="35">
        <f>_xlfn.XLOOKUP(Metas_Diarias[[#This Row],[data]],Feriados[Data],Feriados[Feriado],1)</f>
        <v>1</v>
      </c>
      <c r="J2549" s="33" cm="1">
        <f t="array" aca="1" ref="J2549" ca="1">SUMPRODUCT(IF((NOT(ISERROR(MATCH(ROW(INDIRECT(DATE(YEAR(B2549),MONTH(B2549),1)&amp;":"&amp;DATE(YEAR(B2549),MONTH(B2549)+1,0))),Feriados[Data],0))))=FALSE,
IF(WEEKDAY(ROW(INDIRECT(DATE(YEAR(B2549),MONTH(B2549),1)&amp;":"&amp;DATE(YEAR(B2549),MONTH(B2549)+1,0))),2)&lt;=5,1,IF(WEEKDAY(ROW(INDIRECT(DATE(YEAR(B2549),MONTH(B2549),1)&amp;":"&amp;DATE(YEAR(B2549),MONTH(B2549)+1,0))),2)=6,0.5,0)),0))</f>
        <v>24</v>
      </c>
      <c r="K2549" s="22" cm="1">
        <f t="array" ref="K2549">_xlfn.XLOOKUP(1,((Metas_Diarias[[#This Row],[tipo_equipe_id]]=Metas[equipe])*(Metas_Diarias[[#This Row],[data]]&gt;Metas[data_inicio])*(Metas_Diarias[[#This Row],[data]]&lt;Metas[data_fim])),Metas[meta_mensal],0)</f>
        <v>110000</v>
      </c>
      <c r="L2549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2550" spans="2:12" x14ac:dyDescent="0.3">
      <c r="B2550" s="34">
        <v>46376</v>
      </c>
      <c r="C2550" s="34" t="str">
        <f>TEXT(Metas_Diarias[[#This Row],[data]],"dddd")</f>
        <v>domingo</v>
      </c>
      <c r="D2550" s="33">
        <v>3</v>
      </c>
      <c r="E2550" s="33">
        <v>3</v>
      </c>
      <c r="F2550" s="18"/>
      <c r="G2550" s="35">
        <f>WEEKDAY(Metas_Diarias[[#This Row],[data]])</f>
        <v>1</v>
      </c>
      <c r="H2550" s="35" t="str">
        <f>IF(Metas_Diarias[[#This Row],[dias_da_demana]]=1,"domingo",IF(Metas_Diarias[[#This Row],[dias_da_demana]]=7,0.5,1))</f>
        <v>domingo</v>
      </c>
      <c r="I2550" s="35">
        <f>_xlfn.XLOOKUP(Metas_Diarias[[#This Row],[data]],Feriados[Data],Feriados[Feriado],1)</f>
        <v>1</v>
      </c>
      <c r="J2550" s="33" cm="1">
        <f t="array" aca="1" ref="J2550" ca="1">SUMPRODUCT(IF((NOT(ISERROR(MATCH(ROW(INDIRECT(DATE(YEAR(B2550),MONTH(B2550),1)&amp;":"&amp;DATE(YEAR(B2550),MONTH(B2550)+1,0))),Feriados[Data],0))))=FALSE,
IF(WEEKDAY(ROW(INDIRECT(DATE(YEAR(B2550),MONTH(B2550),1)&amp;":"&amp;DATE(YEAR(B2550),MONTH(B2550)+1,0))),2)&lt;=5,1,IF(WEEKDAY(ROW(INDIRECT(DATE(YEAR(B2550),MONTH(B2550),1)&amp;":"&amp;DATE(YEAR(B2550),MONTH(B2550)+1,0))),2)=6,0.5,0)),0))</f>
        <v>24</v>
      </c>
      <c r="K2550" s="22" cm="1">
        <f t="array" ref="K2550">_xlfn.XLOOKUP(1,((Metas_Diarias[[#This Row],[tipo_equipe_id]]=Metas[equipe])*(Metas_Diarias[[#This Row],[data]]&gt;Metas[data_inicio])*(Metas_Diarias[[#This Row],[data]]&lt;Metas[data_fim])),Metas[meta_mensal],0)</f>
        <v>110000</v>
      </c>
      <c r="L255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51" spans="2:12" x14ac:dyDescent="0.3">
      <c r="B2551" s="34">
        <v>46377</v>
      </c>
      <c r="C2551" s="34" t="str">
        <f>TEXT(Metas_Diarias[[#This Row],[data]],"dddd")</f>
        <v>segunda-feira</v>
      </c>
      <c r="D2551" s="33">
        <v>3</v>
      </c>
      <c r="E2551" s="33">
        <v>3</v>
      </c>
      <c r="F2551" s="18"/>
      <c r="G2551" s="35">
        <f>WEEKDAY(Metas_Diarias[[#This Row],[data]])</f>
        <v>2</v>
      </c>
      <c r="H2551" s="35">
        <f>IF(Metas_Diarias[[#This Row],[dias_da_demana]]=1,"domingo",IF(Metas_Diarias[[#This Row],[dias_da_demana]]=7,0.5,1))</f>
        <v>1</v>
      </c>
      <c r="I2551" s="35">
        <f>_xlfn.XLOOKUP(Metas_Diarias[[#This Row],[data]],Feriados[Data],Feriados[Feriado],1)</f>
        <v>1</v>
      </c>
      <c r="J2551" s="33" cm="1">
        <f t="array" aca="1" ref="J2551" ca="1">SUMPRODUCT(IF((NOT(ISERROR(MATCH(ROW(INDIRECT(DATE(YEAR(B2551),MONTH(B2551),1)&amp;":"&amp;DATE(YEAR(B2551),MONTH(B2551)+1,0))),Feriados[Data],0))))=FALSE,
IF(WEEKDAY(ROW(INDIRECT(DATE(YEAR(B2551),MONTH(B2551),1)&amp;":"&amp;DATE(YEAR(B2551),MONTH(B2551)+1,0))),2)&lt;=5,1,IF(WEEKDAY(ROW(INDIRECT(DATE(YEAR(B2551),MONTH(B2551),1)&amp;":"&amp;DATE(YEAR(B2551),MONTH(B2551)+1,0))),2)=6,0.5,0)),0))</f>
        <v>24</v>
      </c>
      <c r="K2551" s="22" cm="1">
        <f t="array" ref="K2551">_xlfn.XLOOKUP(1,((Metas_Diarias[[#This Row],[tipo_equipe_id]]=Metas[equipe])*(Metas_Diarias[[#This Row],[data]]&gt;Metas[data_inicio])*(Metas_Diarias[[#This Row],[data]]&lt;Metas[data_fim])),Metas[meta_mensal],0)</f>
        <v>110000</v>
      </c>
      <c r="L2551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52" spans="2:12" x14ac:dyDescent="0.3">
      <c r="B2552" s="34">
        <v>46378</v>
      </c>
      <c r="C2552" s="34" t="str">
        <f>TEXT(Metas_Diarias[[#This Row],[data]],"dddd")</f>
        <v>terça-feira</v>
      </c>
      <c r="D2552" s="33">
        <v>3</v>
      </c>
      <c r="E2552" s="33">
        <v>3</v>
      </c>
      <c r="F2552" s="18"/>
      <c r="G2552" s="35">
        <f>WEEKDAY(Metas_Diarias[[#This Row],[data]])</f>
        <v>3</v>
      </c>
      <c r="H2552" s="35">
        <f>IF(Metas_Diarias[[#This Row],[dias_da_demana]]=1,"domingo",IF(Metas_Diarias[[#This Row],[dias_da_demana]]=7,0.5,1))</f>
        <v>1</v>
      </c>
      <c r="I2552" s="35">
        <f>_xlfn.XLOOKUP(Metas_Diarias[[#This Row],[data]],Feriados[Data],Feriados[Feriado],1)</f>
        <v>1</v>
      </c>
      <c r="J2552" s="33" cm="1">
        <f t="array" aca="1" ref="J2552" ca="1">SUMPRODUCT(IF((NOT(ISERROR(MATCH(ROW(INDIRECT(DATE(YEAR(B2552),MONTH(B2552),1)&amp;":"&amp;DATE(YEAR(B2552),MONTH(B2552)+1,0))),Feriados[Data],0))))=FALSE,
IF(WEEKDAY(ROW(INDIRECT(DATE(YEAR(B2552),MONTH(B2552),1)&amp;":"&amp;DATE(YEAR(B2552),MONTH(B2552)+1,0))),2)&lt;=5,1,IF(WEEKDAY(ROW(INDIRECT(DATE(YEAR(B2552),MONTH(B2552),1)&amp;":"&amp;DATE(YEAR(B2552),MONTH(B2552)+1,0))),2)=6,0.5,0)),0))</f>
        <v>24</v>
      </c>
      <c r="K2552" s="22" cm="1">
        <f t="array" ref="K2552">_xlfn.XLOOKUP(1,((Metas_Diarias[[#This Row],[tipo_equipe_id]]=Metas[equipe])*(Metas_Diarias[[#This Row],[data]]&gt;Metas[data_inicio])*(Metas_Diarias[[#This Row],[data]]&lt;Metas[data_fim])),Metas[meta_mensal],0)</f>
        <v>110000</v>
      </c>
      <c r="L2552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53" spans="2:12" x14ac:dyDescent="0.3">
      <c r="B2553" s="34">
        <v>46379</v>
      </c>
      <c r="C2553" s="34" t="str">
        <f>TEXT(Metas_Diarias[[#This Row],[data]],"dddd")</f>
        <v>quarta-feira</v>
      </c>
      <c r="D2553" s="33">
        <v>3</v>
      </c>
      <c r="E2553" s="33">
        <v>3</v>
      </c>
      <c r="F2553" s="18"/>
      <c r="G2553" s="35">
        <f>WEEKDAY(Metas_Diarias[[#This Row],[data]])</f>
        <v>4</v>
      </c>
      <c r="H2553" s="35">
        <f>IF(Metas_Diarias[[#This Row],[dias_da_demana]]=1,"domingo",IF(Metas_Diarias[[#This Row],[dias_da_demana]]=7,0.5,1))</f>
        <v>1</v>
      </c>
      <c r="I2553" s="35">
        <f>_xlfn.XLOOKUP(Metas_Diarias[[#This Row],[data]],Feriados[Data],Feriados[Feriado],1)</f>
        <v>1</v>
      </c>
      <c r="J2553" s="33" cm="1">
        <f t="array" aca="1" ref="J2553" ca="1">SUMPRODUCT(IF((NOT(ISERROR(MATCH(ROW(INDIRECT(DATE(YEAR(B2553),MONTH(B2553),1)&amp;":"&amp;DATE(YEAR(B2553),MONTH(B2553)+1,0))),Feriados[Data],0))))=FALSE,
IF(WEEKDAY(ROW(INDIRECT(DATE(YEAR(B2553),MONTH(B2553),1)&amp;":"&amp;DATE(YEAR(B2553),MONTH(B2553)+1,0))),2)&lt;=5,1,IF(WEEKDAY(ROW(INDIRECT(DATE(YEAR(B2553),MONTH(B2553),1)&amp;":"&amp;DATE(YEAR(B2553),MONTH(B2553)+1,0))),2)=6,0.5,0)),0))</f>
        <v>24</v>
      </c>
      <c r="K2553" s="22" cm="1">
        <f t="array" ref="K2553">_xlfn.XLOOKUP(1,((Metas_Diarias[[#This Row],[tipo_equipe_id]]=Metas[equipe])*(Metas_Diarias[[#This Row],[data]]&gt;Metas[data_inicio])*(Metas_Diarias[[#This Row],[data]]&lt;Metas[data_fim])),Metas[meta_mensal],0)</f>
        <v>110000</v>
      </c>
      <c r="L2553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54" spans="2:12" x14ac:dyDescent="0.3">
      <c r="B2554" s="34">
        <v>46380</v>
      </c>
      <c r="C2554" s="34" t="str">
        <f>TEXT(Metas_Diarias[[#This Row],[data]],"dddd")</f>
        <v>quinta-feira</v>
      </c>
      <c r="D2554" s="33">
        <v>3</v>
      </c>
      <c r="E2554" s="33">
        <v>3</v>
      </c>
      <c r="F2554" s="18"/>
      <c r="G2554" s="35">
        <f>WEEKDAY(Metas_Diarias[[#This Row],[data]])</f>
        <v>5</v>
      </c>
      <c r="H2554" s="35">
        <f>IF(Metas_Diarias[[#This Row],[dias_da_demana]]=1,"domingo",IF(Metas_Diarias[[#This Row],[dias_da_demana]]=7,0.5,1))</f>
        <v>1</v>
      </c>
      <c r="I2554" s="35">
        <f>_xlfn.XLOOKUP(Metas_Diarias[[#This Row],[data]],Feriados[Data],Feriados[Feriado],1)</f>
        <v>1</v>
      </c>
      <c r="J2554" s="33" cm="1">
        <f t="array" aca="1" ref="J2554" ca="1">SUMPRODUCT(IF((NOT(ISERROR(MATCH(ROW(INDIRECT(DATE(YEAR(B2554),MONTH(B2554),1)&amp;":"&amp;DATE(YEAR(B2554),MONTH(B2554)+1,0))),Feriados[Data],0))))=FALSE,
IF(WEEKDAY(ROW(INDIRECT(DATE(YEAR(B2554),MONTH(B2554),1)&amp;":"&amp;DATE(YEAR(B2554),MONTH(B2554)+1,0))),2)&lt;=5,1,IF(WEEKDAY(ROW(INDIRECT(DATE(YEAR(B2554),MONTH(B2554),1)&amp;":"&amp;DATE(YEAR(B2554),MONTH(B2554)+1,0))),2)=6,0.5,0)),0))</f>
        <v>24</v>
      </c>
      <c r="K2554" s="22" cm="1">
        <f t="array" ref="K2554">_xlfn.XLOOKUP(1,((Metas_Diarias[[#This Row],[tipo_equipe_id]]=Metas[equipe])*(Metas_Diarias[[#This Row],[data]]&gt;Metas[data_inicio])*(Metas_Diarias[[#This Row],[data]]&lt;Metas[data_fim])),Metas[meta_mensal],0)</f>
        <v>110000</v>
      </c>
      <c r="L2554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55" spans="2:12" x14ac:dyDescent="0.3">
      <c r="B2555" s="34">
        <v>46381</v>
      </c>
      <c r="C2555" s="34" t="str">
        <f>TEXT(Metas_Diarias[[#This Row],[data]],"dddd")</f>
        <v>sexta-feira</v>
      </c>
      <c r="D2555" s="33">
        <v>3</v>
      </c>
      <c r="E2555" s="33">
        <v>3</v>
      </c>
      <c r="F2555" s="18"/>
      <c r="G2555" s="35">
        <f>WEEKDAY(Metas_Diarias[[#This Row],[data]])</f>
        <v>6</v>
      </c>
      <c r="H2555" s="35">
        <f>IF(Metas_Diarias[[#This Row],[dias_da_demana]]=1,"domingo",IF(Metas_Diarias[[#This Row],[dias_da_demana]]=7,0.5,1))</f>
        <v>1</v>
      </c>
      <c r="I2555" s="35" t="str">
        <f>_xlfn.XLOOKUP(Metas_Diarias[[#This Row],[data]],Feriados[Data],Feriados[Feriado],1)</f>
        <v>Natal</v>
      </c>
      <c r="J2555" s="33" cm="1">
        <f t="array" aca="1" ref="J2555" ca="1">SUMPRODUCT(IF((NOT(ISERROR(MATCH(ROW(INDIRECT(DATE(YEAR(B2555),MONTH(B2555),1)&amp;":"&amp;DATE(YEAR(B2555),MONTH(B2555)+1,0))),Feriados[Data],0))))=FALSE,
IF(WEEKDAY(ROW(INDIRECT(DATE(YEAR(B2555),MONTH(B2555),1)&amp;":"&amp;DATE(YEAR(B2555),MONTH(B2555)+1,0))),2)&lt;=5,1,IF(WEEKDAY(ROW(INDIRECT(DATE(YEAR(B2555),MONTH(B2555),1)&amp;":"&amp;DATE(YEAR(B2555),MONTH(B2555)+1,0))),2)=6,0.5,0)),0))</f>
        <v>24</v>
      </c>
      <c r="K2555" s="22" cm="1">
        <f t="array" ref="K2555">_xlfn.XLOOKUP(1,((Metas_Diarias[[#This Row],[tipo_equipe_id]]=Metas[equipe])*(Metas_Diarias[[#This Row],[data]]&gt;Metas[data_inicio])*(Metas_Diarias[[#This Row],[data]]&lt;Metas[data_fim])),Metas[meta_mensal],0)</f>
        <v>110000</v>
      </c>
      <c r="L255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56" spans="2:12" x14ac:dyDescent="0.3">
      <c r="B2556" s="34">
        <v>46382</v>
      </c>
      <c r="C2556" s="34" t="str">
        <f>TEXT(Metas_Diarias[[#This Row],[data]],"dddd")</f>
        <v>sábado</v>
      </c>
      <c r="D2556" s="33">
        <v>3</v>
      </c>
      <c r="E2556" s="33">
        <v>3</v>
      </c>
      <c r="F2556" s="18"/>
      <c r="G2556" s="35">
        <f>WEEKDAY(Metas_Diarias[[#This Row],[data]])</f>
        <v>7</v>
      </c>
      <c r="H2556" s="35">
        <f>IF(Metas_Diarias[[#This Row],[dias_da_demana]]=1,"domingo",IF(Metas_Diarias[[#This Row],[dias_da_demana]]=7,0.5,1))</f>
        <v>0.5</v>
      </c>
      <c r="I2556" s="35">
        <f>_xlfn.XLOOKUP(Metas_Diarias[[#This Row],[data]],Feriados[Data],Feriados[Feriado],1)</f>
        <v>1</v>
      </c>
      <c r="J2556" s="33" cm="1">
        <f t="array" aca="1" ref="J2556" ca="1">SUMPRODUCT(IF((NOT(ISERROR(MATCH(ROW(INDIRECT(DATE(YEAR(B2556),MONTH(B2556),1)&amp;":"&amp;DATE(YEAR(B2556),MONTH(B2556)+1,0))),Feriados[Data],0))))=FALSE,
IF(WEEKDAY(ROW(INDIRECT(DATE(YEAR(B2556),MONTH(B2556),1)&amp;":"&amp;DATE(YEAR(B2556),MONTH(B2556)+1,0))),2)&lt;=5,1,IF(WEEKDAY(ROW(INDIRECT(DATE(YEAR(B2556),MONTH(B2556),1)&amp;":"&amp;DATE(YEAR(B2556),MONTH(B2556)+1,0))),2)=6,0.5,0)),0))</f>
        <v>24</v>
      </c>
      <c r="K2556" s="22" cm="1">
        <f t="array" ref="K2556">_xlfn.XLOOKUP(1,((Metas_Diarias[[#This Row],[tipo_equipe_id]]=Metas[equipe])*(Metas_Diarias[[#This Row],[data]]&gt;Metas[data_inicio])*(Metas_Diarias[[#This Row],[data]]&lt;Metas[data_fim])),Metas[meta_mensal],0)</f>
        <v>110000</v>
      </c>
      <c r="L2556" s="24">
        <f ca="1">Metas_Diarias[[#This Row],[meta_mensal]]*IF(Metas_Diarias[[#This Row],[semana]]="domingo",0,Metas_Diarias[[#This Row],[semana]])*IF(Metas_Diarias[[#This Row],[feriado]]&lt;&gt;1,0,1)/Metas_Diarias[[#This Row],[dias_úteis_Mês]]</f>
        <v>2291.6666666666665</v>
      </c>
    </row>
    <row r="2557" spans="2:12" x14ac:dyDescent="0.3">
      <c r="B2557" s="34">
        <v>46383</v>
      </c>
      <c r="C2557" s="34" t="str">
        <f>TEXT(Metas_Diarias[[#This Row],[data]],"dddd")</f>
        <v>domingo</v>
      </c>
      <c r="D2557" s="33">
        <v>3</v>
      </c>
      <c r="E2557" s="33">
        <v>3</v>
      </c>
      <c r="F2557" s="18"/>
      <c r="G2557" s="35">
        <f>WEEKDAY(Metas_Diarias[[#This Row],[data]])</f>
        <v>1</v>
      </c>
      <c r="H2557" s="35" t="str">
        <f>IF(Metas_Diarias[[#This Row],[dias_da_demana]]=1,"domingo",IF(Metas_Diarias[[#This Row],[dias_da_demana]]=7,0.5,1))</f>
        <v>domingo</v>
      </c>
      <c r="I2557" s="35">
        <f>_xlfn.XLOOKUP(Metas_Diarias[[#This Row],[data]],Feriados[Data],Feriados[Feriado],1)</f>
        <v>1</v>
      </c>
      <c r="J2557" s="33" cm="1">
        <f t="array" aca="1" ref="J2557" ca="1">SUMPRODUCT(IF((NOT(ISERROR(MATCH(ROW(INDIRECT(DATE(YEAR(B2557),MONTH(B2557),1)&amp;":"&amp;DATE(YEAR(B2557),MONTH(B2557)+1,0))),Feriados[Data],0))))=FALSE,
IF(WEEKDAY(ROW(INDIRECT(DATE(YEAR(B2557),MONTH(B2557),1)&amp;":"&amp;DATE(YEAR(B2557),MONTH(B2557)+1,0))),2)&lt;=5,1,IF(WEEKDAY(ROW(INDIRECT(DATE(YEAR(B2557),MONTH(B2557),1)&amp;":"&amp;DATE(YEAR(B2557),MONTH(B2557)+1,0))),2)=6,0.5,0)),0))</f>
        <v>24</v>
      </c>
      <c r="K2557" s="22" cm="1">
        <f t="array" ref="K2557">_xlfn.XLOOKUP(1,((Metas_Diarias[[#This Row],[tipo_equipe_id]]=Metas[equipe])*(Metas_Diarias[[#This Row],[data]]&gt;Metas[data_inicio])*(Metas_Diarias[[#This Row],[data]]&lt;Metas[data_fim])),Metas[meta_mensal],0)</f>
        <v>110000</v>
      </c>
      <c r="L255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58" spans="2:12" x14ac:dyDescent="0.3">
      <c r="B2558" s="34">
        <v>46384</v>
      </c>
      <c r="C2558" s="34" t="str">
        <f>TEXT(Metas_Diarias[[#This Row],[data]],"dddd")</f>
        <v>segunda-feira</v>
      </c>
      <c r="D2558" s="33">
        <v>3</v>
      </c>
      <c r="E2558" s="33">
        <v>3</v>
      </c>
      <c r="F2558" s="18"/>
      <c r="G2558" s="35">
        <f>WEEKDAY(Metas_Diarias[[#This Row],[data]])</f>
        <v>2</v>
      </c>
      <c r="H2558" s="35">
        <f>IF(Metas_Diarias[[#This Row],[dias_da_demana]]=1,"domingo",IF(Metas_Diarias[[#This Row],[dias_da_demana]]=7,0.5,1))</f>
        <v>1</v>
      </c>
      <c r="I2558" s="35">
        <f>_xlfn.XLOOKUP(Metas_Diarias[[#This Row],[data]],Feriados[Data],Feriados[Feriado],1)</f>
        <v>1</v>
      </c>
      <c r="J2558" s="33" cm="1">
        <f t="array" aca="1" ref="J2558" ca="1">SUMPRODUCT(IF((NOT(ISERROR(MATCH(ROW(INDIRECT(DATE(YEAR(B2558),MONTH(B2558),1)&amp;":"&amp;DATE(YEAR(B2558),MONTH(B2558)+1,0))),Feriados[Data],0))))=FALSE,
IF(WEEKDAY(ROW(INDIRECT(DATE(YEAR(B2558),MONTH(B2558),1)&amp;":"&amp;DATE(YEAR(B2558),MONTH(B2558)+1,0))),2)&lt;=5,1,IF(WEEKDAY(ROW(INDIRECT(DATE(YEAR(B2558),MONTH(B2558),1)&amp;":"&amp;DATE(YEAR(B2558),MONTH(B2558)+1,0))),2)=6,0.5,0)),0))</f>
        <v>24</v>
      </c>
      <c r="K2558" s="22" cm="1">
        <f t="array" ref="K2558">_xlfn.XLOOKUP(1,((Metas_Diarias[[#This Row],[tipo_equipe_id]]=Metas[equipe])*(Metas_Diarias[[#This Row],[data]]&gt;Metas[data_inicio])*(Metas_Diarias[[#This Row],[data]]&lt;Metas[data_fim])),Metas[meta_mensal],0)</f>
        <v>110000</v>
      </c>
      <c r="L2558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59" spans="2:12" x14ac:dyDescent="0.3">
      <c r="B2559" s="34">
        <v>46385</v>
      </c>
      <c r="C2559" s="34" t="str">
        <f>TEXT(Metas_Diarias[[#This Row],[data]],"dddd")</f>
        <v>terça-feira</v>
      </c>
      <c r="D2559" s="33">
        <v>3</v>
      </c>
      <c r="E2559" s="33">
        <v>3</v>
      </c>
      <c r="F2559" s="18"/>
      <c r="G2559" s="35">
        <f>WEEKDAY(Metas_Diarias[[#This Row],[data]])</f>
        <v>3</v>
      </c>
      <c r="H2559" s="35">
        <f>IF(Metas_Diarias[[#This Row],[dias_da_demana]]=1,"domingo",IF(Metas_Diarias[[#This Row],[dias_da_demana]]=7,0.5,1))</f>
        <v>1</v>
      </c>
      <c r="I2559" s="35">
        <f>_xlfn.XLOOKUP(Metas_Diarias[[#This Row],[data]],Feriados[Data],Feriados[Feriado],1)</f>
        <v>1</v>
      </c>
      <c r="J2559" s="33" cm="1">
        <f t="array" aca="1" ref="J2559" ca="1">SUMPRODUCT(IF((NOT(ISERROR(MATCH(ROW(INDIRECT(DATE(YEAR(B2559),MONTH(B2559),1)&amp;":"&amp;DATE(YEAR(B2559),MONTH(B2559)+1,0))),Feriados[Data],0))))=FALSE,
IF(WEEKDAY(ROW(INDIRECT(DATE(YEAR(B2559),MONTH(B2559),1)&amp;":"&amp;DATE(YEAR(B2559),MONTH(B2559)+1,0))),2)&lt;=5,1,IF(WEEKDAY(ROW(INDIRECT(DATE(YEAR(B2559),MONTH(B2559),1)&amp;":"&amp;DATE(YEAR(B2559),MONTH(B2559)+1,0))),2)=6,0.5,0)),0))</f>
        <v>24</v>
      </c>
      <c r="K2559" s="22" cm="1">
        <f t="array" ref="K2559">_xlfn.XLOOKUP(1,((Metas_Diarias[[#This Row],[tipo_equipe_id]]=Metas[equipe])*(Metas_Diarias[[#This Row],[data]]&gt;Metas[data_inicio])*(Metas_Diarias[[#This Row],[data]]&lt;Metas[data_fim])),Metas[meta_mensal],0)</f>
        <v>110000</v>
      </c>
      <c r="L2559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60" spans="2:12" x14ac:dyDescent="0.3">
      <c r="B2560" s="34">
        <v>46386</v>
      </c>
      <c r="C2560" s="34" t="str">
        <f>TEXT(Metas_Diarias[[#This Row],[data]],"dddd")</f>
        <v>quarta-feira</v>
      </c>
      <c r="D2560" s="33">
        <v>3</v>
      </c>
      <c r="E2560" s="33">
        <v>3</v>
      </c>
      <c r="F2560" s="18"/>
      <c r="G2560" s="35">
        <f>WEEKDAY(Metas_Diarias[[#This Row],[data]])</f>
        <v>4</v>
      </c>
      <c r="H2560" s="35">
        <f>IF(Metas_Diarias[[#This Row],[dias_da_demana]]=1,"domingo",IF(Metas_Diarias[[#This Row],[dias_da_demana]]=7,0.5,1))</f>
        <v>1</v>
      </c>
      <c r="I2560" s="35">
        <f>_xlfn.XLOOKUP(Metas_Diarias[[#This Row],[data]],Feriados[Data],Feriados[Feriado],1)</f>
        <v>1</v>
      </c>
      <c r="J2560" s="33" cm="1">
        <f t="array" aca="1" ref="J2560" ca="1">SUMPRODUCT(IF((NOT(ISERROR(MATCH(ROW(INDIRECT(DATE(YEAR(B2560),MONTH(B2560),1)&amp;":"&amp;DATE(YEAR(B2560),MONTH(B2560)+1,0))),Feriados[Data],0))))=FALSE,
IF(WEEKDAY(ROW(INDIRECT(DATE(YEAR(B2560),MONTH(B2560),1)&amp;":"&amp;DATE(YEAR(B2560),MONTH(B2560)+1,0))),2)&lt;=5,1,IF(WEEKDAY(ROW(INDIRECT(DATE(YEAR(B2560),MONTH(B2560),1)&amp;":"&amp;DATE(YEAR(B2560),MONTH(B2560)+1,0))),2)=6,0.5,0)),0))</f>
        <v>24</v>
      </c>
      <c r="K2560" s="22" cm="1">
        <f t="array" ref="K2560">_xlfn.XLOOKUP(1,((Metas_Diarias[[#This Row],[tipo_equipe_id]]=Metas[equipe])*(Metas_Diarias[[#This Row],[data]]&gt;Metas[data_inicio])*(Metas_Diarias[[#This Row],[data]]&lt;Metas[data_fim])),Metas[meta_mensal],0)</f>
        <v>110000</v>
      </c>
      <c r="L2560" s="24">
        <f ca="1">Metas_Diarias[[#This Row],[meta_mensal]]*IF(Metas_Diarias[[#This Row],[semana]]="domingo",0,Metas_Diarias[[#This Row],[semana]])*IF(Metas_Diarias[[#This Row],[feriado]]&lt;&gt;1,0,1)/Metas_Diarias[[#This Row],[dias_úteis_Mês]]</f>
        <v>4583.333333333333</v>
      </c>
    </row>
    <row r="2561" spans="2:12" x14ac:dyDescent="0.3">
      <c r="B2561" s="34">
        <v>46387</v>
      </c>
      <c r="C2561" s="34" t="str">
        <f>TEXT(Metas_Diarias[[#This Row],[data]],"dddd")</f>
        <v>quinta-feira</v>
      </c>
      <c r="D2561" s="33">
        <v>3</v>
      </c>
      <c r="E2561" s="33">
        <v>3</v>
      </c>
      <c r="F2561" s="18"/>
      <c r="G2561" s="35">
        <f>WEEKDAY(Metas_Diarias[[#This Row],[data]])</f>
        <v>5</v>
      </c>
      <c r="H2561" s="35">
        <f>IF(Metas_Diarias[[#This Row],[dias_da_demana]]=1,"domingo",IF(Metas_Diarias[[#This Row],[dias_da_demana]]=7,0.5,1))</f>
        <v>1</v>
      </c>
      <c r="I2561" s="35">
        <f>_xlfn.XLOOKUP(Metas_Diarias[[#This Row],[data]],Feriados[Data],Feriados[Feriado],1)</f>
        <v>1</v>
      </c>
      <c r="J2561" s="33" cm="1">
        <f t="array" aca="1" ref="J2561" ca="1">SUMPRODUCT(IF((NOT(ISERROR(MATCH(ROW(INDIRECT(DATE(YEAR(B2561),MONTH(B2561),1)&amp;":"&amp;DATE(YEAR(B2561),MONTH(B2561)+1,0))),Feriados[Data],0))))=FALSE,
IF(WEEKDAY(ROW(INDIRECT(DATE(YEAR(B2561),MONTH(B2561),1)&amp;":"&amp;DATE(YEAR(B2561),MONTH(B2561)+1,0))),2)&lt;=5,1,IF(WEEKDAY(ROW(INDIRECT(DATE(YEAR(B2561),MONTH(B2561),1)&amp;":"&amp;DATE(YEAR(B2561),MONTH(B2561)+1,0))),2)=6,0.5,0)),0))</f>
        <v>24</v>
      </c>
      <c r="K2561" s="22" cm="1">
        <f t="array" ref="K2561">_xlfn.XLOOKUP(1,((Metas_Diarias[[#This Row],[tipo_equipe_id]]=Metas[equipe])*(Metas_Diarias[[#This Row],[data]]&gt;Metas[data_inicio])*(Metas_Diarias[[#This Row],[data]]&lt;Metas[data_fim])),Metas[meta_mensal],0)</f>
        <v>0</v>
      </c>
      <c r="L25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62" spans="2:12" x14ac:dyDescent="0.3">
      <c r="B2562" s="34">
        <v>46023</v>
      </c>
      <c r="C2562" s="34" t="str">
        <f>TEXT(Metas_Diarias[[#This Row],[data]],"dddd")</f>
        <v>quinta-feira</v>
      </c>
      <c r="D2562" s="33">
        <v>3</v>
      </c>
      <c r="E2562" s="33">
        <v>4</v>
      </c>
      <c r="F2562" s="18"/>
      <c r="G2562" s="35">
        <f>WEEKDAY(Metas_Diarias[[#This Row],[data]])</f>
        <v>5</v>
      </c>
      <c r="H2562" s="35">
        <f>IF(Metas_Diarias[[#This Row],[dias_da_demana]]=1,"domingo",IF(Metas_Diarias[[#This Row],[dias_da_demana]]=7,0.5,1))</f>
        <v>1</v>
      </c>
      <c r="I2562" s="35" t="str">
        <f>_xlfn.XLOOKUP(Metas_Diarias[[#This Row],[data]],Feriados[Data],Feriados[Feriado],1)</f>
        <v>Confraternização Universal</v>
      </c>
      <c r="J2562" s="33" cm="1">
        <f t="array" aca="1" ref="J2562" ca="1">SUMPRODUCT(IF((NOT(ISERROR(MATCH(ROW(INDIRECT(DATE(YEAR(B2562),MONTH(B2562),1)&amp;":"&amp;DATE(YEAR(B2562),MONTH(B2562)+1,0))),Feriados[Data],0))))=FALSE,
IF(WEEKDAY(ROW(INDIRECT(DATE(YEAR(B2562),MONTH(B2562),1)&amp;":"&amp;DATE(YEAR(B2562),MONTH(B2562)+1,0))),2)&lt;=5,1,IF(WEEKDAY(ROW(INDIRECT(DATE(YEAR(B2562),MONTH(B2562),1)&amp;":"&amp;DATE(YEAR(B2562),MONTH(B2562)+1,0))),2)=6,0.5,0)),0))</f>
        <v>23.5</v>
      </c>
      <c r="K2562" s="22" cm="1">
        <f t="array" ref="K2562">_xlfn.XLOOKUP(1,((Metas_Diarias[[#This Row],[tipo_equipe_id]]=Metas[equipe])*(Metas_Diarias[[#This Row],[data]]&gt;Metas[data_inicio])*(Metas_Diarias[[#This Row],[data]]&lt;Metas[data_fim])),Metas[meta_mensal],0)</f>
        <v>0</v>
      </c>
      <c r="L256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63" spans="2:12" x14ac:dyDescent="0.3">
      <c r="B2563" s="34">
        <v>46024</v>
      </c>
      <c r="C2563" s="34" t="str">
        <f>TEXT(Metas_Diarias[[#This Row],[data]],"dddd")</f>
        <v>sexta-feira</v>
      </c>
      <c r="D2563" s="33">
        <v>3</v>
      </c>
      <c r="E2563" s="33">
        <v>4</v>
      </c>
      <c r="F2563" s="18"/>
      <c r="G2563" s="35">
        <f>WEEKDAY(Metas_Diarias[[#This Row],[data]])</f>
        <v>6</v>
      </c>
      <c r="H2563" s="35">
        <f>IF(Metas_Diarias[[#This Row],[dias_da_demana]]=1,"domingo",IF(Metas_Diarias[[#This Row],[dias_da_demana]]=7,0.5,1))</f>
        <v>1</v>
      </c>
      <c r="I2563" s="35">
        <f>_xlfn.XLOOKUP(Metas_Diarias[[#This Row],[data]],Feriados[Data],Feriados[Feriado],1)</f>
        <v>1</v>
      </c>
      <c r="J2563" s="33" cm="1">
        <f t="array" aca="1" ref="J2563" ca="1">SUMPRODUCT(IF((NOT(ISERROR(MATCH(ROW(INDIRECT(DATE(YEAR(B2563),MONTH(B2563),1)&amp;":"&amp;DATE(YEAR(B2563),MONTH(B2563)+1,0))),Feriados[Data],0))))=FALSE,
IF(WEEKDAY(ROW(INDIRECT(DATE(YEAR(B2563),MONTH(B2563),1)&amp;":"&amp;DATE(YEAR(B2563),MONTH(B2563)+1,0))),2)&lt;=5,1,IF(WEEKDAY(ROW(INDIRECT(DATE(YEAR(B2563),MONTH(B2563),1)&amp;":"&amp;DATE(YEAR(B2563),MONTH(B2563)+1,0))),2)=6,0.5,0)),0))</f>
        <v>23.5</v>
      </c>
      <c r="K2563" s="22" cm="1">
        <f t="array" ref="K2563">_xlfn.XLOOKUP(1,((Metas_Diarias[[#This Row],[tipo_equipe_id]]=Metas[equipe])*(Metas_Diarias[[#This Row],[data]]&gt;Metas[data_inicio])*(Metas_Diarias[[#This Row],[data]]&lt;Metas[data_fim])),Metas[meta_mensal],0)</f>
        <v>0</v>
      </c>
      <c r="L256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64" spans="2:12" x14ac:dyDescent="0.3">
      <c r="B2564" s="34">
        <v>46025</v>
      </c>
      <c r="C2564" s="34" t="str">
        <f>TEXT(Metas_Diarias[[#This Row],[data]],"dddd")</f>
        <v>sábado</v>
      </c>
      <c r="D2564" s="33">
        <v>3</v>
      </c>
      <c r="E2564" s="33">
        <v>4</v>
      </c>
      <c r="F2564" s="18"/>
      <c r="G2564" s="35">
        <f>WEEKDAY(Metas_Diarias[[#This Row],[data]])</f>
        <v>7</v>
      </c>
      <c r="H2564" s="35">
        <f>IF(Metas_Diarias[[#This Row],[dias_da_demana]]=1,"domingo",IF(Metas_Diarias[[#This Row],[dias_da_demana]]=7,0.5,1))</f>
        <v>0.5</v>
      </c>
      <c r="I2564" s="35">
        <f>_xlfn.XLOOKUP(Metas_Diarias[[#This Row],[data]],Feriados[Data],Feriados[Feriado],1)</f>
        <v>1</v>
      </c>
      <c r="J2564" s="33" cm="1">
        <f t="array" aca="1" ref="J2564" ca="1">SUMPRODUCT(IF((NOT(ISERROR(MATCH(ROW(INDIRECT(DATE(YEAR(B2564),MONTH(B2564),1)&amp;":"&amp;DATE(YEAR(B2564),MONTH(B2564)+1,0))),Feriados[Data],0))))=FALSE,
IF(WEEKDAY(ROW(INDIRECT(DATE(YEAR(B2564),MONTH(B2564),1)&amp;":"&amp;DATE(YEAR(B2564),MONTH(B2564)+1,0))),2)&lt;=5,1,IF(WEEKDAY(ROW(INDIRECT(DATE(YEAR(B2564),MONTH(B2564),1)&amp;":"&amp;DATE(YEAR(B2564),MONTH(B2564)+1,0))),2)=6,0.5,0)),0))</f>
        <v>23.5</v>
      </c>
      <c r="K2564" s="22" cm="1">
        <f t="array" ref="K2564">_xlfn.XLOOKUP(1,((Metas_Diarias[[#This Row],[tipo_equipe_id]]=Metas[equipe])*(Metas_Diarias[[#This Row],[data]]&gt;Metas[data_inicio])*(Metas_Diarias[[#This Row],[data]]&lt;Metas[data_fim])),Metas[meta_mensal],0)</f>
        <v>0</v>
      </c>
      <c r="L256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65" spans="2:12" x14ac:dyDescent="0.3">
      <c r="B2565" s="34">
        <v>46026</v>
      </c>
      <c r="C2565" s="34" t="str">
        <f>TEXT(Metas_Diarias[[#This Row],[data]],"dddd")</f>
        <v>domingo</v>
      </c>
      <c r="D2565" s="33">
        <v>3</v>
      </c>
      <c r="E2565" s="33">
        <v>4</v>
      </c>
      <c r="F2565" s="18"/>
      <c r="G2565" s="35">
        <f>WEEKDAY(Metas_Diarias[[#This Row],[data]])</f>
        <v>1</v>
      </c>
      <c r="H2565" s="35" t="str">
        <f>IF(Metas_Diarias[[#This Row],[dias_da_demana]]=1,"domingo",IF(Metas_Diarias[[#This Row],[dias_da_demana]]=7,0.5,1))</f>
        <v>domingo</v>
      </c>
      <c r="I2565" s="35">
        <f>_xlfn.XLOOKUP(Metas_Diarias[[#This Row],[data]],Feriados[Data],Feriados[Feriado],1)</f>
        <v>1</v>
      </c>
      <c r="J2565" s="33" cm="1">
        <f t="array" aca="1" ref="J2565" ca="1">SUMPRODUCT(IF((NOT(ISERROR(MATCH(ROW(INDIRECT(DATE(YEAR(B2565),MONTH(B2565),1)&amp;":"&amp;DATE(YEAR(B2565),MONTH(B2565)+1,0))),Feriados[Data],0))))=FALSE,
IF(WEEKDAY(ROW(INDIRECT(DATE(YEAR(B2565),MONTH(B2565),1)&amp;":"&amp;DATE(YEAR(B2565),MONTH(B2565)+1,0))),2)&lt;=5,1,IF(WEEKDAY(ROW(INDIRECT(DATE(YEAR(B2565),MONTH(B2565),1)&amp;":"&amp;DATE(YEAR(B2565),MONTH(B2565)+1,0))),2)=6,0.5,0)),0))</f>
        <v>23.5</v>
      </c>
      <c r="K2565" s="22" cm="1">
        <f t="array" ref="K2565">_xlfn.XLOOKUP(1,((Metas_Diarias[[#This Row],[tipo_equipe_id]]=Metas[equipe])*(Metas_Diarias[[#This Row],[data]]&gt;Metas[data_inicio])*(Metas_Diarias[[#This Row],[data]]&lt;Metas[data_fim])),Metas[meta_mensal],0)</f>
        <v>0</v>
      </c>
      <c r="L256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66" spans="2:12" x14ac:dyDescent="0.3">
      <c r="B2566" s="34">
        <v>46027</v>
      </c>
      <c r="C2566" s="34" t="str">
        <f>TEXT(Metas_Diarias[[#This Row],[data]],"dddd")</f>
        <v>segunda-feira</v>
      </c>
      <c r="D2566" s="33">
        <v>3</v>
      </c>
      <c r="E2566" s="33">
        <v>4</v>
      </c>
      <c r="F2566" s="18"/>
      <c r="G2566" s="35">
        <f>WEEKDAY(Metas_Diarias[[#This Row],[data]])</f>
        <v>2</v>
      </c>
      <c r="H2566" s="35">
        <f>IF(Metas_Diarias[[#This Row],[dias_da_demana]]=1,"domingo",IF(Metas_Diarias[[#This Row],[dias_da_demana]]=7,0.5,1))</f>
        <v>1</v>
      </c>
      <c r="I2566" s="35">
        <f>_xlfn.XLOOKUP(Metas_Diarias[[#This Row],[data]],Feriados[Data],Feriados[Feriado],1)</f>
        <v>1</v>
      </c>
      <c r="J2566" s="33" cm="1">
        <f t="array" aca="1" ref="J2566" ca="1">SUMPRODUCT(IF((NOT(ISERROR(MATCH(ROW(INDIRECT(DATE(YEAR(B2566),MONTH(B2566),1)&amp;":"&amp;DATE(YEAR(B2566),MONTH(B2566)+1,0))),Feriados[Data],0))))=FALSE,
IF(WEEKDAY(ROW(INDIRECT(DATE(YEAR(B2566),MONTH(B2566),1)&amp;":"&amp;DATE(YEAR(B2566),MONTH(B2566)+1,0))),2)&lt;=5,1,IF(WEEKDAY(ROW(INDIRECT(DATE(YEAR(B2566),MONTH(B2566),1)&amp;":"&amp;DATE(YEAR(B2566),MONTH(B2566)+1,0))),2)=6,0.5,0)),0))</f>
        <v>23.5</v>
      </c>
      <c r="K2566" s="22" cm="1">
        <f t="array" ref="K2566">_xlfn.XLOOKUP(1,((Metas_Diarias[[#This Row],[tipo_equipe_id]]=Metas[equipe])*(Metas_Diarias[[#This Row],[data]]&gt;Metas[data_inicio])*(Metas_Diarias[[#This Row],[data]]&lt;Metas[data_fim])),Metas[meta_mensal],0)</f>
        <v>0</v>
      </c>
      <c r="L25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67" spans="2:12" x14ac:dyDescent="0.3">
      <c r="B2567" s="34">
        <v>46028</v>
      </c>
      <c r="C2567" s="34" t="str">
        <f>TEXT(Metas_Diarias[[#This Row],[data]],"dddd")</f>
        <v>terça-feira</v>
      </c>
      <c r="D2567" s="33">
        <v>3</v>
      </c>
      <c r="E2567" s="33">
        <v>4</v>
      </c>
      <c r="F2567" s="18"/>
      <c r="G2567" s="35">
        <f>WEEKDAY(Metas_Diarias[[#This Row],[data]])</f>
        <v>3</v>
      </c>
      <c r="H2567" s="35">
        <f>IF(Metas_Diarias[[#This Row],[dias_da_demana]]=1,"domingo",IF(Metas_Diarias[[#This Row],[dias_da_demana]]=7,0.5,1))</f>
        <v>1</v>
      </c>
      <c r="I2567" s="35">
        <f>_xlfn.XLOOKUP(Metas_Diarias[[#This Row],[data]],Feriados[Data],Feriados[Feriado],1)</f>
        <v>1</v>
      </c>
      <c r="J2567" s="33" cm="1">
        <f t="array" aca="1" ref="J2567" ca="1">SUMPRODUCT(IF((NOT(ISERROR(MATCH(ROW(INDIRECT(DATE(YEAR(B2567),MONTH(B2567),1)&amp;":"&amp;DATE(YEAR(B2567),MONTH(B2567)+1,0))),Feriados[Data],0))))=FALSE,
IF(WEEKDAY(ROW(INDIRECT(DATE(YEAR(B2567),MONTH(B2567),1)&amp;":"&amp;DATE(YEAR(B2567),MONTH(B2567)+1,0))),2)&lt;=5,1,IF(WEEKDAY(ROW(INDIRECT(DATE(YEAR(B2567),MONTH(B2567),1)&amp;":"&amp;DATE(YEAR(B2567),MONTH(B2567)+1,0))),2)=6,0.5,0)),0))</f>
        <v>23.5</v>
      </c>
      <c r="K2567" s="22" cm="1">
        <f t="array" ref="K2567">_xlfn.XLOOKUP(1,((Metas_Diarias[[#This Row],[tipo_equipe_id]]=Metas[equipe])*(Metas_Diarias[[#This Row],[data]]&gt;Metas[data_inicio])*(Metas_Diarias[[#This Row],[data]]&lt;Metas[data_fim])),Metas[meta_mensal],0)</f>
        <v>0</v>
      </c>
      <c r="L256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68" spans="2:12" x14ac:dyDescent="0.3">
      <c r="B2568" s="34">
        <v>46029</v>
      </c>
      <c r="C2568" s="34" t="str">
        <f>TEXT(Metas_Diarias[[#This Row],[data]],"dddd")</f>
        <v>quarta-feira</v>
      </c>
      <c r="D2568" s="33">
        <v>3</v>
      </c>
      <c r="E2568" s="33">
        <v>4</v>
      </c>
      <c r="F2568" s="18"/>
      <c r="G2568" s="35">
        <f>WEEKDAY(Metas_Diarias[[#This Row],[data]])</f>
        <v>4</v>
      </c>
      <c r="H2568" s="35">
        <f>IF(Metas_Diarias[[#This Row],[dias_da_demana]]=1,"domingo",IF(Metas_Diarias[[#This Row],[dias_da_demana]]=7,0.5,1))</f>
        <v>1</v>
      </c>
      <c r="I2568" s="35">
        <f>_xlfn.XLOOKUP(Metas_Diarias[[#This Row],[data]],Feriados[Data],Feriados[Feriado],1)</f>
        <v>1</v>
      </c>
      <c r="J2568" s="33" cm="1">
        <f t="array" aca="1" ref="J2568" ca="1">SUMPRODUCT(IF((NOT(ISERROR(MATCH(ROW(INDIRECT(DATE(YEAR(B2568),MONTH(B2568),1)&amp;":"&amp;DATE(YEAR(B2568),MONTH(B2568)+1,0))),Feriados[Data],0))))=FALSE,
IF(WEEKDAY(ROW(INDIRECT(DATE(YEAR(B2568),MONTH(B2568),1)&amp;":"&amp;DATE(YEAR(B2568),MONTH(B2568)+1,0))),2)&lt;=5,1,IF(WEEKDAY(ROW(INDIRECT(DATE(YEAR(B2568),MONTH(B2568),1)&amp;":"&amp;DATE(YEAR(B2568),MONTH(B2568)+1,0))),2)=6,0.5,0)),0))</f>
        <v>23.5</v>
      </c>
      <c r="K2568" s="22" cm="1">
        <f t="array" ref="K2568">_xlfn.XLOOKUP(1,((Metas_Diarias[[#This Row],[tipo_equipe_id]]=Metas[equipe])*(Metas_Diarias[[#This Row],[data]]&gt;Metas[data_inicio])*(Metas_Diarias[[#This Row],[data]]&lt;Metas[data_fim])),Metas[meta_mensal],0)</f>
        <v>0</v>
      </c>
      <c r="L25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69" spans="2:12" x14ac:dyDescent="0.3">
      <c r="B2569" s="34">
        <v>46030</v>
      </c>
      <c r="C2569" s="34" t="str">
        <f>TEXT(Metas_Diarias[[#This Row],[data]],"dddd")</f>
        <v>quinta-feira</v>
      </c>
      <c r="D2569" s="33">
        <v>3</v>
      </c>
      <c r="E2569" s="33">
        <v>4</v>
      </c>
      <c r="F2569" s="18"/>
      <c r="G2569" s="35">
        <f>WEEKDAY(Metas_Diarias[[#This Row],[data]])</f>
        <v>5</v>
      </c>
      <c r="H2569" s="35">
        <f>IF(Metas_Diarias[[#This Row],[dias_da_demana]]=1,"domingo",IF(Metas_Diarias[[#This Row],[dias_da_demana]]=7,0.5,1))</f>
        <v>1</v>
      </c>
      <c r="I2569" s="35">
        <f>_xlfn.XLOOKUP(Metas_Diarias[[#This Row],[data]],Feriados[Data],Feriados[Feriado],1)</f>
        <v>1</v>
      </c>
      <c r="J2569" s="33" cm="1">
        <f t="array" aca="1" ref="J2569" ca="1">SUMPRODUCT(IF((NOT(ISERROR(MATCH(ROW(INDIRECT(DATE(YEAR(B2569),MONTH(B2569),1)&amp;":"&amp;DATE(YEAR(B2569),MONTH(B2569)+1,0))),Feriados[Data],0))))=FALSE,
IF(WEEKDAY(ROW(INDIRECT(DATE(YEAR(B2569),MONTH(B2569),1)&amp;":"&amp;DATE(YEAR(B2569),MONTH(B2569)+1,0))),2)&lt;=5,1,IF(WEEKDAY(ROW(INDIRECT(DATE(YEAR(B2569),MONTH(B2569),1)&amp;":"&amp;DATE(YEAR(B2569),MONTH(B2569)+1,0))),2)=6,0.5,0)),0))</f>
        <v>23.5</v>
      </c>
      <c r="K2569" s="22" cm="1">
        <f t="array" ref="K2569">_xlfn.XLOOKUP(1,((Metas_Diarias[[#This Row],[tipo_equipe_id]]=Metas[equipe])*(Metas_Diarias[[#This Row],[data]]&gt;Metas[data_inicio])*(Metas_Diarias[[#This Row],[data]]&lt;Metas[data_fim])),Metas[meta_mensal],0)</f>
        <v>0</v>
      </c>
      <c r="L256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0" spans="2:12" x14ac:dyDescent="0.3">
      <c r="B2570" s="34">
        <v>46031</v>
      </c>
      <c r="C2570" s="34" t="str">
        <f>TEXT(Metas_Diarias[[#This Row],[data]],"dddd")</f>
        <v>sexta-feira</v>
      </c>
      <c r="D2570" s="33">
        <v>3</v>
      </c>
      <c r="E2570" s="33">
        <v>4</v>
      </c>
      <c r="F2570" s="18"/>
      <c r="G2570" s="35">
        <f>WEEKDAY(Metas_Diarias[[#This Row],[data]])</f>
        <v>6</v>
      </c>
      <c r="H2570" s="35">
        <f>IF(Metas_Diarias[[#This Row],[dias_da_demana]]=1,"domingo",IF(Metas_Diarias[[#This Row],[dias_da_demana]]=7,0.5,1))</f>
        <v>1</v>
      </c>
      <c r="I2570" s="35">
        <f>_xlfn.XLOOKUP(Metas_Diarias[[#This Row],[data]],Feriados[Data],Feriados[Feriado],1)</f>
        <v>1</v>
      </c>
      <c r="J2570" s="33" cm="1">
        <f t="array" aca="1" ref="J2570" ca="1">SUMPRODUCT(IF((NOT(ISERROR(MATCH(ROW(INDIRECT(DATE(YEAR(B2570),MONTH(B2570),1)&amp;":"&amp;DATE(YEAR(B2570),MONTH(B2570)+1,0))),Feriados[Data],0))))=FALSE,
IF(WEEKDAY(ROW(INDIRECT(DATE(YEAR(B2570),MONTH(B2570),1)&amp;":"&amp;DATE(YEAR(B2570),MONTH(B2570)+1,0))),2)&lt;=5,1,IF(WEEKDAY(ROW(INDIRECT(DATE(YEAR(B2570),MONTH(B2570),1)&amp;":"&amp;DATE(YEAR(B2570),MONTH(B2570)+1,0))),2)=6,0.5,0)),0))</f>
        <v>23.5</v>
      </c>
      <c r="K2570" s="22" cm="1">
        <f t="array" ref="K2570">_xlfn.XLOOKUP(1,((Metas_Diarias[[#This Row],[tipo_equipe_id]]=Metas[equipe])*(Metas_Diarias[[#This Row],[data]]&gt;Metas[data_inicio])*(Metas_Diarias[[#This Row],[data]]&lt;Metas[data_fim])),Metas[meta_mensal],0)</f>
        <v>0</v>
      </c>
      <c r="L25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1" spans="2:12" x14ac:dyDescent="0.3">
      <c r="B2571" s="34">
        <v>46032</v>
      </c>
      <c r="C2571" s="34" t="str">
        <f>TEXT(Metas_Diarias[[#This Row],[data]],"dddd")</f>
        <v>sábado</v>
      </c>
      <c r="D2571" s="33">
        <v>3</v>
      </c>
      <c r="E2571" s="33">
        <v>4</v>
      </c>
      <c r="F2571" s="18"/>
      <c r="G2571" s="35">
        <f>WEEKDAY(Metas_Diarias[[#This Row],[data]])</f>
        <v>7</v>
      </c>
      <c r="H2571" s="35">
        <f>IF(Metas_Diarias[[#This Row],[dias_da_demana]]=1,"domingo",IF(Metas_Diarias[[#This Row],[dias_da_demana]]=7,0.5,1))</f>
        <v>0.5</v>
      </c>
      <c r="I2571" s="35">
        <f>_xlfn.XLOOKUP(Metas_Diarias[[#This Row],[data]],Feriados[Data],Feriados[Feriado],1)</f>
        <v>1</v>
      </c>
      <c r="J2571" s="33" cm="1">
        <f t="array" aca="1" ref="J2571" ca="1">SUMPRODUCT(IF((NOT(ISERROR(MATCH(ROW(INDIRECT(DATE(YEAR(B2571),MONTH(B2571),1)&amp;":"&amp;DATE(YEAR(B2571),MONTH(B2571)+1,0))),Feriados[Data],0))))=FALSE,
IF(WEEKDAY(ROW(INDIRECT(DATE(YEAR(B2571),MONTH(B2571),1)&amp;":"&amp;DATE(YEAR(B2571),MONTH(B2571)+1,0))),2)&lt;=5,1,IF(WEEKDAY(ROW(INDIRECT(DATE(YEAR(B2571),MONTH(B2571),1)&amp;":"&amp;DATE(YEAR(B2571),MONTH(B2571)+1,0))),2)=6,0.5,0)),0))</f>
        <v>23.5</v>
      </c>
      <c r="K2571" s="22" cm="1">
        <f t="array" ref="K2571">_xlfn.XLOOKUP(1,((Metas_Diarias[[#This Row],[tipo_equipe_id]]=Metas[equipe])*(Metas_Diarias[[#This Row],[data]]&gt;Metas[data_inicio])*(Metas_Diarias[[#This Row],[data]]&lt;Metas[data_fim])),Metas[meta_mensal],0)</f>
        <v>0</v>
      </c>
      <c r="L25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2" spans="2:12" x14ac:dyDescent="0.3">
      <c r="B2572" s="34">
        <v>46033</v>
      </c>
      <c r="C2572" s="34" t="str">
        <f>TEXT(Metas_Diarias[[#This Row],[data]],"dddd")</f>
        <v>domingo</v>
      </c>
      <c r="D2572" s="33">
        <v>3</v>
      </c>
      <c r="E2572" s="33">
        <v>4</v>
      </c>
      <c r="F2572" s="18"/>
      <c r="G2572" s="35">
        <f>WEEKDAY(Metas_Diarias[[#This Row],[data]])</f>
        <v>1</v>
      </c>
      <c r="H2572" s="35" t="str">
        <f>IF(Metas_Diarias[[#This Row],[dias_da_demana]]=1,"domingo",IF(Metas_Diarias[[#This Row],[dias_da_demana]]=7,0.5,1))</f>
        <v>domingo</v>
      </c>
      <c r="I2572" s="35">
        <f>_xlfn.XLOOKUP(Metas_Diarias[[#This Row],[data]],Feriados[Data],Feriados[Feriado],1)</f>
        <v>1</v>
      </c>
      <c r="J2572" s="33" cm="1">
        <f t="array" aca="1" ref="J2572" ca="1">SUMPRODUCT(IF((NOT(ISERROR(MATCH(ROW(INDIRECT(DATE(YEAR(B2572),MONTH(B2572),1)&amp;":"&amp;DATE(YEAR(B2572),MONTH(B2572)+1,0))),Feriados[Data],0))))=FALSE,
IF(WEEKDAY(ROW(INDIRECT(DATE(YEAR(B2572),MONTH(B2572),1)&amp;":"&amp;DATE(YEAR(B2572),MONTH(B2572)+1,0))),2)&lt;=5,1,IF(WEEKDAY(ROW(INDIRECT(DATE(YEAR(B2572),MONTH(B2572),1)&amp;":"&amp;DATE(YEAR(B2572),MONTH(B2572)+1,0))),2)=6,0.5,0)),0))</f>
        <v>23.5</v>
      </c>
      <c r="K2572" s="22" cm="1">
        <f t="array" ref="K2572">_xlfn.XLOOKUP(1,((Metas_Diarias[[#This Row],[tipo_equipe_id]]=Metas[equipe])*(Metas_Diarias[[#This Row],[data]]&gt;Metas[data_inicio])*(Metas_Diarias[[#This Row],[data]]&lt;Metas[data_fim])),Metas[meta_mensal],0)</f>
        <v>0</v>
      </c>
      <c r="L257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3" spans="2:12" x14ac:dyDescent="0.3">
      <c r="B2573" s="34">
        <v>46034</v>
      </c>
      <c r="C2573" s="34" t="str">
        <f>TEXT(Metas_Diarias[[#This Row],[data]],"dddd")</f>
        <v>segunda-feira</v>
      </c>
      <c r="D2573" s="33">
        <v>3</v>
      </c>
      <c r="E2573" s="33">
        <v>4</v>
      </c>
      <c r="F2573" s="18"/>
      <c r="G2573" s="35">
        <f>WEEKDAY(Metas_Diarias[[#This Row],[data]])</f>
        <v>2</v>
      </c>
      <c r="H2573" s="35">
        <f>IF(Metas_Diarias[[#This Row],[dias_da_demana]]=1,"domingo",IF(Metas_Diarias[[#This Row],[dias_da_demana]]=7,0.5,1))</f>
        <v>1</v>
      </c>
      <c r="I2573" s="35">
        <f>_xlfn.XLOOKUP(Metas_Diarias[[#This Row],[data]],Feriados[Data],Feriados[Feriado],1)</f>
        <v>1</v>
      </c>
      <c r="J2573" s="33" cm="1">
        <f t="array" aca="1" ref="J2573" ca="1">SUMPRODUCT(IF((NOT(ISERROR(MATCH(ROW(INDIRECT(DATE(YEAR(B2573),MONTH(B2573),1)&amp;":"&amp;DATE(YEAR(B2573),MONTH(B2573)+1,0))),Feriados[Data],0))))=FALSE,
IF(WEEKDAY(ROW(INDIRECT(DATE(YEAR(B2573),MONTH(B2573),1)&amp;":"&amp;DATE(YEAR(B2573),MONTH(B2573)+1,0))),2)&lt;=5,1,IF(WEEKDAY(ROW(INDIRECT(DATE(YEAR(B2573),MONTH(B2573),1)&amp;":"&amp;DATE(YEAR(B2573),MONTH(B2573)+1,0))),2)=6,0.5,0)),0))</f>
        <v>23.5</v>
      </c>
      <c r="K2573" s="22" cm="1">
        <f t="array" ref="K2573">_xlfn.XLOOKUP(1,((Metas_Diarias[[#This Row],[tipo_equipe_id]]=Metas[equipe])*(Metas_Diarias[[#This Row],[data]]&gt;Metas[data_inicio])*(Metas_Diarias[[#This Row],[data]]&lt;Metas[data_fim])),Metas[meta_mensal],0)</f>
        <v>0</v>
      </c>
      <c r="L25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4" spans="2:12" x14ac:dyDescent="0.3">
      <c r="B2574" s="34">
        <v>46035</v>
      </c>
      <c r="C2574" s="34" t="str">
        <f>TEXT(Metas_Diarias[[#This Row],[data]],"dddd")</f>
        <v>terça-feira</v>
      </c>
      <c r="D2574" s="33">
        <v>3</v>
      </c>
      <c r="E2574" s="33">
        <v>4</v>
      </c>
      <c r="F2574" s="18"/>
      <c r="G2574" s="35">
        <f>WEEKDAY(Metas_Diarias[[#This Row],[data]])</f>
        <v>3</v>
      </c>
      <c r="H2574" s="35">
        <f>IF(Metas_Diarias[[#This Row],[dias_da_demana]]=1,"domingo",IF(Metas_Diarias[[#This Row],[dias_da_demana]]=7,0.5,1))</f>
        <v>1</v>
      </c>
      <c r="I2574" s="35">
        <f>_xlfn.XLOOKUP(Metas_Diarias[[#This Row],[data]],Feriados[Data],Feriados[Feriado],1)</f>
        <v>1</v>
      </c>
      <c r="J2574" s="33" cm="1">
        <f t="array" aca="1" ref="J2574" ca="1">SUMPRODUCT(IF((NOT(ISERROR(MATCH(ROW(INDIRECT(DATE(YEAR(B2574),MONTH(B2574),1)&amp;":"&amp;DATE(YEAR(B2574),MONTH(B2574)+1,0))),Feriados[Data],0))))=FALSE,
IF(WEEKDAY(ROW(INDIRECT(DATE(YEAR(B2574),MONTH(B2574),1)&amp;":"&amp;DATE(YEAR(B2574),MONTH(B2574)+1,0))),2)&lt;=5,1,IF(WEEKDAY(ROW(INDIRECT(DATE(YEAR(B2574),MONTH(B2574),1)&amp;":"&amp;DATE(YEAR(B2574),MONTH(B2574)+1,0))),2)=6,0.5,0)),0))</f>
        <v>23.5</v>
      </c>
      <c r="K2574" s="22" cm="1">
        <f t="array" ref="K2574">_xlfn.XLOOKUP(1,((Metas_Diarias[[#This Row],[tipo_equipe_id]]=Metas[equipe])*(Metas_Diarias[[#This Row],[data]]&gt;Metas[data_inicio])*(Metas_Diarias[[#This Row],[data]]&lt;Metas[data_fim])),Metas[meta_mensal],0)</f>
        <v>0</v>
      </c>
      <c r="L257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5" spans="2:12" x14ac:dyDescent="0.3">
      <c r="B2575" s="34">
        <v>46036</v>
      </c>
      <c r="C2575" s="34" t="str">
        <f>TEXT(Metas_Diarias[[#This Row],[data]],"dddd")</f>
        <v>quarta-feira</v>
      </c>
      <c r="D2575" s="33">
        <v>3</v>
      </c>
      <c r="E2575" s="33">
        <v>4</v>
      </c>
      <c r="F2575" s="18"/>
      <c r="G2575" s="35">
        <f>WEEKDAY(Metas_Diarias[[#This Row],[data]])</f>
        <v>4</v>
      </c>
      <c r="H2575" s="35">
        <f>IF(Metas_Diarias[[#This Row],[dias_da_demana]]=1,"domingo",IF(Metas_Diarias[[#This Row],[dias_da_demana]]=7,0.5,1))</f>
        <v>1</v>
      </c>
      <c r="I2575" s="35">
        <f>_xlfn.XLOOKUP(Metas_Diarias[[#This Row],[data]],Feriados[Data],Feriados[Feriado],1)</f>
        <v>1</v>
      </c>
      <c r="J2575" s="33" cm="1">
        <f t="array" aca="1" ref="J2575" ca="1">SUMPRODUCT(IF((NOT(ISERROR(MATCH(ROW(INDIRECT(DATE(YEAR(B2575),MONTH(B2575),1)&amp;":"&amp;DATE(YEAR(B2575),MONTH(B2575)+1,0))),Feriados[Data],0))))=FALSE,
IF(WEEKDAY(ROW(INDIRECT(DATE(YEAR(B2575),MONTH(B2575),1)&amp;":"&amp;DATE(YEAR(B2575),MONTH(B2575)+1,0))),2)&lt;=5,1,IF(WEEKDAY(ROW(INDIRECT(DATE(YEAR(B2575),MONTH(B2575),1)&amp;":"&amp;DATE(YEAR(B2575),MONTH(B2575)+1,0))),2)=6,0.5,0)),0))</f>
        <v>23.5</v>
      </c>
      <c r="K2575" s="22" cm="1">
        <f t="array" ref="K2575">_xlfn.XLOOKUP(1,((Metas_Diarias[[#This Row],[tipo_equipe_id]]=Metas[equipe])*(Metas_Diarias[[#This Row],[data]]&gt;Metas[data_inicio])*(Metas_Diarias[[#This Row],[data]]&lt;Metas[data_fim])),Metas[meta_mensal],0)</f>
        <v>0</v>
      </c>
      <c r="L25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6" spans="2:12" x14ac:dyDescent="0.3">
      <c r="B2576" s="34">
        <v>46037</v>
      </c>
      <c r="C2576" s="34" t="str">
        <f>TEXT(Metas_Diarias[[#This Row],[data]],"dddd")</f>
        <v>quinta-feira</v>
      </c>
      <c r="D2576" s="33">
        <v>3</v>
      </c>
      <c r="E2576" s="33">
        <v>4</v>
      </c>
      <c r="F2576" s="18"/>
      <c r="G2576" s="35">
        <f>WEEKDAY(Metas_Diarias[[#This Row],[data]])</f>
        <v>5</v>
      </c>
      <c r="H2576" s="35">
        <f>IF(Metas_Diarias[[#This Row],[dias_da_demana]]=1,"domingo",IF(Metas_Diarias[[#This Row],[dias_da_demana]]=7,0.5,1))</f>
        <v>1</v>
      </c>
      <c r="I2576" s="35">
        <f>_xlfn.XLOOKUP(Metas_Diarias[[#This Row],[data]],Feriados[Data],Feriados[Feriado],1)</f>
        <v>1</v>
      </c>
      <c r="J2576" s="33" cm="1">
        <f t="array" aca="1" ref="J2576" ca="1">SUMPRODUCT(IF((NOT(ISERROR(MATCH(ROW(INDIRECT(DATE(YEAR(B2576),MONTH(B2576),1)&amp;":"&amp;DATE(YEAR(B2576),MONTH(B2576)+1,0))),Feriados[Data],0))))=FALSE,
IF(WEEKDAY(ROW(INDIRECT(DATE(YEAR(B2576),MONTH(B2576),1)&amp;":"&amp;DATE(YEAR(B2576),MONTH(B2576)+1,0))),2)&lt;=5,1,IF(WEEKDAY(ROW(INDIRECT(DATE(YEAR(B2576),MONTH(B2576),1)&amp;":"&amp;DATE(YEAR(B2576),MONTH(B2576)+1,0))),2)=6,0.5,0)),0))</f>
        <v>23.5</v>
      </c>
      <c r="K2576" s="22" cm="1">
        <f t="array" ref="K2576">_xlfn.XLOOKUP(1,((Metas_Diarias[[#This Row],[tipo_equipe_id]]=Metas[equipe])*(Metas_Diarias[[#This Row],[data]]&gt;Metas[data_inicio])*(Metas_Diarias[[#This Row],[data]]&lt;Metas[data_fim])),Metas[meta_mensal],0)</f>
        <v>0</v>
      </c>
      <c r="L257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7" spans="2:12" x14ac:dyDescent="0.3">
      <c r="B2577" s="34">
        <v>46038</v>
      </c>
      <c r="C2577" s="34" t="str">
        <f>TEXT(Metas_Diarias[[#This Row],[data]],"dddd")</f>
        <v>sexta-feira</v>
      </c>
      <c r="D2577" s="33">
        <v>3</v>
      </c>
      <c r="E2577" s="33">
        <v>4</v>
      </c>
      <c r="F2577" s="18"/>
      <c r="G2577" s="35">
        <f>WEEKDAY(Metas_Diarias[[#This Row],[data]])</f>
        <v>6</v>
      </c>
      <c r="H2577" s="35">
        <f>IF(Metas_Diarias[[#This Row],[dias_da_demana]]=1,"domingo",IF(Metas_Diarias[[#This Row],[dias_da_demana]]=7,0.5,1))</f>
        <v>1</v>
      </c>
      <c r="I2577" s="35">
        <f>_xlfn.XLOOKUP(Metas_Diarias[[#This Row],[data]],Feriados[Data],Feriados[Feriado],1)</f>
        <v>1</v>
      </c>
      <c r="J2577" s="33" cm="1">
        <f t="array" aca="1" ref="J2577" ca="1">SUMPRODUCT(IF((NOT(ISERROR(MATCH(ROW(INDIRECT(DATE(YEAR(B2577),MONTH(B2577),1)&amp;":"&amp;DATE(YEAR(B2577),MONTH(B2577)+1,0))),Feriados[Data],0))))=FALSE,
IF(WEEKDAY(ROW(INDIRECT(DATE(YEAR(B2577),MONTH(B2577),1)&amp;":"&amp;DATE(YEAR(B2577),MONTH(B2577)+1,0))),2)&lt;=5,1,IF(WEEKDAY(ROW(INDIRECT(DATE(YEAR(B2577),MONTH(B2577),1)&amp;":"&amp;DATE(YEAR(B2577),MONTH(B2577)+1,0))),2)=6,0.5,0)),0))</f>
        <v>23.5</v>
      </c>
      <c r="K2577" s="22" cm="1">
        <f t="array" ref="K2577">_xlfn.XLOOKUP(1,((Metas_Diarias[[#This Row],[tipo_equipe_id]]=Metas[equipe])*(Metas_Diarias[[#This Row],[data]]&gt;Metas[data_inicio])*(Metas_Diarias[[#This Row],[data]]&lt;Metas[data_fim])),Metas[meta_mensal],0)</f>
        <v>0</v>
      </c>
      <c r="L25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8" spans="2:12" x14ac:dyDescent="0.3">
      <c r="B2578" s="34">
        <v>46039</v>
      </c>
      <c r="C2578" s="34" t="str">
        <f>TEXT(Metas_Diarias[[#This Row],[data]],"dddd")</f>
        <v>sábado</v>
      </c>
      <c r="D2578" s="33">
        <v>3</v>
      </c>
      <c r="E2578" s="33">
        <v>4</v>
      </c>
      <c r="F2578" s="18"/>
      <c r="G2578" s="35">
        <f>WEEKDAY(Metas_Diarias[[#This Row],[data]])</f>
        <v>7</v>
      </c>
      <c r="H2578" s="35">
        <f>IF(Metas_Diarias[[#This Row],[dias_da_demana]]=1,"domingo",IF(Metas_Diarias[[#This Row],[dias_da_demana]]=7,0.5,1))</f>
        <v>0.5</v>
      </c>
      <c r="I2578" s="35">
        <f>_xlfn.XLOOKUP(Metas_Diarias[[#This Row],[data]],Feriados[Data],Feriados[Feriado],1)</f>
        <v>1</v>
      </c>
      <c r="J2578" s="33" cm="1">
        <f t="array" aca="1" ref="J2578" ca="1">SUMPRODUCT(IF((NOT(ISERROR(MATCH(ROW(INDIRECT(DATE(YEAR(B2578),MONTH(B2578),1)&amp;":"&amp;DATE(YEAR(B2578),MONTH(B2578)+1,0))),Feriados[Data],0))))=FALSE,
IF(WEEKDAY(ROW(INDIRECT(DATE(YEAR(B2578),MONTH(B2578),1)&amp;":"&amp;DATE(YEAR(B2578),MONTH(B2578)+1,0))),2)&lt;=5,1,IF(WEEKDAY(ROW(INDIRECT(DATE(YEAR(B2578),MONTH(B2578),1)&amp;":"&amp;DATE(YEAR(B2578),MONTH(B2578)+1,0))),2)=6,0.5,0)),0))</f>
        <v>23.5</v>
      </c>
      <c r="K2578" s="22" cm="1">
        <f t="array" ref="K2578">_xlfn.XLOOKUP(1,((Metas_Diarias[[#This Row],[tipo_equipe_id]]=Metas[equipe])*(Metas_Diarias[[#This Row],[data]]&gt;Metas[data_inicio])*(Metas_Diarias[[#This Row],[data]]&lt;Metas[data_fim])),Metas[meta_mensal],0)</f>
        <v>0</v>
      </c>
      <c r="L25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79" spans="2:12" x14ac:dyDescent="0.3">
      <c r="B2579" s="34">
        <v>46040</v>
      </c>
      <c r="C2579" s="34" t="str">
        <f>TEXT(Metas_Diarias[[#This Row],[data]],"dddd")</f>
        <v>domingo</v>
      </c>
      <c r="D2579" s="33">
        <v>3</v>
      </c>
      <c r="E2579" s="33">
        <v>4</v>
      </c>
      <c r="F2579" s="18"/>
      <c r="G2579" s="35">
        <f>WEEKDAY(Metas_Diarias[[#This Row],[data]])</f>
        <v>1</v>
      </c>
      <c r="H2579" s="35" t="str">
        <f>IF(Metas_Diarias[[#This Row],[dias_da_demana]]=1,"domingo",IF(Metas_Diarias[[#This Row],[dias_da_demana]]=7,0.5,1))</f>
        <v>domingo</v>
      </c>
      <c r="I2579" s="35">
        <f>_xlfn.XLOOKUP(Metas_Diarias[[#This Row],[data]],Feriados[Data],Feriados[Feriado],1)</f>
        <v>1</v>
      </c>
      <c r="J2579" s="33" cm="1">
        <f t="array" aca="1" ref="J2579" ca="1">SUMPRODUCT(IF((NOT(ISERROR(MATCH(ROW(INDIRECT(DATE(YEAR(B2579),MONTH(B2579),1)&amp;":"&amp;DATE(YEAR(B2579),MONTH(B2579)+1,0))),Feriados[Data],0))))=FALSE,
IF(WEEKDAY(ROW(INDIRECT(DATE(YEAR(B2579),MONTH(B2579),1)&amp;":"&amp;DATE(YEAR(B2579),MONTH(B2579)+1,0))),2)&lt;=5,1,IF(WEEKDAY(ROW(INDIRECT(DATE(YEAR(B2579),MONTH(B2579),1)&amp;":"&amp;DATE(YEAR(B2579),MONTH(B2579)+1,0))),2)=6,0.5,0)),0))</f>
        <v>23.5</v>
      </c>
      <c r="K2579" s="22" cm="1">
        <f t="array" ref="K2579">_xlfn.XLOOKUP(1,((Metas_Diarias[[#This Row],[tipo_equipe_id]]=Metas[equipe])*(Metas_Diarias[[#This Row],[data]]&gt;Metas[data_inicio])*(Metas_Diarias[[#This Row],[data]]&lt;Metas[data_fim])),Metas[meta_mensal],0)</f>
        <v>0</v>
      </c>
      <c r="L25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0" spans="2:12" x14ac:dyDescent="0.3">
      <c r="B2580" s="34">
        <v>46041</v>
      </c>
      <c r="C2580" s="34" t="str">
        <f>TEXT(Metas_Diarias[[#This Row],[data]],"dddd")</f>
        <v>segunda-feira</v>
      </c>
      <c r="D2580" s="33">
        <v>3</v>
      </c>
      <c r="E2580" s="33">
        <v>4</v>
      </c>
      <c r="F2580" s="18"/>
      <c r="G2580" s="35">
        <f>WEEKDAY(Metas_Diarias[[#This Row],[data]])</f>
        <v>2</v>
      </c>
      <c r="H2580" s="35">
        <f>IF(Metas_Diarias[[#This Row],[dias_da_demana]]=1,"domingo",IF(Metas_Diarias[[#This Row],[dias_da_demana]]=7,0.5,1))</f>
        <v>1</v>
      </c>
      <c r="I2580" s="35">
        <f>_xlfn.XLOOKUP(Metas_Diarias[[#This Row],[data]],Feriados[Data],Feriados[Feriado],1)</f>
        <v>1</v>
      </c>
      <c r="J2580" s="33" cm="1">
        <f t="array" aca="1" ref="J2580" ca="1">SUMPRODUCT(IF((NOT(ISERROR(MATCH(ROW(INDIRECT(DATE(YEAR(B2580),MONTH(B2580),1)&amp;":"&amp;DATE(YEAR(B2580),MONTH(B2580)+1,0))),Feriados[Data],0))))=FALSE,
IF(WEEKDAY(ROW(INDIRECT(DATE(YEAR(B2580),MONTH(B2580),1)&amp;":"&amp;DATE(YEAR(B2580),MONTH(B2580)+1,0))),2)&lt;=5,1,IF(WEEKDAY(ROW(INDIRECT(DATE(YEAR(B2580),MONTH(B2580),1)&amp;":"&amp;DATE(YEAR(B2580),MONTH(B2580)+1,0))),2)=6,0.5,0)),0))</f>
        <v>23.5</v>
      </c>
      <c r="K2580" s="22" cm="1">
        <f t="array" ref="K2580">_xlfn.XLOOKUP(1,((Metas_Diarias[[#This Row],[tipo_equipe_id]]=Metas[equipe])*(Metas_Diarias[[#This Row],[data]]&gt;Metas[data_inicio])*(Metas_Diarias[[#This Row],[data]]&lt;Metas[data_fim])),Metas[meta_mensal],0)</f>
        <v>0</v>
      </c>
      <c r="L25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1" spans="2:12" x14ac:dyDescent="0.3">
      <c r="B2581" s="34">
        <v>46042</v>
      </c>
      <c r="C2581" s="34" t="str">
        <f>TEXT(Metas_Diarias[[#This Row],[data]],"dddd")</f>
        <v>terça-feira</v>
      </c>
      <c r="D2581" s="33">
        <v>3</v>
      </c>
      <c r="E2581" s="33">
        <v>4</v>
      </c>
      <c r="F2581" s="18"/>
      <c r="G2581" s="35">
        <f>WEEKDAY(Metas_Diarias[[#This Row],[data]])</f>
        <v>3</v>
      </c>
      <c r="H2581" s="35">
        <f>IF(Metas_Diarias[[#This Row],[dias_da_demana]]=1,"domingo",IF(Metas_Diarias[[#This Row],[dias_da_demana]]=7,0.5,1))</f>
        <v>1</v>
      </c>
      <c r="I2581" s="35">
        <f>_xlfn.XLOOKUP(Metas_Diarias[[#This Row],[data]],Feriados[Data],Feriados[Feriado],1)</f>
        <v>1</v>
      </c>
      <c r="J2581" s="33" cm="1">
        <f t="array" aca="1" ref="J2581" ca="1">SUMPRODUCT(IF((NOT(ISERROR(MATCH(ROW(INDIRECT(DATE(YEAR(B2581),MONTH(B2581),1)&amp;":"&amp;DATE(YEAR(B2581),MONTH(B2581)+1,0))),Feriados[Data],0))))=FALSE,
IF(WEEKDAY(ROW(INDIRECT(DATE(YEAR(B2581),MONTH(B2581),1)&amp;":"&amp;DATE(YEAR(B2581),MONTH(B2581)+1,0))),2)&lt;=5,1,IF(WEEKDAY(ROW(INDIRECT(DATE(YEAR(B2581),MONTH(B2581),1)&amp;":"&amp;DATE(YEAR(B2581),MONTH(B2581)+1,0))),2)=6,0.5,0)),0))</f>
        <v>23.5</v>
      </c>
      <c r="K2581" s="22" cm="1">
        <f t="array" ref="K2581">_xlfn.XLOOKUP(1,((Metas_Diarias[[#This Row],[tipo_equipe_id]]=Metas[equipe])*(Metas_Diarias[[#This Row],[data]]&gt;Metas[data_inicio])*(Metas_Diarias[[#This Row],[data]]&lt;Metas[data_fim])),Metas[meta_mensal],0)</f>
        <v>0</v>
      </c>
      <c r="L258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2" spans="2:12" x14ac:dyDescent="0.3">
      <c r="B2582" s="34">
        <v>46043</v>
      </c>
      <c r="C2582" s="34" t="str">
        <f>TEXT(Metas_Diarias[[#This Row],[data]],"dddd")</f>
        <v>quarta-feira</v>
      </c>
      <c r="D2582" s="33">
        <v>3</v>
      </c>
      <c r="E2582" s="33">
        <v>4</v>
      </c>
      <c r="F2582" s="18"/>
      <c r="G2582" s="35">
        <f>WEEKDAY(Metas_Diarias[[#This Row],[data]])</f>
        <v>4</v>
      </c>
      <c r="H2582" s="35">
        <f>IF(Metas_Diarias[[#This Row],[dias_da_demana]]=1,"domingo",IF(Metas_Diarias[[#This Row],[dias_da_demana]]=7,0.5,1))</f>
        <v>1</v>
      </c>
      <c r="I2582" s="35">
        <f>_xlfn.XLOOKUP(Metas_Diarias[[#This Row],[data]],Feriados[Data],Feriados[Feriado],1)</f>
        <v>1</v>
      </c>
      <c r="J2582" s="33" cm="1">
        <f t="array" aca="1" ref="J2582" ca="1">SUMPRODUCT(IF((NOT(ISERROR(MATCH(ROW(INDIRECT(DATE(YEAR(B2582),MONTH(B2582),1)&amp;":"&amp;DATE(YEAR(B2582),MONTH(B2582)+1,0))),Feriados[Data],0))))=FALSE,
IF(WEEKDAY(ROW(INDIRECT(DATE(YEAR(B2582),MONTH(B2582),1)&amp;":"&amp;DATE(YEAR(B2582),MONTH(B2582)+1,0))),2)&lt;=5,1,IF(WEEKDAY(ROW(INDIRECT(DATE(YEAR(B2582),MONTH(B2582),1)&amp;":"&amp;DATE(YEAR(B2582),MONTH(B2582)+1,0))),2)=6,0.5,0)),0))</f>
        <v>23.5</v>
      </c>
      <c r="K2582" s="22" cm="1">
        <f t="array" ref="K2582">_xlfn.XLOOKUP(1,((Metas_Diarias[[#This Row],[tipo_equipe_id]]=Metas[equipe])*(Metas_Diarias[[#This Row],[data]]&gt;Metas[data_inicio])*(Metas_Diarias[[#This Row],[data]]&lt;Metas[data_fim])),Metas[meta_mensal],0)</f>
        <v>0</v>
      </c>
      <c r="L25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3" spans="2:12" x14ac:dyDescent="0.3">
      <c r="B2583" s="34">
        <v>46044</v>
      </c>
      <c r="C2583" s="34" t="str">
        <f>TEXT(Metas_Diarias[[#This Row],[data]],"dddd")</f>
        <v>quinta-feira</v>
      </c>
      <c r="D2583" s="33">
        <v>3</v>
      </c>
      <c r="E2583" s="33">
        <v>4</v>
      </c>
      <c r="F2583" s="18"/>
      <c r="G2583" s="35">
        <f>WEEKDAY(Metas_Diarias[[#This Row],[data]])</f>
        <v>5</v>
      </c>
      <c r="H2583" s="35">
        <f>IF(Metas_Diarias[[#This Row],[dias_da_demana]]=1,"domingo",IF(Metas_Diarias[[#This Row],[dias_da_demana]]=7,0.5,1))</f>
        <v>1</v>
      </c>
      <c r="I2583" s="35">
        <f>_xlfn.XLOOKUP(Metas_Diarias[[#This Row],[data]],Feriados[Data],Feriados[Feriado],1)</f>
        <v>1</v>
      </c>
      <c r="J2583" s="33" cm="1">
        <f t="array" aca="1" ref="J2583" ca="1">SUMPRODUCT(IF((NOT(ISERROR(MATCH(ROW(INDIRECT(DATE(YEAR(B2583),MONTH(B2583),1)&amp;":"&amp;DATE(YEAR(B2583),MONTH(B2583)+1,0))),Feriados[Data],0))))=FALSE,
IF(WEEKDAY(ROW(INDIRECT(DATE(YEAR(B2583),MONTH(B2583),1)&amp;":"&amp;DATE(YEAR(B2583),MONTH(B2583)+1,0))),2)&lt;=5,1,IF(WEEKDAY(ROW(INDIRECT(DATE(YEAR(B2583),MONTH(B2583),1)&amp;":"&amp;DATE(YEAR(B2583),MONTH(B2583)+1,0))),2)=6,0.5,0)),0))</f>
        <v>23.5</v>
      </c>
      <c r="K2583" s="22" cm="1">
        <f t="array" ref="K2583">_xlfn.XLOOKUP(1,((Metas_Diarias[[#This Row],[tipo_equipe_id]]=Metas[equipe])*(Metas_Diarias[[#This Row],[data]]&gt;Metas[data_inicio])*(Metas_Diarias[[#This Row],[data]]&lt;Metas[data_fim])),Metas[meta_mensal],0)</f>
        <v>0</v>
      </c>
      <c r="L258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4" spans="2:12" x14ac:dyDescent="0.3">
      <c r="B2584" s="34">
        <v>46045</v>
      </c>
      <c r="C2584" s="34" t="str">
        <f>TEXT(Metas_Diarias[[#This Row],[data]],"dddd")</f>
        <v>sexta-feira</v>
      </c>
      <c r="D2584" s="33">
        <v>3</v>
      </c>
      <c r="E2584" s="33">
        <v>4</v>
      </c>
      <c r="F2584" s="18"/>
      <c r="G2584" s="35">
        <f>WEEKDAY(Metas_Diarias[[#This Row],[data]])</f>
        <v>6</v>
      </c>
      <c r="H2584" s="35">
        <f>IF(Metas_Diarias[[#This Row],[dias_da_demana]]=1,"domingo",IF(Metas_Diarias[[#This Row],[dias_da_demana]]=7,0.5,1))</f>
        <v>1</v>
      </c>
      <c r="I2584" s="35">
        <f>_xlfn.XLOOKUP(Metas_Diarias[[#This Row],[data]],Feriados[Data],Feriados[Feriado],1)</f>
        <v>1</v>
      </c>
      <c r="J2584" s="33" cm="1">
        <f t="array" aca="1" ref="J2584" ca="1">SUMPRODUCT(IF((NOT(ISERROR(MATCH(ROW(INDIRECT(DATE(YEAR(B2584),MONTH(B2584),1)&amp;":"&amp;DATE(YEAR(B2584),MONTH(B2584)+1,0))),Feriados[Data],0))))=FALSE,
IF(WEEKDAY(ROW(INDIRECT(DATE(YEAR(B2584),MONTH(B2584),1)&amp;":"&amp;DATE(YEAR(B2584),MONTH(B2584)+1,0))),2)&lt;=5,1,IF(WEEKDAY(ROW(INDIRECT(DATE(YEAR(B2584),MONTH(B2584),1)&amp;":"&amp;DATE(YEAR(B2584),MONTH(B2584)+1,0))),2)=6,0.5,0)),0))</f>
        <v>23.5</v>
      </c>
      <c r="K2584" s="22" cm="1">
        <f t="array" ref="K2584">_xlfn.XLOOKUP(1,((Metas_Diarias[[#This Row],[tipo_equipe_id]]=Metas[equipe])*(Metas_Diarias[[#This Row],[data]]&gt;Metas[data_inicio])*(Metas_Diarias[[#This Row],[data]]&lt;Metas[data_fim])),Metas[meta_mensal],0)</f>
        <v>0</v>
      </c>
      <c r="L25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5" spans="2:12" x14ac:dyDescent="0.3">
      <c r="B2585" s="34">
        <v>46046</v>
      </c>
      <c r="C2585" s="34" t="str">
        <f>TEXT(Metas_Diarias[[#This Row],[data]],"dddd")</f>
        <v>sábado</v>
      </c>
      <c r="D2585" s="33">
        <v>3</v>
      </c>
      <c r="E2585" s="33">
        <v>4</v>
      </c>
      <c r="F2585" s="18"/>
      <c r="G2585" s="35">
        <f>WEEKDAY(Metas_Diarias[[#This Row],[data]])</f>
        <v>7</v>
      </c>
      <c r="H2585" s="35">
        <f>IF(Metas_Diarias[[#This Row],[dias_da_demana]]=1,"domingo",IF(Metas_Diarias[[#This Row],[dias_da_demana]]=7,0.5,1))</f>
        <v>0.5</v>
      </c>
      <c r="I2585" s="35">
        <f>_xlfn.XLOOKUP(Metas_Diarias[[#This Row],[data]],Feriados[Data],Feriados[Feriado],1)</f>
        <v>1</v>
      </c>
      <c r="J2585" s="33" cm="1">
        <f t="array" aca="1" ref="J2585" ca="1">SUMPRODUCT(IF((NOT(ISERROR(MATCH(ROW(INDIRECT(DATE(YEAR(B2585),MONTH(B2585),1)&amp;":"&amp;DATE(YEAR(B2585),MONTH(B2585)+1,0))),Feriados[Data],0))))=FALSE,
IF(WEEKDAY(ROW(INDIRECT(DATE(YEAR(B2585),MONTH(B2585),1)&amp;":"&amp;DATE(YEAR(B2585),MONTH(B2585)+1,0))),2)&lt;=5,1,IF(WEEKDAY(ROW(INDIRECT(DATE(YEAR(B2585),MONTH(B2585),1)&amp;":"&amp;DATE(YEAR(B2585),MONTH(B2585)+1,0))),2)=6,0.5,0)),0))</f>
        <v>23.5</v>
      </c>
      <c r="K2585" s="22" cm="1">
        <f t="array" ref="K2585">_xlfn.XLOOKUP(1,((Metas_Diarias[[#This Row],[tipo_equipe_id]]=Metas[equipe])*(Metas_Diarias[[#This Row],[data]]&gt;Metas[data_inicio])*(Metas_Diarias[[#This Row],[data]]&lt;Metas[data_fim])),Metas[meta_mensal],0)</f>
        <v>0</v>
      </c>
      <c r="L258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6" spans="2:12" x14ac:dyDescent="0.3">
      <c r="B2586" s="34">
        <v>46047</v>
      </c>
      <c r="C2586" s="34" t="str">
        <f>TEXT(Metas_Diarias[[#This Row],[data]],"dddd")</f>
        <v>domingo</v>
      </c>
      <c r="D2586" s="33">
        <v>3</v>
      </c>
      <c r="E2586" s="33">
        <v>4</v>
      </c>
      <c r="F2586" s="18"/>
      <c r="G2586" s="35">
        <f>WEEKDAY(Metas_Diarias[[#This Row],[data]])</f>
        <v>1</v>
      </c>
      <c r="H2586" s="35" t="str">
        <f>IF(Metas_Diarias[[#This Row],[dias_da_demana]]=1,"domingo",IF(Metas_Diarias[[#This Row],[dias_da_demana]]=7,0.5,1))</f>
        <v>domingo</v>
      </c>
      <c r="I2586" s="35">
        <f>_xlfn.XLOOKUP(Metas_Diarias[[#This Row],[data]],Feriados[Data],Feriados[Feriado],1)</f>
        <v>1</v>
      </c>
      <c r="J2586" s="33" cm="1">
        <f t="array" aca="1" ref="J2586" ca="1">SUMPRODUCT(IF((NOT(ISERROR(MATCH(ROW(INDIRECT(DATE(YEAR(B2586),MONTH(B2586),1)&amp;":"&amp;DATE(YEAR(B2586),MONTH(B2586)+1,0))),Feriados[Data],0))))=FALSE,
IF(WEEKDAY(ROW(INDIRECT(DATE(YEAR(B2586),MONTH(B2586),1)&amp;":"&amp;DATE(YEAR(B2586),MONTH(B2586)+1,0))),2)&lt;=5,1,IF(WEEKDAY(ROW(INDIRECT(DATE(YEAR(B2586),MONTH(B2586),1)&amp;":"&amp;DATE(YEAR(B2586),MONTH(B2586)+1,0))),2)=6,0.5,0)),0))</f>
        <v>23.5</v>
      </c>
      <c r="K2586" s="22" cm="1">
        <f t="array" ref="K2586">_xlfn.XLOOKUP(1,((Metas_Diarias[[#This Row],[tipo_equipe_id]]=Metas[equipe])*(Metas_Diarias[[#This Row],[data]]&gt;Metas[data_inicio])*(Metas_Diarias[[#This Row],[data]]&lt;Metas[data_fim])),Metas[meta_mensal],0)</f>
        <v>0</v>
      </c>
      <c r="L25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7" spans="2:12" x14ac:dyDescent="0.3">
      <c r="B2587" s="34">
        <v>46048</v>
      </c>
      <c r="C2587" s="34" t="str">
        <f>TEXT(Metas_Diarias[[#This Row],[data]],"dddd")</f>
        <v>segunda-feira</v>
      </c>
      <c r="D2587" s="33">
        <v>3</v>
      </c>
      <c r="E2587" s="33">
        <v>4</v>
      </c>
      <c r="F2587" s="18"/>
      <c r="G2587" s="35">
        <f>WEEKDAY(Metas_Diarias[[#This Row],[data]])</f>
        <v>2</v>
      </c>
      <c r="H2587" s="35">
        <f>IF(Metas_Diarias[[#This Row],[dias_da_demana]]=1,"domingo",IF(Metas_Diarias[[#This Row],[dias_da_demana]]=7,0.5,1))</f>
        <v>1</v>
      </c>
      <c r="I2587" s="35">
        <f>_xlfn.XLOOKUP(Metas_Diarias[[#This Row],[data]],Feriados[Data],Feriados[Feriado],1)</f>
        <v>1</v>
      </c>
      <c r="J2587" s="33" cm="1">
        <f t="array" aca="1" ref="J2587" ca="1">SUMPRODUCT(IF((NOT(ISERROR(MATCH(ROW(INDIRECT(DATE(YEAR(B2587),MONTH(B2587),1)&amp;":"&amp;DATE(YEAR(B2587),MONTH(B2587)+1,0))),Feriados[Data],0))))=FALSE,
IF(WEEKDAY(ROW(INDIRECT(DATE(YEAR(B2587),MONTH(B2587),1)&amp;":"&amp;DATE(YEAR(B2587),MONTH(B2587)+1,0))),2)&lt;=5,1,IF(WEEKDAY(ROW(INDIRECT(DATE(YEAR(B2587),MONTH(B2587),1)&amp;":"&amp;DATE(YEAR(B2587),MONTH(B2587)+1,0))),2)=6,0.5,0)),0))</f>
        <v>23.5</v>
      </c>
      <c r="K2587" s="22" cm="1">
        <f t="array" ref="K2587">_xlfn.XLOOKUP(1,((Metas_Diarias[[#This Row],[tipo_equipe_id]]=Metas[equipe])*(Metas_Diarias[[#This Row],[data]]&gt;Metas[data_inicio])*(Metas_Diarias[[#This Row],[data]]&lt;Metas[data_fim])),Metas[meta_mensal],0)</f>
        <v>0</v>
      </c>
      <c r="L25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8" spans="2:12" x14ac:dyDescent="0.3">
      <c r="B2588" s="34">
        <v>46049</v>
      </c>
      <c r="C2588" s="34" t="str">
        <f>TEXT(Metas_Diarias[[#This Row],[data]],"dddd")</f>
        <v>terça-feira</v>
      </c>
      <c r="D2588" s="33">
        <v>3</v>
      </c>
      <c r="E2588" s="33">
        <v>4</v>
      </c>
      <c r="F2588" s="18"/>
      <c r="G2588" s="35">
        <f>WEEKDAY(Metas_Diarias[[#This Row],[data]])</f>
        <v>3</v>
      </c>
      <c r="H2588" s="35">
        <f>IF(Metas_Diarias[[#This Row],[dias_da_demana]]=1,"domingo",IF(Metas_Diarias[[#This Row],[dias_da_demana]]=7,0.5,1))</f>
        <v>1</v>
      </c>
      <c r="I2588" s="35">
        <f>_xlfn.XLOOKUP(Metas_Diarias[[#This Row],[data]],Feriados[Data],Feriados[Feriado],1)</f>
        <v>1</v>
      </c>
      <c r="J2588" s="33" cm="1">
        <f t="array" aca="1" ref="J2588" ca="1">SUMPRODUCT(IF((NOT(ISERROR(MATCH(ROW(INDIRECT(DATE(YEAR(B2588),MONTH(B2588),1)&amp;":"&amp;DATE(YEAR(B2588),MONTH(B2588)+1,0))),Feriados[Data],0))))=FALSE,
IF(WEEKDAY(ROW(INDIRECT(DATE(YEAR(B2588),MONTH(B2588),1)&amp;":"&amp;DATE(YEAR(B2588),MONTH(B2588)+1,0))),2)&lt;=5,1,IF(WEEKDAY(ROW(INDIRECT(DATE(YEAR(B2588),MONTH(B2588),1)&amp;":"&amp;DATE(YEAR(B2588),MONTH(B2588)+1,0))),2)=6,0.5,0)),0))</f>
        <v>23.5</v>
      </c>
      <c r="K2588" s="22" cm="1">
        <f t="array" ref="K2588">_xlfn.XLOOKUP(1,((Metas_Diarias[[#This Row],[tipo_equipe_id]]=Metas[equipe])*(Metas_Diarias[[#This Row],[data]]&gt;Metas[data_inicio])*(Metas_Diarias[[#This Row],[data]]&lt;Metas[data_fim])),Metas[meta_mensal],0)</f>
        <v>0</v>
      </c>
      <c r="L258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89" spans="2:12" x14ac:dyDescent="0.3">
      <c r="B2589" s="34">
        <v>46050</v>
      </c>
      <c r="C2589" s="34" t="str">
        <f>TEXT(Metas_Diarias[[#This Row],[data]],"dddd")</f>
        <v>quarta-feira</v>
      </c>
      <c r="D2589" s="33">
        <v>3</v>
      </c>
      <c r="E2589" s="33">
        <v>4</v>
      </c>
      <c r="F2589" s="18"/>
      <c r="G2589" s="35">
        <f>WEEKDAY(Metas_Diarias[[#This Row],[data]])</f>
        <v>4</v>
      </c>
      <c r="H2589" s="35">
        <f>IF(Metas_Diarias[[#This Row],[dias_da_demana]]=1,"domingo",IF(Metas_Diarias[[#This Row],[dias_da_demana]]=7,0.5,1))</f>
        <v>1</v>
      </c>
      <c r="I2589" s="35">
        <f>_xlfn.XLOOKUP(Metas_Diarias[[#This Row],[data]],Feriados[Data],Feriados[Feriado],1)</f>
        <v>1</v>
      </c>
      <c r="J2589" s="33" cm="1">
        <f t="array" aca="1" ref="J2589" ca="1">SUMPRODUCT(IF((NOT(ISERROR(MATCH(ROW(INDIRECT(DATE(YEAR(B2589),MONTH(B2589),1)&amp;":"&amp;DATE(YEAR(B2589),MONTH(B2589)+1,0))),Feriados[Data],0))))=FALSE,
IF(WEEKDAY(ROW(INDIRECT(DATE(YEAR(B2589),MONTH(B2589),1)&amp;":"&amp;DATE(YEAR(B2589),MONTH(B2589)+1,0))),2)&lt;=5,1,IF(WEEKDAY(ROW(INDIRECT(DATE(YEAR(B2589),MONTH(B2589),1)&amp;":"&amp;DATE(YEAR(B2589),MONTH(B2589)+1,0))),2)=6,0.5,0)),0))</f>
        <v>23.5</v>
      </c>
      <c r="K2589" s="22" cm="1">
        <f t="array" ref="K2589">_xlfn.XLOOKUP(1,((Metas_Diarias[[#This Row],[tipo_equipe_id]]=Metas[equipe])*(Metas_Diarias[[#This Row],[data]]&gt;Metas[data_inicio])*(Metas_Diarias[[#This Row],[data]]&lt;Metas[data_fim])),Metas[meta_mensal],0)</f>
        <v>0</v>
      </c>
      <c r="L25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0" spans="2:12" x14ac:dyDescent="0.3">
      <c r="B2590" s="34">
        <v>46051</v>
      </c>
      <c r="C2590" s="34" t="str">
        <f>TEXT(Metas_Diarias[[#This Row],[data]],"dddd")</f>
        <v>quinta-feira</v>
      </c>
      <c r="D2590" s="33">
        <v>3</v>
      </c>
      <c r="E2590" s="33">
        <v>4</v>
      </c>
      <c r="F2590" s="18"/>
      <c r="G2590" s="35">
        <f>WEEKDAY(Metas_Diarias[[#This Row],[data]])</f>
        <v>5</v>
      </c>
      <c r="H2590" s="35">
        <f>IF(Metas_Diarias[[#This Row],[dias_da_demana]]=1,"domingo",IF(Metas_Diarias[[#This Row],[dias_da_demana]]=7,0.5,1))</f>
        <v>1</v>
      </c>
      <c r="I2590" s="35">
        <f>_xlfn.XLOOKUP(Metas_Diarias[[#This Row],[data]],Feriados[Data],Feriados[Feriado],1)</f>
        <v>1</v>
      </c>
      <c r="J2590" s="33" cm="1">
        <f t="array" aca="1" ref="J2590" ca="1">SUMPRODUCT(IF((NOT(ISERROR(MATCH(ROW(INDIRECT(DATE(YEAR(B2590),MONTH(B2590),1)&amp;":"&amp;DATE(YEAR(B2590),MONTH(B2590)+1,0))),Feriados[Data],0))))=FALSE,
IF(WEEKDAY(ROW(INDIRECT(DATE(YEAR(B2590),MONTH(B2590),1)&amp;":"&amp;DATE(YEAR(B2590),MONTH(B2590)+1,0))),2)&lt;=5,1,IF(WEEKDAY(ROW(INDIRECT(DATE(YEAR(B2590),MONTH(B2590),1)&amp;":"&amp;DATE(YEAR(B2590),MONTH(B2590)+1,0))),2)=6,0.5,0)),0))</f>
        <v>23.5</v>
      </c>
      <c r="K2590" s="22" cm="1">
        <f t="array" ref="K2590">_xlfn.XLOOKUP(1,((Metas_Diarias[[#This Row],[tipo_equipe_id]]=Metas[equipe])*(Metas_Diarias[[#This Row],[data]]&gt;Metas[data_inicio])*(Metas_Diarias[[#This Row],[data]]&lt;Metas[data_fim])),Metas[meta_mensal],0)</f>
        <v>0</v>
      </c>
      <c r="L259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1" spans="2:12" x14ac:dyDescent="0.3">
      <c r="B2591" s="34">
        <v>46052</v>
      </c>
      <c r="C2591" s="34" t="str">
        <f>TEXT(Metas_Diarias[[#This Row],[data]],"dddd")</f>
        <v>sexta-feira</v>
      </c>
      <c r="D2591" s="33">
        <v>3</v>
      </c>
      <c r="E2591" s="33">
        <v>4</v>
      </c>
      <c r="F2591" s="18"/>
      <c r="G2591" s="35">
        <f>WEEKDAY(Metas_Diarias[[#This Row],[data]])</f>
        <v>6</v>
      </c>
      <c r="H2591" s="35">
        <f>IF(Metas_Diarias[[#This Row],[dias_da_demana]]=1,"domingo",IF(Metas_Diarias[[#This Row],[dias_da_demana]]=7,0.5,1))</f>
        <v>1</v>
      </c>
      <c r="I2591" s="35">
        <f>_xlfn.XLOOKUP(Metas_Diarias[[#This Row],[data]],Feriados[Data],Feriados[Feriado],1)</f>
        <v>1</v>
      </c>
      <c r="J2591" s="33" cm="1">
        <f t="array" aca="1" ref="J2591" ca="1">SUMPRODUCT(IF((NOT(ISERROR(MATCH(ROW(INDIRECT(DATE(YEAR(B2591),MONTH(B2591),1)&amp;":"&amp;DATE(YEAR(B2591),MONTH(B2591)+1,0))),Feriados[Data],0))))=FALSE,
IF(WEEKDAY(ROW(INDIRECT(DATE(YEAR(B2591),MONTH(B2591),1)&amp;":"&amp;DATE(YEAR(B2591),MONTH(B2591)+1,0))),2)&lt;=5,1,IF(WEEKDAY(ROW(INDIRECT(DATE(YEAR(B2591),MONTH(B2591),1)&amp;":"&amp;DATE(YEAR(B2591),MONTH(B2591)+1,0))),2)=6,0.5,0)),0))</f>
        <v>23.5</v>
      </c>
      <c r="K2591" s="22" cm="1">
        <f t="array" ref="K2591">_xlfn.XLOOKUP(1,((Metas_Diarias[[#This Row],[tipo_equipe_id]]=Metas[equipe])*(Metas_Diarias[[#This Row],[data]]&gt;Metas[data_inicio])*(Metas_Diarias[[#This Row],[data]]&lt;Metas[data_fim])),Metas[meta_mensal],0)</f>
        <v>0</v>
      </c>
      <c r="L25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2" spans="2:12" x14ac:dyDescent="0.3">
      <c r="B2592" s="34">
        <v>46053</v>
      </c>
      <c r="C2592" s="34" t="str">
        <f>TEXT(Metas_Diarias[[#This Row],[data]],"dddd")</f>
        <v>sábado</v>
      </c>
      <c r="D2592" s="33">
        <v>3</v>
      </c>
      <c r="E2592" s="33">
        <v>4</v>
      </c>
      <c r="F2592" s="18"/>
      <c r="G2592" s="35">
        <f>WEEKDAY(Metas_Diarias[[#This Row],[data]])</f>
        <v>7</v>
      </c>
      <c r="H2592" s="35">
        <f>IF(Metas_Diarias[[#This Row],[dias_da_demana]]=1,"domingo",IF(Metas_Diarias[[#This Row],[dias_da_demana]]=7,0.5,1))</f>
        <v>0.5</v>
      </c>
      <c r="I2592" s="35">
        <f>_xlfn.XLOOKUP(Metas_Diarias[[#This Row],[data]],Feriados[Data],Feriados[Feriado],1)</f>
        <v>1</v>
      </c>
      <c r="J2592" s="33" cm="1">
        <f t="array" aca="1" ref="J2592" ca="1">SUMPRODUCT(IF((NOT(ISERROR(MATCH(ROW(INDIRECT(DATE(YEAR(B2592),MONTH(B2592),1)&amp;":"&amp;DATE(YEAR(B2592),MONTH(B2592)+1,0))),Feriados[Data],0))))=FALSE,
IF(WEEKDAY(ROW(INDIRECT(DATE(YEAR(B2592),MONTH(B2592),1)&amp;":"&amp;DATE(YEAR(B2592),MONTH(B2592)+1,0))),2)&lt;=5,1,IF(WEEKDAY(ROW(INDIRECT(DATE(YEAR(B2592),MONTH(B2592),1)&amp;":"&amp;DATE(YEAR(B2592),MONTH(B2592)+1,0))),2)=6,0.5,0)),0))</f>
        <v>23.5</v>
      </c>
      <c r="K2592" s="22" cm="1">
        <f t="array" ref="K2592">_xlfn.XLOOKUP(1,((Metas_Diarias[[#This Row],[tipo_equipe_id]]=Metas[equipe])*(Metas_Diarias[[#This Row],[data]]&gt;Metas[data_inicio])*(Metas_Diarias[[#This Row],[data]]&lt;Metas[data_fim])),Metas[meta_mensal],0)</f>
        <v>0</v>
      </c>
      <c r="L259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3" spans="2:12" x14ac:dyDescent="0.3">
      <c r="B2593" s="34">
        <v>46054</v>
      </c>
      <c r="C2593" s="34" t="str">
        <f>TEXT(Metas_Diarias[[#This Row],[data]],"dddd")</f>
        <v>domingo</v>
      </c>
      <c r="D2593" s="33">
        <v>3</v>
      </c>
      <c r="E2593" s="33">
        <v>4</v>
      </c>
      <c r="F2593" s="18"/>
      <c r="G2593" s="35">
        <f>WEEKDAY(Metas_Diarias[[#This Row],[data]])</f>
        <v>1</v>
      </c>
      <c r="H2593" s="35" t="str">
        <f>IF(Metas_Diarias[[#This Row],[dias_da_demana]]=1,"domingo",IF(Metas_Diarias[[#This Row],[dias_da_demana]]=7,0.5,1))</f>
        <v>domingo</v>
      </c>
      <c r="I2593" s="35">
        <f>_xlfn.XLOOKUP(Metas_Diarias[[#This Row],[data]],Feriados[Data],Feriados[Feriado],1)</f>
        <v>1</v>
      </c>
      <c r="J2593" s="33" cm="1">
        <f t="array" aca="1" ref="J2593" ca="1">SUMPRODUCT(IF((NOT(ISERROR(MATCH(ROW(INDIRECT(DATE(YEAR(B2593),MONTH(B2593),1)&amp;":"&amp;DATE(YEAR(B2593),MONTH(B2593)+1,0))),Feriados[Data],0))))=FALSE,
IF(WEEKDAY(ROW(INDIRECT(DATE(YEAR(B2593),MONTH(B2593),1)&amp;":"&amp;DATE(YEAR(B2593),MONTH(B2593)+1,0))),2)&lt;=5,1,IF(WEEKDAY(ROW(INDIRECT(DATE(YEAR(B2593),MONTH(B2593),1)&amp;":"&amp;DATE(YEAR(B2593),MONTH(B2593)+1,0))),2)=6,0.5,0)),0))</f>
        <v>20</v>
      </c>
      <c r="K2593" s="22" cm="1">
        <f t="array" ref="K2593">_xlfn.XLOOKUP(1,((Metas_Diarias[[#This Row],[tipo_equipe_id]]=Metas[equipe])*(Metas_Diarias[[#This Row],[data]]&gt;Metas[data_inicio])*(Metas_Diarias[[#This Row],[data]]&lt;Metas[data_fim])),Metas[meta_mensal],0)</f>
        <v>0</v>
      </c>
      <c r="L259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4" spans="2:12" x14ac:dyDescent="0.3">
      <c r="B2594" s="34">
        <v>46055</v>
      </c>
      <c r="C2594" s="34" t="str">
        <f>TEXT(Metas_Diarias[[#This Row],[data]],"dddd")</f>
        <v>segunda-feira</v>
      </c>
      <c r="D2594" s="33">
        <v>3</v>
      </c>
      <c r="E2594" s="33">
        <v>4</v>
      </c>
      <c r="F2594" s="18"/>
      <c r="G2594" s="35">
        <f>WEEKDAY(Metas_Diarias[[#This Row],[data]])</f>
        <v>2</v>
      </c>
      <c r="H2594" s="35">
        <f>IF(Metas_Diarias[[#This Row],[dias_da_demana]]=1,"domingo",IF(Metas_Diarias[[#This Row],[dias_da_demana]]=7,0.5,1))</f>
        <v>1</v>
      </c>
      <c r="I2594" s="35">
        <f>_xlfn.XLOOKUP(Metas_Diarias[[#This Row],[data]],Feriados[Data],Feriados[Feriado],1)</f>
        <v>1</v>
      </c>
      <c r="J2594" s="33" cm="1">
        <f t="array" aca="1" ref="J2594" ca="1">SUMPRODUCT(IF((NOT(ISERROR(MATCH(ROW(INDIRECT(DATE(YEAR(B2594),MONTH(B2594),1)&amp;":"&amp;DATE(YEAR(B2594),MONTH(B2594)+1,0))),Feriados[Data],0))))=FALSE,
IF(WEEKDAY(ROW(INDIRECT(DATE(YEAR(B2594),MONTH(B2594),1)&amp;":"&amp;DATE(YEAR(B2594),MONTH(B2594)+1,0))),2)&lt;=5,1,IF(WEEKDAY(ROW(INDIRECT(DATE(YEAR(B2594),MONTH(B2594),1)&amp;":"&amp;DATE(YEAR(B2594),MONTH(B2594)+1,0))),2)=6,0.5,0)),0))</f>
        <v>20</v>
      </c>
      <c r="K2594" s="22" cm="1">
        <f t="array" ref="K2594">_xlfn.XLOOKUP(1,((Metas_Diarias[[#This Row],[tipo_equipe_id]]=Metas[equipe])*(Metas_Diarias[[#This Row],[data]]&gt;Metas[data_inicio])*(Metas_Diarias[[#This Row],[data]]&lt;Metas[data_fim])),Metas[meta_mensal],0)</f>
        <v>0</v>
      </c>
      <c r="L25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5" spans="2:12" x14ac:dyDescent="0.3">
      <c r="B2595" s="34">
        <v>46056</v>
      </c>
      <c r="C2595" s="34" t="str">
        <f>TEXT(Metas_Diarias[[#This Row],[data]],"dddd")</f>
        <v>terça-feira</v>
      </c>
      <c r="D2595" s="33">
        <v>3</v>
      </c>
      <c r="E2595" s="33">
        <v>4</v>
      </c>
      <c r="F2595" s="18"/>
      <c r="G2595" s="35">
        <f>WEEKDAY(Metas_Diarias[[#This Row],[data]])</f>
        <v>3</v>
      </c>
      <c r="H2595" s="35">
        <f>IF(Metas_Diarias[[#This Row],[dias_da_demana]]=1,"domingo",IF(Metas_Diarias[[#This Row],[dias_da_demana]]=7,0.5,1))</f>
        <v>1</v>
      </c>
      <c r="I2595" s="35">
        <f>_xlfn.XLOOKUP(Metas_Diarias[[#This Row],[data]],Feriados[Data],Feriados[Feriado],1)</f>
        <v>1</v>
      </c>
      <c r="J2595" s="33" cm="1">
        <f t="array" aca="1" ref="J2595" ca="1">SUMPRODUCT(IF((NOT(ISERROR(MATCH(ROW(INDIRECT(DATE(YEAR(B2595),MONTH(B2595),1)&amp;":"&amp;DATE(YEAR(B2595),MONTH(B2595)+1,0))),Feriados[Data],0))))=FALSE,
IF(WEEKDAY(ROW(INDIRECT(DATE(YEAR(B2595),MONTH(B2595),1)&amp;":"&amp;DATE(YEAR(B2595),MONTH(B2595)+1,0))),2)&lt;=5,1,IF(WEEKDAY(ROW(INDIRECT(DATE(YEAR(B2595),MONTH(B2595),1)&amp;":"&amp;DATE(YEAR(B2595),MONTH(B2595)+1,0))),2)=6,0.5,0)),0))</f>
        <v>20</v>
      </c>
      <c r="K2595" s="22" cm="1">
        <f t="array" ref="K2595">_xlfn.XLOOKUP(1,((Metas_Diarias[[#This Row],[tipo_equipe_id]]=Metas[equipe])*(Metas_Diarias[[#This Row],[data]]&gt;Metas[data_inicio])*(Metas_Diarias[[#This Row],[data]]&lt;Metas[data_fim])),Metas[meta_mensal],0)</f>
        <v>0</v>
      </c>
      <c r="L259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6" spans="2:12" x14ac:dyDescent="0.3">
      <c r="B2596" s="34">
        <v>46057</v>
      </c>
      <c r="C2596" s="34" t="str">
        <f>TEXT(Metas_Diarias[[#This Row],[data]],"dddd")</f>
        <v>quarta-feira</v>
      </c>
      <c r="D2596" s="33">
        <v>3</v>
      </c>
      <c r="E2596" s="33">
        <v>4</v>
      </c>
      <c r="F2596" s="18"/>
      <c r="G2596" s="35">
        <f>WEEKDAY(Metas_Diarias[[#This Row],[data]])</f>
        <v>4</v>
      </c>
      <c r="H2596" s="35">
        <f>IF(Metas_Diarias[[#This Row],[dias_da_demana]]=1,"domingo",IF(Metas_Diarias[[#This Row],[dias_da_demana]]=7,0.5,1))</f>
        <v>1</v>
      </c>
      <c r="I2596" s="35">
        <f>_xlfn.XLOOKUP(Metas_Diarias[[#This Row],[data]],Feriados[Data],Feriados[Feriado],1)</f>
        <v>1</v>
      </c>
      <c r="J2596" s="33" cm="1">
        <f t="array" aca="1" ref="J2596" ca="1">SUMPRODUCT(IF((NOT(ISERROR(MATCH(ROW(INDIRECT(DATE(YEAR(B2596),MONTH(B2596),1)&amp;":"&amp;DATE(YEAR(B2596),MONTH(B2596)+1,0))),Feriados[Data],0))))=FALSE,
IF(WEEKDAY(ROW(INDIRECT(DATE(YEAR(B2596),MONTH(B2596),1)&amp;":"&amp;DATE(YEAR(B2596),MONTH(B2596)+1,0))),2)&lt;=5,1,IF(WEEKDAY(ROW(INDIRECT(DATE(YEAR(B2596),MONTH(B2596),1)&amp;":"&amp;DATE(YEAR(B2596),MONTH(B2596)+1,0))),2)=6,0.5,0)),0))</f>
        <v>20</v>
      </c>
      <c r="K2596" s="22" cm="1">
        <f t="array" ref="K2596">_xlfn.XLOOKUP(1,((Metas_Diarias[[#This Row],[tipo_equipe_id]]=Metas[equipe])*(Metas_Diarias[[#This Row],[data]]&gt;Metas[data_inicio])*(Metas_Diarias[[#This Row],[data]]&lt;Metas[data_fim])),Metas[meta_mensal],0)</f>
        <v>0</v>
      </c>
      <c r="L25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7" spans="2:12" x14ac:dyDescent="0.3">
      <c r="B2597" s="34">
        <v>46058</v>
      </c>
      <c r="C2597" s="34" t="str">
        <f>TEXT(Metas_Diarias[[#This Row],[data]],"dddd")</f>
        <v>quinta-feira</v>
      </c>
      <c r="D2597" s="33">
        <v>3</v>
      </c>
      <c r="E2597" s="33">
        <v>4</v>
      </c>
      <c r="F2597" s="18"/>
      <c r="G2597" s="35">
        <f>WEEKDAY(Metas_Diarias[[#This Row],[data]])</f>
        <v>5</v>
      </c>
      <c r="H2597" s="35">
        <f>IF(Metas_Diarias[[#This Row],[dias_da_demana]]=1,"domingo",IF(Metas_Diarias[[#This Row],[dias_da_demana]]=7,0.5,1))</f>
        <v>1</v>
      </c>
      <c r="I2597" s="35">
        <f>_xlfn.XLOOKUP(Metas_Diarias[[#This Row],[data]],Feriados[Data],Feriados[Feriado],1)</f>
        <v>1</v>
      </c>
      <c r="J2597" s="33" cm="1">
        <f t="array" aca="1" ref="J2597" ca="1">SUMPRODUCT(IF((NOT(ISERROR(MATCH(ROW(INDIRECT(DATE(YEAR(B2597),MONTH(B2597),1)&amp;":"&amp;DATE(YEAR(B2597),MONTH(B2597)+1,0))),Feriados[Data],0))))=FALSE,
IF(WEEKDAY(ROW(INDIRECT(DATE(YEAR(B2597),MONTH(B2597),1)&amp;":"&amp;DATE(YEAR(B2597),MONTH(B2597)+1,0))),2)&lt;=5,1,IF(WEEKDAY(ROW(INDIRECT(DATE(YEAR(B2597),MONTH(B2597),1)&amp;":"&amp;DATE(YEAR(B2597),MONTH(B2597)+1,0))),2)=6,0.5,0)),0))</f>
        <v>20</v>
      </c>
      <c r="K2597" s="22" cm="1">
        <f t="array" ref="K2597">_xlfn.XLOOKUP(1,((Metas_Diarias[[#This Row],[tipo_equipe_id]]=Metas[equipe])*(Metas_Diarias[[#This Row],[data]]&gt;Metas[data_inicio])*(Metas_Diarias[[#This Row],[data]]&lt;Metas[data_fim])),Metas[meta_mensal],0)</f>
        <v>0</v>
      </c>
      <c r="L259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8" spans="2:12" x14ac:dyDescent="0.3">
      <c r="B2598" s="34">
        <v>46059</v>
      </c>
      <c r="C2598" s="34" t="str">
        <f>TEXT(Metas_Diarias[[#This Row],[data]],"dddd")</f>
        <v>sexta-feira</v>
      </c>
      <c r="D2598" s="33">
        <v>3</v>
      </c>
      <c r="E2598" s="33">
        <v>4</v>
      </c>
      <c r="F2598" s="18"/>
      <c r="G2598" s="35">
        <f>WEEKDAY(Metas_Diarias[[#This Row],[data]])</f>
        <v>6</v>
      </c>
      <c r="H2598" s="35">
        <f>IF(Metas_Diarias[[#This Row],[dias_da_demana]]=1,"domingo",IF(Metas_Diarias[[#This Row],[dias_da_demana]]=7,0.5,1))</f>
        <v>1</v>
      </c>
      <c r="I2598" s="35">
        <f>_xlfn.XLOOKUP(Metas_Diarias[[#This Row],[data]],Feriados[Data],Feriados[Feriado],1)</f>
        <v>1</v>
      </c>
      <c r="J2598" s="33" cm="1">
        <f t="array" aca="1" ref="J2598" ca="1">SUMPRODUCT(IF((NOT(ISERROR(MATCH(ROW(INDIRECT(DATE(YEAR(B2598),MONTH(B2598),1)&amp;":"&amp;DATE(YEAR(B2598),MONTH(B2598)+1,0))),Feriados[Data],0))))=FALSE,
IF(WEEKDAY(ROW(INDIRECT(DATE(YEAR(B2598),MONTH(B2598),1)&amp;":"&amp;DATE(YEAR(B2598),MONTH(B2598)+1,0))),2)&lt;=5,1,IF(WEEKDAY(ROW(INDIRECT(DATE(YEAR(B2598),MONTH(B2598),1)&amp;":"&amp;DATE(YEAR(B2598),MONTH(B2598)+1,0))),2)=6,0.5,0)),0))</f>
        <v>20</v>
      </c>
      <c r="K2598" s="22" cm="1">
        <f t="array" ref="K2598">_xlfn.XLOOKUP(1,((Metas_Diarias[[#This Row],[tipo_equipe_id]]=Metas[equipe])*(Metas_Diarias[[#This Row],[data]]&gt;Metas[data_inicio])*(Metas_Diarias[[#This Row],[data]]&lt;Metas[data_fim])),Metas[meta_mensal],0)</f>
        <v>0</v>
      </c>
      <c r="L25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599" spans="2:12" x14ac:dyDescent="0.3">
      <c r="B2599" s="34">
        <v>46060</v>
      </c>
      <c r="C2599" s="34" t="str">
        <f>TEXT(Metas_Diarias[[#This Row],[data]],"dddd")</f>
        <v>sábado</v>
      </c>
      <c r="D2599" s="33">
        <v>3</v>
      </c>
      <c r="E2599" s="33">
        <v>4</v>
      </c>
      <c r="F2599" s="18"/>
      <c r="G2599" s="35">
        <f>WEEKDAY(Metas_Diarias[[#This Row],[data]])</f>
        <v>7</v>
      </c>
      <c r="H2599" s="35">
        <f>IF(Metas_Diarias[[#This Row],[dias_da_demana]]=1,"domingo",IF(Metas_Diarias[[#This Row],[dias_da_demana]]=7,0.5,1))</f>
        <v>0.5</v>
      </c>
      <c r="I2599" s="35">
        <f>_xlfn.XLOOKUP(Metas_Diarias[[#This Row],[data]],Feriados[Data],Feriados[Feriado],1)</f>
        <v>1</v>
      </c>
      <c r="J2599" s="33" cm="1">
        <f t="array" aca="1" ref="J2599" ca="1">SUMPRODUCT(IF((NOT(ISERROR(MATCH(ROW(INDIRECT(DATE(YEAR(B2599),MONTH(B2599),1)&amp;":"&amp;DATE(YEAR(B2599),MONTH(B2599)+1,0))),Feriados[Data],0))))=FALSE,
IF(WEEKDAY(ROW(INDIRECT(DATE(YEAR(B2599),MONTH(B2599),1)&amp;":"&amp;DATE(YEAR(B2599),MONTH(B2599)+1,0))),2)&lt;=5,1,IF(WEEKDAY(ROW(INDIRECT(DATE(YEAR(B2599),MONTH(B2599),1)&amp;":"&amp;DATE(YEAR(B2599),MONTH(B2599)+1,0))),2)=6,0.5,0)),0))</f>
        <v>20</v>
      </c>
      <c r="K2599" s="22" cm="1">
        <f t="array" ref="K2599">_xlfn.XLOOKUP(1,((Metas_Diarias[[#This Row],[tipo_equipe_id]]=Metas[equipe])*(Metas_Diarias[[#This Row],[data]]&gt;Metas[data_inicio])*(Metas_Diarias[[#This Row],[data]]&lt;Metas[data_fim])),Metas[meta_mensal],0)</f>
        <v>0</v>
      </c>
      <c r="L259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0" spans="2:12" x14ac:dyDescent="0.3">
      <c r="B2600" s="34">
        <v>46061</v>
      </c>
      <c r="C2600" s="34" t="str">
        <f>TEXT(Metas_Diarias[[#This Row],[data]],"dddd")</f>
        <v>domingo</v>
      </c>
      <c r="D2600" s="33">
        <v>3</v>
      </c>
      <c r="E2600" s="33">
        <v>4</v>
      </c>
      <c r="F2600" s="18"/>
      <c r="G2600" s="35">
        <f>WEEKDAY(Metas_Diarias[[#This Row],[data]])</f>
        <v>1</v>
      </c>
      <c r="H2600" s="35" t="str">
        <f>IF(Metas_Diarias[[#This Row],[dias_da_demana]]=1,"domingo",IF(Metas_Diarias[[#This Row],[dias_da_demana]]=7,0.5,1))</f>
        <v>domingo</v>
      </c>
      <c r="I2600" s="35">
        <f>_xlfn.XLOOKUP(Metas_Diarias[[#This Row],[data]],Feriados[Data],Feriados[Feriado],1)</f>
        <v>1</v>
      </c>
      <c r="J2600" s="33" cm="1">
        <f t="array" aca="1" ref="J2600" ca="1">SUMPRODUCT(IF((NOT(ISERROR(MATCH(ROW(INDIRECT(DATE(YEAR(B2600),MONTH(B2600),1)&amp;":"&amp;DATE(YEAR(B2600),MONTH(B2600)+1,0))),Feriados[Data],0))))=FALSE,
IF(WEEKDAY(ROW(INDIRECT(DATE(YEAR(B2600),MONTH(B2600),1)&amp;":"&amp;DATE(YEAR(B2600),MONTH(B2600)+1,0))),2)&lt;=5,1,IF(WEEKDAY(ROW(INDIRECT(DATE(YEAR(B2600),MONTH(B2600),1)&amp;":"&amp;DATE(YEAR(B2600),MONTH(B2600)+1,0))),2)=6,0.5,0)),0))</f>
        <v>20</v>
      </c>
      <c r="K2600" s="22" cm="1">
        <f t="array" ref="K2600">_xlfn.XLOOKUP(1,((Metas_Diarias[[#This Row],[tipo_equipe_id]]=Metas[equipe])*(Metas_Diarias[[#This Row],[data]]&gt;Metas[data_inicio])*(Metas_Diarias[[#This Row],[data]]&lt;Metas[data_fim])),Metas[meta_mensal],0)</f>
        <v>0</v>
      </c>
      <c r="L260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1" spans="2:12" x14ac:dyDescent="0.3">
      <c r="B2601" s="34">
        <v>46062</v>
      </c>
      <c r="C2601" s="34" t="str">
        <f>TEXT(Metas_Diarias[[#This Row],[data]],"dddd")</f>
        <v>segunda-feira</v>
      </c>
      <c r="D2601" s="33">
        <v>3</v>
      </c>
      <c r="E2601" s="33">
        <v>4</v>
      </c>
      <c r="F2601" s="18"/>
      <c r="G2601" s="35">
        <f>WEEKDAY(Metas_Diarias[[#This Row],[data]])</f>
        <v>2</v>
      </c>
      <c r="H2601" s="35">
        <f>IF(Metas_Diarias[[#This Row],[dias_da_demana]]=1,"domingo",IF(Metas_Diarias[[#This Row],[dias_da_demana]]=7,0.5,1))</f>
        <v>1</v>
      </c>
      <c r="I2601" s="35">
        <f>_xlfn.XLOOKUP(Metas_Diarias[[#This Row],[data]],Feriados[Data],Feriados[Feriado],1)</f>
        <v>1</v>
      </c>
      <c r="J2601" s="33" cm="1">
        <f t="array" aca="1" ref="J2601" ca="1">SUMPRODUCT(IF((NOT(ISERROR(MATCH(ROW(INDIRECT(DATE(YEAR(B2601),MONTH(B2601),1)&amp;":"&amp;DATE(YEAR(B2601),MONTH(B2601)+1,0))),Feriados[Data],0))))=FALSE,
IF(WEEKDAY(ROW(INDIRECT(DATE(YEAR(B2601),MONTH(B2601),1)&amp;":"&amp;DATE(YEAR(B2601),MONTH(B2601)+1,0))),2)&lt;=5,1,IF(WEEKDAY(ROW(INDIRECT(DATE(YEAR(B2601),MONTH(B2601),1)&amp;":"&amp;DATE(YEAR(B2601),MONTH(B2601)+1,0))),2)=6,0.5,0)),0))</f>
        <v>20</v>
      </c>
      <c r="K2601" s="22" cm="1">
        <f t="array" ref="K2601">_xlfn.XLOOKUP(1,((Metas_Diarias[[#This Row],[tipo_equipe_id]]=Metas[equipe])*(Metas_Diarias[[#This Row],[data]]&gt;Metas[data_inicio])*(Metas_Diarias[[#This Row],[data]]&lt;Metas[data_fim])),Metas[meta_mensal],0)</f>
        <v>0</v>
      </c>
      <c r="L26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2" spans="2:12" x14ac:dyDescent="0.3">
      <c r="B2602" s="34">
        <v>46063</v>
      </c>
      <c r="C2602" s="34" t="str">
        <f>TEXT(Metas_Diarias[[#This Row],[data]],"dddd")</f>
        <v>terça-feira</v>
      </c>
      <c r="D2602" s="33">
        <v>3</v>
      </c>
      <c r="E2602" s="33">
        <v>4</v>
      </c>
      <c r="F2602" s="18"/>
      <c r="G2602" s="35">
        <f>WEEKDAY(Metas_Diarias[[#This Row],[data]])</f>
        <v>3</v>
      </c>
      <c r="H2602" s="35">
        <f>IF(Metas_Diarias[[#This Row],[dias_da_demana]]=1,"domingo",IF(Metas_Diarias[[#This Row],[dias_da_demana]]=7,0.5,1))</f>
        <v>1</v>
      </c>
      <c r="I2602" s="35">
        <f>_xlfn.XLOOKUP(Metas_Diarias[[#This Row],[data]],Feriados[Data],Feriados[Feriado],1)</f>
        <v>1</v>
      </c>
      <c r="J2602" s="33" cm="1">
        <f t="array" aca="1" ref="J2602" ca="1">SUMPRODUCT(IF((NOT(ISERROR(MATCH(ROW(INDIRECT(DATE(YEAR(B2602),MONTH(B2602),1)&amp;":"&amp;DATE(YEAR(B2602),MONTH(B2602)+1,0))),Feriados[Data],0))))=FALSE,
IF(WEEKDAY(ROW(INDIRECT(DATE(YEAR(B2602),MONTH(B2602),1)&amp;":"&amp;DATE(YEAR(B2602),MONTH(B2602)+1,0))),2)&lt;=5,1,IF(WEEKDAY(ROW(INDIRECT(DATE(YEAR(B2602),MONTH(B2602),1)&amp;":"&amp;DATE(YEAR(B2602),MONTH(B2602)+1,0))),2)=6,0.5,0)),0))</f>
        <v>20</v>
      </c>
      <c r="K2602" s="22" cm="1">
        <f t="array" ref="K2602">_xlfn.XLOOKUP(1,((Metas_Diarias[[#This Row],[tipo_equipe_id]]=Metas[equipe])*(Metas_Diarias[[#This Row],[data]]&gt;Metas[data_inicio])*(Metas_Diarias[[#This Row],[data]]&lt;Metas[data_fim])),Metas[meta_mensal],0)</f>
        <v>0</v>
      </c>
      <c r="L260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3" spans="2:12" x14ac:dyDescent="0.3">
      <c r="B2603" s="34">
        <v>46064</v>
      </c>
      <c r="C2603" s="34" t="str">
        <f>TEXT(Metas_Diarias[[#This Row],[data]],"dddd")</f>
        <v>quarta-feira</v>
      </c>
      <c r="D2603" s="33">
        <v>3</v>
      </c>
      <c r="E2603" s="33">
        <v>4</v>
      </c>
      <c r="F2603" s="18"/>
      <c r="G2603" s="35">
        <f>WEEKDAY(Metas_Diarias[[#This Row],[data]])</f>
        <v>4</v>
      </c>
      <c r="H2603" s="35">
        <f>IF(Metas_Diarias[[#This Row],[dias_da_demana]]=1,"domingo",IF(Metas_Diarias[[#This Row],[dias_da_demana]]=7,0.5,1))</f>
        <v>1</v>
      </c>
      <c r="I2603" s="35">
        <f>_xlfn.XLOOKUP(Metas_Diarias[[#This Row],[data]],Feriados[Data],Feriados[Feriado],1)</f>
        <v>1</v>
      </c>
      <c r="J2603" s="33" cm="1">
        <f t="array" aca="1" ref="J2603" ca="1">SUMPRODUCT(IF((NOT(ISERROR(MATCH(ROW(INDIRECT(DATE(YEAR(B2603),MONTH(B2603),1)&amp;":"&amp;DATE(YEAR(B2603),MONTH(B2603)+1,0))),Feriados[Data],0))))=FALSE,
IF(WEEKDAY(ROW(INDIRECT(DATE(YEAR(B2603),MONTH(B2603),1)&amp;":"&amp;DATE(YEAR(B2603),MONTH(B2603)+1,0))),2)&lt;=5,1,IF(WEEKDAY(ROW(INDIRECT(DATE(YEAR(B2603),MONTH(B2603),1)&amp;":"&amp;DATE(YEAR(B2603),MONTH(B2603)+1,0))),2)=6,0.5,0)),0))</f>
        <v>20</v>
      </c>
      <c r="K2603" s="22" cm="1">
        <f t="array" ref="K2603">_xlfn.XLOOKUP(1,((Metas_Diarias[[#This Row],[tipo_equipe_id]]=Metas[equipe])*(Metas_Diarias[[#This Row],[data]]&gt;Metas[data_inicio])*(Metas_Diarias[[#This Row],[data]]&lt;Metas[data_fim])),Metas[meta_mensal],0)</f>
        <v>0</v>
      </c>
      <c r="L26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4" spans="2:12" x14ac:dyDescent="0.3">
      <c r="B2604" s="34">
        <v>46065</v>
      </c>
      <c r="C2604" s="34" t="str">
        <f>TEXT(Metas_Diarias[[#This Row],[data]],"dddd")</f>
        <v>quinta-feira</v>
      </c>
      <c r="D2604" s="33">
        <v>3</v>
      </c>
      <c r="E2604" s="33">
        <v>4</v>
      </c>
      <c r="F2604" s="18"/>
      <c r="G2604" s="35">
        <f>WEEKDAY(Metas_Diarias[[#This Row],[data]])</f>
        <v>5</v>
      </c>
      <c r="H2604" s="35">
        <f>IF(Metas_Diarias[[#This Row],[dias_da_demana]]=1,"domingo",IF(Metas_Diarias[[#This Row],[dias_da_demana]]=7,0.5,1))</f>
        <v>1</v>
      </c>
      <c r="I2604" s="35">
        <f>_xlfn.XLOOKUP(Metas_Diarias[[#This Row],[data]],Feriados[Data],Feriados[Feriado],1)</f>
        <v>1</v>
      </c>
      <c r="J2604" s="33" cm="1">
        <f t="array" aca="1" ref="J2604" ca="1">SUMPRODUCT(IF((NOT(ISERROR(MATCH(ROW(INDIRECT(DATE(YEAR(B2604),MONTH(B2604),1)&amp;":"&amp;DATE(YEAR(B2604),MONTH(B2604)+1,0))),Feriados[Data],0))))=FALSE,
IF(WEEKDAY(ROW(INDIRECT(DATE(YEAR(B2604),MONTH(B2604),1)&amp;":"&amp;DATE(YEAR(B2604),MONTH(B2604)+1,0))),2)&lt;=5,1,IF(WEEKDAY(ROW(INDIRECT(DATE(YEAR(B2604),MONTH(B2604),1)&amp;":"&amp;DATE(YEAR(B2604),MONTH(B2604)+1,0))),2)=6,0.5,0)),0))</f>
        <v>20</v>
      </c>
      <c r="K2604" s="22" cm="1">
        <f t="array" ref="K2604">_xlfn.XLOOKUP(1,((Metas_Diarias[[#This Row],[tipo_equipe_id]]=Metas[equipe])*(Metas_Diarias[[#This Row],[data]]&gt;Metas[data_inicio])*(Metas_Diarias[[#This Row],[data]]&lt;Metas[data_fim])),Metas[meta_mensal],0)</f>
        <v>0</v>
      </c>
      <c r="L260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5" spans="2:12" x14ac:dyDescent="0.3">
      <c r="B2605" s="34">
        <v>46066</v>
      </c>
      <c r="C2605" s="34" t="str">
        <f>TEXT(Metas_Diarias[[#This Row],[data]],"dddd")</f>
        <v>sexta-feira</v>
      </c>
      <c r="D2605" s="33">
        <v>3</v>
      </c>
      <c r="E2605" s="33">
        <v>4</v>
      </c>
      <c r="F2605" s="18"/>
      <c r="G2605" s="35">
        <f>WEEKDAY(Metas_Diarias[[#This Row],[data]])</f>
        <v>6</v>
      </c>
      <c r="H2605" s="35">
        <f>IF(Metas_Diarias[[#This Row],[dias_da_demana]]=1,"domingo",IF(Metas_Diarias[[#This Row],[dias_da_demana]]=7,0.5,1))</f>
        <v>1</v>
      </c>
      <c r="I2605" s="35">
        <f>_xlfn.XLOOKUP(Metas_Diarias[[#This Row],[data]],Feriados[Data],Feriados[Feriado],1)</f>
        <v>1</v>
      </c>
      <c r="J2605" s="33" cm="1">
        <f t="array" aca="1" ref="J2605" ca="1">SUMPRODUCT(IF((NOT(ISERROR(MATCH(ROW(INDIRECT(DATE(YEAR(B2605),MONTH(B2605),1)&amp;":"&amp;DATE(YEAR(B2605),MONTH(B2605)+1,0))),Feriados[Data],0))))=FALSE,
IF(WEEKDAY(ROW(INDIRECT(DATE(YEAR(B2605),MONTH(B2605),1)&amp;":"&amp;DATE(YEAR(B2605),MONTH(B2605)+1,0))),2)&lt;=5,1,IF(WEEKDAY(ROW(INDIRECT(DATE(YEAR(B2605),MONTH(B2605),1)&amp;":"&amp;DATE(YEAR(B2605),MONTH(B2605)+1,0))),2)=6,0.5,0)),0))</f>
        <v>20</v>
      </c>
      <c r="K2605" s="22" cm="1">
        <f t="array" ref="K2605">_xlfn.XLOOKUP(1,((Metas_Diarias[[#This Row],[tipo_equipe_id]]=Metas[equipe])*(Metas_Diarias[[#This Row],[data]]&gt;Metas[data_inicio])*(Metas_Diarias[[#This Row],[data]]&lt;Metas[data_fim])),Metas[meta_mensal],0)</f>
        <v>0</v>
      </c>
      <c r="L26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6" spans="2:12" x14ac:dyDescent="0.3">
      <c r="B2606" s="34">
        <v>46067</v>
      </c>
      <c r="C2606" s="34" t="str">
        <f>TEXT(Metas_Diarias[[#This Row],[data]],"dddd")</f>
        <v>sábado</v>
      </c>
      <c r="D2606" s="33">
        <v>3</v>
      </c>
      <c r="E2606" s="33">
        <v>4</v>
      </c>
      <c r="F2606" s="18"/>
      <c r="G2606" s="35">
        <f>WEEKDAY(Metas_Diarias[[#This Row],[data]])</f>
        <v>7</v>
      </c>
      <c r="H2606" s="35">
        <f>IF(Metas_Diarias[[#This Row],[dias_da_demana]]=1,"domingo",IF(Metas_Diarias[[#This Row],[dias_da_demana]]=7,0.5,1))</f>
        <v>0.5</v>
      </c>
      <c r="I2606" s="35">
        <f>_xlfn.XLOOKUP(Metas_Diarias[[#This Row],[data]],Feriados[Data],Feriados[Feriado],1)</f>
        <v>1</v>
      </c>
      <c r="J2606" s="33" cm="1">
        <f t="array" aca="1" ref="J2606" ca="1">SUMPRODUCT(IF((NOT(ISERROR(MATCH(ROW(INDIRECT(DATE(YEAR(B2606),MONTH(B2606),1)&amp;":"&amp;DATE(YEAR(B2606),MONTH(B2606)+1,0))),Feriados[Data],0))))=FALSE,
IF(WEEKDAY(ROW(INDIRECT(DATE(YEAR(B2606),MONTH(B2606),1)&amp;":"&amp;DATE(YEAR(B2606),MONTH(B2606)+1,0))),2)&lt;=5,1,IF(WEEKDAY(ROW(INDIRECT(DATE(YEAR(B2606),MONTH(B2606),1)&amp;":"&amp;DATE(YEAR(B2606),MONTH(B2606)+1,0))),2)=6,0.5,0)),0))</f>
        <v>20</v>
      </c>
      <c r="K2606" s="22" cm="1">
        <f t="array" ref="K2606">_xlfn.XLOOKUP(1,((Metas_Diarias[[#This Row],[tipo_equipe_id]]=Metas[equipe])*(Metas_Diarias[[#This Row],[data]]&gt;Metas[data_inicio])*(Metas_Diarias[[#This Row],[data]]&lt;Metas[data_fim])),Metas[meta_mensal],0)</f>
        <v>0</v>
      </c>
      <c r="L260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7" spans="2:12" x14ac:dyDescent="0.3">
      <c r="B2607" s="34">
        <v>46068</v>
      </c>
      <c r="C2607" s="34" t="str">
        <f>TEXT(Metas_Diarias[[#This Row],[data]],"dddd")</f>
        <v>domingo</v>
      </c>
      <c r="D2607" s="33">
        <v>3</v>
      </c>
      <c r="E2607" s="33">
        <v>4</v>
      </c>
      <c r="F2607" s="18"/>
      <c r="G2607" s="35">
        <f>WEEKDAY(Metas_Diarias[[#This Row],[data]])</f>
        <v>1</v>
      </c>
      <c r="H2607" s="35" t="str">
        <f>IF(Metas_Diarias[[#This Row],[dias_da_demana]]=1,"domingo",IF(Metas_Diarias[[#This Row],[dias_da_demana]]=7,0.5,1))</f>
        <v>domingo</v>
      </c>
      <c r="I2607" s="35">
        <f>_xlfn.XLOOKUP(Metas_Diarias[[#This Row],[data]],Feriados[Data],Feriados[Feriado],1)</f>
        <v>1</v>
      </c>
      <c r="J2607" s="33" cm="1">
        <f t="array" aca="1" ref="J2607" ca="1">SUMPRODUCT(IF((NOT(ISERROR(MATCH(ROW(INDIRECT(DATE(YEAR(B2607),MONTH(B2607),1)&amp;":"&amp;DATE(YEAR(B2607),MONTH(B2607)+1,0))),Feriados[Data],0))))=FALSE,
IF(WEEKDAY(ROW(INDIRECT(DATE(YEAR(B2607),MONTH(B2607),1)&amp;":"&amp;DATE(YEAR(B2607),MONTH(B2607)+1,0))),2)&lt;=5,1,IF(WEEKDAY(ROW(INDIRECT(DATE(YEAR(B2607),MONTH(B2607),1)&amp;":"&amp;DATE(YEAR(B2607),MONTH(B2607)+1,0))),2)=6,0.5,0)),0))</f>
        <v>20</v>
      </c>
      <c r="K2607" s="22" cm="1">
        <f t="array" ref="K2607">_xlfn.XLOOKUP(1,((Metas_Diarias[[#This Row],[tipo_equipe_id]]=Metas[equipe])*(Metas_Diarias[[#This Row],[data]]&gt;Metas[data_inicio])*(Metas_Diarias[[#This Row],[data]]&lt;Metas[data_fim])),Metas[meta_mensal],0)</f>
        <v>0</v>
      </c>
      <c r="L26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8" spans="2:12" x14ac:dyDescent="0.3">
      <c r="B2608" s="34">
        <v>46069</v>
      </c>
      <c r="C2608" s="34" t="str">
        <f>TEXT(Metas_Diarias[[#This Row],[data]],"dddd")</f>
        <v>segunda-feira</v>
      </c>
      <c r="D2608" s="33">
        <v>3</v>
      </c>
      <c r="E2608" s="33">
        <v>4</v>
      </c>
      <c r="F2608" s="18"/>
      <c r="G2608" s="35">
        <f>WEEKDAY(Metas_Diarias[[#This Row],[data]])</f>
        <v>2</v>
      </c>
      <c r="H2608" s="35">
        <f>IF(Metas_Diarias[[#This Row],[dias_da_demana]]=1,"domingo",IF(Metas_Diarias[[#This Row],[dias_da_demana]]=7,0.5,1))</f>
        <v>1</v>
      </c>
      <c r="I2608" s="35" t="str">
        <f>_xlfn.XLOOKUP(Metas_Diarias[[#This Row],[data]],Feriados[Data],Feriados[Feriado],1)</f>
        <v>Carnaval</v>
      </c>
      <c r="J2608" s="33" cm="1">
        <f t="array" aca="1" ref="J2608" ca="1">SUMPRODUCT(IF((NOT(ISERROR(MATCH(ROW(INDIRECT(DATE(YEAR(B2608),MONTH(B2608),1)&amp;":"&amp;DATE(YEAR(B2608),MONTH(B2608)+1,0))),Feriados[Data],0))))=FALSE,
IF(WEEKDAY(ROW(INDIRECT(DATE(YEAR(B2608),MONTH(B2608),1)&amp;":"&amp;DATE(YEAR(B2608),MONTH(B2608)+1,0))),2)&lt;=5,1,IF(WEEKDAY(ROW(INDIRECT(DATE(YEAR(B2608),MONTH(B2608),1)&amp;":"&amp;DATE(YEAR(B2608),MONTH(B2608)+1,0))),2)=6,0.5,0)),0))</f>
        <v>20</v>
      </c>
      <c r="K2608" s="22" cm="1">
        <f t="array" ref="K2608">_xlfn.XLOOKUP(1,((Metas_Diarias[[#This Row],[tipo_equipe_id]]=Metas[equipe])*(Metas_Diarias[[#This Row],[data]]&gt;Metas[data_inicio])*(Metas_Diarias[[#This Row],[data]]&lt;Metas[data_fim])),Metas[meta_mensal],0)</f>
        <v>0</v>
      </c>
      <c r="L26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09" spans="2:12" x14ac:dyDescent="0.3">
      <c r="B2609" s="34">
        <v>46070</v>
      </c>
      <c r="C2609" s="34" t="str">
        <f>TEXT(Metas_Diarias[[#This Row],[data]],"dddd")</f>
        <v>terça-feira</v>
      </c>
      <c r="D2609" s="33">
        <v>3</v>
      </c>
      <c r="E2609" s="33">
        <v>4</v>
      </c>
      <c r="F2609" s="18"/>
      <c r="G2609" s="35">
        <f>WEEKDAY(Metas_Diarias[[#This Row],[data]])</f>
        <v>3</v>
      </c>
      <c r="H2609" s="35">
        <f>IF(Metas_Diarias[[#This Row],[dias_da_demana]]=1,"domingo",IF(Metas_Diarias[[#This Row],[dias_da_demana]]=7,0.5,1))</f>
        <v>1</v>
      </c>
      <c r="I2609" s="35" t="str">
        <f>_xlfn.XLOOKUP(Metas_Diarias[[#This Row],[data]],Feriados[Data],Feriados[Feriado],1)</f>
        <v>Carnaval</v>
      </c>
      <c r="J2609" s="33" cm="1">
        <f t="array" aca="1" ref="J2609" ca="1">SUMPRODUCT(IF((NOT(ISERROR(MATCH(ROW(INDIRECT(DATE(YEAR(B2609),MONTH(B2609),1)&amp;":"&amp;DATE(YEAR(B2609),MONTH(B2609)+1,0))),Feriados[Data],0))))=FALSE,
IF(WEEKDAY(ROW(INDIRECT(DATE(YEAR(B2609),MONTH(B2609),1)&amp;":"&amp;DATE(YEAR(B2609),MONTH(B2609)+1,0))),2)&lt;=5,1,IF(WEEKDAY(ROW(INDIRECT(DATE(YEAR(B2609),MONTH(B2609),1)&amp;":"&amp;DATE(YEAR(B2609),MONTH(B2609)+1,0))),2)=6,0.5,0)),0))</f>
        <v>20</v>
      </c>
      <c r="K2609" s="22" cm="1">
        <f t="array" ref="K2609">_xlfn.XLOOKUP(1,((Metas_Diarias[[#This Row],[tipo_equipe_id]]=Metas[equipe])*(Metas_Diarias[[#This Row],[data]]&gt;Metas[data_inicio])*(Metas_Diarias[[#This Row],[data]]&lt;Metas[data_fim])),Metas[meta_mensal],0)</f>
        <v>0</v>
      </c>
      <c r="L260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0" spans="2:12" x14ac:dyDescent="0.3">
      <c r="B2610" s="34">
        <v>46071</v>
      </c>
      <c r="C2610" s="34" t="str">
        <f>TEXT(Metas_Diarias[[#This Row],[data]],"dddd")</f>
        <v>quarta-feira</v>
      </c>
      <c r="D2610" s="33">
        <v>3</v>
      </c>
      <c r="E2610" s="33">
        <v>4</v>
      </c>
      <c r="F2610" s="18"/>
      <c r="G2610" s="35">
        <f>WEEKDAY(Metas_Diarias[[#This Row],[data]])</f>
        <v>4</v>
      </c>
      <c r="H2610" s="35">
        <f>IF(Metas_Diarias[[#This Row],[dias_da_demana]]=1,"domingo",IF(Metas_Diarias[[#This Row],[dias_da_demana]]=7,0.5,1))</f>
        <v>1</v>
      </c>
      <c r="I2610" s="35">
        <f>_xlfn.XLOOKUP(Metas_Diarias[[#This Row],[data]],Feriados[Data],Feriados[Feriado],1)</f>
        <v>1</v>
      </c>
      <c r="J2610" s="33" cm="1">
        <f t="array" aca="1" ref="J2610" ca="1">SUMPRODUCT(IF((NOT(ISERROR(MATCH(ROW(INDIRECT(DATE(YEAR(B2610),MONTH(B2610),1)&amp;":"&amp;DATE(YEAR(B2610),MONTH(B2610)+1,0))),Feriados[Data],0))))=FALSE,
IF(WEEKDAY(ROW(INDIRECT(DATE(YEAR(B2610),MONTH(B2610),1)&amp;":"&amp;DATE(YEAR(B2610),MONTH(B2610)+1,0))),2)&lt;=5,1,IF(WEEKDAY(ROW(INDIRECT(DATE(YEAR(B2610),MONTH(B2610),1)&amp;":"&amp;DATE(YEAR(B2610),MONTH(B2610)+1,0))),2)=6,0.5,0)),0))</f>
        <v>20</v>
      </c>
      <c r="K2610" s="22" cm="1">
        <f t="array" ref="K2610">_xlfn.XLOOKUP(1,((Metas_Diarias[[#This Row],[tipo_equipe_id]]=Metas[equipe])*(Metas_Diarias[[#This Row],[data]]&gt;Metas[data_inicio])*(Metas_Diarias[[#This Row],[data]]&lt;Metas[data_fim])),Metas[meta_mensal],0)</f>
        <v>0</v>
      </c>
      <c r="L26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1" spans="2:12" x14ac:dyDescent="0.3">
      <c r="B2611" s="34">
        <v>46072</v>
      </c>
      <c r="C2611" s="34" t="str">
        <f>TEXT(Metas_Diarias[[#This Row],[data]],"dddd")</f>
        <v>quinta-feira</v>
      </c>
      <c r="D2611" s="33">
        <v>3</v>
      </c>
      <c r="E2611" s="33">
        <v>4</v>
      </c>
      <c r="F2611" s="18"/>
      <c r="G2611" s="35">
        <f>WEEKDAY(Metas_Diarias[[#This Row],[data]])</f>
        <v>5</v>
      </c>
      <c r="H2611" s="35">
        <f>IF(Metas_Diarias[[#This Row],[dias_da_demana]]=1,"domingo",IF(Metas_Diarias[[#This Row],[dias_da_demana]]=7,0.5,1))</f>
        <v>1</v>
      </c>
      <c r="I2611" s="35">
        <f>_xlfn.XLOOKUP(Metas_Diarias[[#This Row],[data]],Feriados[Data],Feriados[Feriado],1)</f>
        <v>1</v>
      </c>
      <c r="J2611" s="33" cm="1">
        <f t="array" aca="1" ref="J2611" ca="1">SUMPRODUCT(IF((NOT(ISERROR(MATCH(ROW(INDIRECT(DATE(YEAR(B2611),MONTH(B2611),1)&amp;":"&amp;DATE(YEAR(B2611),MONTH(B2611)+1,0))),Feriados[Data],0))))=FALSE,
IF(WEEKDAY(ROW(INDIRECT(DATE(YEAR(B2611),MONTH(B2611),1)&amp;":"&amp;DATE(YEAR(B2611),MONTH(B2611)+1,0))),2)&lt;=5,1,IF(WEEKDAY(ROW(INDIRECT(DATE(YEAR(B2611),MONTH(B2611),1)&amp;":"&amp;DATE(YEAR(B2611),MONTH(B2611)+1,0))),2)=6,0.5,0)),0))</f>
        <v>20</v>
      </c>
      <c r="K2611" s="22" cm="1">
        <f t="array" ref="K2611">_xlfn.XLOOKUP(1,((Metas_Diarias[[#This Row],[tipo_equipe_id]]=Metas[equipe])*(Metas_Diarias[[#This Row],[data]]&gt;Metas[data_inicio])*(Metas_Diarias[[#This Row],[data]]&lt;Metas[data_fim])),Metas[meta_mensal],0)</f>
        <v>0</v>
      </c>
      <c r="L261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2" spans="2:12" x14ac:dyDescent="0.3">
      <c r="B2612" s="34">
        <v>46073</v>
      </c>
      <c r="C2612" s="34" t="str">
        <f>TEXT(Metas_Diarias[[#This Row],[data]],"dddd")</f>
        <v>sexta-feira</v>
      </c>
      <c r="D2612" s="33">
        <v>3</v>
      </c>
      <c r="E2612" s="33">
        <v>4</v>
      </c>
      <c r="F2612" s="18"/>
      <c r="G2612" s="35">
        <f>WEEKDAY(Metas_Diarias[[#This Row],[data]])</f>
        <v>6</v>
      </c>
      <c r="H2612" s="35">
        <f>IF(Metas_Diarias[[#This Row],[dias_da_demana]]=1,"domingo",IF(Metas_Diarias[[#This Row],[dias_da_demana]]=7,0.5,1))</f>
        <v>1</v>
      </c>
      <c r="I2612" s="35">
        <f>_xlfn.XLOOKUP(Metas_Diarias[[#This Row],[data]],Feriados[Data],Feriados[Feriado],1)</f>
        <v>1</v>
      </c>
      <c r="J2612" s="33" cm="1">
        <f t="array" aca="1" ref="J2612" ca="1">SUMPRODUCT(IF((NOT(ISERROR(MATCH(ROW(INDIRECT(DATE(YEAR(B2612),MONTH(B2612),1)&amp;":"&amp;DATE(YEAR(B2612),MONTH(B2612)+1,0))),Feriados[Data],0))))=FALSE,
IF(WEEKDAY(ROW(INDIRECT(DATE(YEAR(B2612),MONTH(B2612),1)&amp;":"&amp;DATE(YEAR(B2612),MONTH(B2612)+1,0))),2)&lt;=5,1,IF(WEEKDAY(ROW(INDIRECT(DATE(YEAR(B2612),MONTH(B2612),1)&amp;":"&amp;DATE(YEAR(B2612),MONTH(B2612)+1,0))),2)=6,0.5,0)),0))</f>
        <v>20</v>
      </c>
      <c r="K2612" s="22" cm="1">
        <f t="array" ref="K2612">_xlfn.XLOOKUP(1,((Metas_Diarias[[#This Row],[tipo_equipe_id]]=Metas[equipe])*(Metas_Diarias[[#This Row],[data]]&gt;Metas[data_inicio])*(Metas_Diarias[[#This Row],[data]]&lt;Metas[data_fim])),Metas[meta_mensal],0)</f>
        <v>0</v>
      </c>
      <c r="L26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3" spans="2:12" x14ac:dyDescent="0.3">
      <c r="B2613" s="34">
        <v>46074</v>
      </c>
      <c r="C2613" s="34" t="str">
        <f>TEXT(Metas_Diarias[[#This Row],[data]],"dddd")</f>
        <v>sábado</v>
      </c>
      <c r="D2613" s="33">
        <v>3</v>
      </c>
      <c r="E2613" s="33">
        <v>4</v>
      </c>
      <c r="F2613" s="18"/>
      <c r="G2613" s="35">
        <f>WEEKDAY(Metas_Diarias[[#This Row],[data]])</f>
        <v>7</v>
      </c>
      <c r="H2613" s="35">
        <f>IF(Metas_Diarias[[#This Row],[dias_da_demana]]=1,"domingo",IF(Metas_Diarias[[#This Row],[dias_da_demana]]=7,0.5,1))</f>
        <v>0.5</v>
      </c>
      <c r="I2613" s="35">
        <f>_xlfn.XLOOKUP(Metas_Diarias[[#This Row],[data]],Feriados[Data],Feriados[Feriado],1)</f>
        <v>1</v>
      </c>
      <c r="J2613" s="33" cm="1">
        <f t="array" aca="1" ref="J2613" ca="1">SUMPRODUCT(IF((NOT(ISERROR(MATCH(ROW(INDIRECT(DATE(YEAR(B2613),MONTH(B2613),1)&amp;":"&amp;DATE(YEAR(B2613),MONTH(B2613)+1,0))),Feriados[Data],0))))=FALSE,
IF(WEEKDAY(ROW(INDIRECT(DATE(YEAR(B2613),MONTH(B2613),1)&amp;":"&amp;DATE(YEAR(B2613),MONTH(B2613)+1,0))),2)&lt;=5,1,IF(WEEKDAY(ROW(INDIRECT(DATE(YEAR(B2613),MONTH(B2613),1)&amp;":"&amp;DATE(YEAR(B2613),MONTH(B2613)+1,0))),2)=6,0.5,0)),0))</f>
        <v>20</v>
      </c>
      <c r="K2613" s="22" cm="1">
        <f t="array" ref="K2613">_xlfn.XLOOKUP(1,((Metas_Diarias[[#This Row],[tipo_equipe_id]]=Metas[equipe])*(Metas_Diarias[[#This Row],[data]]&gt;Metas[data_inicio])*(Metas_Diarias[[#This Row],[data]]&lt;Metas[data_fim])),Metas[meta_mensal],0)</f>
        <v>0</v>
      </c>
      <c r="L261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4" spans="2:12" x14ac:dyDescent="0.3">
      <c r="B2614" s="34">
        <v>46075</v>
      </c>
      <c r="C2614" s="34" t="str">
        <f>TEXT(Metas_Diarias[[#This Row],[data]],"dddd")</f>
        <v>domingo</v>
      </c>
      <c r="D2614" s="33">
        <v>3</v>
      </c>
      <c r="E2614" s="33">
        <v>4</v>
      </c>
      <c r="F2614" s="18"/>
      <c r="G2614" s="35">
        <f>WEEKDAY(Metas_Diarias[[#This Row],[data]])</f>
        <v>1</v>
      </c>
      <c r="H2614" s="35" t="str">
        <f>IF(Metas_Diarias[[#This Row],[dias_da_demana]]=1,"domingo",IF(Metas_Diarias[[#This Row],[dias_da_demana]]=7,0.5,1))</f>
        <v>domingo</v>
      </c>
      <c r="I2614" s="35">
        <f>_xlfn.XLOOKUP(Metas_Diarias[[#This Row],[data]],Feriados[Data],Feriados[Feriado],1)</f>
        <v>1</v>
      </c>
      <c r="J2614" s="33" cm="1">
        <f t="array" aca="1" ref="J2614" ca="1">SUMPRODUCT(IF((NOT(ISERROR(MATCH(ROW(INDIRECT(DATE(YEAR(B2614),MONTH(B2614),1)&amp;":"&amp;DATE(YEAR(B2614),MONTH(B2614)+1,0))),Feriados[Data],0))))=FALSE,
IF(WEEKDAY(ROW(INDIRECT(DATE(YEAR(B2614),MONTH(B2614),1)&amp;":"&amp;DATE(YEAR(B2614),MONTH(B2614)+1,0))),2)&lt;=5,1,IF(WEEKDAY(ROW(INDIRECT(DATE(YEAR(B2614),MONTH(B2614),1)&amp;":"&amp;DATE(YEAR(B2614),MONTH(B2614)+1,0))),2)=6,0.5,0)),0))</f>
        <v>20</v>
      </c>
      <c r="K2614" s="22" cm="1">
        <f t="array" ref="K2614">_xlfn.XLOOKUP(1,((Metas_Diarias[[#This Row],[tipo_equipe_id]]=Metas[equipe])*(Metas_Diarias[[#This Row],[data]]&gt;Metas[data_inicio])*(Metas_Diarias[[#This Row],[data]]&lt;Metas[data_fim])),Metas[meta_mensal],0)</f>
        <v>0</v>
      </c>
      <c r="L26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5" spans="2:12" x14ac:dyDescent="0.3">
      <c r="B2615" s="34">
        <v>46076</v>
      </c>
      <c r="C2615" s="34" t="str">
        <f>TEXT(Metas_Diarias[[#This Row],[data]],"dddd")</f>
        <v>segunda-feira</v>
      </c>
      <c r="D2615" s="33">
        <v>3</v>
      </c>
      <c r="E2615" s="33">
        <v>4</v>
      </c>
      <c r="F2615" s="18"/>
      <c r="G2615" s="35">
        <f>WEEKDAY(Metas_Diarias[[#This Row],[data]])</f>
        <v>2</v>
      </c>
      <c r="H2615" s="35">
        <f>IF(Metas_Diarias[[#This Row],[dias_da_demana]]=1,"domingo",IF(Metas_Diarias[[#This Row],[dias_da_demana]]=7,0.5,1))</f>
        <v>1</v>
      </c>
      <c r="I2615" s="35">
        <f>_xlfn.XLOOKUP(Metas_Diarias[[#This Row],[data]],Feriados[Data],Feriados[Feriado],1)</f>
        <v>1</v>
      </c>
      <c r="J2615" s="33" cm="1">
        <f t="array" aca="1" ref="J2615" ca="1">SUMPRODUCT(IF((NOT(ISERROR(MATCH(ROW(INDIRECT(DATE(YEAR(B2615),MONTH(B2615),1)&amp;":"&amp;DATE(YEAR(B2615),MONTH(B2615)+1,0))),Feriados[Data],0))))=FALSE,
IF(WEEKDAY(ROW(INDIRECT(DATE(YEAR(B2615),MONTH(B2615),1)&amp;":"&amp;DATE(YEAR(B2615),MONTH(B2615)+1,0))),2)&lt;=5,1,IF(WEEKDAY(ROW(INDIRECT(DATE(YEAR(B2615),MONTH(B2615),1)&amp;":"&amp;DATE(YEAR(B2615),MONTH(B2615)+1,0))),2)=6,0.5,0)),0))</f>
        <v>20</v>
      </c>
      <c r="K2615" s="22" cm="1">
        <f t="array" ref="K2615">_xlfn.XLOOKUP(1,((Metas_Diarias[[#This Row],[tipo_equipe_id]]=Metas[equipe])*(Metas_Diarias[[#This Row],[data]]&gt;Metas[data_inicio])*(Metas_Diarias[[#This Row],[data]]&lt;Metas[data_fim])),Metas[meta_mensal],0)</f>
        <v>0</v>
      </c>
      <c r="L26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6" spans="2:12" x14ac:dyDescent="0.3">
      <c r="B2616" s="34">
        <v>46077</v>
      </c>
      <c r="C2616" s="34" t="str">
        <f>TEXT(Metas_Diarias[[#This Row],[data]],"dddd")</f>
        <v>terça-feira</v>
      </c>
      <c r="D2616" s="33">
        <v>3</v>
      </c>
      <c r="E2616" s="33">
        <v>4</v>
      </c>
      <c r="F2616" s="18"/>
      <c r="G2616" s="35">
        <f>WEEKDAY(Metas_Diarias[[#This Row],[data]])</f>
        <v>3</v>
      </c>
      <c r="H2616" s="35">
        <f>IF(Metas_Diarias[[#This Row],[dias_da_demana]]=1,"domingo",IF(Metas_Diarias[[#This Row],[dias_da_demana]]=7,0.5,1))</f>
        <v>1</v>
      </c>
      <c r="I2616" s="35">
        <f>_xlfn.XLOOKUP(Metas_Diarias[[#This Row],[data]],Feriados[Data],Feriados[Feriado],1)</f>
        <v>1</v>
      </c>
      <c r="J2616" s="33" cm="1">
        <f t="array" aca="1" ref="J2616" ca="1">SUMPRODUCT(IF((NOT(ISERROR(MATCH(ROW(INDIRECT(DATE(YEAR(B2616),MONTH(B2616),1)&amp;":"&amp;DATE(YEAR(B2616),MONTH(B2616)+1,0))),Feriados[Data],0))))=FALSE,
IF(WEEKDAY(ROW(INDIRECT(DATE(YEAR(B2616),MONTH(B2616),1)&amp;":"&amp;DATE(YEAR(B2616),MONTH(B2616)+1,0))),2)&lt;=5,1,IF(WEEKDAY(ROW(INDIRECT(DATE(YEAR(B2616),MONTH(B2616),1)&amp;":"&amp;DATE(YEAR(B2616),MONTH(B2616)+1,0))),2)=6,0.5,0)),0))</f>
        <v>20</v>
      </c>
      <c r="K2616" s="22" cm="1">
        <f t="array" ref="K2616">_xlfn.XLOOKUP(1,((Metas_Diarias[[#This Row],[tipo_equipe_id]]=Metas[equipe])*(Metas_Diarias[[#This Row],[data]]&gt;Metas[data_inicio])*(Metas_Diarias[[#This Row],[data]]&lt;Metas[data_fim])),Metas[meta_mensal],0)</f>
        <v>0</v>
      </c>
      <c r="L26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7" spans="2:12" x14ac:dyDescent="0.3">
      <c r="B2617" s="34">
        <v>46078</v>
      </c>
      <c r="C2617" s="34" t="str">
        <f>TEXT(Metas_Diarias[[#This Row],[data]],"dddd")</f>
        <v>quarta-feira</v>
      </c>
      <c r="D2617" s="33">
        <v>3</v>
      </c>
      <c r="E2617" s="33">
        <v>4</v>
      </c>
      <c r="F2617" s="18"/>
      <c r="G2617" s="35">
        <f>WEEKDAY(Metas_Diarias[[#This Row],[data]])</f>
        <v>4</v>
      </c>
      <c r="H2617" s="35">
        <f>IF(Metas_Diarias[[#This Row],[dias_da_demana]]=1,"domingo",IF(Metas_Diarias[[#This Row],[dias_da_demana]]=7,0.5,1))</f>
        <v>1</v>
      </c>
      <c r="I2617" s="35">
        <f>_xlfn.XLOOKUP(Metas_Diarias[[#This Row],[data]],Feriados[Data],Feriados[Feriado],1)</f>
        <v>1</v>
      </c>
      <c r="J2617" s="33" cm="1">
        <f t="array" aca="1" ref="J2617" ca="1">SUMPRODUCT(IF((NOT(ISERROR(MATCH(ROW(INDIRECT(DATE(YEAR(B2617),MONTH(B2617),1)&amp;":"&amp;DATE(YEAR(B2617),MONTH(B2617)+1,0))),Feriados[Data],0))))=FALSE,
IF(WEEKDAY(ROW(INDIRECT(DATE(YEAR(B2617),MONTH(B2617),1)&amp;":"&amp;DATE(YEAR(B2617),MONTH(B2617)+1,0))),2)&lt;=5,1,IF(WEEKDAY(ROW(INDIRECT(DATE(YEAR(B2617),MONTH(B2617),1)&amp;":"&amp;DATE(YEAR(B2617),MONTH(B2617)+1,0))),2)=6,0.5,0)),0))</f>
        <v>20</v>
      </c>
      <c r="K2617" s="22" cm="1">
        <f t="array" ref="K2617">_xlfn.XLOOKUP(1,((Metas_Diarias[[#This Row],[tipo_equipe_id]]=Metas[equipe])*(Metas_Diarias[[#This Row],[data]]&gt;Metas[data_inicio])*(Metas_Diarias[[#This Row],[data]]&lt;Metas[data_fim])),Metas[meta_mensal],0)</f>
        <v>0</v>
      </c>
      <c r="L26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8" spans="2:12" x14ac:dyDescent="0.3">
      <c r="B2618" s="34">
        <v>46079</v>
      </c>
      <c r="C2618" s="34" t="str">
        <f>TEXT(Metas_Diarias[[#This Row],[data]],"dddd")</f>
        <v>quinta-feira</v>
      </c>
      <c r="D2618" s="33">
        <v>3</v>
      </c>
      <c r="E2618" s="33">
        <v>4</v>
      </c>
      <c r="F2618" s="18"/>
      <c r="G2618" s="35">
        <f>WEEKDAY(Metas_Diarias[[#This Row],[data]])</f>
        <v>5</v>
      </c>
      <c r="H2618" s="35">
        <f>IF(Metas_Diarias[[#This Row],[dias_da_demana]]=1,"domingo",IF(Metas_Diarias[[#This Row],[dias_da_demana]]=7,0.5,1))</f>
        <v>1</v>
      </c>
      <c r="I2618" s="35">
        <f>_xlfn.XLOOKUP(Metas_Diarias[[#This Row],[data]],Feriados[Data],Feriados[Feriado],1)</f>
        <v>1</v>
      </c>
      <c r="J2618" s="33" cm="1">
        <f t="array" aca="1" ref="J2618" ca="1">SUMPRODUCT(IF((NOT(ISERROR(MATCH(ROW(INDIRECT(DATE(YEAR(B2618),MONTH(B2618),1)&amp;":"&amp;DATE(YEAR(B2618),MONTH(B2618)+1,0))),Feriados[Data],0))))=FALSE,
IF(WEEKDAY(ROW(INDIRECT(DATE(YEAR(B2618),MONTH(B2618),1)&amp;":"&amp;DATE(YEAR(B2618),MONTH(B2618)+1,0))),2)&lt;=5,1,IF(WEEKDAY(ROW(INDIRECT(DATE(YEAR(B2618),MONTH(B2618),1)&amp;":"&amp;DATE(YEAR(B2618),MONTH(B2618)+1,0))),2)=6,0.5,0)),0))</f>
        <v>20</v>
      </c>
      <c r="K2618" s="22" cm="1">
        <f t="array" ref="K2618">_xlfn.XLOOKUP(1,((Metas_Diarias[[#This Row],[tipo_equipe_id]]=Metas[equipe])*(Metas_Diarias[[#This Row],[data]]&gt;Metas[data_inicio])*(Metas_Diarias[[#This Row],[data]]&lt;Metas[data_fim])),Metas[meta_mensal],0)</f>
        <v>0</v>
      </c>
      <c r="L261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19" spans="2:12" x14ac:dyDescent="0.3">
      <c r="B2619" s="34">
        <v>46080</v>
      </c>
      <c r="C2619" s="34" t="str">
        <f>TEXT(Metas_Diarias[[#This Row],[data]],"dddd")</f>
        <v>sexta-feira</v>
      </c>
      <c r="D2619" s="33">
        <v>3</v>
      </c>
      <c r="E2619" s="33">
        <v>4</v>
      </c>
      <c r="F2619" s="18"/>
      <c r="G2619" s="35">
        <f>WEEKDAY(Metas_Diarias[[#This Row],[data]])</f>
        <v>6</v>
      </c>
      <c r="H2619" s="35">
        <f>IF(Metas_Diarias[[#This Row],[dias_da_demana]]=1,"domingo",IF(Metas_Diarias[[#This Row],[dias_da_demana]]=7,0.5,1))</f>
        <v>1</v>
      </c>
      <c r="I2619" s="35">
        <f>_xlfn.XLOOKUP(Metas_Diarias[[#This Row],[data]],Feriados[Data],Feriados[Feriado],1)</f>
        <v>1</v>
      </c>
      <c r="J2619" s="33" cm="1">
        <f t="array" aca="1" ref="J2619" ca="1">SUMPRODUCT(IF((NOT(ISERROR(MATCH(ROW(INDIRECT(DATE(YEAR(B2619),MONTH(B2619),1)&amp;":"&amp;DATE(YEAR(B2619),MONTH(B2619)+1,0))),Feriados[Data],0))))=FALSE,
IF(WEEKDAY(ROW(INDIRECT(DATE(YEAR(B2619),MONTH(B2619),1)&amp;":"&amp;DATE(YEAR(B2619),MONTH(B2619)+1,0))),2)&lt;=5,1,IF(WEEKDAY(ROW(INDIRECT(DATE(YEAR(B2619),MONTH(B2619),1)&amp;":"&amp;DATE(YEAR(B2619),MONTH(B2619)+1,0))),2)=6,0.5,0)),0))</f>
        <v>20</v>
      </c>
      <c r="K2619" s="22" cm="1">
        <f t="array" ref="K2619">_xlfn.XLOOKUP(1,((Metas_Diarias[[#This Row],[tipo_equipe_id]]=Metas[equipe])*(Metas_Diarias[[#This Row],[data]]&gt;Metas[data_inicio])*(Metas_Diarias[[#This Row],[data]]&lt;Metas[data_fim])),Metas[meta_mensal],0)</f>
        <v>0</v>
      </c>
      <c r="L26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0" spans="2:12" x14ac:dyDescent="0.3">
      <c r="B2620" s="34">
        <v>46081</v>
      </c>
      <c r="C2620" s="34" t="str">
        <f>TEXT(Metas_Diarias[[#This Row],[data]],"dddd")</f>
        <v>sábado</v>
      </c>
      <c r="D2620" s="33">
        <v>3</v>
      </c>
      <c r="E2620" s="33">
        <v>4</v>
      </c>
      <c r="F2620" s="18"/>
      <c r="G2620" s="35">
        <f>WEEKDAY(Metas_Diarias[[#This Row],[data]])</f>
        <v>7</v>
      </c>
      <c r="H2620" s="35">
        <f>IF(Metas_Diarias[[#This Row],[dias_da_demana]]=1,"domingo",IF(Metas_Diarias[[#This Row],[dias_da_demana]]=7,0.5,1))</f>
        <v>0.5</v>
      </c>
      <c r="I2620" s="35">
        <f>_xlfn.XLOOKUP(Metas_Diarias[[#This Row],[data]],Feriados[Data],Feriados[Feriado],1)</f>
        <v>1</v>
      </c>
      <c r="J2620" s="33" cm="1">
        <f t="array" aca="1" ref="J2620" ca="1">SUMPRODUCT(IF((NOT(ISERROR(MATCH(ROW(INDIRECT(DATE(YEAR(B2620),MONTH(B2620),1)&amp;":"&amp;DATE(YEAR(B2620),MONTH(B2620)+1,0))),Feriados[Data],0))))=FALSE,
IF(WEEKDAY(ROW(INDIRECT(DATE(YEAR(B2620),MONTH(B2620),1)&amp;":"&amp;DATE(YEAR(B2620),MONTH(B2620)+1,0))),2)&lt;=5,1,IF(WEEKDAY(ROW(INDIRECT(DATE(YEAR(B2620),MONTH(B2620),1)&amp;":"&amp;DATE(YEAR(B2620),MONTH(B2620)+1,0))),2)=6,0.5,0)),0))</f>
        <v>20</v>
      </c>
      <c r="K2620" s="22" cm="1">
        <f t="array" ref="K2620">_xlfn.XLOOKUP(1,((Metas_Diarias[[#This Row],[tipo_equipe_id]]=Metas[equipe])*(Metas_Diarias[[#This Row],[data]]&gt;Metas[data_inicio])*(Metas_Diarias[[#This Row],[data]]&lt;Metas[data_fim])),Metas[meta_mensal],0)</f>
        <v>0</v>
      </c>
      <c r="L262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1" spans="2:12" x14ac:dyDescent="0.3">
      <c r="B2621" s="34">
        <v>46082</v>
      </c>
      <c r="C2621" s="34" t="str">
        <f>TEXT(Metas_Diarias[[#This Row],[data]],"dddd")</f>
        <v>domingo</v>
      </c>
      <c r="D2621" s="33">
        <v>3</v>
      </c>
      <c r="E2621" s="33">
        <v>4</v>
      </c>
      <c r="F2621" s="18"/>
      <c r="G2621" s="35">
        <f>WEEKDAY(Metas_Diarias[[#This Row],[data]])</f>
        <v>1</v>
      </c>
      <c r="H2621" s="35" t="str">
        <f>IF(Metas_Diarias[[#This Row],[dias_da_demana]]=1,"domingo",IF(Metas_Diarias[[#This Row],[dias_da_demana]]=7,0.5,1))</f>
        <v>domingo</v>
      </c>
      <c r="I2621" s="35">
        <f>_xlfn.XLOOKUP(Metas_Diarias[[#This Row],[data]],Feriados[Data],Feriados[Feriado],1)</f>
        <v>1</v>
      </c>
      <c r="J2621" s="33" cm="1">
        <f t="array" aca="1" ref="J2621" ca="1">SUMPRODUCT(IF((NOT(ISERROR(MATCH(ROW(INDIRECT(DATE(YEAR(B2621),MONTH(B2621),1)&amp;":"&amp;DATE(YEAR(B2621),MONTH(B2621)+1,0))),Feriados[Data],0))))=FALSE,
IF(WEEKDAY(ROW(INDIRECT(DATE(YEAR(B2621),MONTH(B2621),1)&amp;":"&amp;DATE(YEAR(B2621),MONTH(B2621)+1,0))),2)&lt;=5,1,IF(WEEKDAY(ROW(INDIRECT(DATE(YEAR(B2621),MONTH(B2621),1)&amp;":"&amp;DATE(YEAR(B2621),MONTH(B2621)+1,0))),2)=6,0.5,0)),0))</f>
        <v>24</v>
      </c>
      <c r="K2621" s="22" cm="1">
        <f t="array" ref="K2621">_xlfn.XLOOKUP(1,((Metas_Diarias[[#This Row],[tipo_equipe_id]]=Metas[equipe])*(Metas_Diarias[[#This Row],[data]]&gt;Metas[data_inicio])*(Metas_Diarias[[#This Row],[data]]&lt;Metas[data_fim])),Metas[meta_mensal],0)</f>
        <v>0</v>
      </c>
      <c r="L262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2" spans="2:12" x14ac:dyDescent="0.3">
      <c r="B2622" s="34">
        <v>46083</v>
      </c>
      <c r="C2622" s="34" t="str">
        <f>TEXT(Metas_Diarias[[#This Row],[data]],"dddd")</f>
        <v>segunda-feira</v>
      </c>
      <c r="D2622" s="33">
        <v>3</v>
      </c>
      <c r="E2622" s="33">
        <v>4</v>
      </c>
      <c r="F2622" s="18"/>
      <c r="G2622" s="35">
        <f>WEEKDAY(Metas_Diarias[[#This Row],[data]])</f>
        <v>2</v>
      </c>
      <c r="H2622" s="35">
        <f>IF(Metas_Diarias[[#This Row],[dias_da_demana]]=1,"domingo",IF(Metas_Diarias[[#This Row],[dias_da_demana]]=7,0.5,1))</f>
        <v>1</v>
      </c>
      <c r="I2622" s="35">
        <f>_xlfn.XLOOKUP(Metas_Diarias[[#This Row],[data]],Feriados[Data],Feriados[Feriado],1)</f>
        <v>1</v>
      </c>
      <c r="J2622" s="33" cm="1">
        <f t="array" aca="1" ref="J2622" ca="1">SUMPRODUCT(IF((NOT(ISERROR(MATCH(ROW(INDIRECT(DATE(YEAR(B2622),MONTH(B2622),1)&amp;":"&amp;DATE(YEAR(B2622),MONTH(B2622)+1,0))),Feriados[Data],0))))=FALSE,
IF(WEEKDAY(ROW(INDIRECT(DATE(YEAR(B2622),MONTH(B2622),1)&amp;":"&amp;DATE(YEAR(B2622),MONTH(B2622)+1,0))),2)&lt;=5,1,IF(WEEKDAY(ROW(INDIRECT(DATE(YEAR(B2622),MONTH(B2622),1)&amp;":"&amp;DATE(YEAR(B2622),MONTH(B2622)+1,0))),2)=6,0.5,0)),0))</f>
        <v>24</v>
      </c>
      <c r="K2622" s="22" cm="1">
        <f t="array" ref="K2622">_xlfn.XLOOKUP(1,((Metas_Diarias[[#This Row],[tipo_equipe_id]]=Metas[equipe])*(Metas_Diarias[[#This Row],[data]]&gt;Metas[data_inicio])*(Metas_Diarias[[#This Row],[data]]&lt;Metas[data_fim])),Metas[meta_mensal],0)</f>
        <v>0</v>
      </c>
      <c r="L26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3" spans="2:12" x14ac:dyDescent="0.3">
      <c r="B2623" s="34">
        <v>46084</v>
      </c>
      <c r="C2623" s="34" t="str">
        <f>TEXT(Metas_Diarias[[#This Row],[data]],"dddd")</f>
        <v>terça-feira</v>
      </c>
      <c r="D2623" s="33">
        <v>3</v>
      </c>
      <c r="E2623" s="33">
        <v>4</v>
      </c>
      <c r="F2623" s="18"/>
      <c r="G2623" s="35">
        <f>WEEKDAY(Metas_Diarias[[#This Row],[data]])</f>
        <v>3</v>
      </c>
      <c r="H2623" s="35">
        <f>IF(Metas_Diarias[[#This Row],[dias_da_demana]]=1,"domingo",IF(Metas_Diarias[[#This Row],[dias_da_demana]]=7,0.5,1))</f>
        <v>1</v>
      </c>
      <c r="I2623" s="35">
        <f>_xlfn.XLOOKUP(Metas_Diarias[[#This Row],[data]],Feriados[Data],Feriados[Feriado],1)</f>
        <v>1</v>
      </c>
      <c r="J2623" s="33" cm="1">
        <f t="array" aca="1" ref="J2623" ca="1">SUMPRODUCT(IF((NOT(ISERROR(MATCH(ROW(INDIRECT(DATE(YEAR(B2623),MONTH(B2623),1)&amp;":"&amp;DATE(YEAR(B2623),MONTH(B2623)+1,0))),Feriados[Data],0))))=FALSE,
IF(WEEKDAY(ROW(INDIRECT(DATE(YEAR(B2623),MONTH(B2623),1)&amp;":"&amp;DATE(YEAR(B2623),MONTH(B2623)+1,0))),2)&lt;=5,1,IF(WEEKDAY(ROW(INDIRECT(DATE(YEAR(B2623),MONTH(B2623),1)&amp;":"&amp;DATE(YEAR(B2623),MONTH(B2623)+1,0))),2)=6,0.5,0)),0))</f>
        <v>24</v>
      </c>
      <c r="K2623" s="22" cm="1">
        <f t="array" ref="K2623">_xlfn.XLOOKUP(1,((Metas_Diarias[[#This Row],[tipo_equipe_id]]=Metas[equipe])*(Metas_Diarias[[#This Row],[data]]&gt;Metas[data_inicio])*(Metas_Diarias[[#This Row],[data]]&lt;Metas[data_fim])),Metas[meta_mensal],0)</f>
        <v>0</v>
      </c>
      <c r="L262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4" spans="2:12" x14ac:dyDescent="0.3">
      <c r="B2624" s="34">
        <v>46085</v>
      </c>
      <c r="C2624" s="34" t="str">
        <f>TEXT(Metas_Diarias[[#This Row],[data]],"dddd")</f>
        <v>quarta-feira</v>
      </c>
      <c r="D2624" s="33">
        <v>3</v>
      </c>
      <c r="E2624" s="33">
        <v>4</v>
      </c>
      <c r="F2624" s="18"/>
      <c r="G2624" s="35">
        <f>WEEKDAY(Metas_Diarias[[#This Row],[data]])</f>
        <v>4</v>
      </c>
      <c r="H2624" s="35">
        <f>IF(Metas_Diarias[[#This Row],[dias_da_demana]]=1,"domingo",IF(Metas_Diarias[[#This Row],[dias_da_demana]]=7,0.5,1))</f>
        <v>1</v>
      </c>
      <c r="I2624" s="35">
        <f>_xlfn.XLOOKUP(Metas_Diarias[[#This Row],[data]],Feriados[Data],Feriados[Feriado],1)</f>
        <v>1</v>
      </c>
      <c r="J2624" s="33" cm="1">
        <f t="array" aca="1" ref="J2624" ca="1">SUMPRODUCT(IF((NOT(ISERROR(MATCH(ROW(INDIRECT(DATE(YEAR(B2624),MONTH(B2624),1)&amp;":"&amp;DATE(YEAR(B2624),MONTH(B2624)+1,0))),Feriados[Data],0))))=FALSE,
IF(WEEKDAY(ROW(INDIRECT(DATE(YEAR(B2624),MONTH(B2624),1)&amp;":"&amp;DATE(YEAR(B2624),MONTH(B2624)+1,0))),2)&lt;=5,1,IF(WEEKDAY(ROW(INDIRECT(DATE(YEAR(B2624),MONTH(B2624),1)&amp;":"&amp;DATE(YEAR(B2624),MONTH(B2624)+1,0))),2)=6,0.5,0)),0))</f>
        <v>24</v>
      </c>
      <c r="K2624" s="22" cm="1">
        <f t="array" ref="K2624">_xlfn.XLOOKUP(1,((Metas_Diarias[[#This Row],[tipo_equipe_id]]=Metas[equipe])*(Metas_Diarias[[#This Row],[data]]&gt;Metas[data_inicio])*(Metas_Diarias[[#This Row],[data]]&lt;Metas[data_fim])),Metas[meta_mensal],0)</f>
        <v>0</v>
      </c>
      <c r="L26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5" spans="2:12" x14ac:dyDescent="0.3">
      <c r="B2625" s="34">
        <v>46086</v>
      </c>
      <c r="C2625" s="34" t="str">
        <f>TEXT(Metas_Diarias[[#This Row],[data]],"dddd")</f>
        <v>quinta-feira</v>
      </c>
      <c r="D2625" s="33">
        <v>3</v>
      </c>
      <c r="E2625" s="33">
        <v>4</v>
      </c>
      <c r="F2625" s="18"/>
      <c r="G2625" s="35">
        <f>WEEKDAY(Metas_Diarias[[#This Row],[data]])</f>
        <v>5</v>
      </c>
      <c r="H2625" s="35">
        <f>IF(Metas_Diarias[[#This Row],[dias_da_demana]]=1,"domingo",IF(Metas_Diarias[[#This Row],[dias_da_demana]]=7,0.5,1))</f>
        <v>1</v>
      </c>
      <c r="I2625" s="35">
        <f>_xlfn.XLOOKUP(Metas_Diarias[[#This Row],[data]],Feriados[Data],Feriados[Feriado],1)</f>
        <v>1</v>
      </c>
      <c r="J2625" s="33" cm="1">
        <f t="array" aca="1" ref="J2625" ca="1">SUMPRODUCT(IF((NOT(ISERROR(MATCH(ROW(INDIRECT(DATE(YEAR(B2625),MONTH(B2625),1)&amp;":"&amp;DATE(YEAR(B2625),MONTH(B2625)+1,0))),Feriados[Data],0))))=FALSE,
IF(WEEKDAY(ROW(INDIRECT(DATE(YEAR(B2625),MONTH(B2625),1)&amp;":"&amp;DATE(YEAR(B2625),MONTH(B2625)+1,0))),2)&lt;=5,1,IF(WEEKDAY(ROW(INDIRECT(DATE(YEAR(B2625),MONTH(B2625),1)&amp;":"&amp;DATE(YEAR(B2625),MONTH(B2625)+1,0))),2)=6,0.5,0)),0))</f>
        <v>24</v>
      </c>
      <c r="K2625" s="22" cm="1">
        <f t="array" ref="K2625">_xlfn.XLOOKUP(1,((Metas_Diarias[[#This Row],[tipo_equipe_id]]=Metas[equipe])*(Metas_Diarias[[#This Row],[data]]&gt;Metas[data_inicio])*(Metas_Diarias[[#This Row],[data]]&lt;Metas[data_fim])),Metas[meta_mensal],0)</f>
        <v>0</v>
      </c>
      <c r="L262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6" spans="2:12" x14ac:dyDescent="0.3">
      <c r="B2626" s="34">
        <v>46087</v>
      </c>
      <c r="C2626" s="34" t="str">
        <f>TEXT(Metas_Diarias[[#This Row],[data]],"dddd")</f>
        <v>sexta-feira</v>
      </c>
      <c r="D2626" s="33">
        <v>3</v>
      </c>
      <c r="E2626" s="33">
        <v>4</v>
      </c>
      <c r="F2626" s="18"/>
      <c r="G2626" s="35">
        <f>WEEKDAY(Metas_Diarias[[#This Row],[data]])</f>
        <v>6</v>
      </c>
      <c r="H2626" s="35">
        <f>IF(Metas_Diarias[[#This Row],[dias_da_demana]]=1,"domingo",IF(Metas_Diarias[[#This Row],[dias_da_demana]]=7,0.5,1))</f>
        <v>1</v>
      </c>
      <c r="I2626" s="35">
        <f>_xlfn.XLOOKUP(Metas_Diarias[[#This Row],[data]],Feriados[Data],Feriados[Feriado],1)</f>
        <v>1</v>
      </c>
      <c r="J2626" s="33" cm="1">
        <f t="array" aca="1" ref="J2626" ca="1">SUMPRODUCT(IF((NOT(ISERROR(MATCH(ROW(INDIRECT(DATE(YEAR(B2626),MONTH(B2626),1)&amp;":"&amp;DATE(YEAR(B2626),MONTH(B2626)+1,0))),Feriados[Data],0))))=FALSE,
IF(WEEKDAY(ROW(INDIRECT(DATE(YEAR(B2626),MONTH(B2626),1)&amp;":"&amp;DATE(YEAR(B2626),MONTH(B2626)+1,0))),2)&lt;=5,1,IF(WEEKDAY(ROW(INDIRECT(DATE(YEAR(B2626),MONTH(B2626),1)&amp;":"&amp;DATE(YEAR(B2626),MONTH(B2626)+1,0))),2)=6,0.5,0)),0))</f>
        <v>24</v>
      </c>
      <c r="K2626" s="22" cm="1">
        <f t="array" ref="K2626">_xlfn.XLOOKUP(1,((Metas_Diarias[[#This Row],[tipo_equipe_id]]=Metas[equipe])*(Metas_Diarias[[#This Row],[data]]&gt;Metas[data_inicio])*(Metas_Diarias[[#This Row],[data]]&lt;Metas[data_fim])),Metas[meta_mensal],0)</f>
        <v>0</v>
      </c>
      <c r="L26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7" spans="2:12" x14ac:dyDescent="0.3">
      <c r="B2627" s="34">
        <v>46088</v>
      </c>
      <c r="C2627" s="34" t="str">
        <f>TEXT(Metas_Diarias[[#This Row],[data]],"dddd")</f>
        <v>sábado</v>
      </c>
      <c r="D2627" s="33">
        <v>3</v>
      </c>
      <c r="E2627" s="33">
        <v>4</v>
      </c>
      <c r="F2627" s="18"/>
      <c r="G2627" s="35">
        <f>WEEKDAY(Metas_Diarias[[#This Row],[data]])</f>
        <v>7</v>
      </c>
      <c r="H2627" s="35">
        <f>IF(Metas_Diarias[[#This Row],[dias_da_demana]]=1,"domingo",IF(Metas_Diarias[[#This Row],[dias_da_demana]]=7,0.5,1))</f>
        <v>0.5</v>
      </c>
      <c r="I2627" s="35">
        <f>_xlfn.XLOOKUP(Metas_Diarias[[#This Row],[data]],Feriados[Data],Feriados[Feriado],1)</f>
        <v>1</v>
      </c>
      <c r="J2627" s="33" cm="1">
        <f t="array" aca="1" ref="J2627" ca="1">SUMPRODUCT(IF((NOT(ISERROR(MATCH(ROW(INDIRECT(DATE(YEAR(B2627),MONTH(B2627),1)&amp;":"&amp;DATE(YEAR(B2627),MONTH(B2627)+1,0))),Feriados[Data],0))))=FALSE,
IF(WEEKDAY(ROW(INDIRECT(DATE(YEAR(B2627),MONTH(B2627),1)&amp;":"&amp;DATE(YEAR(B2627),MONTH(B2627)+1,0))),2)&lt;=5,1,IF(WEEKDAY(ROW(INDIRECT(DATE(YEAR(B2627),MONTH(B2627),1)&amp;":"&amp;DATE(YEAR(B2627),MONTH(B2627)+1,0))),2)=6,0.5,0)),0))</f>
        <v>24</v>
      </c>
      <c r="K2627" s="22" cm="1">
        <f t="array" ref="K2627">_xlfn.XLOOKUP(1,((Metas_Diarias[[#This Row],[tipo_equipe_id]]=Metas[equipe])*(Metas_Diarias[[#This Row],[data]]&gt;Metas[data_inicio])*(Metas_Diarias[[#This Row],[data]]&lt;Metas[data_fim])),Metas[meta_mensal],0)</f>
        <v>0</v>
      </c>
      <c r="L262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8" spans="2:12" x14ac:dyDescent="0.3">
      <c r="B2628" s="34">
        <v>46089</v>
      </c>
      <c r="C2628" s="34" t="str">
        <f>TEXT(Metas_Diarias[[#This Row],[data]],"dddd")</f>
        <v>domingo</v>
      </c>
      <c r="D2628" s="33">
        <v>3</v>
      </c>
      <c r="E2628" s="33">
        <v>4</v>
      </c>
      <c r="F2628" s="18"/>
      <c r="G2628" s="35">
        <f>WEEKDAY(Metas_Diarias[[#This Row],[data]])</f>
        <v>1</v>
      </c>
      <c r="H2628" s="35" t="str">
        <f>IF(Metas_Diarias[[#This Row],[dias_da_demana]]=1,"domingo",IF(Metas_Diarias[[#This Row],[dias_da_demana]]=7,0.5,1))</f>
        <v>domingo</v>
      </c>
      <c r="I2628" s="35">
        <f>_xlfn.XLOOKUP(Metas_Diarias[[#This Row],[data]],Feriados[Data],Feriados[Feriado],1)</f>
        <v>1</v>
      </c>
      <c r="J2628" s="33" cm="1">
        <f t="array" aca="1" ref="J2628" ca="1">SUMPRODUCT(IF((NOT(ISERROR(MATCH(ROW(INDIRECT(DATE(YEAR(B2628),MONTH(B2628),1)&amp;":"&amp;DATE(YEAR(B2628),MONTH(B2628)+1,0))),Feriados[Data],0))))=FALSE,
IF(WEEKDAY(ROW(INDIRECT(DATE(YEAR(B2628),MONTH(B2628),1)&amp;":"&amp;DATE(YEAR(B2628),MONTH(B2628)+1,0))),2)&lt;=5,1,IF(WEEKDAY(ROW(INDIRECT(DATE(YEAR(B2628),MONTH(B2628),1)&amp;":"&amp;DATE(YEAR(B2628),MONTH(B2628)+1,0))),2)=6,0.5,0)),0))</f>
        <v>24</v>
      </c>
      <c r="K2628" s="22" cm="1">
        <f t="array" ref="K2628">_xlfn.XLOOKUP(1,((Metas_Diarias[[#This Row],[tipo_equipe_id]]=Metas[equipe])*(Metas_Diarias[[#This Row],[data]]&gt;Metas[data_inicio])*(Metas_Diarias[[#This Row],[data]]&lt;Metas[data_fim])),Metas[meta_mensal],0)</f>
        <v>0</v>
      </c>
      <c r="L262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29" spans="2:12" x14ac:dyDescent="0.3">
      <c r="B2629" s="34">
        <v>46090</v>
      </c>
      <c r="C2629" s="34" t="str">
        <f>TEXT(Metas_Diarias[[#This Row],[data]],"dddd")</f>
        <v>segunda-feira</v>
      </c>
      <c r="D2629" s="33">
        <v>3</v>
      </c>
      <c r="E2629" s="33">
        <v>4</v>
      </c>
      <c r="F2629" s="18"/>
      <c r="G2629" s="35">
        <f>WEEKDAY(Metas_Diarias[[#This Row],[data]])</f>
        <v>2</v>
      </c>
      <c r="H2629" s="35">
        <f>IF(Metas_Diarias[[#This Row],[dias_da_demana]]=1,"domingo",IF(Metas_Diarias[[#This Row],[dias_da_demana]]=7,0.5,1))</f>
        <v>1</v>
      </c>
      <c r="I2629" s="35">
        <f>_xlfn.XLOOKUP(Metas_Diarias[[#This Row],[data]],Feriados[Data],Feriados[Feriado],1)</f>
        <v>1</v>
      </c>
      <c r="J2629" s="33" cm="1">
        <f t="array" aca="1" ref="J2629" ca="1">SUMPRODUCT(IF((NOT(ISERROR(MATCH(ROW(INDIRECT(DATE(YEAR(B2629),MONTH(B2629),1)&amp;":"&amp;DATE(YEAR(B2629),MONTH(B2629)+1,0))),Feriados[Data],0))))=FALSE,
IF(WEEKDAY(ROW(INDIRECT(DATE(YEAR(B2629),MONTH(B2629),1)&amp;":"&amp;DATE(YEAR(B2629),MONTH(B2629)+1,0))),2)&lt;=5,1,IF(WEEKDAY(ROW(INDIRECT(DATE(YEAR(B2629),MONTH(B2629),1)&amp;":"&amp;DATE(YEAR(B2629),MONTH(B2629)+1,0))),2)=6,0.5,0)),0))</f>
        <v>24</v>
      </c>
      <c r="K2629" s="22" cm="1">
        <f t="array" ref="K2629">_xlfn.XLOOKUP(1,((Metas_Diarias[[#This Row],[tipo_equipe_id]]=Metas[equipe])*(Metas_Diarias[[#This Row],[data]]&gt;Metas[data_inicio])*(Metas_Diarias[[#This Row],[data]]&lt;Metas[data_fim])),Metas[meta_mensal],0)</f>
        <v>0</v>
      </c>
      <c r="L262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0" spans="2:12" x14ac:dyDescent="0.3">
      <c r="B2630" s="34">
        <v>46091</v>
      </c>
      <c r="C2630" s="34" t="str">
        <f>TEXT(Metas_Diarias[[#This Row],[data]],"dddd")</f>
        <v>terça-feira</v>
      </c>
      <c r="D2630" s="33">
        <v>3</v>
      </c>
      <c r="E2630" s="33">
        <v>4</v>
      </c>
      <c r="F2630" s="18"/>
      <c r="G2630" s="35">
        <f>WEEKDAY(Metas_Diarias[[#This Row],[data]])</f>
        <v>3</v>
      </c>
      <c r="H2630" s="35">
        <f>IF(Metas_Diarias[[#This Row],[dias_da_demana]]=1,"domingo",IF(Metas_Diarias[[#This Row],[dias_da_demana]]=7,0.5,1))</f>
        <v>1</v>
      </c>
      <c r="I2630" s="35">
        <f>_xlfn.XLOOKUP(Metas_Diarias[[#This Row],[data]],Feriados[Data],Feriados[Feriado],1)</f>
        <v>1</v>
      </c>
      <c r="J2630" s="33" cm="1">
        <f t="array" aca="1" ref="J2630" ca="1">SUMPRODUCT(IF((NOT(ISERROR(MATCH(ROW(INDIRECT(DATE(YEAR(B2630),MONTH(B2630),1)&amp;":"&amp;DATE(YEAR(B2630),MONTH(B2630)+1,0))),Feriados[Data],0))))=FALSE,
IF(WEEKDAY(ROW(INDIRECT(DATE(YEAR(B2630),MONTH(B2630),1)&amp;":"&amp;DATE(YEAR(B2630),MONTH(B2630)+1,0))),2)&lt;=5,1,IF(WEEKDAY(ROW(INDIRECT(DATE(YEAR(B2630),MONTH(B2630),1)&amp;":"&amp;DATE(YEAR(B2630),MONTH(B2630)+1,0))),2)=6,0.5,0)),0))</f>
        <v>24</v>
      </c>
      <c r="K2630" s="22" cm="1">
        <f t="array" ref="K2630">_xlfn.XLOOKUP(1,((Metas_Diarias[[#This Row],[tipo_equipe_id]]=Metas[equipe])*(Metas_Diarias[[#This Row],[data]]&gt;Metas[data_inicio])*(Metas_Diarias[[#This Row],[data]]&lt;Metas[data_fim])),Metas[meta_mensal],0)</f>
        <v>0</v>
      </c>
      <c r="L263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1" spans="2:12" x14ac:dyDescent="0.3">
      <c r="B2631" s="34">
        <v>46092</v>
      </c>
      <c r="C2631" s="34" t="str">
        <f>TEXT(Metas_Diarias[[#This Row],[data]],"dddd")</f>
        <v>quarta-feira</v>
      </c>
      <c r="D2631" s="33">
        <v>3</v>
      </c>
      <c r="E2631" s="33">
        <v>4</v>
      </c>
      <c r="F2631" s="18"/>
      <c r="G2631" s="35">
        <f>WEEKDAY(Metas_Diarias[[#This Row],[data]])</f>
        <v>4</v>
      </c>
      <c r="H2631" s="35">
        <f>IF(Metas_Diarias[[#This Row],[dias_da_demana]]=1,"domingo",IF(Metas_Diarias[[#This Row],[dias_da_demana]]=7,0.5,1))</f>
        <v>1</v>
      </c>
      <c r="I2631" s="35">
        <f>_xlfn.XLOOKUP(Metas_Diarias[[#This Row],[data]],Feriados[Data],Feriados[Feriado],1)</f>
        <v>1</v>
      </c>
      <c r="J2631" s="33" cm="1">
        <f t="array" aca="1" ref="J2631" ca="1">SUMPRODUCT(IF((NOT(ISERROR(MATCH(ROW(INDIRECT(DATE(YEAR(B2631),MONTH(B2631),1)&amp;":"&amp;DATE(YEAR(B2631),MONTH(B2631)+1,0))),Feriados[Data],0))))=FALSE,
IF(WEEKDAY(ROW(INDIRECT(DATE(YEAR(B2631),MONTH(B2631),1)&amp;":"&amp;DATE(YEAR(B2631),MONTH(B2631)+1,0))),2)&lt;=5,1,IF(WEEKDAY(ROW(INDIRECT(DATE(YEAR(B2631),MONTH(B2631),1)&amp;":"&amp;DATE(YEAR(B2631),MONTH(B2631)+1,0))),2)=6,0.5,0)),0))</f>
        <v>24</v>
      </c>
      <c r="K2631" s="22" cm="1">
        <f t="array" ref="K2631">_xlfn.XLOOKUP(1,((Metas_Diarias[[#This Row],[tipo_equipe_id]]=Metas[equipe])*(Metas_Diarias[[#This Row],[data]]&gt;Metas[data_inicio])*(Metas_Diarias[[#This Row],[data]]&lt;Metas[data_fim])),Metas[meta_mensal],0)</f>
        <v>0</v>
      </c>
      <c r="L26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2" spans="2:12" x14ac:dyDescent="0.3">
      <c r="B2632" s="34">
        <v>46093</v>
      </c>
      <c r="C2632" s="34" t="str">
        <f>TEXT(Metas_Diarias[[#This Row],[data]],"dddd")</f>
        <v>quinta-feira</v>
      </c>
      <c r="D2632" s="33">
        <v>3</v>
      </c>
      <c r="E2632" s="33">
        <v>4</v>
      </c>
      <c r="F2632" s="18"/>
      <c r="G2632" s="35">
        <f>WEEKDAY(Metas_Diarias[[#This Row],[data]])</f>
        <v>5</v>
      </c>
      <c r="H2632" s="35">
        <f>IF(Metas_Diarias[[#This Row],[dias_da_demana]]=1,"domingo",IF(Metas_Diarias[[#This Row],[dias_da_demana]]=7,0.5,1))</f>
        <v>1</v>
      </c>
      <c r="I2632" s="35">
        <f>_xlfn.XLOOKUP(Metas_Diarias[[#This Row],[data]],Feriados[Data],Feriados[Feriado],1)</f>
        <v>1</v>
      </c>
      <c r="J2632" s="33" cm="1">
        <f t="array" aca="1" ref="J2632" ca="1">SUMPRODUCT(IF((NOT(ISERROR(MATCH(ROW(INDIRECT(DATE(YEAR(B2632),MONTH(B2632),1)&amp;":"&amp;DATE(YEAR(B2632),MONTH(B2632)+1,0))),Feriados[Data],0))))=FALSE,
IF(WEEKDAY(ROW(INDIRECT(DATE(YEAR(B2632),MONTH(B2632),1)&amp;":"&amp;DATE(YEAR(B2632),MONTH(B2632)+1,0))),2)&lt;=5,1,IF(WEEKDAY(ROW(INDIRECT(DATE(YEAR(B2632),MONTH(B2632),1)&amp;":"&amp;DATE(YEAR(B2632),MONTH(B2632)+1,0))),2)=6,0.5,0)),0))</f>
        <v>24</v>
      </c>
      <c r="K2632" s="22" cm="1">
        <f t="array" ref="K2632">_xlfn.XLOOKUP(1,((Metas_Diarias[[#This Row],[tipo_equipe_id]]=Metas[equipe])*(Metas_Diarias[[#This Row],[data]]&gt;Metas[data_inicio])*(Metas_Diarias[[#This Row],[data]]&lt;Metas[data_fim])),Metas[meta_mensal],0)</f>
        <v>0</v>
      </c>
      <c r="L263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3" spans="2:12" x14ac:dyDescent="0.3">
      <c r="B2633" s="34">
        <v>46094</v>
      </c>
      <c r="C2633" s="34" t="str">
        <f>TEXT(Metas_Diarias[[#This Row],[data]],"dddd")</f>
        <v>sexta-feira</v>
      </c>
      <c r="D2633" s="33">
        <v>3</v>
      </c>
      <c r="E2633" s="33">
        <v>4</v>
      </c>
      <c r="F2633" s="18"/>
      <c r="G2633" s="35">
        <f>WEEKDAY(Metas_Diarias[[#This Row],[data]])</f>
        <v>6</v>
      </c>
      <c r="H2633" s="35">
        <f>IF(Metas_Diarias[[#This Row],[dias_da_demana]]=1,"domingo",IF(Metas_Diarias[[#This Row],[dias_da_demana]]=7,0.5,1))</f>
        <v>1</v>
      </c>
      <c r="I2633" s="35">
        <f>_xlfn.XLOOKUP(Metas_Diarias[[#This Row],[data]],Feriados[Data],Feriados[Feriado],1)</f>
        <v>1</v>
      </c>
      <c r="J2633" s="33" cm="1">
        <f t="array" aca="1" ref="J2633" ca="1">SUMPRODUCT(IF((NOT(ISERROR(MATCH(ROW(INDIRECT(DATE(YEAR(B2633),MONTH(B2633),1)&amp;":"&amp;DATE(YEAR(B2633),MONTH(B2633)+1,0))),Feriados[Data],0))))=FALSE,
IF(WEEKDAY(ROW(INDIRECT(DATE(YEAR(B2633),MONTH(B2633),1)&amp;":"&amp;DATE(YEAR(B2633),MONTH(B2633)+1,0))),2)&lt;=5,1,IF(WEEKDAY(ROW(INDIRECT(DATE(YEAR(B2633),MONTH(B2633),1)&amp;":"&amp;DATE(YEAR(B2633),MONTH(B2633)+1,0))),2)=6,0.5,0)),0))</f>
        <v>24</v>
      </c>
      <c r="K2633" s="22" cm="1">
        <f t="array" ref="K2633">_xlfn.XLOOKUP(1,((Metas_Diarias[[#This Row],[tipo_equipe_id]]=Metas[equipe])*(Metas_Diarias[[#This Row],[data]]&gt;Metas[data_inicio])*(Metas_Diarias[[#This Row],[data]]&lt;Metas[data_fim])),Metas[meta_mensal],0)</f>
        <v>0</v>
      </c>
      <c r="L26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4" spans="2:12" x14ac:dyDescent="0.3">
      <c r="B2634" s="34">
        <v>46095</v>
      </c>
      <c r="C2634" s="34" t="str">
        <f>TEXT(Metas_Diarias[[#This Row],[data]],"dddd")</f>
        <v>sábado</v>
      </c>
      <c r="D2634" s="33">
        <v>3</v>
      </c>
      <c r="E2634" s="33">
        <v>4</v>
      </c>
      <c r="F2634" s="18"/>
      <c r="G2634" s="35">
        <f>WEEKDAY(Metas_Diarias[[#This Row],[data]])</f>
        <v>7</v>
      </c>
      <c r="H2634" s="35">
        <f>IF(Metas_Diarias[[#This Row],[dias_da_demana]]=1,"domingo",IF(Metas_Diarias[[#This Row],[dias_da_demana]]=7,0.5,1))</f>
        <v>0.5</v>
      </c>
      <c r="I2634" s="35">
        <f>_xlfn.XLOOKUP(Metas_Diarias[[#This Row],[data]],Feriados[Data],Feriados[Feriado],1)</f>
        <v>1</v>
      </c>
      <c r="J2634" s="33" cm="1">
        <f t="array" aca="1" ref="J2634" ca="1">SUMPRODUCT(IF((NOT(ISERROR(MATCH(ROW(INDIRECT(DATE(YEAR(B2634),MONTH(B2634),1)&amp;":"&amp;DATE(YEAR(B2634),MONTH(B2634)+1,0))),Feriados[Data],0))))=FALSE,
IF(WEEKDAY(ROW(INDIRECT(DATE(YEAR(B2634),MONTH(B2634),1)&amp;":"&amp;DATE(YEAR(B2634),MONTH(B2634)+1,0))),2)&lt;=5,1,IF(WEEKDAY(ROW(INDIRECT(DATE(YEAR(B2634),MONTH(B2634),1)&amp;":"&amp;DATE(YEAR(B2634),MONTH(B2634)+1,0))),2)=6,0.5,0)),0))</f>
        <v>24</v>
      </c>
      <c r="K2634" s="22" cm="1">
        <f t="array" ref="K2634">_xlfn.XLOOKUP(1,((Metas_Diarias[[#This Row],[tipo_equipe_id]]=Metas[equipe])*(Metas_Diarias[[#This Row],[data]]&gt;Metas[data_inicio])*(Metas_Diarias[[#This Row],[data]]&lt;Metas[data_fim])),Metas[meta_mensal],0)</f>
        <v>0</v>
      </c>
      <c r="L263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5" spans="2:12" x14ac:dyDescent="0.3">
      <c r="B2635" s="34">
        <v>46096</v>
      </c>
      <c r="C2635" s="34" t="str">
        <f>TEXT(Metas_Diarias[[#This Row],[data]],"dddd")</f>
        <v>domingo</v>
      </c>
      <c r="D2635" s="33">
        <v>3</v>
      </c>
      <c r="E2635" s="33">
        <v>4</v>
      </c>
      <c r="F2635" s="18"/>
      <c r="G2635" s="35">
        <f>WEEKDAY(Metas_Diarias[[#This Row],[data]])</f>
        <v>1</v>
      </c>
      <c r="H2635" s="35" t="str">
        <f>IF(Metas_Diarias[[#This Row],[dias_da_demana]]=1,"domingo",IF(Metas_Diarias[[#This Row],[dias_da_demana]]=7,0.5,1))</f>
        <v>domingo</v>
      </c>
      <c r="I2635" s="35">
        <f>_xlfn.XLOOKUP(Metas_Diarias[[#This Row],[data]],Feriados[Data],Feriados[Feriado],1)</f>
        <v>1</v>
      </c>
      <c r="J2635" s="33" cm="1">
        <f t="array" aca="1" ref="J2635" ca="1">SUMPRODUCT(IF((NOT(ISERROR(MATCH(ROW(INDIRECT(DATE(YEAR(B2635),MONTH(B2635),1)&amp;":"&amp;DATE(YEAR(B2635),MONTH(B2635)+1,0))),Feriados[Data],0))))=FALSE,
IF(WEEKDAY(ROW(INDIRECT(DATE(YEAR(B2635),MONTH(B2635),1)&amp;":"&amp;DATE(YEAR(B2635),MONTH(B2635)+1,0))),2)&lt;=5,1,IF(WEEKDAY(ROW(INDIRECT(DATE(YEAR(B2635),MONTH(B2635),1)&amp;":"&amp;DATE(YEAR(B2635),MONTH(B2635)+1,0))),2)=6,0.5,0)),0))</f>
        <v>24</v>
      </c>
      <c r="K2635" s="22" cm="1">
        <f t="array" ref="K2635">_xlfn.XLOOKUP(1,((Metas_Diarias[[#This Row],[tipo_equipe_id]]=Metas[equipe])*(Metas_Diarias[[#This Row],[data]]&gt;Metas[data_inicio])*(Metas_Diarias[[#This Row],[data]]&lt;Metas[data_fim])),Metas[meta_mensal],0)</f>
        <v>0</v>
      </c>
      <c r="L263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6" spans="2:12" x14ac:dyDescent="0.3">
      <c r="B2636" s="34">
        <v>46097</v>
      </c>
      <c r="C2636" s="34" t="str">
        <f>TEXT(Metas_Diarias[[#This Row],[data]],"dddd")</f>
        <v>segunda-feira</v>
      </c>
      <c r="D2636" s="33">
        <v>3</v>
      </c>
      <c r="E2636" s="33">
        <v>4</v>
      </c>
      <c r="F2636" s="18"/>
      <c r="G2636" s="35">
        <f>WEEKDAY(Metas_Diarias[[#This Row],[data]])</f>
        <v>2</v>
      </c>
      <c r="H2636" s="35">
        <f>IF(Metas_Diarias[[#This Row],[dias_da_demana]]=1,"domingo",IF(Metas_Diarias[[#This Row],[dias_da_demana]]=7,0.5,1))</f>
        <v>1</v>
      </c>
      <c r="I2636" s="35">
        <f>_xlfn.XLOOKUP(Metas_Diarias[[#This Row],[data]],Feriados[Data],Feriados[Feriado],1)</f>
        <v>1</v>
      </c>
      <c r="J2636" s="33" cm="1">
        <f t="array" aca="1" ref="J2636" ca="1">SUMPRODUCT(IF((NOT(ISERROR(MATCH(ROW(INDIRECT(DATE(YEAR(B2636),MONTH(B2636),1)&amp;":"&amp;DATE(YEAR(B2636),MONTH(B2636)+1,0))),Feriados[Data],0))))=FALSE,
IF(WEEKDAY(ROW(INDIRECT(DATE(YEAR(B2636),MONTH(B2636),1)&amp;":"&amp;DATE(YEAR(B2636),MONTH(B2636)+1,0))),2)&lt;=5,1,IF(WEEKDAY(ROW(INDIRECT(DATE(YEAR(B2636),MONTH(B2636),1)&amp;":"&amp;DATE(YEAR(B2636),MONTH(B2636)+1,0))),2)=6,0.5,0)),0))</f>
        <v>24</v>
      </c>
      <c r="K2636" s="22" cm="1">
        <f t="array" ref="K2636">_xlfn.XLOOKUP(1,((Metas_Diarias[[#This Row],[tipo_equipe_id]]=Metas[equipe])*(Metas_Diarias[[#This Row],[data]]&gt;Metas[data_inicio])*(Metas_Diarias[[#This Row],[data]]&lt;Metas[data_fim])),Metas[meta_mensal],0)</f>
        <v>0</v>
      </c>
      <c r="L263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7" spans="2:12" x14ac:dyDescent="0.3">
      <c r="B2637" s="34">
        <v>46098</v>
      </c>
      <c r="C2637" s="34" t="str">
        <f>TEXT(Metas_Diarias[[#This Row],[data]],"dddd")</f>
        <v>terça-feira</v>
      </c>
      <c r="D2637" s="33">
        <v>3</v>
      </c>
      <c r="E2637" s="33">
        <v>4</v>
      </c>
      <c r="F2637" s="18"/>
      <c r="G2637" s="35">
        <f>WEEKDAY(Metas_Diarias[[#This Row],[data]])</f>
        <v>3</v>
      </c>
      <c r="H2637" s="35">
        <f>IF(Metas_Diarias[[#This Row],[dias_da_demana]]=1,"domingo",IF(Metas_Diarias[[#This Row],[dias_da_demana]]=7,0.5,1))</f>
        <v>1</v>
      </c>
      <c r="I2637" s="35">
        <f>_xlfn.XLOOKUP(Metas_Diarias[[#This Row],[data]],Feriados[Data],Feriados[Feriado],1)</f>
        <v>1</v>
      </c>
      <c r="J2637" s="33" cm="1">
        <f t="array" aca="1" ref="J2637" ca="1">SUMPRODUCT(IF((NOT(ISERROR(MATCH(ROW(INDIRECT(DATE(YEAR(B2637),MONTH(B2637),1)&amp;":"&amp;DATE(YEAR(B2637),MONTH(B2637)+1,0))),Feriados[Data],0))))=FALSE,
IF(WEEKDAY(ROW(INDIRECT(DATE(YEAR(B2637),MONTH(B2637),1)&amp;":"&amp;DATE(YEAR(B2637),MONTH(B2637)+1,0))),2)&lt;=5,1,IF(WEEKDAY(ROW(INDIRECT(DATE(YEAR(B2637),MONTH(B2637),1)&amp;":"&amp;DATE(YEAR(B2637),MONTH(B2637)+1,0))),2)=6,0.5,0)),0))</f>
        <v>24</v>
      </c>
      <c r="K2637" s="22" cm="1">
        <f t="array" ref="K2637">_xlfn.XLOOKUP(1,((Metas_Diarias[[#This Row],[tipo_equipe_id]]=Metas[equipe])*(Metas_Diarias[[#This Row],[data]]&gt;Metas[data_inicio])*(Metas_Diarias[[#This Row],[data]]&lt;Metas[data_fim])),Metas[meta_mensal],0)</f>
        <v>0</v>
      </c>
      <c r="L263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8" spans="2:12" x14ac:dyDescent="0.3">
      <c r="B2638" s="34">
        <v>46099</v>
      </c>
      <c r="C2638" s="34" t="str">
        <f>TEXT(Metas_Diarias[[#This Row],[data]],"dddd")</f>
        <v>quarta-feira</v>
      </c>
      <c r="D2638" s="33">
        <v>3</v>
      </c>
      <c r="E2638" s="33">
        <v>4</v>
      </c>
      <c r="F2638" s="18"/>
      <c r="G2638" s="35">
        <f>WEEKDAY(Metas_Diarias[[#This Row],[data]])</f>
        <v>4</v>
      </c>
      <c r="H2638" s="35">
        <f>IF(Metas_Diarias[[#This Row],[dias_da_demana]]=1,"domingo",IF(Metas_Diarias[[#This Row],[dias_da_demana]]=7,0.5,1))</f>
        <v>1</v>
      </c>
      <c r="I2638" s="35">
        <f>_xlfn.XLOOKUP(Metas_Diarias[[#This Row],[data]],Feriados[Data],Feriados[Feriado],1)</f>
        <v>1</v>
      </c>
      <c r="J2638" s="33" cm="1">
        <f t="array" aca="1" ref="J2638" ca="1">SUMPRODUCT(IF((NOT(ISERROR(MATCH(ROW(INDIRECT(DATE(YEAR(B2638),MONTH(B2638),1)&amp;":"&amp;DATE(YEAR(B2638),MONTH(B2638)+1,0))),Feriados[Data],0))))=FALSE,
IF(WEEKDAY(ROW(INDIRECT(DATE(YEAR(B2638),MONTH(B2638),1)&amp;":"&amp;DATE(YEAR(B2638),MONTH(B2638)+1,0))),2)&lt;=5,1,IF(WEEKDAY(ROW(INDIRECT(DATE(YEAR(B2638),MONTH(B2638),1)&amp;":"&amp;DATE(YEAR(B2638),MONTH(B2638)+1,0))),2)=6,0.5,0)),0))</f>
        <v>24</v>
      </c>
      <c r="K2638" s="22" cm="1">
        <f t="array" ref="K2638">_xlfn.XLOOKUP(1,((Metas_Diarias[[#This Row],[tipo_equipe_id]]=Metas[equipe])*(Metas_Diarias[[#This Row],[data]]&gt;Metas[data_inicio])*(Metas_Diarias[[#This Row],[data]]&lt;Metas[data_fim])),Metas[meta_mensal],0)</f>
        <v>0</v>
      </c>
      <c r="L26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39" spans="2:12" x14ac:dyDescent="0.3">
      <c r="B2639" s="34">
        <v>46100</v>
      </c>
      <c r="C2639" s="34" t="str">
        <f>TEXT(Metas_Diarias[[#This Row],[data]],"dddd")</f>
        <v>quinta-feira</v>
      </c>
      <c r="D2639" s="33">
        <v>3</v>
      </c>
      <c r="E2639" s="33">
        <v>4</v>
      </c>
      <c r="F2639" s="18"/>
      <c r="G2639" s="35">
        <f>WEEKDAY(Metas_Diarias[[#This Row],[data]])</f>
        <v>5</v>
      </c>
      <c r="H2639" s="35">
        <f>IF(Metas_Diarias[[#This Row],[dias_da_demana]]=1,"domingo",IF(Metas_Diarias[[#This Row],[dias_da_demana]]=7,0.5,1))</f>
        <v>1</v>
      </c>
      <c r="I2639" s="35">
        <f>_xlfn.XLOOKUP(Metas_Diarias[[#This Row],[data]],Feriados[Data],Feriados[Feriado],1)</f>
        <v>1</v>
      </c>
      <c r="J2639" s="33" cm="1">
        <f t="array" aca="1" ref="J2639" ca="1">SUMPRODUCT(IF((NOT(ISERROR(MATCH(ROW(INDIRECT(DATE(YEAR(B2639),MONTH(B2639),1)&amp;":"&amp;DATE(YEAR(B2639),MONTH(B2639)+1,0))),Feriados[Data],0))))=FALSE,
IF(WEEKDAY(ROW(INDIRECT(DATE(YEAR(B2639),MONTH(B2639),1)&amp;":"&amp;DATE(YEAR(B2639),MONTH(B2639)+1,0))),2)&lt;=5,1,IF(WEEKDAY(ROW(INDIRECT(DATE(YEAR(B2639),MONTH(B2639),1)&amp;":"&amp;DATE(YEAR(B2639),MONTH(B2639)+1,0))),2)=6,0.5,0)),0))</f>
        <v>24</v>
      </c>
      <c r="K2639" s="22" cm="1">
        <f t="array" ref="K2639">_xlfn.XLOOKUP(1,((Metas_Diarias[[#This Row],[tipo_equipe_id]]=Metas[equipe])*(Metas_Diarias[[#This Row],[data]]&gt;Metas[data_inicio])*(Metas_Diarias[[#This Row],[data]]&lt;Metas[data_fim])),Metas[meta_mensal],0)</f>
        <v>0</v>
      </c>
      <c r="L263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0" spans="2:12" x14ac:dyDescent="0.3">
      <c r="B2640" s="34">
        <v>46101</v>
      </c>
      <c r="C2640" s="34" t="str">
        <f>TEXT(Metas_Diarias[[#This Row],[data]],"dddd")</f>
        <v>sexta-feira</v>
      </c>
      <c r="D2640" s="33">
        <v>3</v>
      </c>
      <c r="E2640" s="33">
        <v>4</v>
      </c>
      <c r="F2640" s="18"/>
      <c r="G2640" s="35">
        <f>WEEKDAY(Metas_Diarias[[#This Row],[data]])</f>
        <v>6</v>
      </c>
      <c r="H2640" s="35">
        <f>IF(Metas_Diarias[[#This Row],[dias_da_demana]]=1,"domingo",IF(Metas_Diarias[[#This Row],[dias_da_demana]]=7,0.5,1))</f>
        <v>1</v>
      </c>
      <c r="I2640" s="35">
        <f>_xlfn.XLOOKUP(Metas_Diarias[[#This Row],[data]],Feriados[Data],Feriados[Feriado],1)</f>
        <v>1</v>
      </c>
      <c r="J2640" s="33" cm="1">
        <f t="array" aca="1" ref="J2640" ca="1">SUMPRODUCT(IF((NOT(ISERROR(MATCH(ROW(INDIRECT(DATE(YEAR(B2640),MONTH(B2640),1)&amp;":"&amp;DATE(YEAR(B2640),MONTH(B2640)+1,0))),Feriados[Data],0))))=FALSE,
IF(WEEKDAY(ROW(INDIRECT(DATE(YEAR(B2640),MONTH(B2640),1)&amp;":"&amp;DATE(YEAR(B2640),MONTH(B2640)+1,0))),2)&lt;=5,1,IF(WEEKDAY(ROW(INDIRECT(DATE(YEAR(B2640),MONTH(B2640),1)&amp;":"&amp;DATE(YEAR(B2640),MONTH(B2640)+1,0))),2)=6,0.5,0)),0))</f>
        <v>24</v>
      </c>
      <c r="K2640" s="22" cm="1">
        <f t="array" ref="K2640">_xlfn.XLOOKUP(1,((Metas_Diarias[[#This Row],[tipo_equipe_id]]=Metas[equipe])*(Metas_Diarias[[#This Row],[data]]&gt;Metas[data_inicio])*(Metas_Diarias[[#This Row],[data]]&lt;Metas[data_fim])),Metas[meta_mensal],0)</f>
        <v>0</v>
      </c>
      <c r="L264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1" spans="2:12" x14ac:dyDescent="0.3">
      <c r="B2641" s="34">
        <v>46102</v>
      </c>
      <c r="C2641" s="34" t="str">
        <f>TEXT(Metas_Diarias[[#This Row],[data]],"dddd")</f>
        <v>sábado</v>
      </c>
      <c r="D2641" s="33">
        <v>3</v>
      </c>
      <c r="E2641" s="33">
        <v>4</v>
      </c>
      <c r="F2641" s="18"/>
      <c r="G2641" s="35">
        <f>WEEKDAY(Metas_Diarias[[#This Row],[data]])</f>
        <v>7</v>
      </c>
      <c r="H2641" s="35">
        <f>IF(Metas_Diarias[[#This Row],[dias_da_demana]]=1,"domingo",IF(Metas_Diarias[[#This Row],[dias_da_demana]]=7,0.5,1))</f>
        <v>0.5</v>
      </c>
      <c r="I2641" s="35">
        <f>_xlfn.XLOOKUP(Metas_Diarias[[#This Row],[data]],Feriados[Data],Feriados[Feriado],1)</f>
        <v>1</v>
      </c>
      <c r="J2641" s="33" cm="1">
        <f t="array" aca="1" ref="J2641" ca="1">SUMPRODUCT(IF((NOT(ISERROR(MATCH(ROW(INDIRECT(DATE(YEAR(B2641),MONTH(B2641),1)&amp;":"&amp;DATE(YEAR(B2641),MONTH(B2641)+1,0))),Feriados[Data],0))))=FALSE,
IF(WEEKDAY(ROW(INDIRECT(DATE(YEAR(B2641),MONTH(B2641),1)&amp;":"&amp;DATE(YEAR(B2641),MONTH(B2641)+1,0))),2)&lt;=5,1,IF(WEEKDAY(ROW(INDIRECT(DATE(YEAR(B2641),MONTH(B2641),1)&amp;":"&amp;DATE(YEAR(B2641),MONTH(B2641)+1,0))),2)=6,0.5,0)),0))</f>
        <v>24</v>
      </c>
      <c r="K2641" s="22" cm="1">
        <f t="array" ref="K2641">_xlfn.XLOOKUP(1,((Metas_Diarias[[#This Row],[tipo_equipe_id]]=Metas[equipe])*(Metas_Diarias[[#This Row],[data]]&gt;Metas[data_inicio])*(Metas_Diarias[[#This Row],[data]]&lt;Metas[data_fim])),Metas[meta_mensal],0)</f>
        <v>0</v>
      </c>
      <c r="L264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2" spans="2:12" x14ac:dyDescent="0.3">
      <c r="B2642" s="34">
        <v>46103</v>
      </c>
      <c r="C2642" s="34" t="str">
        <f>TEXT(Metas_Diarias[[#This Row],[data]],"dddd")</f>
        <v>domingo</v>
      </c>
      <c r="D2642" s="33">
        <v>3</v>
      </c>
      <c r="E2642" s="33">
        <v>4</v>
      </c>
      <c r="F2642" s="18"/>
      <c r="G2642" s="35">
        <f>WEEKDAY(Metas_Diarias[[#This Row],[data]])</f>
        <v>1</v>
      </c>
      <c r="H2642" s="35" t="str">
        <f>IF(Metas_Diarias[[#This Row],[dias_da_demana]]=1,"domingo",IF(Metas_Diarias[[#This Row],[dias_da_demana]]=7,0.5,1))</f>
        <v>domingo</v>
      </c>
      <c r="I2642" s="35">
        <f>_xlfn.XLOOKUP(Metas_Diarias[[#This Row],[data]],Feriados[Data],Feriados[Feriado],1)</f>
        <v>1</v>
      </c>
      <c r="J2642" s="33" cm="1">
        <f t="array" aca="1" ref="J2642" ca="1">SUMPRODUCT(IF((NOT(ISERROR(MATCH(ROW(INDIRECT(DATE(YEAR(B2642),MONTH(B2642),1)&amp;":"&amp;DATE(YEAR(B2642),MONTH(B2642)+1,0))),Feriados[Data],0))))=FALSE,
IF(WEEKDAY(ROW(INDIRECT(DATE(YEAR(B2642),MONTH(B2642),1)&amp;":"&amp;DATE(YEAR(B2642),MONTH(B2642)+1,0))),2)&lt;=5,1,IF(WEEKDAY(ROW(INDIRECT(DATE(YEAR(B2642),MONTH(B2642),1)&amp;":"&amp;DATE(YEAR(B2642),MONTH(B2642)+1,0))),2)=6,0.5,0)),0))</f>
        <v>24</v>
      </c>
      <c r="K2642" s="22" cm="1">
        <f t="array" ref="K2642">_xlfn.XLOOKUP(1,((Metas_Diarias[[#This Row],[tipo_equipe_id]]=Metas[equipe])*(Metas_Diarias[[#This Row],[data]]&gt;Metas[data_inicio])*(Metas_Diarias[[#This Row],[data]]&lt;Metas[data_fim])),Metas[meta_mensal],0)</f>
        <v>0</v>
      </c>
      <c r="L264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3" spans="2:12" x14ac:dyDescent="0.3">
      <c r="B2643" s="34">
        <v>46104</v>
      </c>
      <c r="C2643" s="34" t="str">
        <f>TEXT(Metas_Diarias[[#This Row],[data]],"dddd")</f>
        <v>segunda-feira</v>
      </c>
      <c r="D2643" s="33">
        <v>3</v>
      </c>
      <c r="E2643" s="33">
        <v>4</v>
      </c>
      <c r="F2643" s="18"/>
      <c r="G2643" s="35">
        <f>WEEKDAY(Metas_Diarias[[#This Row],[data]])</f>
        <v>2</v>
      </c>
      <c r="H2643" s="35">
        <f>IF(Metas_Diarias[[#This Row],[dias_da_demana]]=1,"domingo",IF(Metas_Diarias[[#This Row],[dias_da_demana]]=7,0.5,1))</f>
        <v>1</v>
      </c>
      <c r="I2643" s="35">
        <f>_xlfn.XLOOKUP(Metas_Diarias[[#This Row],[data]],Feriados[Data],Feriados[Feriado],1)</f>
        <v>1</v>
      </c>
      <c r="J2643" s="33" cm="1">
        <f t="array" aca="1" ref="J2643" ca="1">SUMPRODUCT(IF((NOT(ISERROR(MATCH(ROW(INDIRECT(DATE(YEAR(B2643),MONTH(B2643),1)&amp;":"&amp;DATE(YEAR(B2643),MONTH(B2643)+1,0))),Feriados[Data],0))))=FALSE,
IF(WEEKDAY(ROW(INDIRECT(DATE(YEAR(B2643),MONTH(B2643),1)&amp;":"&amp;DATE(YEAR(B2643),MONTH(B2643)+1,0))),2)&lt;=5,1,IF(WEEKDAY(ROW(INDIRECT(DATE(YEAR(B2643),MONTH(B2643),1)&amp;":"&amp;DATE(YEAR(B2643),MONTH(B2643)+1,0))),2)=6,0.5,0)),0))</f>
        <v>24</v>
      </c>
      <c r="K2643" s="22" cm="1">
        <f t="array" ref="K2643">_xlfn.XLOOKUP(1,((Metas_Diarias[[#This Row],[tipo_equipe_id]]=Metas[equipe])*(Metas_Diarias[[#This Row],[data]]&gt;Metas[data_inicio])*(Metas_Diarias[[#This Row],[data]]&lt;Metas[data_fim])),Metas[meta_mensal],0)</f>
        <v>0</v>
      </c>
      <c r="L26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4" spans="2:12" x14ac:dyDescent="0.3">
      <c r="B2644" s="34">
        <v>46105</v>
      </c>
      <c r="C2644" s="34" t="str">
        <f>TEXT(Metas_Diarias[[#This Row],[data]],"dddd")</f>
        <v>terça-feira</v>
      </c>
      <c r="D2644" s="33">
        <v>3</v>
      </c>
      <c r="E2644" s="33">
        <v>4</v>
      </c>
      <c r="F2644" s="18"/>
      <c r="G2644" s="35">
        <f>WEEKDAY(Metas_Diarias[[#This Row],[data]])</f>
        <v>3</v>
      </c>
      <c r="H2644" s="35">
        <f>IF(Metas_Diarias[[#This Row],[dias_da_demana]]=1,"domingo",IF(Metas_Diarias[[#This Row],[dias_da_demana]]=7,0.5,1))</f>
        <v>1</v>
      </c>
      <c r="I2644" s="35">
        <f>_xlfn.XLOOKUP(Metas_Diarias[[#This Row],[data]],Feriados[Data],Feriados[Feriado],1)</f>
        <v>1</v>
      </c>
      <c r="J2644" s="33" cm="1">
        <f t="array" aca="1" ref="J2644" ca="1">SUMPRODUCT(IF((NOT(ISERROR(MATCH(ROW(INDIRECT(DATE(YEAR(B2644),MONTH(B2644),1)&amp;":"&amp;DATE(YEAR(B2644),MONTH(B2644)+1,0))),Feriados[Data],0))))=FALSE,
IF(WEEKDAY(ROW(INDIRECT(DATE(YEAR(B2644),MONTH(B2644),1)&amp;":"&amp;DATE(YEAR(B2644),MONTH(B2644)+1,0))),2)&lt;=5,1,IF(WEEKDAY(ROW(INDIRECT(DATE(YEAR(B2644),MONTH(B2644),1)&amp;":"&amp;DATE(YEAR(B2644),MONTH(B2644)+1,0))),2)=6,0.5,0)),0))</f>
        <v>24</v>
      </c>
      <c r="K2644" s="22" cm="1">
        <f t="array" ref="K2644">_xlfn.XLOOKUP(1,((Metas_Diarias[[#This Row],[tipo_equipe_id]]=Metas[equipe])*(Metas_Diarias[[#This Row],[data]]&gt;Metas[data_inicio])*(Metas_Diarias[[#This Row],[data]]&lt;Metas[data_fim])),Metas[meta_mensal],0)</f>
        <v>0</v>
      </c>
      <c r="L264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5" spans="2:12" x14ac:dyDescent="0.3">
      <c r="B2645" s="34">
        <v>46106</v>
      </c>
      <c r="C2645" s="34" t="str">
        <f>TEXT(Metas_Diarias[[#This Row],[data]],"dddd")</f>
        <v>quarta-feira</v>
      </c>
      <c r="D2645" s="33">
        <v>3</v>
      </c>
      <c r="E2645" s="33">
        <v>4</v>
      </c>
      <c r="F2645" s="18"/>
      <c r="G2645" s="35">
        <f>WEEKDAY(Metas_Diarias[[#This Row],[data]])</f>
        <v>4</v>
      </c>
      <c r="H2645" s="35">
        <f>IF(Metas_Diarias[[#This Row],[dias_da_demana]]=1,"domingo",IF(Metas_Diarias[[#This Row],[dias_da_demana]]=7,0.5,1))</f>
        <v>1</v>
      </c>
      <c r="I2645" s="35">
        <f>_xlfn.XLOOKUP(Metas_Diarias[[#This Row],[data]],Feriados[Data],Feriados[Feriado],1)</f>
        <v>1</v>
      </c>
      <c r="J2645" s="33" cm="1">
        <f t="array" aca="1" ref="J2645" ca="1">SUMPRODUCT(IF((NOT(ISERROR(MATCH(ROW(INDIRECT(DATE(YEAR(B2645),MONTH(B2645),1)&amp;":"&amp;DATE(YEAR(B2645),MONTH(B2645)+1,0))),Feriados[Data],0))))=FALSE,
IF(WEEKDAY(ROW(INDIRECT(DATE(YEAR(B2645),MONTH(B2645),1)&amp;":"&amp;DATE(YEAR(B2645),MONTH(B2645)+1,0))),2)&lt;=5,1,IF(WEEKDAY(ROW(INDIRECT(DATE(YEAR(B2645),MONTH(B2645),1)&amp;":"&amp;DATE(YEAR(B2645),MONTH(B2645)+1,0))),2)=6,0.5,0)),0))</f>
        <v>24</v>
      </c>
      <c r="K2645" s="22" cm="1">
        <f t="array" ref="K2645">_xlfn.XLOOKUP(1,((Metas_Diarias[[#This Row],[tipo_equipe_id]]=Metas[equipe])*(Metas_Diarias[[#This Row],[data]]&gt;Metas[data_inicio])*(Metas_Diarias[[#This Row],[data]]&lt;Metas[data_fim])),Metas[meta_mensal],0)</f>
        <v>0</v>
      </c>
      <c r="L26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6" spans="2:12" x14ac:dyDescent="0.3">
      <c r="B2646" s="34">
        <v>46107</v>
      </c>
      <c r="C2646" s="34" t="str">
        <f>TEXT(Metas_Diarias[[#This Row],[data]],"dddd")</f>
        <v>quinta-feira</v>
      </c>
      <c r="D2646" s="33">
        <v>3</v>
      </c>
      <c r="E2646" s="33">
        <v>4</v>
      </c>
      <c r="F2646" s="18"/>
      <c r="G2646" s="35">
        <f>WEEKDAY(Metas_Diarias[[#This Row],[data]])</f>
        <v>5</v>
      </c>
      <c r="H2646" s="35">
        <f>IF(Metas_Diarias[[#This Row],[dias_da_demana]]=1,"domingo",IF(Metas_Diarias[[#This Row],[dias_da_demana]]=7,0.5,1))</f>
        <v>1</v>
      </c>
      <c r="I2646" s="35">
        <f>_xlfn.XLOOKUP(Metas_Diarias[[#This Row],[data]],Feriados[Data],Feriados[Feriado],1)</f>
        <v>1</v>
      </c>
      <c r="J2646" s="33" cm="1">
        <f t="array" aca="1" ref="J2646" ca="1">SUMPRODUCT(IF((NOT(ISERROR(MATCH(ROW(INDIRECT(DATE(YEAR(B2646),MONTH(B2646),1)&amp;":"&amp;DATE(YEAR(B2646),MONTH(B2646)+1,0))),Feriados[Data],0))))=FALSE,
IF(WEEKDAY(ROW(INDIRECT(DATE(YEAR(B2646),MONTH(B2646),1)&amp;":"&amp;DATE(YEAR(B2646),MONTH(B2646)+1,0))),2)&lt;=5,1,IF(WEEKDAY(ROW(INDIRECT(DATE(YEAR(B2646),MONTH(B2646),1)&amp;":"&amp;DATE(YEAR(B2646),MONTH(B2646)+1,0))),2)=6,0.5,0)),0))</f>
        <v>24</v>
      </c>
      <c r="K2646" s="22" cm="1">
        <f t="array" ref="K2646">_xlfn.XLOOKUP(1,((Metas_Diarias[[#This Row],[tipo_equipe_id]]=Metas[equipe])*(Metas_Diarias[[#This Row],[data]]&gt;Metas[data_inicio])*(Metas_Diarias[[#This Row],[data]]&lt;Metas[data_fim])),Metas[meta_mensal],0)</f>
        <v>0</v>
      </c>
      <c r="L264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7" spans="2:12" x14ac:dyDescent="0.3">
      <c r="B2647" s="34">
        <v>46108</v>
      </c>
      <c r="C2647" s="34" t="str">
        <f>TEXT(Metas_Diarias[[#This Row],[data]],"dddd")</f>
        <v>sexta-feira</v>
      </c>
      <c r="D2647" s="33">
        <v>3</v>
      </c>
      <c r="E2647" s="33">
        <v>4</v>
      </c>
      <c r="F2647" s="18"/>
      <c r="G2647" s="35">
        <f>WEEKDAY(Metas_Diarias[[#This Row],[data]])</f>
        <v>6</v>
      </c>
      <c r="H2647" s="35">
        <f>IF(Metas_Diarias[[#This Row],[dias_da_demana]]=1,"domingo",IF(Metas_Diarias[[#This Row],[dias_da_demana]]=7,0.5,1))</f>
        <v>1</v>
      </c>
      <c r="I2647" s="35">
        <f>_xlfn.XLOOKUP(Metas_Diarias[[#This Row],[data]],Feriados[Data],Feriados[Feriado],1)</f>
        <v>1</v>
      </c>
      <c r="J2647" s="33" cm="1">
        <f t="array" aca="1" ref="J2647" ca="1">SUMPRODUCT(IF((NOT(ISERROR(MATCH(ROW(INDIRECT(DATE(YEAR(B2647),MONTH(B2647),1)&amp;":"&amp;DATE(YEAR(B2647),MONTH(B2647)+1,0))),Feriados[Data],0))))=FALSE,
IF(WEEKDAY(ROW(INDIRECT(DATE(YEAR(B2647),MONTH(B2647),1)&amp;":"&amp;DATE(YEAR(B2647),MONTH(B2647)+1,0))),2)&lt;=5,1,IF(WEEKDAY(ROW(INDIRECT(DATE(YEAR(B2647),MONTH(B2647),1)&amp;":"&amp;DATE(YEAR(B2647),MONTH(B2647)+1,0))),2)=6,0.5,0)),0))</f>
        <v>24</v>
      </c>
      <c r="K2647" s="22" cm="1">
        <f t="array" ref="K2647">_xlfn.XLOOKUP(1,((Metas_Diarias[[#This Row],[tipo_equipe_id]]=Metas[equipe])*(Metas_Diarias[[#This Row],[data]]&gt;Metas[data_inicio])*(Metas_Diarias[[#This Row],[data]]&lt;Metas[data_fim])),Metas[meta_mensal],0)</f>
        <v>0</v>
      </c>
      <c r="L264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8" spans="2:12" x14ac:dyDescent="0.3">
      <c r="B2648" s="34">
        <v>46109</v>
      </c>
      <c r="C2648" s="34" t="str">
        <f>TEXT(Metas_Diarias[[#This Row],[data]],"dddd")</f>
        <v>sábado</v>
      </c>
      <c r="D2648" s="33">
        <v>3</v>
      </c>
      <c r="E2648" s="33">
        <v>4</v>
      </c>
      <c r="F2648" s="18"/>
      <c r="G2648" s="35">
        <f>WEEKDAY(Metas_Diarias[[#This Row],[data]])</f>
        <v>7</v>
      </c>
      <c r="H2648" s="35">
        <f>IF(Metas_Diarias[[#This Row],[dias_da_demana]]=1,"domingo",IF(Metas_Diarias[[#This Row],[dias_da_demana]]=7,0.5,1))</f>
        <v>0.5</v>
      </c>
      <c r="I2648" s="35">
        <f>_xlfn.XLOOKUP(Metas_Diarias[[#This Row],[data]],Feriados[Data],Feriados[Feriado],1)</f>
        <v>1</v>
      </c>
      <c r="J2648" s="33" cm="1">
        <f t="array" aca="1" ref="J2648" ca="1">SUMPRODUCT(IF((NOT(ISERROR(MATCH(ROW(INDIRECT(DATE(YEAR(B2648),MONTH(B2648),1)&amp;":"&amp;DATE(YEAR(B2648),MONTH(B2648)+1,0))),Feriados[Data],0))))=FALSE,
IF(WEEKDAY(ROW(INDIRECT(DATE(YEAR(B2648),MONTH(B2648),1)&amp;":"&amp;DATE(YEAR(B2648),MONTH(B2648)+1,0))),2)&lt;=5,1,IF(WEEKDAY(ROW(INDIRECT(DATE(YEAR(B2648),MONTH(B2648),1)&amp;":"&amp;DATE(YEAR(B2648),MONTH(B2648)+1,0))),2)=6,0.5,0)),0))</f>
        <v>24</v>
      </c>
      <c r="K2648" s="22" cm="1">
        <f t="array" ref="K2648">_xlfn.XLOOKUP(1,((Metas_Diarias[[#This Row],[tipo_equipe_id]]=Metas[equipe])*(Metas_Diarias[[#This Row],[data]]&gt;Metas[data_inicio])*(Metas_Diarias[[#This Row],[data]]&lt;Metas[data_fim])),Metas[meta_mensal],0)</f>
        <v>0</v>
      </c>
      <c r="L264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49" spans="2:12" x14ac:dyDescent="0.3">
      <c r="B2649" s="34">
        <v>46110</v>
      </c>
      <c r="C2649" s="34" t="str">
        <f>TEXT(Metas_Diarias[[#This Row],[data]],"dddd")</f>
        <v>domingo</v>
      </c>
      <c r="D2649" s="33">
        <v>3</v>
      </c>
      <c r="E2649" s="33">
        <v>4</v>
      </c>
      <c r="F2649" s="18"/>
      <c r="G2649" s="35">
        <f>WEEKDAY(Metas_Diarias[[#This Row],[data]])</f>
        <v>1</v>
      </c>
      <c r="H2649" s="35" t="str">
        <f>IF(Metas_Diarias[[#This Row],[dias_da_demana]]=1,"domingo",IF(Metas_Diarias[[#This Row],[dias_da_demana]]=7,0.5,1))</f>
        <v>domingo</v>
      </c>
      <c r="I2649" s="35">
        <f>_xlfn.XLOOKUP(Metas_Diarias[[#This Row],[data]],Feriados[Data],Feriados[Feriado],1)</f>
        <v>1</v>
      </c>
      <c r="J2649" s="33" cm="1">
        <f t="array" aca="1" ref="J2649" ca="1">SUMPRODUCT(IF((NOT(ISERROR(MATCH(ROW(INDIRECT(DATE(YEAR(B2649),MONTH(B2649),1)&amp;":"&amp;DATE(YEAR(B2649),MONTH(B2649)+1,0))),Feriados[Data],0))))=FALSE,
IF(WEEKDAY(ROW(INDIRECT(DATE(YEAR(B2649),MONTH(B2649),1)&amp;":"&amp;DATE(YEAR(B2649),MONTH(B2649)+1,0))),2)&lt;=5,1,IF(WEEKDAY(ROW(INDIRECT(DATE(YEAR(B2649),MONTH(B2649),1)&amp;":"&amp;DATE(YEAR(B2649),MONTH(B2649)+1,0))),2)=6,0.5,0)),0))</f>
        <v>24</v>
      </c>
      <c r="K2649" s="22" cm="1">
        <f t="array" ref="K2649">_xlfn.XLOOKUP(1,((Metas_Diarias[[#This Row],[tipo_equipe_id]]=Metas[equipe])*(Metas_Diarias[[#This Row],[data]]&gt;Metas[data_inicio])*(Metas_Diarias[[#This Row],[data]]&lt;Metas[data_fim])),Metas[meta_mensal],0)</f>
        <v>0</v>
      </c>
      <c r="L264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0" spans="2:12" x14ac:dyDescent="0.3">
      <c r="B2650" s="34">
        <v>46111</v>
      </c>
      <c r="C2650" s="34" t="str">
        <f>TEXT(Metas_Diarias[[#This Row],[data]],"dddd")</f>
        <v>segunda-feira</v>
      </c>
      <c r="D2650" s="33">
        <v>3</v>
      </c>
      <c r="E2650" s="33">
        <v>4</v>
      </c>
      <c r="F2650" s="18"/>
      <c r="G2650" s="35">
        <f>WEEKDAY(Metas_Diarias[[#This Row],[data]])</f>
        <v>2</v>
      </c>
      <c r="H2650" s="35">
        <f>IF(Metas_Diarias[[#This Row],[dias_da_demana]]=1,"domingo",IF(Metas_Diarias[[#This Row],[dias_da_demana]]=7,0.5,1))</f>
        <v>1</v>
      </c>
      <c r="I2650" s="35">
        <f>_xlfn.XLOOKUP(Metas_Diarias[[#This Row],[data]],Feriados[Data],Feriados[Feriado],1)</f>
        <v>1</v>
      </c>
      <c r="J2650" s="33" cm="1">
        <f t="array" aca="1" ref="J2650" ca="1">SUMPRODUCT(IF((NOT(ISERROR(MATCH(ROW(INDIRECT(DATE(YEAR(B2650),MONTH(B2650),1)&amp;":"&amp;DATE(YEAR(B2650),MONTH(B2650)+1,0))),Feriados[Data],0))))=FALSE,
IF(WEEKDAY(ROW(INDIRECT(DATE(YEAR(B2650),MONTH(B2650),1)&amp;":"&amp;DATE(YEAR(B2650),MONTH(B2650)+1,0))),2)&lt;=5,1,IF(WEEKDAY(ROW(INDIRECT(DATE(YEAR(B2650),MONTH(B2650),1)&amp;":"&amp;DATE(YEAR(B2650),MONTH(B2650)+1,0))),2)=6,0.5,0)),0))</f>
        <v>24</v>
      </c>
      <c r="K2650" s="22" cm="1">
        <f t="array" ref="K2650">_xlfn.XLOOKUP(1,((Metas_Diarias[[#This Row],[tipo_equipe_id]]=Metas[equipe])*(Metas_Diarias[[#This Row],[data]]&gt;Metas[data_inicio])*(Metas_Diarias[[#This Row],[data]]&lt;Metas[data_fim])),Metas[meta_mensal],0)</f>
        <v>0</v>
      </c>
      <c r="L265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1" spans="2:12" x14ac:dyDescent="0.3">
      <c r="B2651" s="34">
        <v>46112</v>
      </c>
      <c r="C2651" s="34" t="str">
        <f>TEXT(Metas_Diarias[[#This Row],[data]],"dddd")</f>
        <v>terça-feira</v>
      </c>
      <c r="D2651" s="33">
        <v>3</v>
      </c>
      <c r="E2651" s="33">
        <v>4</v>
      </c>
      <c r="F2651" s="18"/>
      <c r="G2651" s="35">
        <f>WEEKDAY(Metas_Diarias[[#This Row],[data]])</f>
        <v>3</v>
      </c>
      <c r="H2651" s="35">
        <f>IF(Metas_Diarias[[#This Row],[dias_da_demana]]=1,"domingo",IF(Metas_Diarias[[#This Row],[dias_da_demana]]=7,0.5,1))</f>
        <v>1</v>
      </c>
      <c r="I2651" s="35">
        <f>_xlfn.XLOOKUP(Metas_Diarias[[#This Row],[data]],Feriados[Data],Feriados[Feriado],1)</f>
        <v>1</v>
      </c>
      <c r="J2651" s="33" cm="1">
        <f t="array" aca="1" ref="J2651" ca="1">SUMPRODUCT(IF((NOT(ISERROR(MATCH(ROW(INDIRECT(DATE(YEAR(B2651),MONTH(B2651),1)&amp;":"&amp;DATE(YEAR(B2651),MONTH(B2651)+1,0))),Feriados[Data],0))))=FALSE,
IF(WEEKDAY(ROW(INDIRECT(DATE(YEAR(B2651),MONTH(B2651),1)&amp;":"&amp;DATE(YEAR(B2651),MONTH(B2651)+1,0))),2)&lt;=5,1,IF(WEEKDAY(ROW(INDIRECT(DATE(YEAR(B2651),MONTH(B2651),1)&amp;":"&amp;DATE(YEAR(B2651),MONTH(B2651)+1,0))),2)=6,0.5,0)),0))</f>
        <v>24</v>
      </c>
      <c r="K2651" s="22" cm="1">
        <f t="array" ref="K2651">_xlfn.XLOOKUP(1,((Metas_Diarias[[#This Row],[tipo_equipe_id]]=Metas[equipe])*(Metas_Diarias[[#This Row],[data]]&gt;Metas[data_inicio])*(Metas_Diarias[[#This Row],[data]]&lt;Metas[data_fim])),Metas[meta_mensal],0)</f>
        <v>0</v>
      </c>
      <c r="L26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2" spans="2:12" x14ac:dyDescent="0.3">
      <c r="B2652" s="34">
        <v>46113</v>
      </c>
      <c r="C2652" s="34" t="str">
        <f>TEXT(Metas_Diarias[[#This Row],[data]],"dddd")</f>
        <v>quarta-feira</v>
      </c>
      <c r="D2652" s="33">
        <v>3</v>
      </c>
      <c r="E2652" s="33">
        <v>4</v>
      </c>
      <c r="F2652" s="18"/>
      <c r="G2652" s="35">
        <f>WEEKDAY(Metas_Diarias[[#This Row],[data]])</f>
        <v>4</v>
      </c>
      <c r="H2652" s="35">
        <f>IF(Metas_Diarias[[#This Row],[dias_da_demana]]=1,"domingo",IF(Metas_Diarias[[#This Row],[dias_da_demana]]=7,0.5,1))</f>
        <v>1</v>
      </c>
      <c r="I2652" s="35">
        <f>_xlfn.XLOOKUP(Metas_Diarias[[#This Row],[data]],Feriados[Data],Feriados[Feriado],1)</f>
        <v>1</v>
      </c>
      <c r="J2652" s="33" cm="1">
        <f t="array" aca="1" ref="J2652" ca="1">SUMPRODUCT(IF((NOT(ISERROR(MATCH(ROW(INDIRECT(DATE(YEAR(B2652),MONTH(B2652),1)&amp;":"&amp;DATE(YEAR(B2652),MONTH(B2652)+1,0))),Feriados[Data],0))))=FALSE,
IF(WEEKDAY(ROW(INDIRECT(DATE(YEAR(B2652),MONTH(B2652),1)&amp;":"&amp;DATE(YEAR(B2652),MONTH(B2652)+1,0))),2)&lt;=5,1,IF(WEEKDAY(ROW(INDIRECT(DATE(YEAR(B2652),MONTH(B2652),1)&amp;":"&amp;DATE(YEAR(B2652),MONTH(B2652)+1,0))),2)=6,0.5,0)),0))</f>
        <v>22</v>
      </c>
      <c r="K2652" s="22" cm="1">
        <f t="array" ref="K2652">_xlfn.XLOOKUP(1,((Metas_Diarias[[#This Row],[tipo_equipe_id]]=Metas[equipe])*(Metas_Diarias[[#This Row],[data]]&gt;Metas[data_inicio])*(Metas_Diarias[[#This Row],[data]]&lt;Metas[data_fim])),Metas[meta_mensal],0)</f>
        <v>0</v>
      </c>
      <c r="L26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3" spans="2:12" x14ac:dyDescent="0.3">
      <c r="B2653" s="34">
        <v>46114</v>
      </c>
      <c r="C2653" s="34" t="str">
        <f>TEXT(Metas_Diarias[[#This Row],[data]],"dddd")</f>
        <v>quinta-feira</v>
      </c>
      <c r="D2653" s="33">
        <v>3</v>
      </c>
      <c r="E2653" s="33">
        <v>4</v>
      </c>
      <c r="F2653" s="18"/>
      <c r="G2653" s="35">
        <f>WEEKDAY(Metas_Diarias[[#This Row],[data]])</f>
        <v>5</v>
      </c>
      <c r="H2653" s="35">
        <f>IF(Metas_Diarias[[#This Row],[dias_da_demana]]=1,"domingo",IF(Metas_Diarias[[#This Row],[dias_da_demana]]=7,0.5,1))</f>
        <v>1</v>
      </c>
      <c r="I2653" s="35">
        <f>_xlfn.XLOOKUP(Metas_Diarias[[#This Row],[data]],Feriados[Data],Feriados[Feriado],1)</f>
        <v>1</v>
      </c>
      <c r="J2653" s="33" cm="1">
        <f t="array" aca="1" ref="J2653" ca="1">SUMPRODUCT(IF((NOT(ISERROR(MATCH(ROW(INDIRECT(DATE(YEAR(B2653),MONTH(B2653),1)&amp;":"&amp;DATE(YEAR(B2653),MONTH(B2653)+1,0))),Feriados[Data],0))))=FALSE,
IF(WEEKDAY(ROW(INDIRECT(DATE(YEAR(B2653),MONTH(B2653),1)&amp;":"&amp;DATE(YEAR(B2653),MONTH(B2653)+1,0))),2)&lt;=5,1,IF(WEEKDAY(ROW(INDIRECT(DATE(YEAR(B2653),MONTH(B2653),1)&amp;":"&amp;DATE(YEAR(B2653),MONTH(B2653)+1,0))),2)=6,0.5,0)),0))</f>
        <v>22</v>
      </c>
      <c r="K2653" s="22" cm="1">
        <f t="array" ref="K2653">_xlfn.XLOOKUP(1,((Metas_Diarias[[#This Row],[tipo_equipe_id]]=Metas[equipe])*(Metas_Diarias[[#This Row],[data]]&gt;Metas[data_inicio])*(Metas_Diarias[[#This Row],[data]]&lt;Metas[data_fim])),Metas[meta_mensal],0)</f>
        <v>0</v>
      </c>
      <c r="L265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4" spans="2:12" x14ac:dyDescent="0.3">
      <c r="B2654" s="34">
        <v>46115</v>
      </c>
      <c r="C2654" s="34" t="str">
        <f>TEXT(Metas_Diarias[[#This Row],[data]],"dddd")</f>
        <v>sexta-feira</v>
      </c>
      <c r="D2654" s="33">
        <v>3</v>
      </c>
      <c r="E2654" s="33">
        <v>4</v>
      </c>
      <c r="F2654" s="18"/>
      <c r="G2654" s="35">
        <f>WEEKDAY(Metas_Diarias[[#This Row],[data]])</f>
        <v>6</v>
      </c>
      <c r="H2654" s="35">
        <f>IF(Metas_Diarias[[#This Row],[dias_da_demana]]=1,"domingo",IF(Metas_Diarias[[#This Row],[dias_da_demana]]=7,0.5,1))</f>
        <v>1</v>
      </c>
      <c r="I2654" s="35" t="str">
        <f>_xlfn.XLOOKUP(Metas_Diarias[[#This Row],[data]],Feriados[Data],Feriados[Feriado],1)</f>
        <v>Paixão de Cristo</v>
      </c>
      <c r="J2654" s="33" cm="1">
        <f t="array" aca="1" ref="J2654" ca="1">SUMPRODUCT(IF((NOT(ISERROR(MATCH(ROW(INDIRECT(DATE(YEAR(B2654),MONTH(B2654),1)&amp;":"&amp;DATE(YEAR(B2654),MONTH(B2654)+1,0))),Feriados[Data],0))))=FALSE,
IF(WEEKDAY(ROW(INDIRECT(DATE(YEAR(B2654),MONTH(B2654),1)&amp;":"&amp;DATE(YEAR(B2654),MONTH(B2654)+1,0))),2)&lt;=5,1,IF(WEEKDAY(ROW(INDIRECT(DATE(YEAR(B2654),MONTH(B2654),1)&amp;":"&amp;DATE(YEAR(B2654),MONTH(B2654)+1,0))),2)=6,0.5,0)),0))</f>
        <v>22</v>
      </c>
      <c r="K2654" s="22" cm="1">
        <f t="array" ref="K2654">_xlfn.XLOOKUP(1,((Metas_Diarias[[#This Row],[tipo_equipe_id]]=Metas[equipe])*(Metas_Diarias[[#This Row],[data]]&gt;Metas[data_inicio])*(Metas_Diarias[[#This Row],[data]]&lt;Metas[data_fim])),Metas[meta_mensal],0)</f>
        <v>0</v>
      </c>
      <c r="L265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5" spans="2:12" x14ac:dyDescent="0.3">
      <c r="B2655" s="34">
        <v>46116</v>
      </c>
      <c r="C2655" s="34" t="str">
        <f>TEXT(Metas_Diarias[[#This Row],[data]],"dddd")</f>
        <v>sábado</v>
      </c>
      <c r="D2655" s="33">
        <v>3</v>
      </c>
      <c r="E2655" s="33">
        <v>4</v>
      </c>
      <c r="F2655" s="18"/>
      <c r="G2655" s="35">
        <f>WEEKDAY(Metas_Diarias[[#This Row],[data]])</f>
        <v>7</v>
      </c>
      <c r="H2655" s="35">
        <f>IF(Metas_Diarias[[#This Row],[dias_da_demana]]=1,"domingo",IF(Metas_Diarias[[#This Row],[dias_da_demana]]=7,0.5,1))</f>
        <v>0.5</v>
      </c>
      <c r="I2655" s="35">
        <f>_xlfn.XLOOKUP(Metas_Diarias[[#This Row],[data]],Feriados[Data],Feriados[Feriado],1)</f>
        <v>1</v>
      </c>
      <c r="J2655" s="33" cm="1">
        <f t="array" aca="1" ref="J2655" ca="1">SUMPRODUCT(IF((NOT(ISERROR(MATCH(ROW(INDIRECT(DATE(YEAR(B2655),MONTH(B2655),1)&amp;":"&amp;DATE(YEAR(B2655),MONTH(B2655)+1,0))),Feriados[Data],0))))=FALSE,
IF(WEEKDAY(ROW(INDIRECT(DATE(YEAR(B2655),MONTH(B2655),1)&amp;":"&amp;DATE(YEAR(B2655),MONTH(B2655)+1,0))),2)&lt;=5,1,IF(WEEKDAY(ROW(INDIRECT(DATE(YEAR(B2655),MONTH(B2655),1)&amp;":"&amp;DATE(YEAR(B2655),MONTH(B2655)+1,0))),2)=6,0.5,0)),0))</f>
        <v>22</v>
      </c>
      <c r="K2655" s="22" cm="1">
        <f t="array" ref="K2655">_xlfn.XLOOKUP(1,((Metas_Diarias[[#This Row],[tipo_equipe_id]]=Metas[equipe])*(Metas_Diarias[[#This Row],[data]]&gt;Metas[data_inicio])*(Metas_Diarias[[#This Row],[data]]&lt;Metas[data_fim])),Metas[meta_mensal],0)</f>
        <v>0</v>
      </c>
      <c r="L265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6" spans="2:12" x14ac:dyDescent="0.3">
      <c r="B2656" s="34">
        <v>46117</v>
      </c>
      <c r="C2656" s="34" t="str">
        <f>TEXT(Metas_Diarias[[#This Row],[data]],"dddd")</f>
        <v>domingo</v>
      </c>
      <c r="D2656" s="33">
        <v>3</v>
      </c>
      <c r="E2656" s="33">
        <v>4</v>
      </c>
      <c r="F2656" s="18"/>
      <c r="G2656" s="35">
        <f>WEEKDAY(Metas_Diarias[[#This Row],[data]])</f>
        <v>1</v>
      </c>
      <c r="H2656" s="35" t="str">
        <f>IF(Metas_Diarias[[#This Row],[dias_da_demana]]=1,"domingo",IF(Metas_Diarias[[#This Row],[dias_da_demana]]=7,0.5,1))</f>
        <v>domingo</v>
      </c>
      <c r="I2656" s="35">
        <f>_xlfn.XLOOKUP(Metas_Diarias[[#This Row],[data]],Feriados[Data],Feriados[Feriado],1)</f>
        <v>1</v>
      </c>
      <c r="J2656" s="33" cm="1">
        <f t="array" aca="1" ref="J2656" ca="1">SUMPRODUCT(IF((NOT(ISERROR(MATCH(ROW(INDIRECT(DATE(YEAR(B2656),MONTH(B2656),1)&amp;":"&amp;DATE(YEAR(B2656),MONTH(B2656)+1,0))),Feriados[Data],0))))=FALSE,
IF(WEEKDAY(ROW(INDIRECT(DATE(YEAR(B2656),MONTH(B2656),1)&amp;":"&amp;DATE(YEAR(B2656),MONTH(B2656)+1,0))),2)&lt;=5,1,IF(WEEKDAY(ROW(INDIRECT(DATE(YEAR(B2656),MONTH(B2656),1)&amp;":"&amp;DATE(YEAR(B2656),MONTH(B2656)+1,0))),2)=6,0.5,0)),0))</f>
        <v>22</v>
      </c>
      <c r="K2656" s="22" cm="1">
        <f t="array" ref="K2656">_xlfn.XLOOKUP(1,((Metas_Diarias[[#This Row],[tipo_equipe_id]]=Metas[equipe])*(Metas_Diarias[[#This Row],[data]]&gt;Metas[data_inicio])*(Metas_Diarias[[#This Row],[data]]&lt;Metas[data_fim])),Metas[meta_mensal],0)</f>
        <v>0</v>
      </c>
      <c r="L265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7" spans="2:12" x14ac:dyDescent="0.3">
      <c r="B2657" s="34">
        <v>46118</v>
      </c>
      <c r="C2657" s="34" t="str">
        <f>TEXT(Metas_Diarias[[#This Row],[data]],"dddd")</f>
        <v>segunda-feira</v>
      </c>
      <c r="D2657" s="33">
        <v>3</v>
      </c>
      <c r="E2657" s="33">
        <v>4</v>
      </c>
      <c r="F2657" s="18"/>
      <c r="G2657" s="35">
        <f>WEEKDAY(Metas_Diarias[[#This Row],[data]])</f>
        <v>2</v>
      </c>
      <c r="H2657" s="35">
        <f>IF(Metas_Diarias[[#This Row],[dias_da_demana]]=1,"domingo",IF(Metas_Diarias[[#This Row],[dias_da_demana]]=7,0.5,1))</f>
        <v>1</v>
      </c>
      <c r="I2657" s="35">
        <f>_xlfn.XLOOKUP(Metas_Diarias[[#This Row],[data]],Feriados[Data],Feriados[Feriado],1)</f>
        <v>1</v>
      </c>
      <c r="J2657" s="33" cm="1">
        <f t="array" aca="1" ref="J2657" ca="1">SUMPRODUCT(IF((NOT(ISERROR(MATCH(ROW(INDIRECT(DATE(YEAR(B2657),MONTH(B2657),1)&amp;":"&amp;DATE(YEAR(B2657),MONTH(B2657)+1,0))),Feriados[Data],0))))=FALSE,
IF(WEEKDAY(ROW(INDIRECT(DATE(YEAR(B2657),MONTH(B2657),1)&amp;":"&amp;DATE(YEAR(B2657),MONTH(B2657)+1,0))),2)&lt;=5,1,IF(WEEKDAY(ROW(INDIRECT(DATE(YEAR(B2657),MONTH(B2657),1)&amp;":"&amp;DATE(YEAR(B2657),MONTH(B2657)+1,0))),2)=6,0.5,0)),0))</f>
        <v>22</v>
      </c>
      <c r="K2657" s="22" cm="1">
        <f t="array" ref="K2657">_xlfn.XLOOKUP(1,((Metas_Diarias[[#This Row],[tipo_equipe_id]]=Metas[equipe])*(Metas_Diarias[[#This Row],[data]]&gt;Metas[data_inicio])*(Metas_Diarias[[#This Row],[data]]&lt;Metas[data_fim])),Metas[meta_mensal],0)</f>
        <v>0</v>
      </c>
      <c r="L265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8" spans="2:12" x14ac:dyDescent="0.3">
      <c r="B2658" s="34">
        <v>46119</v>
      </c>
      <c r="C2658" s="34" t="str">
        <f>TEXT(Metas_Diarias[[#This Row],[data]],"dddd")</f>
        <v>terça-feira</v>
      </c>
      <c r="D2658" s="33">
        <v>3</v>
      </c>
      <c r="E2658" s="33">
        <v>4</v>
      </c>
      <c r="F2658" s="18"/>
      <c r="G2658" s="35">
        <f>WEEKDAY(Metas_Diarias[[#This Row],[data]])</f>
        <v>3</v>
      </c>
      <c r="H2658" s="35">
        <f>IF(Metas_Diarias[[#This Row],[dias_da_demana]]=1,"domingo",IF(Metas_Diarias[[#This Row],[dias_da_demana]]=7,0.5,1))</f>
        <v>1</v>
      </c>
      <c r="I2658" s="35">
        <f>_xlfn.XLOOKUP(Metas_Diarias[[#This Row],[data]],Feriados[Data],Feriados[Feriado],1)</f>
        <v>1</v>
      </c>
      <c r="J2658" s="33" cm="1">
        <f t="array" aca="1" ref="J2658" ca="1">SUMPRODUCT(IF((NOT(ISERROR(MATCH(ROW(INDIRECT(DATE(YEAR(B2658),MONTH(B2658),1)&amp;":"&amp;DATE(YEAR(B2658),MONTH(B2658)+1,0))),Feriados[Data],0))))=FALSE,
IF(WEEKDAY(ROW(INDIRECT(DATE(YEAR(B2658),MONTH(B2658),1)&amp;":"&amp;DATE(YEAR(B2658),MONTH(B2658)+1,0))),2)&lt;=5,1,IF(WEEKDAY(ROW(INDIRECT(DATE(YEAR(B2658),MONTH(B2658),1)&amp;":"&amp;DATE(YEAR(B2658),MONTH(B2658)+1,0))),2)=6,0.5,0)),0))</f>
        <v>22</v>
      </c>
      <c r="K2658" s="22" cm="1">
        <f t="array" ref="K2658">_xlfn.XLOOKUP(1,((Metas_Diarias[[#This Row],[tipo_equipe_id]]=Metas[equipe])*(Metas_Diarias[[#This Row],[data]]&gt;Metas[data_inicio])*(Metas_Diarias[[#This Row],[data]]&lt;Metas[data_fim])),Metas[meta_mensal],0)</f>
        <v>0</v>
      </c>
      <c r="L265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59" spans="2:12" x14ac:dyDescent="0.3">
      <c r="B2659" s="34">
        <v>46120</v>
      </c>
      <c r="C2659" s="34" t="str">
        <f>TEXT(Metas_Diarias[[#This Row],[data]],"dddd")</f>
        <v>quarta-feira</v>
      </c>
      <c r="D2659" s="33">
        <v>3</v>
      </c>
      <c r="E2659" s="33">
        <v>4</v>
      </c>
      <c r="F2659" s="18"/>
      <c r="G2659" s="35">
        <f>WEEKDAY(Metas_Diarias[[#This Row],[data]])</f>
        <v>4</v>
      </c>
      <c r="H2659" s="35">
        <f>IF(Metas_Diarias[[#This Row],[dias_da_demana]]=1,"domingo",IF(Metas_Diarias[[#This Row],[dias_da_demana]]=7,0.5,1))</f>
        <v>1</v>
      </c>
      <c r="I2659" s="35">
        <f>_xlfn.XLOOKUP(Metas_Diarias[[#This Row],[data]],Feriados[Data],Feriados[Feriado],1)</f>
        <v>1</v>
      </c>
      <c r="J2659" s="33" cm="1">
        <f t="array" aca="1" ref="J2659" ca="1">SUMPRODUCT(IF((NOT(ISERROR(MATCH(ROW(INDIRECT(DATE(YEAR(B2659),MONTH(B2659),1)&amp;":"&amp;DATE(YEAR(B2659),MONTH(B2659)+1,0))),Feriados[Data],0))))=FALSE,
IF(WEEKDAY(ROW(INDIRECT(DATE(YEAR(B2659),MONTH(B2659),1)&amp;":"&amp;DATE(YEAR(B2659),MONTH(B2659)+1,0))),2)&lt;=5,1,IF(WEEKDAY(ROW(INDIRECT(DATE(YEAR(B2659),MONTH(B2659),1)&amp;":"&amp;DATE(YEAR(B2659),MONTH(B2659)+1,0))),2)=6,0.5,0)),0))</f>
        <v>22</v>
      </c>
      <c r="K2659" s="22" cm="1">
        <f t="array" ref="K2659">_xlfn.XLOOKUP(1,((Metas_Diarias[[#This Row],[tipo_equipe_id]]=Metas[equipe])*(Metas_Diarias[[#This Row],[data]]&gt;Metas[data_inicio])*(Metas_Diarias[[#This Row],[data]]&lt;Metas[data_fim])),Metas[meta_mensal],0)</f>
        <v>0</v>
      </c>
      <c r="L26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0" spans="2:12" x14ac:dyDescent="0.3">
      <c r="B2660" s="34">
        <v>46121</v>
      </c>
      <c r="C2660" s="34" t="str">
        <f>TEXT(Metas_Diarias[[#This Row],[data]],"dddd")</f>
        <v>quinta-feira</v>
      </c>
      <c r="D2660" s="33">
        <v>3</v>
      </c>
      <c r="E2660" s="33">
        <v>4</v>
      </c>
      <c r="F2660" s="18"/>
      <c r="G2660" s="35">
        <f>WEEKDAY(Metas_Diarias[[#This Row],[data]])</f>
        <v>5</v>
      </c>
      <c r="H2660" s="35">
        <f>IF(Metas_Diarias[[#This Row],[dias_da_demana]]=1,"domingo",IF(Metas_Diarias[[#This Row],[dias_da_demana]]=7,0.5,1))</f>
        <v>1</v>
      </c>
      <c r="I2660" s="35">
        <f>_xlfn.XLOOKUP(Metas_Diarias[[#This Row],[data]],Feriados[Data],Feriados[Feriado],1)</f>
        <v>1</v>
      </c>
      <c r="J2660" s="33" cm="1">
        <f t="array" aca="1" ref="J2660" ca="1">SUMPRODUCT(IF((NOT(ISERROR(MATCH(ROW(INDIRECT(DATE(YEAR(B2660),MONTH(B2660),1)&amp;":"&amp;DATE(YEAR(B2660),MONTH(B2660)+1,0))),Feriados[Data],0))))=FALSE,
IF(WEEKDAY(ROW(INDIRECT(DATE(YEAR(B2660),MONTH(B2660),1)&amp;":"&amp;DATE(YEAR(B2660),MONTH(B2660)+1,0))),2)&lt;=5,1,IF(WEEKDAY(ROW(INDIRECT(DATE(YEAR(B2660),MONTH(B2660),1)&amp;":"&amp;DATE(YEAR(B2660),MONTH(B2660)+1,0))),2)=6,0.5,0)),0))</f>
        <v>22</v>
      </c>
      <c r="K2660" s="22" cm="1">
        <f t="array" ref="K2660">_xlfn.XLOOKUP(1,((Metas_Diarias[[#This Row],[tipo_equipe_id]]=Metas[equipe])*(Metas_Diarias[[#This Row],[data]]&gt;Metas[data_inicio])*(Metas_Diarias[[#This Row],[data]]&lt;Metas[data_fim])),Metas[meta_mensal],0)</f>
        <v>0</v>
      </c>
      <c r="L266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1" spans="2:12" x14ac:dyDescent="0.3">
      <c r="B2661" s="34">
        <v>46122</v>
      </c>
      <c r="C2661" s="34" t="str">
        <f>TEXT(Metas_Diarias[[#This Row],[data]],"dddd")</f>
        <v>sexta-feira</v>
      </c>
      <c r="D2661" s="33">
        <v>3</v>
      </c>
      <c r="E2661" s="33">
        <v>4</v>
      </c>
      <c r="F2661" s="18"/>
      <c r="G2661" s="35">
        <f>WEEKDAY(Metas_Diarias[[#This Row],[data]])</f>
        <v>6</v>
      </c>
      <c r="H2661" s="35">
        <f>IF(Metas_Diarias[[#This Row],[dias_da_demana]]=1,"domingo",IF(Metas_Diarias[[#This Row],[dias_da_demana]]=7,0.5,1))</f>
        <v>1</v>
      </c>
      <c r="I2661" s="35">
        <f>_xlfn.XLOOKUP(Metas_Diarias[[#This Row],[data]],Feriados[Data],Feriados[Feriado],1)</f>
        <v>1</v>
      </c>
      <c r="J2661" s="33" cm="1">
        <f t="array" aca="1" ref="J2661" ca="1">SUMPRODUCT(IF((NOT(ISERROR(MATCH(ROW(INDIRECT(DATE(YEAR(B2661),MONTH(B2661),1)&amp;":"&amp;DATE(YEAR(B2661),MONTH(B2661)+1,0))),Feriados[Data],0))))=FALSE,
IF(WEEKDAY(ROW(INDIRECT(DATE(YEAR(B2661),MONTH(B2661),1)&amp;":"&amp;DATE(YEAR(B2661),MONTH(B2661)+1,0))),2)&lt;=5,1,IF(WEEKDAY(ROW(INDIRECT(DATE(YEAR(B2661),MONTH(B2661),1)&amp;":"&amp;DATE(YEAR(B2661),MONTH(B2661)+1,0))),2)=6,0.5,0)),0))</f>
        <v>22</v>
      </c>
      <c r="K2661" s="22" cm="1">
        <f t="array" ref="K2661">_xlfn.XLOOKUP(1,((Metas_Diarias[[#This Row],[tipo_equipe_id]]=Metas[equipe])*(Metas_Diarias[[#This Row],[data]]&gt;Metas[data_inicio])*(Metas_Diarias[[#This Row],[data]]&lt;Metas[data_fim])),Metas[meta_mensal],0)</f>
        <v>0</v>
      </c>
      <c r="L26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2" spans="2:12" x14ac:dyDescent="0.3">
      <c r="B2662" s="34">
        <v>46123</v>
      </c>
      <c r="C2662" s="34" t="str">
        <f>TEXT(Metas_Diarias[[#This Row],[data]],"dddd")</f>
        <v>sábado</v>
      </c>
      <c r="D2662" s="33">
        <v>3</v>
      </c>
      <c r="E2662" s="33">
        <v>4</v>
      </c>
      <c r="F2662" s="18"/>
      <c r="G2662" s="35">
        <f>WEEKDAY(Metas_Diarias[[#This Row],[data]])</f>
        <v>7</v>
      </c>
      <c r="H2662" s="35">
        <f>IF(Metas_Diarias[[#This Row],[dias_da_demana]]=1,"domingo",IF(Metas_Diarias[[#This Row],[dias_da_demana]]=7,0.5,1))</f>
        <v>0.5</v>
      </c>
      <c r="I2662" s="35">
        <f>_xlfn.XLOOKUP(Metas_Diarias[[#This Row],[data]],Feriados[Data],Feriados[Feriado],1)</f>
        <v>1</v>
      </c>
      <c r="J2662" s="33" cm="1">
        <f t="array" aca="1" ref="J2662" ca="1">SUMPRODUCT(IF((NOT(ISERROR(MATCH(ROW(INDIRECT(DATE(YEAR(B2662),MONTH(B2662),1)&amp;":"&amp;DATE(YEAR(B2662),MONTH(B2662)+1,0))),Feriados[Data],0))))=FALSE,
IF(WEEKDAY(ROW(INDIRECT(DATE(YEAR(B2662),MONTH(B2662),1)&amp;":"&amp;DATE(YEAR(B2662),MONTH(B2662)+1,0))),2)&lt;=5,1,IF(WEEKDAY(ROW(INDIRECT(DATE(YEAR(B2662),MONTH(B2662),1)&amp;":"&amp;DATE(YEAR(B2662),MONTH(B2662)+1,0))),2)=6,0.5,0)),0))</f>
        <v>22</v>
      </c>
      <c r="K2662" s="22" cm="1">
        <f t="array" ref="K2662">_xlfn.XLOOKUP(1,((Metas_Diarias[[#This Row],[tipo_equipe_id]]=Metas[equipe])*(Metas_Diarias[[#This Row],[data]]&gt;Metas[data_inicio])*(Metas_Diarias[[#This Row],[data]]&lt;Metas[data_fim])),Metas[meta_mensal],0)</f>
        <v>0</v>
      </c>
      <c r="L266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3" spans="2:12" x14ac:dyDescent="0.3">
      <c r="B2663" s="34">
        <v>46124</v>
      </c>
      <c r="C2663" s="34" t="str">
        <f>TEXT(Metas_Diarias[[#This Row],[data]],"dddd")</f>
        <v>domingo</v>
      </c>
      <c r="D2663" s="33">
        <v>3</v>
      </c>
      <c r="E2663" s="33">
        <v>4</v>
      </c>
      <c r="F2663" s="18"/>
      <c r="G2663" s="35">
        <f>WEEKDAY(Metas_Diarias[[#This Row],[data]])</f>
        <v>1</v>
      </c>
      <c r="H2663" s="35" t="str">
        <f>IF(Metas_Diarias[[#This Row],[dias_da_demana]]=1,"domingo",IF(Metas_Diarias[[#This Row],[dias_da_demana]]=7,0.5,1))</f>
        <v>domingo</v>
      </c>
      <c r="I2663" s="35">
        <f>_xlfn.XLOOKUP(Metas_Diarias[[#This Row],[data]],Feriados[Data],Feriados[Feriado],1)</f>
        <v>1</v>
      </c>
      <c r="J2663" s="33" cm="1">
        <f t="array" aca="1" ref="J2663" ca="1">SUMPRODUCT(IF((NOT(ISERROR(MATCH(ROW(INDIRECT(DATE(YEAR(B2663),MONTH(B2663),1)&amp;":"&amp;DATE(YEAR(B2663),MONTH(B2663)+1,0))),Feriados[Data],0))))=FALSE,
IF(WEEKDAY(ROW(INDIRECT(DATE(YEAR(B2663),MONTH(B2663),1)&amp;":"&amp;DATE(YEAR(B2663),MONTH(B2663)+1,0))),2)&lt;=5,1,IF(WEEKDAY(ROW(INDIRECT(DATE(YEAR(B2663),MONTH(B2663),1)&amp;":"&amp;DATE(YEAR(B2663),MONTH(B2663)+1,0))),2)=6,0.5,0)),0))</f>
        <v>22</v>
      </c>
      <c r="K2663" s="22" cm="1">
        <f t="array" ref="K2663">_xlfn.XLOOKUP(1,((Metas_Diarias[[#This Row],[tipo_equipe_id]]=Metas[equipe])*(Metas_Diarias[[#This Row],[data]]&gt;Metas[data_inicio])*(Metas_Diarias[[#This Row],[data]]&lt;Metas[data_fim])),Metas[meta_mensal],0)</f>
        <v>0</v>
      </c>
      <c r="L266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4" spans="2:12" x14ac:dyDescent="0.3">
      <c r="B2664" s="34">
        <v>46125</v>
      </c>
      <c r="C2664" s="34" t="str">
        <f>TEXT(Metas_Diarias[[#This Row],[data]],"dddd")</f>
        <v>segunda-feira</v>
      </c>
      <c r="D2664" s="33">
        <v>3</v>
      </c>
      <c r="E2664" s="33">
        <v>4</v>
      </c>
      <c r="F2664" s="18"/>
      <c r="G2664" s="35">
        <f>WEEKDAY(Metas_Diarias[[#This Row],[data]])</f>
        <v>2</v>
      </c>
      <c r="H2664" s="35">
        <f>IF(Metas_Diarias[[#This Row],[dias_da_demana]]=1,"domingo",IF(Metas_Diarias[[#This Row],[dias_da_demana]]=7,0.5,1))</f>
        <v>1</v>
      </c>
      <c r="I2664" s="35">
        <f>_xlfn.XLOOKUP(Metas_Diarias[[#This Row],[data]],Feriados[Data],Feriados[Feriado],1)</f>
        <v>1</v>
      </c>
      <c r="J2664" s="33" cm="1">
        <f t="array" aca="1" ref="J2664" ca="1">SUMPRODUCT(IF((NOT(ISERROR(MATCH(ROW(INDIRECT(DATE(YEAR(B2664),MONTH(B2664),1)&amp;":"&amp;DATE(YEAR(B2664),MONTH(B2664)+1,0))),Feriados[Data],0))))=FALSE,
IF(WEEKDAY(ROW(INDIRECT(DATE(YEAR(B2664),MONTH(B2664),1)&amp;":"&amp;DATE(YEAR(B2664),MONTH(B2664)+1,0))),2)&lt;=5,1,IF(WEEKDAY(ROW(INDIRECT(DATE(YEAR(B2664),MONTH(B2664),1)&amp;":"&amp;DATE(YEAR(B2664),MONTH(B2664)+1,0))),2)=6,0.5,0)),0))</f>
        <v>22</v>
      </c>
      <c r="K2664" s="22" cm="1">
        <f t="array" ref="K2664">_xlfn.XLOOKUP(1,((Metas_Diarias[[#This Row],[tipo_equipe_id]]=Metas[equipe])*(Metas_Diarias[[#This Row],[data]]&gt;Metas[data_inicio])*(Metas_Diarias[[#This Row],[data]]&lt;Metas[data_fim])),Metas[meta_mensal],0)</f>
        <v>0</v>
      </c>
      <c r="L266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5" spans="2:12" x14ac:dyDescent="0.3">
      <c r="B2665" s="34">
        <v>46126</v>
      </c>
      <c r="C2665" s="34" t="str">
        <f>TEXT(Metas_Diarias[[#This Row],[data]],"dddd")</f>
        <v>terça-feira</v>
      </c>
      <c r="D2665" s="33">
        <v>3</v>
      </c>
      <c r="E2665" s="33">
        <v>4</v>
      </c>
      <c r="F2665" s="18"/>
      <c r="G2665" s="35">
        <f>WEEKDAY(Metas_Diarias[[#This Row],[data]])</f>
        <v>3</v>
      </c>
      <c r="H2665" s="35">
        <f>IF(Metas_Diarias[[#This Row],[dias_da_demana]]=1,"domingo",IF(Metas_Diarias[[#This Row],[dias_da_demana]]=7,0.5,1))</f>
        <v>1</v>
      </c>
      <c r="I2665" s="35">
        <f>_xlfn.XLOOKUP(Metas_Diarias[[#This Row],[data]],Feriados[Data],Feriados[Feriado],1)</f>
        <v>1</v>
      </c>
      <c r="J2665" s="33" cm="1">
        <f t="array" aca="1" ref="J2665" ca="1">SUMPRODUCT(IF((NOT(ISERROR(MATCH(ROW(INDIRECT(DATE(YEAR(B2665),MONTH(B2665),1)&amp;":"&amp;DATE(YEAR(B2665),MONTH(B2665)+1,0))),Feriados[Data],0))))=FALSE,
IF(WEEKDAY(ROW(INDIRECT(DATE(YEAR(B2665),MONTH(B2665),1)&amp;":"&amp;DATE(YEAR(B2665),MONTH(B2665)+1,0))),2)&lt;=5,1,IF(WEEKDAY(ROW(INDIRECT(DATE(YEAR(B2665),MONTH(B2665),1)&amp;":"&amp;DATE(YEAR(B2665),MONTH(B2665)+1,0))),2)=6,0.5,0)),0))</f>
        <v>22</v>
      </c>
      <c r="K2665" s="22" cm="1">
        <f t="array" ref="K2665">_xlfn.XLOOKUP(1,((Metas_Diarias[[#This Row],[tipo_equipe_id]]=Metas[equipe])*(Metas_Diarias[[#This Row],[data]]&gt;Metas[data_inicio])*(Metas_Diarias[[#This Row],[data]]&lt;Metas[data_fim])),Metas[meta_mensal],0)</f>
        <v>0</v>
      </c>
      <c r="L266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6" spans="2:12" x14ac:dyDescent="0.3">
      <c r="B2666" s="34">
        <v>46127</v>
      </c>
      <c r="C2666" s="34" t="str">
        <f>TEXT(Metas_Diarias[[#This Row],[data]],"dddd")</f>
        <v>quarta-feira</v>
      </c>
      <c r="D2666" s="33">
        <v>3</v>
      </c>
      <c r="E2666" s="33">
        <v>4</v>
      </c>
      <c r="F2666" s="18"/>
      <c r="G2666" s="35">
        <f>WEEKDAY(Metas_Diarias[[#This Row],[data]])</f>
        <v>4</v>
      </c>
      <c r="H2666" s="35">
        <f>IF(Metas_Diarias[[#This Row],[dias_da_demana]]=1,"domingo",IF(Metas_Diarias[[#This Row],[dias_da_demana]]=7,0.5,1))</f>
        <v>1</v>
      </c>
      <c r="I2666" s="35">
        <f>_xlfn.XLOOKUP(Metas_Diarias[[#This Row],[data]],Feriados[Data],Feriados[Feriado],1)</f>
        <v>1</v>
      </c>
      <c r="J2666" s="33" cm="1">
        <f t="array" aca="1" ref="J2666" ca="1">SUMPRODUCT(IF((NOT(ISERROR(MATCH(ROW(INDIRECT(DATE(YEAR(B2666),MONTH(B2666),1)&amp;":"&amp;DATE(YEAR(B2666),MONTH(B2666)+1,0))),Feriados[Data],0))))=FALSE,
IF(WEEKDAY(ROW(INDIRECT(DATE(YEAR(B2666),MONTH(B2666),1)&amp;":"&amp;DATE(YEAR(B2666),MONTH(B2666)+1,0))),2)&lt;=5,1,IF(WEEKDAY(ROW(INDIRECT(DATE(YEAR(B2666),MONTH(B2666),1)&amp;":"&amp;DATE(YEAR(B2666),MONTH(B2666)+1,0))),2)=6,0.5,0)),0))</f>
        <v>22</v>
      </c>
      <c r="K2666" s="22" cm="1">
        <f t="array" ref="K2666">_xlfn.XLOOKUP(1,((Metas_Diarias[[#This Row],[tipo_equipe_id]]=Metas[equipe])*(Metas_Diarias[[#This Row],[data]]&gt;Metas[data_inicio])*(Metas_Diarias[[#This Row],[data]]&lt;Metas[data_fim])),Metas[meta_mensal],0)</f>
        <v>0</v>
      </c>
      <c r="L26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7" spans="2:12" x14ac:dyDescent="0.3">
      <c r="B2667" s="34">
        <v>46128</v>
      </c>
      <c r="C2667" s="34" t="str">
        <f>TEXT(Metas_Diarias[[#This Row],[data]],"dddd")</f>
        <v>quinta-feira</v>
      </c>
      <c r="D2667" s="33">
        <v>3</v>
      </c>
      <c r="E2667" s="33">
        <v>4</v>
      </c>
      <c r="F2667" s="18"/>
      <c r="G2667" s="35">
        <f>WEEKDAY(Metas_Diarias[[#This Row],[data]])</f>
        <v>5</v>
      </c>
      <c r="H2667" s="35">
        <f>IF(Metas_Diarias[[#This Row],[dias_da_demana]]=1,"domingo",IF(Metas_Diarias[[#This Row],[dias_da_demana]]=7,0.5,1))</f>
        <v>1</v>
      </c>
      <c r="I2667" s="35">
        <f>_xlfn.XLOOKUP(Metas_Diarias[[#This Row],[data]],Feriados[Data],Feriados[Feriado],1)</f>
        <v>1</v>
      </c>
      <c r="J2667" s="33" cm="1">
        <f t="array" aca="1" ref="J2667" ca="1">SUMPRODUCT(IF((NOT(ISERROR(MATCH(ROW(INDIRECT(DATE(YEAR(B2667),MONTH(B2667),1)&amp;":"&amp;DATE(YEAR(B2667),MONTH(B2667)+1,0))),Feriados[Data],0))))=FALSE,
IF(WEEKDAY(ROW(INDIRECT(DATE(YEAR(B2667),MONTH(B2667),1)&amp;":"&amp;DATE(YEAR(B2667),MONTH(B2667)+1,0))),2)&lt;=5,1,IF(WEEKDAY(ROW(INDIRECT(DATE(YEAR(B2667),MONTH(B2667),1)&amp;":"&amp;DATE(YEAR(B2667),MONTH(B2667)+1,0))),2)=6,0.5,0)),0))</f>
        <v>22</v>
      </c>
      <c r="K2667" s="22" cm="1">
        <f t="array" ref="K2667">_xlfn.XLOOKUP(1,((Metas_Diarias[[#This Row],[tipo_equipe_id]]=Metas[equipe])*(Metas_Diarias[[#This Row],[data]]&gt;Metas[data_inicio])*(Metas_Diarias[[#This Row],[data]]&lt;Metas[data_fim])),Metas[meta_mensal],0)</f>
        <v>0</v>
      </c>
      <c r="L266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8" spans="2:12" x14ac:dyDescent="0.3">
      <c r="B2668" s="34">
        <v>46129</v>
      </c>
      <c r="C2668" s="34" t="str">
        <f>TEXT(Metas_Diarias[[#This Row],[data]],"dddd")</f>
        <v>sexta-feira</v>
      </c>
      <c r="D2668" s="33">
        <v>3</v>
      </c>
      <c r="E2668" s="33">
        <v>4</v>
      </c>
      <c r="F2668" s="18"/>
      <c r="G2668" s="35">
        <f>WEEKDAY(Metas_Diarias[[#This Row],[data]])</f>
        <v>6</v>
      </c>
      <c r="H2668" s="35">
        <f>IF(Metas_Diarias[[#This Row],[dias_da_demana]]=1,"domingo",IF(Metas_Diarias[[#This Row],[dias_da_demana]]=7,0.5,1))</f>
        <v>1</v>
      </c>
      <c r="I2668" s="35">
        <f>_xlfn.XLOOKUP(Metas_Diarias[[#This Row],[data]],Feriados[Data],Feriados[Feriado],1)</f>
        <v>1</v>
      </c>
      <c r="J2668" s="33" cm="1">
        <f t="array" aca="1" ref="J2668" ca="1">SUMPRODUCT(IF((NOT(ISERROR(MATCH(ROW(INDIRECT(DATE(YEAR(B2668),MONTH(B2668),1)&amp;":"&amp;DATE(YEAR(B2668),MONTH(B2668)+1,0))),Feriados[Data],0))))=FALSE,
IF(WEEKDAY(ROW(INDIRECT(DATE(YEAR(B2668),MONTH(B2668),1)&amp;":"&amp;DATE(YEAR(B2668),MONTH(B2668)+1,0))),2)&lt;=5,1,IF(WEEKDAY(ROW(INDIRECT(DATE(YEAR(B2668),MONTH(B2668),1)&amp;":"&amp;DATE(YEAR(B2668),MONTH(B2668)+1,0))),2)=6,0.5,0)),0))</f>
        <v>22</v>
      </c>
      <c r="K2668" s="22" cm="1">
        <f t="array" ref="K2668">_xlfn.XLOOKUP(1,((Metas_Diarias[[#This Row],[tipo_equipe_id]]=Metas[equipe])*(Metas_Diarias[[#This Row],[data]]&gt;Metas[data_inicio])*(Metas_Diarias[[#This Row],[data]]&lt;Metas[data_fim])),Metas[meta_mensal],0)</f>
        <v>0</v>
      </c>
      <c r="L26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69" spans="2:12" x14ac:dyDescent="0.3">
      <c r="B2669" s="34">
        <v>46130</v>
      </c>
      <c r="C2669" s="34" t="str">
        <f>TEXT(Metas_Diarias[[#This Row],[data]],"dddd")</f>
        <v>sábado</v>
      </c>
      <c r="D2669" s="33">
        <v>3</v>
      </c>
      <c r="E2669" s="33">
        <v>4</v>
      </c>
      <c r="F2669" s="18"/>
      <c r="G2669" s="35">
        <f>WEEKDAY(Metas_Diarias[[#This Row],[data]])</f>
        <v>7</v>
      </c>
      <c r="H2669" s="35">
        <f>IF(Metas_Diarias[[#This Row],[dias_da_demana]]=1,"domingo",IF(Metas_Diarias[[#This Row],[dias_da_demana]]=7,0.5,1))</f>
        <v>0.5</v>
      </c>
      <c r="I2669" s="35">
        <f>_xlfn.XLOOKUP(Metas_Diarias[[#This Row],[data]],Feriados[Data],Feriados[Feriado],1)</f>
        <v>1</v>
      </c>
      <c r="J2669" s="33" cm="1">
        <f t="array" aca="1" ref="J2669" ca="1">SUMPRODUCT(IF((NOT(ISERROR(MATCH(ROW(INDIRECT(DATE(YEAR(B2669),MONTH(B2669),1)&amp;":"&amp;DATE(YEAR(B2669),MONTH(B2669)+1,0))),Feriados[Data],0))))=FALSE,
IF(WEEKDAY(ROW(INDIRECT(DATE(YEAR(B2669),MONTH(B2669),1)&amp;":"&amp;DATE(YEAR(B2669),MONTH(B2669)+1,0))),2)&lt;=5,1,IF(WEEKDAY(ROW(INDIRECT(DATE(YEAR(B2669),MONTH(B2669),1)&amp;":"&amp;DATE(YEAR(B2669),MONTH(B2669)+1,0))),2)=6,0.5,0)),0))</f>
        <v>22</v>
      </c>
      <c r="K2669" s="22" cm="1">
        <f t="array" ref="K2669">_xlfn.XLOOKUP(1,((Metas_Diarias[[#This Row],[tipo_equipe_id]]=Metas[equipe])*(Metas_Diarias[[#This Row],[data]]&gt;Metas[data_inicio])*(Metas_Diarias[[#This Row],[data]]&lt;Metas[data_fim])),Metas[meta_mensal],0)</f>
        <v>0</v>
      </c>
      <c r="L266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0" spans="2:12" x14ac:dyDescent="0.3">
      <c r="B2670" s="34">
        <v>46131</v>
      </c>
      <c r="C2670" s="34" t="str">
        <f>TEXT(Metas_Diarias[[#This Row],[data]],"dddd")</f>
        <v>domingo</v>
      </c>
      <c r="D2670" s="33">
        <v>3</v>
      </c>
      <c r="E2670" s="33">
        <v>4</v>
      </c>
      <c r="F2670" s="18"/>
      <c r="G2670" s="35">
        <f>WEEKDAY(Metas_Diarias[[#This Row],[data]])</f>
        <v>1</v>
      </c>
      <c r="H2670" s="35" t="str">
        <f>IF(Metas_Diarias[[#This Row],[dias_da_demana]]=1,"domingo",IF(Metas_Diarias[[#This Row],[dias_da_demana]]=7,0.5,1))</f>
        <v>domingo</v>
      </c>
      <c r="I2670" s="35">
        <f>_xlfn.XLOOKUP(Metas_Diarias[[#This Row],[data]],Feriados[Data],Feriados[Feriado],1)</f>
        <v>1</v>
      </c>
      <c r="J2670" s="33" cm="1">
        <f t="array" aca="1" ref="J2670" ca="1">SUMPRODUCT(IF((NOT(ISERROR(MATCH(ROW(INDIRECT(DATE(YEAR(B2670),MONTH(B2670),1)&amp;":"&amp;DATE(YEAR(B2670),MONTH(B2670)+1,0))),Feriados[Data],0))))=FALSE,
IF(WEEKDAY(ROW(INDIRECT(DATE(YEAR(B2670),MONTH(B2670),1)&amp;":"&amp;DATE(YEAR(B2670),MONTH(B2670)+1,0))),2)&lt;=5,1,IF(WEEKDAY(ROW(INDIRECT(DATE(YEAR(B2670),MONTH(B2670),1)&amp;":"&amp;DATE(YEAR(B2670),MONTH(B2670)+1,0))),2)=6,0.5,0)),0))</f>
        <v>22</v>
      </c>
      <c r="K2670" s="22" cm="1">
        <f t="array" ref="K2670">_xlfn.XLOOKUP(1,((Metas_Diarias[[#This Row],[tipo_equipe_id]]=Metas[equipe])*(Metas_Diarias[[#This Row],[data]]&gt;Metas[data_inicio])*(Metas_Diarias[[#This Row],[data]]&lt;Metas[data_fim])),Metas[meta_mensal],0)</f>
        <v>0</v>
      </c>
      <c r="L26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1" spans="2:12" x14ac:dyDescent="0.3">
      <c r="B2671" s="34">
        <v>46132</v>
      </c>
      <c r="C2671" s="34" t="str">
        <f>TEXT(Metas_Diarias[[#This Row],[data]],"dddd")</f>
        <v>segunda-feira</v>
      </c>
      <c r="D2671" s="33">
        <v>3</v>
      </c>
      <c r="E2671" s="33">
        <v>4</v>
      </c>
      <c r="F2671" s="18"/>
      <c r="G2671" s="35">
        <f>WEEKDAY(Metas_Diarias[[#This Row],[data]])</f>
        <v>2</v>
      </c>
      <c r="H2671" s="35">
        <f>IF(Metas_Diarias[[#This Row],[dias_da_demana]]=1,"domingo",IF(Metas_Diarias[[#This Row],[dias_da_demana]]=7,0.5,1))</f>
        <v>1</v>
      </c>
      <c r="I2671" s="35">
        <f>_xlfn.XLOOKUP(Metas_Diarias[[#This Row],[data]],Feriados[Data],Feriados[Feriado],1)</f>
        <v>1</v>
      </c>
      <c r="J2671" s="33" cm="1">
        <f t="array" aca="1" ref="J2671" ca="1">SUMPRODUCT(IF((NOT(ISERROR(MATCH(ROW(INDIRECT(DATE(YEAR(B2671),MONTH(B2671),1)&amp;":"&amp;DATE(YEAR(B2671),MONTH(B2671)+1,0))),Feriados[Data],0))))=FALSE,
IF(WEEKDAY(ROW(INDIRECT(DATE(YEAR(B2671),MONTH(B2671),1)&amp;":"&amp;DATE(YEAR(B2671),MONTH(B2671)+1,0))),2)&lt;=5,1,IF(WEEKDAY(ROW(INDIRECT(DATE(YEAR(B2671),MONTH(B2671),1)&amp;":"&amp;DATE(YEAR(B2671),MONTH(B2671)+1,0))),2)=6,0.5,0)),0))</f>
        <v>22</v>
      </c>
      <c r="K2671" s="22" cm="1">
        <f t="array" ref="K2671">_xlfn.XLOOKUP(1,((Metas_Diarias[[#This Row],[tipo_equipe_id]]=Metas[equipe])*(Metas_Diarias[[#This Row],[data]]&gt;Metas[data_inicio])*(Metas_Diarias[[#This Row],[data]]&lt;Metas[data_fim])),Metas[meta_mensal],0)</f>
        <v>0</v>
      </c>
      <c r="L26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2" spans="2:12" x14ac:dyDescent="0.3">
      <c r="B2672" s="34">
        <v>46133</v>
      </c>
      <c r="C2672" s="34" t="str">
        <f>TEXT(Metas_Diarias[[#This Row],[data]],"dddd")</f>
        <v>terça-feira</v>
      </c>
      <c r="D2672" s="33">
        <v>3</v>
      </c>
      <c r="E2672" s="33">
        <v>4</v>
      </c>
      <c r="F2672" s="18"/>
      <c r="G2672" s="35">
        <f>WEEKDAY(Metas_Diarias[[#This Row],[data]])</f>
        <v>3</v>
      </c>
      <c r="H2672" s="35">
        <f>IF(Metas_Diarias[[#This Row],[dias_da_demana]]=1,"domingo",IF(Metas_Diarias[[#This Row],[dias_da_demana]]=7,0.5,1))</f>
        <v>1</v>
      </c>
      <c r="I2672" s="35" t="str">
        <f>_xlfn.XLOOKUP(Metas_Diarias[[#This Row],[data]],Feriados[Data],Feriados[Feriado],1)</f>
        <v>Tiradentes</v>
      </c>
      <c r="J2672" s="33" cm="1">
        <f t="array" aca="1" ref="J2672" ca="1">SUMPRODUCT(IF((NOT(ISERROR(MATCH(ROW(INDIRECT(DATE(YEAR(B2672),MONTH(B2672),1)&amp;":"&amp;DATE(YEAR(B2672),MONTH(B2672)+1,0))),Feriados[Data],0))))=FALSE,
IF(WEEKDAY(ROW(INDIRECT(DATE(YEAR(B2672),MONTH(B2672),1)&amp;":"&amp;DATE(YEAR(B2672),MONTH(B2672)+1,0))),2)&lt;=5,1,IF(WEEKDAY(ROW(INDIRECT(DATE(YEAR(B2672),MONTH(B2672),1)&amp;":"&amp;DATE(YEAR(B2672),MONTH(B2672)+1,0))),2)=6,0.5,0)),0))</f>
        <v>22</v>
      </c>
      <c r="K2672" s="22" cm="1">
        <f t="array" ref="K2672">_xlfn.XLOOKUP(1,((Metas_Diarias[[#This Row],[tipo_equipe_id]]=Metas[equipe])*(Metas_Diarias[[#This Row],[data]]&gt;Metas[data_inicio])*(Metas_Diarias[[#This Row],[data]]&lt;Metas[data_fim])),Metas[meta_mensal],0)</f>
        <v>0</v>
      </c>
      <c r="L267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3" spans="2:12" x14ac:dyDescent="0.3">
      <c r="B2673" s="34">
        <v>46134</v>
      </c>
      <c r="C2673" s="34" t="str">
        <f>TEXT(Metas_Diarias[[#This Row],[data]],"dddd")</f>
        <v>quarta-feira</v>
      </c>
      <c r="D2673" s="33">
        <v>3</v>
      </c>
      <c r="E2673" s="33">
        <v>4</v>
      </c>
      <c r="F2673" s="18"/>
      <c r="G2673" s="35">
        <f>WEEKDAY(Metas_Diarias[[#This Row],[data]])</f>
        <v>4</v>
      </c>
      <c r="H2673" s="35">
        <f>IF(Metas_Diarias[[#This Row],[dias_da_demana]]=1,"domingo",IF(Metas_Diarias[[#This Row],[dias_da_demana]]=7,0.5,1))</f>
        <v>1</v>
      </c>
      <c r="I2673" s="35">
        <f>_xlfn.XLOOKUP(Metas_Diarias[[#This Row],[data]],Feriados[Data],Feriados[Feriado],1)</f>
        <v>1</v>
      </c>
      <c r="J2673" s="33" cm="1">
        <f t="array" aca="1" ref="J2673" ca="1">SUMPRODUCT(IF((NOT(ISERROR(MATCH(ROW(INDIRECT(DATE(YEAR(B2673),MONTH(B2673),1)&amp;":"&amp;DATE(YEAR(B2673),MONTH(B2673)+1,0))),Feriados[Data],0))))=FALSE,
IF(WEEKDAY(ROW(INDIRECT(DATE(YEAR(B2673),MONTH(B2673),1)&amp;":"&amp;DATE(YEAR(B2673),MONTH(B2673)+1,0))),2)&lt;=5,1,IF(WEEKDAY(ROW(INDIRECT(DATE(YEAR(B2673),MONTH(B2673),1)&amp;":"&amp;DATE(YEAR(B2673),MONTH(B2673)+1,0))),2)=6,0.5,0)),0))</f>
        <v>22</v>
      </c>
      <c r="K2673" s="22" cm="1">
        <f t="array" ref="K2673">_xlfn.XLOOKUP(1,((Metas_Diarias[[#This Row],[tipo_equipe_id]]=Metas[equipe])*(Metas_Diarias[[#This Row],[data]]&gt;Metas[data_inicio])*(Metas_Diarias[[#This Row],[data]]&lt;Metas[data_fim])),Metas[meta_mensal],0)</f>
        <v>0</v>
      </c>
      <c r="L26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4" spans="2:12" x14ac:dyDescent="0.3">
      <c r="B2674" s="34">
        <v>46135</v>
      </c>
      <c r="C2674" s="34" t="str">
        <f>TEXT(Metas_Diarias[[#This Row],[data]],"dddd")</f>
        <v>quinta-feira</v>
      </c>
      <c r="D2674" s="33">
        <v>3</v>
      </c>
      <c r="E2674" s="33">
        <v>4</v>
      </c>
      <c r="F2674" s="18"/>
      <c r="G2674" s="35">
        <f>WEEKDAY(Metas_Diarias[[#This Row],[data]])</f>
        <v>5</v>
      </c>
      <c r="H2674" s="35">
        <f>IF(Metas_Diarias[[#This Row],[dias_da_demana]]=1,"domingo",IF(Metas_Diarias[[#This Row],[dias_da_demana]]=7,0.5,1))</f>
        <v>1</v>
      </c>
      <c r="I2674" s="35">
        <f>_xlfn.XLOOKUP(Metas_Diarias[[#This Row],[data]],Feriados[Data],Feriados[Feriado],1)</f>
        <v>1</v>
      </c>
      <c r="J2674" s="33" cm="1">
        <f t="array" aca="1" ref="J2674" ca="1">SUMPRODUCT(IF((NOT(ISERROR(MATCH(ROW(INDIRECT(DATE(YEAR(B2674),MONTH(B2674),1)&amp;":"&amp;DATE(YEAR(B2674),MONTH(B2674)+1,0))),Feriados[Data],0))))=FALSE,
IF(WEEKDAY(ROW(INDIRECT(DATE(YEAR(B2674),MONTH(B2674),1)&amp;":"&amp;DATE(YEAR(B2674),MONTH(B2674)+1,0))),2)&lt;=5,1,IF(WEEKDAY(ROW(INDIRECT(DATE(YEAR(B2674),MONTH(B2674),1)&amp;":"&amp;DATE(YEAR(B2674),MONTH(B2674)+1,0))),2)=6,0.5,0)),0))</f>
        <v>22</v>
      </c>
      <c r="K2674" s="22" cm="1">
        <f t="array" ref="K2674">_xlfn.XLOOKUP(1,((Metas_Diarias[[#This Row],[tipo_equipe_id]]=Metas[equipe])*(Metas_Diarias[[#This Row],[data]]&gt;Metas[data_inicio])*(Metas_Diarias[[#This Row],[data]]&lt;Metas[data_fim])),Metas[meta_mensal],0)</f>
        <v>0</v>
      </c>
      <c r="L267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5" spans="2:12" x14ac:dyDescent="0.3">
      <c r="B2675" s="34">
        <v>46136</v>
      </c>
      <c r="C2675" s="34" t="str">
        <f>TEXT(Metas_Diarias[[#This Row],[data]],"dddd")</f>
        <v>sexta-feira</v>
      </c>
      <c r="D2675" s="33">
        <v>3</v>
      </c>
      <c r="E2675" s="33">
        <v>4</v>
      </c>
      <c r="F2675" s="18"/>
      <c r="G2675" s="35">
        <f>WEEKDAY(Metas_Diarias[[#This Row],[data]])</f>
        <v>6</v>
      </c>
      <c r="H2675" s="35">
        <f>IF(Metas_Diarias[[#This Row],[dias_da_demana]]=1,"domingo",IF(Metas_Diarias[[#This Row],[dias_da_demana]]=7,0.5,1))</f>
        <v>1</v>
      </c>
      <c r="I2675" s="35">
        <f>_xlfn.XLOOKUP(Metas_Diarias[[#This Row],[data]],Feriados[Data],Feriados[Feriado],1)</f>
        <v>1</v>
      </c>
      <c r="J2675" s="33" cm="1">
        <f t="array" aca="1" ref="J2675" ca="1">SUMPRODUCT(IF((NOT(ISERROR(MATCH(ROW(INDIRECT(DATE(YEAR(B2675),MONTH(B2675),1)&amp;":"&amp;DATE(YEAR(B2675),MONTH(B2675)+1,0))),Feriados[Data],0))))=FALSE,
IF(WEEKDAY(ROW(INDIRECT(DATE(YEAR(B2675),MONTH(B2675),1)&amp;":"&amp;DATE(YEAR(B2675),MONTH(B2675)+1,0))),2)&lt;=5,1,IF(WEEKDAY(ROW(INDIRECT(DATE(YEAR(B2675),MONTH(B2675),1)&amp;":"&amp;DATE(YEAR(B2675),MONTH(B2675)+1,0))),2)=6,0.5,0)),0))</f>
        <v>22</v>
      </c>
      <c r="K2675" s="22" cm="1">
        <f t="array" ref="K2675">_xlfn.XLOOKUP(1,((Metas_Diarias[[#This Row],[tipo_equipe_id]]=Metas[equipe])*(Metas_Diarias[[#This Row],[data]]&gt;Metas[data_inicio])*(Metas_Diarias[[#This Row],[data]]&lt;Metas[data_fim])),Metas[meta_mensal],0)</f>
        <v>0</v>
      </c>
      <c r="L26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6" spans="2:12" x14ac:dyDescent="0.3">
      <c r="B2676" s="34">
        <v>46137</v>
      </c>
      <c r="C2676" s="34" t="str">
        <f>TEXT(Metas_Diarias[[#This Row],[data]],"dddd")</f>
        <v>sábado</v>
      </c>
      <c r="D2676" s="33">
        <v>3</v>
      </c>
      <c r="E2676" s="33">
        <v>4</v>
      </c>
      <c r="F2676" s="18"/>
      <c r="G2676" s="35">
        <f>WEEKDAY(Metas_Diarias[[#This Row],[data]])</f>
        <v>7</v>
      </c>
      <c r="H2676" s="35">
        <f>IF(Metas_Diarias[[#This Row],[dias_da_demana]]=1,"domingo",IF(Metas_Diarias[[#This Row],[dias_da_demana]]=7,0.5,1))</f>
        <v>0.5</v>
      </c>
      <c r="I2676" s="35">
        <f>_xlfn.XLOOKUP(Metas_Diarias[[#This Row],[data]],Feriados[Data],Feriados[Feriado],1)</f>
        <v>1</v>
      </c>
      <c r="J2676" s="33" cm="1">
        <f t="array" aca="1" ref="J2676" ca="1">SUMPRODUCT(IF((NOT(ISERROR(MATCH(ROW(INDIRECT(DATE(YEAR(B2676),MONTH(B2676),1)&amp;":"&amp;DATE(YEAR(B2676),MONTH(B2676)+1,0))),Feriados[Data],0))))=FALSE,
IF(WEEKDAY(ROW(INDIRECT(DATE(YEAR(B2676),MONTH(B2676),1)&amp;":"&amp;DATE(YEAR(B2676),MONTH(B2676)+1,0))),2)&lt;=5,1,IF(WEEKDAY(ROW(INDIRECT(DATE(YEAR(B2676),MONTH(B2676),1)&amp;":"&amp;DATE(YEAR(B2676),MONTH(B2676)+1,0))),2)=6,0.5,0)),0))</f>
        <v>22</v>
      </c>
      <c r="K2676" s="22" cm="1">
        <f t="array" ref="K2676">_xlfn.XLOOKUP(1,((Metas_Diarias[[#This Row],[tipo_equipe_id]]=Metas[equipe])*(Metas_Diarias[[#This Row],[data]]&gt;Metas[data_inicio])*(Metas_Diarias[[#This Row],[data]]&lt;Metas[data_fim])),Metas[meta_mensal],0)</f>
        <v>0</v>
      </c>
      <c r="L267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7" spans="2:12" x14ac:dyDescent="0.3">
      <c r="B2677" s="34">
        <v>46138</v>
      </c>
      <c r="C2677" s="34" t="str">
        <f>TEXT(Metas_Diarias[[#This Row],[data]],"dddd")</f>
        <v>domingo</v>
      </c>
      <c r="D2677" s="33">
        <v>3</v>
      </c>
      <c r="E2677" s="33">
        <v>4</v>
      </c>
      <c r="F2677" s="18"/>
      <c r="G2677" s="35">
        <f>WEEKDAY(Metas_Diarias[[#This Row],[data]])</f>
        <v>1</v>
      </c>
      <c r="H2677" s="35" t="str">
        <f>IF(Metas_Diarias[[#This Row],[dias_da_demana]]=1,"domingo",IF(Metas_Diarias[[#This Row],[dias_da_demana]]=7,0.5,1))</f>
        <v>domingo</v>
      </c>
      <c r="I2677" s="35">
        <f>_xlfn.XLOOKUP(Metas_Diarias[[#This Row],[data]],Feriados[Data],Feriados[Feriado],1)</f>
        <v>1</v>
      </c>
      <c r="J2677" s="33" cm="1">
        <f t="array" aca="1" ref="J2677" ca="1">SUMPRODUCT(IF((NOT(ISERROR(MATCH(ROW(INDIRECT(DATE(YEAR(B2677),MONTH(B2677),1)&amp;":"&amp;DATE(YEAR(B2677),MONTH(B2677)+1,0))),Feriados[Data],0))))=FALSE,
IF(WEEKDAY(ROW(INDIRECT(DATE(YEAR(B2677),MONTH(B2677),1)&amp;":"&amp;DATE(YEAR(B2677),MONTH(B2677)+1,0))),2)&lt;=5,1,IF(WEEKDAY(ROW(INDIRECT(DATE(YEAR(B2677),MONTH(B2677),1)&amp;":"&amp;DATE(YEAR(B2677),MONTH(B2677)+1,0))),2)=6,0.5,0)),0))</f>
        <v>22</v>
      </c>
      <c r="K2677" s="22" cm="1">
        <f t="array" ref="K2677">_xlfn.XLOOKUP(1,((Metas_Diarias[[#This Row],[tipo_equipe_id]]=Metas[equipe])*(Metas_Diarias[[#This Row],[data]]&gt;Metas[data_inicio])*(Metas_Diarias[[#This Row],[data]]&lt;Metas[data_fim])),Metas[meta_mensal],0)</f>
        <v>0</v>
      </c>
      <c r="L26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8" spans="2:12" x14ac:dyDescent="0.3">
      <c r="B2678" s="34">
        <v>46139</v>
      </c>
      <c r="C2678" s="34" t="str">
        <f>TEXT(Metas_Diarias[[#This Row],[data]],"dddd")</f>
        <v>segunda-feira</v>
      </c>
      <c r="D2678" s="33">
        <v>3</v>
      </c>
      <c r="E2678" s="33">
        <v>4</v>
      </c>
      <c r="F2678" s="18"/>
      <c r="G2678" s="35">
        <f>WEEKDAY(Metas_Diarias[[#This Row],[data]])</f>
        <v>2</v>
      </c>
      <c r="H2678" s="35">
        <f>IF(Metas_Diarias[[#This Row],[dias_da_demana]]=1,"domingo",IF(Metas_Diarias[[#This Row],[dias_da_demana]]=7,0.5,1))</f>
        <v>1</v>
      </c>
      <c r="I2678" s="35">
        <f>_xlfn.XLOOKUP(Metas_Diarias[[#This Row],[data]],Feriados[Data],Feriados[Feriado],1)</f>
        <v>1</v>
      </c>
      <c r="J2678" s="33" cm="1">
        <f t="array" aca="1" ref="J2678" ca="1">SUMPRODUCT(IF((NOT(ISERROR(MATCH(ROW(INDIRECT(DATE(YEAR(B2678),MONTH(B2678),1)&amp;":"&amp;DATE(YEAR(B2678),MONTH(B2678)+1,0))),Feriados[Data],0))))=FALSE,
IF(WEEKDAY(ROW(INDIRECT(DATE(YEAR(B2678),MONTH(B2678),1)&amp;":"&amp;DATE(YEAR(B2678),MONTH(B2678)+1,0))),2)&lt;=5,1,IF(WEEKDAY(ROW(INDIRECT(DATE(YEAR(B2678),MONTH(B2678),1)&amp;":"&amp;DATE(YEAR(B2678),MONTH(B2678)+1,0))),2)=6,0.5,0)),0))</f>
        <v>22</v>
      </c>
      <c r="K2678" s="22" cm="1">
        <f t="array" ref="K2678">_xlfn.XLOOKUP(1,((Metas_Diarias[[#This Row],[tipo_equipe_id]]=Metas[equipe])*(Metas_Diarias[[#This Row],[data]]&gt;Metas[data_inicio])*(Metas_Diarias[[#This Row],[data]]&lt;Metas[data_fim])),Metas[meta_mensal],0)</f>
        <v>0</v>
      </c>
      <c r="L26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79" spans="2:12" x14ac:dyDescent="0.3">
      <c r="B2679" s="34">
        <v>46140</v>
      </c>
      <c r="C2679" s="34" t="str">
        <f>TEXT(Metas_Diarias[[#This Row],[data]],"dddd")</f>
        <v>terça-feira</v>
      </c>
      <c r="D2679" s="33">
        <v>3</v>
      </c>
      <c r="E2679" s="33">
        <v>4</v>
      </c>
      <c r="F2679" s="18"/>
      <c r="G2679" s="35">
        <f>WEEKDAY(Metas_Diarias[[#This Row],[data]])</f>
        <v>3</v>
      </c>
      <c r="H2679" s="35">
        <f>IF(Metas_Diarias[[#This Row],[dias_da_demana]]=1,"domingo",IF(Metas_Diarias[[#This Row],[dias_da_demana]]=7,0.5,1))</f>
        <v>1</v>
      </c>
      <c r="I2679" s="35">
        <f>_xlfn.XLOOKUP(Metas_Diarias[[#This Row],[data]],Feriados[Data],Feriados[Feriado],1)</f>
        <v>1</v>
      </c>
      <c r="J2679" s="33" cm="1">
        <f t="array" aca="1" ref="J2679" ca="1">SUMPRODUCT(IF((NOT(ISERROR(MATCH(ROW(INDIRECT(DATE(YEAR(B2679),MONTH(B2679),1)&amp;":"&amp;DATE(YEAR(B2679),MONTH(B2679)+1,0))),Feriados[Data],0))))=FALSE,
IF(WEEKDAY(ROW(INDIRECT(DATE(YEAR(B2679),MONTH(B2679),1)&amp;":"&amp;DATE(YEAR(B2679),MONTH(B2679)+1,0))),2)&lt;=5,1,IF(WEEKDAY(ROW(INDIRECT(DATE(YEAR(B2679),MONTH(B2679),1)&amp;":"&amp;DATE(YEAR(B2679),MONTH(B2679)+1,0))),2)=6,0.5,0)),0))</f>
        <v>22</v>
      </c>
      <c r="K2679" s="22" cm="1">
        <f t="array" ref="K2679">_xlfn.XLOOKUP(1,((Metas_Diarias[[#This Row],[tipo_equipe_id]]=Metas[equipe])*(Metas_Diarias[[#This Row],[data]]&gt;Metas[data_inicio])*(Metas_Diarias[[#This Row],[data]]&lt;Metas[data_fim])),Metas[meta_mensal],0)</f>
        <v>0</v>
      </c>
      <c r="L26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0" spans="2:12" x14ac:dyDescent="0.3">
      <c r="B2680" s="34">
        <v>46141</v>
      </c>
      <c r="C2680" s="34" t="str">
        <f>TEXT(Metas_Diarias[[#This Row],[data]],"dddd")</f>
        <v>quarta-feira</v>
      </c>
      <c r="D2680" s="33">
        <v>3</v>
      </c>
      <c r="E2680" s="33">
        <v>4</v>
      </c>
      <c r="F2680" s="18"/>
      <c r="G2680" s="35">
        <f>WEEKDAY(Metas_Diarias[[#This Row],[data]])</f>
        <v>4</v>
      </c>
      <c r="H2680" s="35">
        <f>IF(Metas_Diarias[[#This Row],[dias_da_demana]]=1,"domingo",IF(Metas_Diarias[[#This Row],[dias_da_demana]]=7,0.5,1))</f>
        <v>1</v>
      </c>
      <c r="I2680" s="35">
        <f>_xlfn.XLOOKUP(Metas_Diarias[[#This Row],[data]],Feriados[Data],Feriados[Feriado],1)</f>
        <v>1</v>
      </c>
      <c r="J2680" s="33" cm="1">
        <f t="array" aca="1" ref="J2680" ca="1">SUMPRODUCT(IF((NOT(ISERROR(MATCH(ROW(INDIRECT(DATE(YEAR(B2680),MONTH(B2680),1)&amp;":"&amp;DATE(YEAR(B2680),MONTH(B2680)+1,0))),Feriados[Data],0))))=FALSE,
IF(WEEKDAY(ROW(INDIRECT(DATE(YEAR(B2680),MONTH(B2680),1)&amp;":"&amp;DATE(YEAR(B2680),MONTH(B2680)+1,0))),2)&lt;=5,1,IF(WEEKDAY(ROW(INDIRECT(DATE(YEAR(B2680),MONTH(B2680),1)&amp;":"&amp;DATE(YEAR(B2680),MONTH(B2680)+1,0))),2)=6,0.5,0)),0))</f>
        <v>22</v>
      </c>
      <c r="K2680" s="22" cm="1">
        <f t="array" ref="K2680">_xlfn.XLOOKUP(1,((Metas_Diarias[[#This Row],[tipo_equipe_id]]=Metas[equipe])*(Metas_Diarias[[#This Row],[data]]&gt;Metas[data_inicio])*(Metas_Diarias[[#This Row],[data]]&lt;Metas[data_fim])),Metas[meta_mensal],0)</f>
        <v>0</v>
      </c>
      <c r="L26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1" spans="2:12" x14ac:dyDescent="0.3">
      <c r="B2681" s="34">
        <v>46142</v>
      </c>
      <c r="C2681" s="34" t="str">
        <f>TEXT(Metas_Diarias[[#This Row],[data]],"dddd")</f>
        <v>quinta-feira</v>
      </c>
      <c r="D2681" s="33">
        <v>3</v>
      </c>
      <c r="E2681" s="33">
        <v>4</v>
      </c>
      <c r="F2681" s="18"/>
      <c r="G2681" s="35">
        <f>WEEKDAY(Metas_Diarias[[#This Row],[data]])</f>
        <v>5</v>
      </c>
      <c r="H2681" s="35">
        <f>IF(Metas_Diarias[[#This Row],[dias_da_demana]]=1,"domingo",IF(Metas_Diarias[[#This Row],[dias_da_demana]]=7,0.5,1))</f>
        <v>1</v>
      </c>
      <c r="I2681" s="35">
        <f>_xlfn.XLOOKUP(Metas_Diarias[[#This Row],[data]],Feriados[Data],Feriados[Feriado],1)</f>
        <v>1</v>
      </c>
      <c r="J2681" s="33" cm="1">
        <f t="array" aca="1" ref="J2681" ca="1">SUMPRODUCT(IF((NOT(ISERROR(MATCH(ROW(INDIRECT(DATE(YEAR(B2681),MONTH(B2681),1)&amp;":"&amp;DATE(YEAR(B2681),MONTH(B2681)+1,0))),Feriados[Data],0))))=FALSE,
IF(WEEKDAY(ROW(INDIRECT(DATE(YEAR(B2681),MONTH(B2681),1)&amp;":"&amp;DATE(YEAR(B2681),MONTH(B2681)+1,0))),2)&lt;=5,1,IF(WEEKDAY(ROW(INDIRECT(DATE(YEAR(B2681),MONTH(B2681),1)&amp;":"&amp;DATE(YEAR(B2681),MONTH(B2681)+1,0))),2)=6,0.5,0)),0))</f>
        <v>22</v>
      </c>
      <c r="K2681" s="22" cm="1">
        <f t="array" ref="K2681">_xlfn.XLOOKUP(1,((Metas_Diarias[[#This Row],[tipo_equipe_id]]=Metas[equipe])*(Metas_Diarias[[#This Row],[data]]&gt;Metas[data_inicio])*(Metas_Diarias[[#This Row],[data]]&lt;Metas[data_fim])),Metas[meta_mensal],0)</f>
        <v>0</v>
      </c>
      <c r="L268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2" spans="2:12" x14ac:dyDescent="0.3">
      <c r="B2682" s="34">
        <v>46143</v>
      </c>
      <c r="C2682" s="34" t="str">
        <f>TEXT(Metas_Diarias[[#This Row],[data]],"dddd")</f>
        <v>sexta-feira</v>
      </c>
      <c r="D2682" s="33">
        <v>3</v>
      </c>
      <c r="E2682" s="33">
        <v>4</v>
      </c>
      <c r="F2682" s="18"/>
      <c r="G2682" s="35">
        <f>WEEKDAY(Metas_Diarias[[#This Row],[data]])</f>
        <v>6</v>
      </c>
      <c r="H2682" s="35">
        <f>IF(Metas_Diarias[[#This Row],[dias_da_demana]]=1,"domingo",IF(Metas_Diarias[[#This Row],[dias_da_demana]]=7,0.5,1))</f>
        <v>1</v>
      </c>
      <c r="I2682" s="35" t="str">
        <f>_xlfn.XLOOKUP(Metas_Diarias[[#This Row],[data]],Feriados[Data],Feriados[Feriado],1)</f>
        <v>Dia do Trabalho</v>
      </c>
      <c r="J2682" s="33" cm="1">
        <f t="array" aca="1" ref="J2682" ca="1">SUMPRODUCT(IF((NOT(ISERROR(MATCH(ROW(INDIRECT(DATE(YEAR(B2682),MONTH(B2682),1)&amp;":"&amp;DATE(YEAR(B2682),MONTH(B2682)+1,0))),Feriados[Data],0))))=FALSE,
IF(WEEKDAY(ROW(INDIRECT(DATE(YEAR(B2682),MONTH(B2682),1)&amp;":"&amp;DATE(YEAR(B2682),MONTH(B2682)+1,0))),2)&lt;=5,1,IF(WEEKDAY(ROW(INDIRECT(DATE(YEAR(B2682),MONTH(B2682),1)&amp;":"&amp;DATE(YEAR(B2682),MONTH(B2682)+1,0))),2)=6,0.5,0)),0))</f>
        <v>22.5</v>
      </c>
      <c r="K2682" s="22" cm="1">
        <f t="array" ref="K2682">_xlfn.XLOOKUP(1,((Metas_Diarias[[#This Row],[tipo_equipe_id]]=Metas[equipe])*(Metas_Diarias[[#This Row],[data]]&gt;Metas[data_inicio])*(Metas_Diarias[[#This Row],[data]]&lt;Metas[data_fim])),Metas[meta_mensal],0)</f>
        <v>0</v>
      </c>
      <c r="L26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3" spans="2:12" x14ac:dyDescent="0.3">
      <c r="B2683" s="34">
        <v>46144</v>
      </c>
      <c r="C2683" s="34" t="str">
        <f>TEXT(Metas_Diarias[[#This Row],[data]],"dddd")</f>
        <v>sábado</v>
      </c>
      <c r="D2683" s="33">
        <v>3</v>
      </c>
      <c r="E2683" s="33">
        <v>4</v>
      </c>
      <c r="F2683" s="18"/>
      <c r="G2683" s="35">
        <f>WEEKDAY(Metas_Diarias[[#This Row],[data]])</f>
        <v>7</v>
      </c>
      <c r="H2683" s="35">
        <f>IF(Metas_Diarias[[#This Row],[dias_da_demana]]=1,"domingo",IF(Metas_Diarias[[#This Row],[dias_da_demana]]=7,0.5,1))</f>
        <v>0.5</v>
      </c>
      <c r="I2683" s="35">
        <f>_xlfn.XLOOKUP(Metas_Diarias[[#This Row],[data]],Feriados[Data],Feriados[Feriado],1)</f>
        <v>1</v>
      </c>
      <c r="J2683" s="33" cm="1">
        <f t="array" aca="1" ref="J2683" ca="1">SUMPRODUCT(IF((NOT(ISERROR(MATCH(ROW(INDIRECT(DATE(YEAR(B2683),MONTH(B2683),1)&amp;":"&amp;DATE(YEAR(B2683),MONTH(B2683)+1,0))),Feriados[Data],0))))=FALSE,
IF(WEEKDAY(ROW(INDIRECT(DATE(YEAR(B2683),MONTH(B2683),1)&amp;":"&amp;DATE(YEAR(B2683),MONTH(B2683)+1,0))),2)&lt;=5,1,IF(WEEKDAY(ROW(INDIRECT(DATE(YEAR(B2683),MONTH(B2683),1)&amp;":"&amp;DATE(YEAR(B2683),MONTH(B2683)+1,0))),2)=6,0.5,0)),0))</f>
        <v>22.5</v>
      </c>
      <c r="K2683" s="22" cm="1">
        <f t="array" ref="K2683">_xlfn.XLOOKUP(1,((Metas_Diarias[[#This Row],[tipo_equipe_id]]=Metas[equipe])*(Metas_Diarias[[#This Row],[data]]&gt;Metas[data_inicio])*(Metas_Diarias[[#This Row],[data]]&lt;Metas[data_fim])),Metas[meta_mensal],0)</f>
        <v>0</v>
      </c>
      <c r="L268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4" spans="2:12" x14ac:dyDescent="0.3">
      <c r="B2684" s="34">
        <v>46145</v>
      </c>
      <c r="C2684" s="34" t="str">
        <f>TEXT(Metas_Diarias[[#This Row],[data]],"dddd")</f>
        <v>domingo</v>
      </c>
      <c r="D2684" s="33">
        <v>3</v>
      </c>
      <c r="E2684" s="33">
        <v>4</v>
      </c>
      <c r="F2684" s="18"/>
      <c r="G2684" s="35">
        <f>WEEKDAY(Metas_Diarias[[#This Row],[data]])</f>
        <v>1</v>
      </c>
      <c r="H2684" s="35" t="str">
        <f>IF(Metas_Diarias[[#This Row],[dias_da_demana]]=1,"domingo",IF(Metas_Diarias[[#This Row],[dias_da_demana]]=7,0.5,1))</f>
        <v>domingo</v>
      </c>
      <c r="I2684" s="35">
        <f>_xlfn.XLOOKUP(Metas_Diarias[[#This Row],[data]],Feriados[Data],Feriados[Feriado],1)</f>
        <v>1</v>
      </c>
      <c r="J2684" s="33" cm="1">
        <f t="array" aca="1" ref="J2684" ca="1">SUMPRODUCT(IF((NOT(ISERROR(MATCH(ROW(INDIRECT(DATE(YEAR(B2684),MONTH(B2684),1)&amp;":"&amp;DATE(YEAR(B2684),MONTH(B2684)+1,0))),Feriados[Data],0))))=FALSE,
IF(WEEKDAY(ROW(INDIRECT(DATE(YEAR(B2684),MONTH(B2684),1)&amp;":"&amp;DATE(YEAR(B2684),MONTH(B2684)+1,0))),2)&lt;=5,1,IF(WEEKDAY(ROW(INDIRECT(DATE(YEAR(B2684),MONTH(B2684),1)&amp;":"&amp;DATE(YEAR(B2684),MONTH(B2684)+1,0))),2)=6,0.5,0)),0))</f>
        <v>22.5</v>
      </c>
      <c r="K2684" s="22" cm="1">
        <f t="array" ref="K2684">_xlfn.XLOOKUP(1,((Metas_Diarias[[#This Row],[tipo_equipe_id]]=Metas[equipe])*(Metas_Diarias[[#This Row],[data]]&gt;Metas[data_inicio])*(Metas_Diarias[[#This Row],[data]]&lt;Metas[data_fim])),Metas[meta_mensal],0)</f>
        <v>0</v>
      </c>
      <c r="L26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5" spans="2:12" x14ac:dyDescent="0.3">
      <c r="B2685" s="34">
        <v>46146</v>
      </c>
      <c r="C2685" s="34" t="str">
        <f>TEXT(Metas_Diarias[[#This Row],[data]],"dddd")</f>
        <v>segunda-feira</v>
      </c>
      <c r="D2685" s="33">
        <v>3</v>
      </c>
      <c r="E2685" s="33">
        <v>4</v>
      </c>
      <c r="F2685" s="18"/>
      <c r="G2685" s="35">
        <f>WEEKDAY(Metas_Diarias[[#This Row],[data]])</f>
        <v>2</v>
      </c>
      <c r="H2685" s="35">
        <f>IF(Metas_Diarias[[#This Row],[dias_da_demana]]=1,"domingo",IF(Metas_Diarias[[#This Row],[dias_da_demana]]=7,0.5,1))</f>
        <v>1</v>
      </c>
      <c r="I2685" s="35">
        <f>_xlfn.XLOOKUP(Metas_Diarias[[#This Row],[data]],Feriados[Data],Feriados[Feriado],1)</f>
        <v>1</v>
      </c>
      <c r="J2685" s="33" cm="1">
        <f t="array" aca="1" ref="J2685" ca="1">SUMPRODUCT(IF((NOT(ISERROR(MATCH(ROW(INDIRECT(DATE(YEAR(B2685),MONTH(B2685),1)&amp;":"&amp;DATE(YEAR(B2685),MONTH(B2685)+1,0))),Feriados[Data],0))))=FALSE,
IF(WEEKDAY(ROW(INDIRECT(DATE(YEAR(B2685),MONTH(B2685),1)&amp;":"&amp;DATE(YEAR(B2685),MONTH(B2685)+1,0))),2)&lt;=5,1,IF(WEEKDAY(ROW(INDIRECT(DATE(YEAR(B2685),MONTH(B2685),1)&amp;":"&amp;DATE(YEAR(B2685),MONTH(B2685)+1,0))),2)=6,0.5,0)),0))</f>
        <v>22.5</v>
      </c>
      <c r="K2685" s="22" cm="1">
        <f t="array" ref="K2685">_xlfn.XLOOKUP(1,((Metas_Diarias[[#This Row],[tipo_equipe_id]]=Metas[equipe])*(Metas_Diarias[[#This Row],[data]]&gt;Metas[data_inicio])*(Metas_Diarias[[#This Row],[data]]&lt;Metas[data_fim])),Metas[meta_mensal],0)</f>
        <v>0</v>
      </c>
      <c r="L268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6" spans="2:12" x14ac:dyDescent="0.3">
      <c r="B2686" s="34">
        <v>46147</v>
      </c>
      <c r="C2686" s="34" t="str">
        <f>TEXT(Metas_Diarias[[#This Row],[data]],"dddd")</f>
        <v>terça-feira</v>
      </c>
      <c r="D2686" s="33">
        <v>3</v>
      </c>
      <c r="E2686" s="33">
        <v>4</v>
      </c>
      <c r="F2686" s="18"/>
      <c r="G2686" s="35">
        <f>WEEKDAY(Metas_Diarias[[#This Row],[data]])</f>
        <v>3</v>
      </c>
      <c r="H2686" s="35">
        <f>IF(Metas_Diarias[[#This Row],[dias_da_demana]]=1,"domingo",IF(Metas_Diarias[[#This Row],[dias_da_demana]]=7,0.5,1))</f>
        <v>1</v>
      </c>
      <c r="I2686" s="35">
        <f>_xlfn.XLOOKUP(Metas_Diarias[[#This Row],[data]],Feriados[Data],Feriados[Feriado],1)</f>
        <v>1</v>
      </c>
      <c r="J2686" s="33" cm="1">
        <f t="array" aca="1" ref="J2686" ca="1">SUMPRODUCT(IF((NOT(ISERROR(MATCH(ROW(INDIRECT(DATE(YEAR(B2686),MONTH(B2686),1)&amp;":"&amp;DATE(YEAR(B2686),MONTH(B2686)+1,0))),Feriados[Data],0))))=FALSE,
IF(WEEKDAY(ROW(INDIRECT(DATE(YEAR(B2686),MONTH(B2686),1)&amp;":"&amp;DATE(YEAR(B2686),MONTH(B2686)+1,0))),2)&lt;=5,1,IF(WEEKDAY(ROW(INDIRECT(DATE(YEAR(B2686),MONTH(B2686),1)&amp;":"&amp;DATE(YEAR(B2686),MONTH(B2686)+1,0))),2)=6,0.5,0)),0))</f>
        <v>22.5</v>
      </c>
      <c r="K2686" s="22" cm="1">
        <f t="array" ref="K2686">_xlfn.XLOOKUP(1,((Metas_Diarias[[#This Row],[tipo_equipe_id]]=Metas[equipe])*(Metas_Diarias[[#This Row],[data]]&gt;Metas[data_inicio])*(Metas_Diarias[[#This Row],[data]]&lt;Metas[data_fim])),Metas[meta_mensal],0)</f>
        <v>0</v>
      </c>
      <c r="L26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7" spans="2:12" x14ac:dyDescent="0.3">
      <c r="B2687" s="34">
        <v>46148</v>
      </c>
      <c r="C2687" s="34" t="str">
        <f>TEXT(Metas_Diarias[[#This Row],[data]],"dddd")</f>
        <v>quarta-feira</v>
      </c>
      <c r="D2687" s="33">
        <v>3</v>
      </c>
      <c r="E2687" s="33">
        <v>4</v>
      </c>
      <c r="F2687" s="18"/>
      <c r="G2687" s="35">
        <f>WEEKDAY(Metas_Diarias[[#This Row],[data]])</f>
        <v>4</v>
      </c>
      <c r="H2687" s="35">
        <f>IF(Metas_Diarias[[#This Row],[dias_da_demana]]=1,"domingo",IF(Metas_Diarias[[#This Row],[dias_da_demana]]=7,0.5,1))</f>
        <v>1</v>
      </c>
      <c r="I2687" s="35">
        <f>_xlfn.XLOOKUP(Metas_Diarias[[#This Row],[data]],Feriados[Data],Feriados[Feriado],1)</f>
        <v>1</v>
      </c>
      <c r="J2687" s="33" cm="1">
        <f t="array" aca="1" ref="J2687" ca="1">SUMPRODUCT(IF((NOT(ISERROR(MATCH(ROW(INDIRECT(DATE(YEAR(B2687),MONTH(B2687),1)&amp;":"&amp;DATE(YEAR(B2687),MONTH(B2687)+1,0))),Feriados[Data],0))))=FALSE,
IF(WEEKDAY(ROW(INDIRECT(DATE(YEAR(B2687),MONTH(B2687),1)&amp;":"&amp;DATE(YEAR(B2687),MONTH(B2687)+1,0))),2)&lt;=5,1,IF(WEEKDAY(ROW(INDIRECT(DATE(YEAR(B2687),MONTH(B2687),1)&amp;":"&amp;DATE(YEAR(B2687),MONTH(B2687)+1,0))),2)=6,0.5,0)),0))</f>
        <v>22.5</v>
      </c>
      <c r="K2687" s="22" cm="1">
        <f t="array" ref="K2687">_xlfn.XLOOKUP(1,((Metas_Diarias[[#This Row],[tipo_equipe_id]]=Metas[equipe])*(Metas_Diarias[[#This Row],[data]]&gt;Metas[data_inicio])*(Metas_Diarias[[#This Row],[data]]&lt;Metas[data_fim])),Metas[meta_mensal],0)</f>
        <v>0</v>
      </c>
      <c r="L26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8" spans="2:12" x14ac:dyDescent="0.3">
      <c r="B2688" s="34">
        <v>46149</v>
      </c>
      <c r="C2688" s="34" t="str">
        <f>TEXT(Metas_Diarias[[#This Row],[data]],"dddd")</f>
        <v>quinta-feira</v>
      </c>
      <c r="D2688" s="33">
        <v>3</v>
      </c>
      <c r="E2688" s="33">
        <v>4</v>
      </c>
      <c r="F2688" s="18"/>
      <c r="G2688" s="35">
        <f>WEEKDAY(Metas_Diarias[[#This Row],[data]])</f>
        <v>5</v>
      </c>
      <c r="H2688" s="35">
        <f>IF(Metas_Diarias[[#This Row],[dias_da_demana]]=1,"domingo",IF(Metas_Diarias[[#This Row],[dias_da_demana]]=7,0.5,1))</f>
        <v>1</v>
      </c>
      <c r="I2688" s="35">
        <f>_xlfn.XLOOKUP(Metas_Diarias[[#This Row],[data]],Feriados[Data],Feriados[Feriado],1)</f>
        <v>1</v>
      </c>
      <c r="J2688" s="33" cm="1">
        <f t="array" aca="1" ref="J2688" ca="1">SUMPRODUCT(IF((NOT(ISERROR(MATCH(ROW(INDIRECT(DATE(YEAR(B2688),MONTH(B2688),1)&amp;":"&amp;DATE(YEAR(B2688),MONTH(B2688)+1,0))),Feriados[Data],0))))=FALSE,
IF(WEEKDAY(ROW(INDIRECT(DATE(YEAR(B2688),MONTH(B2688),1)&amp;":"&amp;DATE(YEAR(B2688),MONTH(B2688)+1,0))),2)&lt;=5,1,IF(WEEKDAY(ROW(INDIRECT(DATE(YEAR(B2688),MONTH(B2688),1)&amp;":"&amp;DATE(YEAR(B2688),MONTH(B2688)+1,0))),2)=6,0.5,0)),0))</f>
        <v>22.5</v>
      </c>
      <c r="K2688" s="22" cm="1">
        <f t="array" ref="K2688">_xlfn.XLOOKUP(1,((Metas_Diarias[[#This Row],[tipo_equipe_id]]=Metas[equipe])*(Metas_Diarias[[#This Row],[data]]&gt;Metas[data_inicio])*(Metas_Diarias[[#This Row],[data]]&lt;Metas[data_fim])),Metas[meta_mensal],0)</f>
        <v>0</v>
      </c>
      <c r="L268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89" spans="2:12" x14ac:dyDescent="0.3">
      <c r="B2689" s="34">
        <v>46150</v>
      </c>
      <c r="C2689" s="34" t="str">
        <f>TEXT(Metas_Diarias[[#This Row],[data]],"dddd")</f>
        <v>sexta-feira</v>
      </c>
      <c r="D2689" s="33">
        <v>3</v>
      </c>
      <c r="E2689" s="33">
        <v>4</v>
      </c>
      <c r="F2689" s="18"/>
      <c r="G2689" s="35">
        <f>WEEKDAY(Metas_Diarias[[#This Row],[data]])</f>
        <v>6</v>
      </c>
      <c r="H2689" s="35">
        <f>IF(Metas_Diarias[[#This Row],[dias_da_demana]]=1,"domingo",IF(Metas_Diarias[[#This Row],[dias_da_demana]]=7,0.5,1))</f>
        <v>1</v>
      </c>
      <c r="I2689" s="35">
        <f>_xlfn.XLOOKUP(Metas_Diarias[[#This Row],[data]],Feriados[Data],Feriados[Feriado],1)</f>
        <v>1</v>
      </c>
      <c r="J2689" s="33" cm="1">
        <f t="array" aca="1" ref="J2689" ca="1">SUMPRODUCT(IF((NOT(ISERROR(MATCH(ROW(INDIRECT(DATE(YEAR(B2689),MONTH(B2689),1)&amp;":"&amp;DATE(YEAR(B2689),MONTH(B2689)+1,0))),Feriados[Data],0))))=FALSE,
IF(WEEKDAY(ROW(INDIRECT(DATE(YEAR(B2689),MONTH(B2689),1)&amp;":"&amp;DATE(YEAR(B2689),MONTH(B2689)+1,0))),2)&lt;=5,1,IF(WEEKDAY(ROW(INDIRECT(DATE(YEAR(B2689),MONTH(B2689),1)&amp;":"&amp;DATE(YEAR(B2689),MONTH(B2689)+1,0))),2)=6,0.5,0)),0))</f>
        <v>22.5</v>
      </c>
      <c r="K2689" s="22" cm="1">
        <f t="array" ref="K2689">_xlfn.XLOOKUP(1,((Metas_Diarias[[#This Row],[tipo_equipe_id]]=Metas[equipe])*(Metas_Diarias[[#This Row],[data]]&gt;Metas[data_inicio])*(Metas_Diarias[[#This Row],[data]]&lt;Metas[data_fim])),Metas[meta_mensal],0)</f>
        <v>0</v>
      </c>
      <c r="L26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0" spans="2:12" x14ac:dyDescent="0.3">
      <c r="B2690" s="34">
        <v>46151</v>
      </c>
      <c r="C2690" s="34" t="str">
        <f>TEXT(Metas_Diarias[[#This Row],[data]],"dddd")</f>
        <v>sábado</v>
      </c>
      <c r="D2690" s="33">
        <v>3</v>
      </c>
      <c r="E2690" s="33">
        <v>4</v>
      </c>
      <c r="F2690" s="18"/>
      <c r="G2690" s="35">
        <f>WEEKDAY(Metas_Diarias[[#This Row],[data]])</f>
        <v>7</v>
      </c>
      <c r="H2690" s="35">
        <f>IF(Metas_Diarias[[#This Row],[dias_da_demana]]=1,"domingo",IF(Metas_Diarias[[#This Row],[dias_da_demana]]=7,0.5,1))</f>
        <v>0.5</v>
      </c>
      <c r="I2690" s="35">
        <f>_xlfn.XLOOKUP(Metas_Diarias[[#This Row],[data]],Feriados[Data],Feriados[Feriado],1)</f>
        <v>1</v>
      </c>
      <c r="J2690" s="33" cm="1">
        <f t="array" aca="1" ref="J2690" ca="1">SUMPRODUCT(IF((NOT(ISERROR(MATCH(ROW(INDIRECT(DATE(YEAR(B2690),MONTH(B2690),1)&amp;":"&amp;DATE(YEAR(B2690),MONTH(B2690)+1,0))),Feriados[Data],0))))=FALSE,
IF(WEEKDAY(ROW(INDIRECT(DATE(YEAR(B2690),MONTH(B2690),1)&amp;":"&amp;DATE(YEAR(B2690),MONTH(B2690)+1,0))),2)&lt;=5,1,IF(WEEKDAY(ROW(INDIRECT(DATE(YEAR(B2690),MONTH(B2690),1)&amp;":"&amp;DATE(YEAR(B2690),MONTH(B2690)+1,0))),2)=6,0.5,0)),0))</f>
        <v>22.5</v>
      </c>
      <c r="K2690" s="22" cm="1">
        <f t="array" ref="K2690">_xlfn.XLOOKUP(1,((Metas_Diarias[[#This Row],[tipo_equipe_id]]=Metas[equipe])*(Metas_Diarias[[#This Row],[data]]&gt;Metas[data_inicio])*(Metas_Diarias[[#This Row],[data]]&lt;Metas[data_fim])),Metas[meta_mensal],0)</f>
        <v>0</v>
      </c>
      <c r="L269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1" spans="2:12" x14ac:dyDescent="0.3">
      <c r="B2691" s="34">
        <v>46152</v>
      </c>
      <c r="C2691" s="34" t="str">
        <f>TEXT(Metas_Diarias[[#This Row],[data]],"dddd")</f>
        <v>domingo</v>
      </c>
      <c r="D2691" s="33">
        <v>3</v>
      </c>
      <c r="E2691" s="33">
        <v>4</v>
      </c>
      <c r="F2691" s="18"/>
      <c r="G2691" s="35">
        <f>WEEKDAY(Metas_Diarias[[#This Row],[data]])</f>
        <v>1</v>
      </c>
      <c r="H2691" s="35" t="str">
        <f>IF(Metas_Diarias[[#This Row],[dias_da_demana]]=1,"domingo",IF(Metas_Diarias[[#This Row],[dias_da_demana]]=7,0.5,1))</f>
        <v>domingo</v>
      </c>
      <c r="I2691" s="35">
        <f>_xlfn.XLOOKUP(Metas_Diarias[[#This Row],[data]],Feriados[Data],Feriados[Feriado],1)</f>
        <v>1</v>
      </c>
      <c r="J2691" s="33" cm="1">
        <f t="array" aca="1" ref="J2691" ca="1">SUMPRODUCT(IF((NOT(ISERROR(MATCH(ROW(INDIRECT(DATE(YEAR(B2691),MONTH(B2691),1)&amp;":"&amp;DATE(YEAR(B2691),MONTH(B2691)+1,0))),Feriados[Data],0))))=FALSE,
IF(WEEKDAY(ROW(INDIRECT(DATE(YEAR(B2691),MONTH(B2691),1)&amp;":"&amp;DATE(YEAR(B2691),MONTH(B2691)+1,0))),2)&lt;=5,1,IF(WEEKDAY(ROW(INDIRECT(DATE(YEAR(B2691),MONTH(B2691),1)&amp;":"&amp;DATE(YEAR(B2691),MONTH(B2691)+1,0))),2)=6,0.5,0)),0))</f>
        <v>22.5</v>
      </c>
      <c r="K2691" s="22" cm="1">
        <f t="array" ref="K2691">_xlfn.XLOOKUP(1,((Metas_Diarias[[#This Row],[tipo_equipe_id]]=Metas[equipe])*(Metas_Diarias[[#This Row],[data]]&gt;Metas[data_inicio])*(Metas_Diarias[[#This Row],[data]]&lt;Metas[data_fim])),Metas[meta_mensal],0)</f>
        <v>0</v>
      </c>
      <c r="L26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2" spans="2:12" x14ac:dyDescent="0.3">
      <c r="B2692" s="34">
        <v>46153</v>
      </c>
      <c r="C2692" s="34" t="str">
        <f>TEXT(Metas_Diarias[[#This Row],[data]],"dddd")</f>
        <v>segunda-feira</v>
      </c>
      <c r="D2692" s="33">
        <v>3</v>
      </c>
      <c r="E2692" s="33">
        <v>4</v>
      </c>
      <c r="F2692" s="18"/>
      <c r="G2692" s="35">
        <f>WEEKDAY(Metas_Diarias[[#This Row],[data]])</f>
        <v>2</v>
      </c>
      <c r="H2692" s="35">
        <f>IF(Metas_Diarias[[#This Row],[dias_da_demana]]=1,"domingo",IF(Metas_Diarias[[#This Row],[dias_da_demana]]=7,0.5,1))</f>
        <v>1</v>
      </c>
      <c r="I2692" s="35">
        <f>_xlfn.XLOOKUP(Metas_Diarias[[#This Row],[data]],Feriados[Data],Feriados[Feriado],1)</f>
        <v>1</v>
      </c>
      <c r="J2692" s="33" cm="1">
        <f t="array" aca="1" ref="J2692" ca="1">SUMPRODUCT(IF((NOT(ISERROR(MATCH(ROW(INDIRECT(DATE(YEAR(B2692),MONTH(B2692),1)&amp;":"&amp;DATE(YEAR(B2692),MONTH(B2692)+1,0))),Feriados[Data],0))))=FALSE,
IF(WEEKDAY(ROW(INDIRECT(DATE(YEAR(B2692),MONTH(B2692),1)&amp;":"&amp;DATE(YEAR(B2692),MONTH(B2692)+1,0))),2)&lt;=5,1,IF(WEEKDAY(ROW(INDIRECT(DATE(YEAR(B2692),MONTH(B2692),1)&amp;":"&amp;DATE(YEAR(B2692),MONTH(B2692)+1,0))),2)=6,0.5,0)),0))</f>
        <v>22.5</v>
      </c>
      <c r="K2692" s="22" cm="1">
        <f t="array" ref="K2692">_xlfn.XLOOKUP(1,((Metas_Diarias[[#This Row],[tipo_equipe_id]]=Metas[equipe])*(Metas_Diarias[[#This Row],[data]]&gt;Metas[data_inicio])*(Metas_Diarias[[#This Row],[data]]&lt;Metas[data_fim])),Metas[meta_mensal],0)</f>
        <v>0</v>
      </c>
      <c r="L269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3" spans="2:12" x14ac:dyDescent="0.3">
      <c r="B2693" s="34">
        <v>46154</v>
      </c>
      <c r="C2693" s="34" t="str">
        <f>TEXT(Metas_Diarias[[#This Row],[data]],"dddd")</f>
        <v>terça-feira</v>
      </c>
      <c r="D2693" s="33">
        <v>3</v>
      </c>
      <c r="E2693" s="33">
        <v>4</v>
      </c>
      <c r="F2693" s="18"/>
      <c r="G2693" s="35">
        <f>WEEKDAY(Metas_Diarias[[#This Row],[data]])</f>
        <v>3</v>
      </c>
      <c r="H2693" s="35">
        <f>IF(Metas_Diarias[[#This Row],[dias_da_demana]]=1,"domingo",IF(Metas_Diarias[[#This Row],[dias_da_demana]]=7,0.5,1))</f>
        <v>1</v>
      </c>
      <c r="I2693" s="35">
        <f>_xlfn.XLOOKUP(Metas_Diarias[[#This Row],[data]],Feriados[Data],Feriados[Feriado],1)</f>
        <v>1</v>
      </c>
      <c r="J2693" s="33" cm="1">
        <f t="array" aca="1" ref="J2693" ca="1">SUMPRODUCT(IF((NOT(ISERROR(MATCH(ROW(INDIRECT(DATE(YEAR(B2693),MONTH(B2693),1)&amp;":"&amp;DATE(YEAR(B2693),MONTH(B2693)+1,0))),Feriados[Data],0))))=FALSE,
IF(WEEKDAY(ROW(INDIRECT(DATE(YEAR(B2693),MONTH(B2693),1)&amp;":"&amp;DATE(YEAR(B2693),MONTH(B2693)+1,0))),2)&lt;=5,1,IF(WEEKDAY(ROW(INDIRECT(DATE(YEAR(B2693),MONTH(B2693),1)&amp;":"&amp;DATE(YEAR(B2693),MONTH(B2693)+1,0))),2)=6,0.5,0)),0))</f>
        <v>22.5</v>
      </c>
      <c r="K2693" s="22" cm="1">
        <f t="array" ref="K2693">_xlfn.XLOOKUP(1,((Metas_Diarias[[#This Row],[tipo_equipe_id]]=Metas[equipe])*(Metas_Diarias[[#This Row],[data]]&gt;Metas[data_inicio])*(Metas_Diarias[[#This Row],[data]]&lt;Metas[data_fim])),Metas[meta_mensal],0)</f>
        <v>0</v>
      </c>
      <c r="L269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4" spans="2:12" x14ac:dyDescent="0.3">
      <c r="B2694" s="34">
        <v>46155</v>
      </c>
      <c r="C2694" s="34" t="str">
        <f>TEXT(Metas_Diarias[[#This Row],[data]],"dddd")</f>
        <v>quarta-feira</v>
      </c>
      <c r="D2694" s="33">
        <v>3</v>
      </c>
      <c r="E2694" s="33">
        <v>4</v>
      </c>
      <c r="F2694" s="18"/>
      <c r="G2694" s="35">
        <f>WEEKDAY(Metas_Diarias[[#This Row],[data]])</f>
        <v>4</v>
      </c>
      <c r="H2694" s="35">
        <f>IF(Metas_Diarias[[#This Row],[dias_da_demana]]=1,"domingo",IF(Metas_Diarias[[#This Row],[dias_da_demana]]=7,0.5,1))</f>
        <v>1</v>
      </c>
      <c r="I2694" s="35">
        <f>_xlfn.XLOOKUP(Metas_Diarias[[#This Row],[data]],Feriados[Data],Feriados[Feriado],1)</f>
        <v>1</v>
      </c>
      <c r="J2694" s="33" cm="1">
        <f t="array" aca="1" ref="J2694" ca="1">SUMPRODUCT(IF((NOT(ISERROR(MATCH(ROW(INDIRECT(DATE(YEAR(B2694),MONTH(B2694),1)&amp;":"&amp;DATE(YEAR(B2694),MONTH(B2694)+1,0))),Feriados[Data],0))))=FALSE,
IF(WEEKDAY(ROW(INDIRECT(DATE(YEAR(B2694),MONTH(B2694),1)&amp;":"&amp;DATE(YEAR(B2694),MONTH(B2694)+1,0))),2)&lt;=5,1,IF(WEEKDAY(ROW(INDIRECT(DATE(YEAR(B2694),MONTH(B2694),1)&amp;":"&amp;DATE(YEAR(B2694),MONTH(B2694)+1,0))),2)=6,0.5,0)),0))</f>
        <v>22.5</v>
      </c>
      <c r="K2694" s="22" cm="1">
        <f t="array" ref="K2694">_xlfn.XLOOKUP(1,((Metas_Diarias[[#This Row],[tipo_equipe_id]]=Metas[equipe])*(Metas_Diarias[[#This Row],[data]]&gt;Metas[data_inicio])*(Metas_Diarias[[#This Row],[data]]&lt;Metas[data_fim])),Metas[meta_mensal],0)</f>
        <v>0</v>
      </c>
      <c r="L26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5" spans="2:12" x14ac:dyDescent="0.3">
      <c r="B2695" s="34">
        <v>46156</v>
      </c>
      <c r="C2695" s="34" t="str">
        <f>TEXT(Metas_Diarias[[#This Row],[data]],"dddd")</f>
        <v>quinta-feira</v>
      </c>
      <c r="D2695" s="33">
        <v>3</v>
      </c>
      <c r="E2695" s="33">
        <v>4</v>
      </c>
      <c r="F2695" s="18"/>
      <c r="G2695" s="35">
        <f>WEEKDAY(Metas_Diarias[[#This Row],[data]])</f>
        <v>5</v>
      </c>
      <c r="H2695" s="35">
        <f>IF(Metas_Diarias[[#This Row],[dias_da_demana]]=1,"domingo",IF(Metas_Diarias[[#This Row],[dias_da_demana]]=7,0.5,1))</f>
        <v>1</v>
      </c>
      <c r="I2695" s="35">
        <f>_xlfn.XLOOKUP(Metas_Diarias[[#This Row],[data]],Feriados[Data],Feriados[Feriado],1)</f>
        <v>1</v>
      </c>
      <c r="J2695" s="33" cm="1">
        <f t="array" aca="1" ref="J2695" ca="1">SUMPRODUCT(IF((NOT(ISERROR(MATCH(ROW(INDIRECT(DATE(YEAR(B2695),MONTH(B2695),1)&amp;":"&amp;DATE(YEAR(B2695),MONTH(B2695)+1,0))),Feriados[Data],0))))=FALSE,
IF(WEEKDAY(ROW(INDIRECT(DATE(YEAR(B2695),MONTH(B2695),1)&amp;":"&amp;DATE(YEAR(B2695),MONTH(B2695)+1,0))),2)&lt;=5,1,IF(WEEKDAY(ROW(INDIRECT(DATE(YEAR(B2695),MONTH(B2695),1)&amp;":"&amp;DATE(YEAR(B2695),MONTH(B2695)+1,0))),2)=6,0.5,0)),0))</f>
        <v>22.5</v>
      </c>
      <c r="K2695" s="22" cm="1">
        <f t="array" ref="K2695">_xlfn.XLOOKUP(1,((Metas_Diarias[[#This Row],[tipo_equipe_id]]=Metas[equipe])*(Metas_Diarias[[#This Row],[data]]&gt;Metas[data_inicio])*(Metas_Diarias[[#This Row],[data]]&lt;Metas[data_fim])),Metas[meta_mensal],0)</f>
        <v>0</v>
      </c>
      <c r="L269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6" spans="2:12" x14ac:dyDescent="0.3">
      <c r="B2696" s="34">
        <v>46157</v>
      </c>
      <c r="C2696" s="34" t="str">
        <f>TEXT(Metas_Diarias[[#This Row],[data]],"dddd")</f>
        <v>sexta-feira</v>
      </c>
      <c r="D2696" s="33">
        <v>3</v>
      </c>
      <c r="E2696" s="33">
        <v>4</v>
      </c>
      <c r="F2696" s="18"/>
      <c r="G2696" s="35">
        <f>WEEKDAY(Metas_Diarias[[#This Row],[data]])</f>
        <v>6</v>
      </c>
      <c r="H2696" s="35">
        <f>IF(Metas_Diarias[[#This Row],[dias_da_demana]]=1,"domingo",IF(Metas_Diarias[[#This Row],[dias_da_demana]]=7,0.5,1))</f>
        <v>1</v>
      </c>
      <c r="I2696" s="35">
        <f>_xlfn.XLOOKUP(Metas_Diarias[[#This Row],[data]],Feriados[Data],Feriados[Feriado],1)</f>
        <v>1</v>
      </c>
      <c r="J2696" s="33" cm="1">
        <f t="array" aca="1" ref="J2696" ca="1">SUMPRODUCT(IF((NOT(ISERROR(MATCH(ROW(INDIRECT(DATE(YEAR(B2696),MONTH(B2696),1)&amp;":"&amp;DATE(YEAR(B2696),MONTH(B2696)+1,0))),Feriados[Data],0))))=FALSE,
IF(WEEKDAY(ROW(INDIRECT(DATE(YEAR(B2696),MONTH(B2696),1)&amp;":"&amp;DATE(YEAR(B2696),MONTH(B2696)+1,0))),2)&lt;=5,1,IF(WEEKDAY(ROW(INDIRECT(DATE(YEAR(B2696),MONTH(B2696),1)&amp;":"&amp;DATE(YEAR(B2696),MONTH(B2696)+1,0))),2)=6,0.5,0)),0))</f>
        <v>22.5</v>
      </c>
      <c r="K2696" s="22" cm="1">
        <f t="array" ref="K2696">_xlfn.XLOOKUP(1,((Metas_Diarias[[#This Row],[tipo_equipe_id]]=Metas[equipe])*(Metas_Diarias[[#This Row],[data]]&gt;Metas[data_inicio])*(Metas_Diarias[[#This Row],[data]]&lt;Metas[data_fim])),Metas[meta_mensal],0)</f>
        <v>0</v>
      </c>
      <c r="L26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7" spans="2:12" x14ac:dyDescent="0.3">
      <c r="B2697" s="34">
        <v>46158</v>
      </c>
      <c r="C2697" s="34" t="str">
        <f>TEXT(Metas_Diarias[[#This Row],[data]],"dddd")</f>
        <v>sábado</v>
      </c>
      <c r="D2697" s="33">
        <v>3</v>
      </c>
      <c r="E2697" s="33">
        <v>4</v>
      </c>
      <c r="F2697" s="18"/>
      <c r="G2697" s="35">
        <f>WEEKDAY(Metas_Diarias[[#This Row],[data]])</f>
        <v>7</v>
      </c>
      <c r="H2697" s="35">
        <f>IF(Metas_Diarias[[#This Row],[dias_da_demana]]=1,"domingo",IF(Metas_Diarias[[#This Row],[dias_da_demana]]=7,0.5,1))</f>
        <v>0.5</v>
      </c>
      <c r="I2697" s="35">
        <f>_xlfn.XLOOKUP(Metas_Diarias[[#This Row],[data]],Feriados[Data],Feriados[Feriado],1)</f>
        <v>1</v>
      </c>
      <c r="J2697" s="33" cm="1">
        <f t="array" aca="1" ref="J2697" ca="1">SUMPRODUCT(IF((NOT(ISERROR(MATCH(ROW(INDIRECT(DATE(YEAR(B2697),MONTH(B2697),1)&amp;":"&amp;DATE(YEAR(B2697),MONTH(B2697)+1,0))),Feriados[Data],0))))=FALSE,
IF(WEEKDAY(ROW(INDIRECT(DATE(YEAR(B2697),MONTH(B2697),1)&amp;":"&amp;DATE(YEAR(B2697),MONTH(B2697)+1,0))),2)&lt;=5,1,IF(WEEKDAY(ROW(INDIRECT(DATE(YEAR(B2697),MONTH(B2697),1)&amp;":"&amp;DATE(YEAR(B2697),MONTH(B2697)+1,0))),2)=6,0.5,0)),0))</f>
        <v>22.5</v>
      </c>
      <c r="K2697" s="22" cm="1">
        <f t="array" ref="K2697">_xlfn.XLOOKUP(1,((Metas_Diarias[[#This Row],[tipo_equipe_id]]=Metas[equipe])*(Metas_Diarias[[#This Row],[data]]&gt;Metas[data_inicio])*(Metas_Diarias[[#This Row],[data]]&lt;Metas[data_fim])),Metas[meta_mensal],0)</f>
        <v>0</v>
      </c>
      <c r="L269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8" spans="2:12" x14ac:dyDescent="0.3">
      <c r="B2698" s="34">
        <v>46159</v>
      </c>
      <c r="C2698" s="34" t="str">
        <f>TEXT(Metas_Diarias[[#This Row],[data]],"dddd")</f>
        <v>domingo</v>
      </c>
      <c r="D2698" s="33">
        <v>3</v>
      </c>
      <c r="E2698" s="33">
        <v>4</v>
      </c>
      <c r="F2698" s="18"/>
      <c r="G2698" s="35">
        <f>WEEKDAY(Metas_Diarias[[#This Row],[data]])</f>
        <v>1</v>
      </c>
      <c r="H2698" s="35" t="str">
        <f>IF(Metas_Diarias[[#This Row],[dias_da_demana]]=1,"domingo",IF(Metas_Diarias[[#This Row],[dias_da_demana]]=7,0.5,1))</f>
        <v>domingo</v>
      </c>
      <c r="I2698" s="35">
        <f>_xlfn.XLOOKUP(Metas_Diarias[[#This Row],[data]],Feriados[Data],Feriados[Feriado],1)</f>
        <v>1</v>
      </c>
      <c r="J2698" s="33" cm="1">
        <f t="array" aca="1" ref="J2698" ca="1">SUMPRODUCT(IF((NOT(ISERROR(MATCH(ROW(INDIRECT(DATE(YEAR(B2698),MONTH(B2698),1)&amp;":"&amp;DATE(YEAR(B2698),MONTH(B2698)+1,0))),Feriados[Data],0))))=FALSE,
IF(WEEKDAY(ROW(INDIRECT(DATE(YEAR(B2698),MONTH(B2698),1)&amp;":"&amp;DATE(YEAR(B2698),MONTH(B2698)+1,0))),2)&lt;=5,1,IF(WEEKDAY(ROW(INDIRECT(DATE(YEAR(B2698),MONTH(B2698),1)&amp;":"&amp;DATE(YEAR(B2698),MONTH(B2698)+1,0))),2)=6,0.5,0)),0))</f>
        <v>22.5</v>
      </c>
      <c r="K2698" s="22" cm="1">
        <f t="array" ref="K2698">_xlfn.XLOOKUP(1,((Metas_Diarias[[#This Row],[tipo_equipe_id]]=Metas[equipe])*(Metas_Diarias[[#This Row],[data]]&gt;Metas[data_inicio])*(Metas_Diarias[[#This Row],[data]]&lt;Metas[data_fim])),Metas[meta_mensal],0)</f>
        <v>0</v>
      </c>
      <c r="L26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699" spans="2:12" x14ac:dyDescent="0.3">
      <c r="B2699" s="34">
        <v>46160</v>
      </c>
      <c r="C2699" s="34" t="str">
        <f>TEXT(Metas_Diarias[[#This Row],[data]],"dddd")</f>
        <v>segunda-feira</v>
      </c>
      <c r="D2699" s="33">
        <v>3</v>
      </c>
      <c r="E2699" s="33">
        <v>4</v>
      </c>
      <c r="F2699" s="18"/>
      <c r="G2699" s="35">
        <f>WEEKDAY(Metas_Diarias[[#This Row],[data]])</f>
        <v>2</v>
      </c>
      <c r="H2699" s="35">
        <f>IF(Metas_Diarias[[#This Row],[dias_da_demana]]=1,"domingo",IF(Metas_Diarias[[#This Row],[dias_da_demana]]=7,0.5,1))</f>
        <v>1</v>
      </c>
      <c r="I2699" s="35">
        <f>_xlfn.XLOOKUP(Metas_Diarias[[#This Row],[data]],Feriados[Data],Feriados[Feriado],1)</f>
        <v>1</v>
      </c>
      <c r="J2699" s="33" cm="1">
        <f t="array" aca="1" ref="J2699" ca="1">SUMPRODUCT(IF((NOT(ISERROR(MATCH(ROW(INDIRECT(DATE(YEAR(B2699),MONTH(B2699),1)&amp;":"&amp;DATE(YEAR(B2699),MONTH(B2699)+1,0))),Feriados[Data],0))))=FALSE,
IF(WEEKDAY(ROW(INDIRECT(DATE(YEAR(B2699),MONTH(B2699),1)&amp;":"&amp;DATE(YEAR(B2699),MONTH(B2699)+1,0))),2)&lt;=5,1,IF(WEEKDAY(ROW(INDIRECT(DATE(YEAR(B2699),MONTH(B2699),1)&amp;":"&amp;DATE(YEAR(B2699),MONTH(B2699)+1,0))),2)=6,0.5,0)),0))</f>
        <v>22.5</v>
      </c>
      <c r="K2699" s="22" cm="1">
        <f t="array" ref="K2699">_xlfn.XLOOKUP(1,((Metas_Diarias[[#This Row],[tipo_equipe_id]]=Metas[equipe])*(Metas_Diarias[[#This Row],[data]]&gt;Metas[data_inicio])*(Metas_Diarias[[#This Row],[data]]&lt;Metas[data_fim])),Metas[meta_mensal],0)</f>
        <v>0</v>
      </c>
      <c r="L269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0" spans="2:12" x14ac:dyDescent="0.3">
      <c r="B2700" s="34">
        <v>46161</v>
      </c>
      <c r="C2700" s="34" t="str">
        <f>TEXT(Metas_Diarias[[#This Row],[data]],"dddd")</f>
        <v>terça-feira</v>
      </c>
      <c r="D2700" s="33">
        <v>3</v>
      </c>
      <c r="E2700" s="33">
        <v>4</v>
      </c>
      <c r="F2700" s="18"/>
      <c r="G2700" s="35">
        <f>WEEKDAY(Metas_Diarias[[#This Row],[data]])</f>
        <v>3</v>
      </c>
      <c r="H2700" s="35">
        <f>IF(Metas_Diarias[[#This Row],[dias_da_demana]]=1,"domingo",IF(Metas_Diarias[[#This Row],[dias_da_demana]]=7,0.5,1))</f>
        <v>1</v>
      </c>
      <c r="I2700" s="35">
        <f>_xlfn.XLOOKUP(Metas_Diarias[[#This Row],[data]],Feriados[Data],Feriados[Feriado],1)</f>
        <v>1</v>
      </c>
      <c r="J2700" s="33" cm="1">
        <f t="array" aca="1" ref="J2700" ca="1">SUMPRODUCT(IF((NOT(ISERROR(MATCH(ROW(INDIRECT(DATE(YEAR(B2700),MONTH(B2700),1)&amp;":"&amp;DATE(YEAR(B2700),MONTH(B2700)+1,0))),Feriados[Data],0))))=FALSE,
IF(WEEKDAY(ROW(INDIRECT(DATE(YEAR(B2700),MONTH(B2700),1)&amp;":"&amp;DATE(YEAR(B2700),MONTH(B2700)+1,0))),2)&lt;=5,1,IF(WEEKDAY(ROW(INDIRECT(DATE(YEAR(B2700),MONTH(B2700),1)&amp;":"&amp;DATE(YEAR(B2700),MONTH(B2700)+1,0))),2)=6,0.5,0)),0))</f>
        <v>22.5</v>
      </c>
      <c r="K2700" s="22" cm="1">
        <f t="array" ref="K2700">_xlfn.XLOOKUP(1,((Metas_Diarias[[#This Row],[tipo_equipe_id]]=Metas[equipe])*(Metas_Diarias[[#This Row],[data]]&gt;Metas[data_inicio])*(Metas_Diarias[[#This Row],[data]]&lt;Metas[data_fim])),Metas[meta_mensal],0)</f>
        <v>0</v>
      </c>
      <c r="L270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1" spans="2:12" x14ac:dyDescent="0.3">
      <c r="B2701" s="34">
        <v>46162</v>
      </c>
      <c r="C2701" s="34" t="str">
        <f>TEXT(Metas_Diarias[[#This Row],[data]],"dddd")</f>
        <v>quarta-feira</v>
      </c>
      <c r="D2701" s="33">
        <v>3</v>
      </c>
      <c r="E2701" s="33">
        <v>4</v>
      </c>
      <c r="F2701" s="18"/>
      <c r="G2701" s="35">
        <f>WEEKDAY(Metas_Diarias[[#This Row],[data]])</f>
        <v>4</v>
      </c>
      <c r="H2701" s="35">
        <f>IF(Metas_Diarias[[#This Row],[dias_da_demana]]=1,"domingo",IF(Metas_Diarias[[#This Row],[dias_da_demana]]=7,0.5,1))</f>
        <v>1</v>
      </c>
      <c r="I2701" s="35">
        <f>_xlfn.XLOOKUP(Metas_Diarias[[#This Row],[data]],Feriados[Data],Feriados[Feriado],1)</f>
        <v>1</v>
      </c>
      <c r="J2701" s="33" cm="1">
        <f t="array" aca="1" ref="J2701" ca="1">SUMPRODUCT(IF((NOT(ISERROR(MATCH(ROW(INDIRECT(DATE(YEAR(B2701),MONTH(B2701),1)&amp;":"&amp;DATE(YEAR(B2701),MONTH(B2701)+1,0))),Feriados[Data],0))))=FALSE,
IF(WEEKDAY(ROW(INDIRECT(DATE(YEAR(B2701),MONTH(B2701),1)&amp;":"&amp;DATE(YEAR(B2701),MONTH(B2701)+1,0))),2)&lt;=5,1,IF(WEEKDAY(ROW(INDIRECT(DATE(YEAR(B2701),MONTH(B2701),1)&amp;":"&amp;DATE(YEAR(B2701),MONTH(B2701)+1,0))),2)=6,0.5,0)),0))</f>
        <v>22.5</v>
      </c>
      <c r="K2701" s="22" cm="1">
        <f t="array" ref="K2701">_xlfn.XLOOKUP(1,((Metas_Diarias[[#This Row],[tipo_equipe_id]]=Metas[equipe])*(Metas_Diarias[[#This Row],[data]]&gt;Metas[data_inicio])*(Metas_Diarias[[#This Row],[data]]&lt;Metas[data_fim])),Metas[meta_mensal],0)</f>
        <v>0</v>
      </c>
      <c r="L27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2" spans="2:12" x14ac:dyDescent="0.3">
      <c r="B2702" s="34">
        <v>46163</v>
      </c>
      <c r="C2702" s="34" t="str">
        <f>TEXT(Metas_Diarias[[#This Row],[data]],"dddd")</f>
        <v>quinta-feira</v>
      </c>
      <c r="D2702" s="33">
        <v>3</v>
      </c>
      <c r="E2702" s="33">
        <v>4</v>
      </c>
      <c r="F2702" s="18"/>
      <c r="G2702" s="35">
        <f>WEEKDAY(Metas_Diarias[[#This Row],[data]])</f>
        <v>5</v>
      </c>
      <c r="H2702" s="35">
        <f>IF(Metas_Diarias[[#This Row],[dias_da_demana]]=1,"domingo",IF(Metas_Diarias[[#This Row],[dias_da_demana]]=7,0.5,1))</f>
        <v>1</v>
      </c>
      <c r="I2702" s="35">
        <f>_xlfn.XLOOKUP(Metas_Diarias[[#This Row],[data]],Feriados[Data],Feriados[Feriado],1)</f>
        <v>1</v>
      </c>
      <c r="J2702" s="33" cm="1">
        <f t="array" aca="1" ref="J2702" ca="1">SUMPRODUCT(IF((NOT(ISERROR(MATCH(ROW(INDIRECT(DATE(YEAR(B2702),MONTH(B2702),1)&amp;":"&amp;DATE(YEAR(B2702),MONTH(B2702)+1,0))),Feriados[Data],0))))=FALSE,
IF(WEEKDAY(ROW(INDIRECT(DATE(YEAR(B2702),MONTH(B2702),1)&amp;":"&amp;DATE(YEAR(B2702),MONTH(B2702)+1,0))),2)&lt;=5,1,IF(WEEKDAY(ROW(INDIRECT(DATE(YEAR(B2702),MONTH(B2702),1)&amp;":"&amp;DATE(YEAR(B2702),MONTH(B2702)+1,0))),2)=6,0.5,0)),0))</f>
        <v>22.5</v>
      </c>
      <c r="K2702" s="22" cm="1">
        <f t="array" ref="K2702">_xlfn.XLOOKUP(1,((Metas_Diarias[[#This Row],[tipo_equipe_id]]=Metas[equipe])*(Metas_Diarias[[#This Row],[data]]&gt;Metas[data_inicio])*(Metas_Diarias[[#This Row],[data]]&lt;Metas[data_fim])),Metas[meta_mensal],0)</f>
        <v>0</v>
      </c>
      <c r="L270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3" spans="2:12" x14ac:dyDescent="0.3">
      <c r="B2703" s="34">
        <v>46164</v>
      </c>
      <c r="C2703" s="34" t="str">
        <f>TEXT(Metas_Diarias[[#This Row],[data]],"dddd")</f>
        <v>sexta-feira</v>
      </c>
      <c r="D2703" s="33">
        <v>3</v>
      </c>
      <c r="E2703" s="33">
        <v>4</v>
      </c>
      <c r="F2703" s="18"/>
      <c r="G2703" s="35">
        <f>WEEKDAY(Metas_Diarias[[#This Row],[data]])</f>
        <v>6</v>
      </c>
      <c r="H2703" s="35">
        <f>IF(Metas_Diarias[[#This Row],[dias_da_demana]]=1,"domingo",IF(Metas_Diarias[[#This Row],[dias_da_demana]]=7,0.5,1))</f>
        <v>1</v>
      </c>
      <c r="I2703" s="35">
        <f>_xlfn.XLOOKUP(Metas_Diarias[[#This Row],[data]],Feriados[Data],Feriados[Feriado],1)</f>
        <v>1</v>
      </c>
      <c r="J2703" s="33" cm="1">
        <f t="array" aca="1" ref="J2703" ca="1">SUMPRODUCT(IF((NOT(ISERROR(MATCH(ROW(INDIRECT(DATE(YEAR(B2703),MONTH(B2703),1)&amp;":"&amp;DATE(YEAR(B2703),MONTH(B2703)+1,0))),Feriados[Data],0))))=FALSE,
IF(WEEKDAY(ROW(INDIRECT(DATE(YEAR(B2703),MONTH(B2703),1)&amp;":"&amp;DATE(YEAR(B2703),MONTH(B2703)+1,0))),2)&lt;=5,1,IF(WEEKDAY(ROW(INDIRECT(DATE(YEAR(B2703),MONTH(B2703),1)&amp;":"&amp;DATE(YEAR(B2703),MONTH(B2703)+1,0))),2)=6,0.5,0)),0))</f>
        <v>22.5</v>
      </c>
      <c r="K2703" s="22" cm="1">
        <f t="array" ref="K2703">_xlfn.XLOOKUP(1,((Metas_Diarias[[#This Row],[tipo_equipe_id]]=Metas[equipe])*(Metas_Diarias[[#This Row],[data]]&gt;Metas[data_inicio])*(Metas_Diarias[[#This Row],[data]]&lt;Metas[data_fim])),Metas[meta_mensal],0)</f>
        <v>0</v>
      </c>
      <c r="L27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4" spans="2:12" x14ac:dyDescent="0.3">
      <c r="B2704" s="34">
        <v>46165</v>
      </c>
      <c r="C2704" s="34" t="str">
        <f>TEXT(Metas_Diarias[[#This Row],[data]],"dddd")</f>
        <v>sábado</v>
      </c>
      <c r="D2704" s="33">
        <v>3</v>
      </c>
      <c r="E2704" s="33">
        <v>4</v>
      </c>
      <c r="F2704" s="18"/>
      <c r="G2704" s="35">
        <f>WEEKDAY(Metas_Diarias[[#This Row],[data]])</f>
        <v>7</v>
      </c>
      <c r="H2704" s="35">
        <f>IF(Metas_Diarias[[#This Row],[dias_da_demana]]=1,"domingo",IF(Metas_Diarias[[#This Row],[dias_da_demana]]=7,0.5,1))</f>
        <v>0.5</v>
      </c>
      <c r="I2704" s="35">
        <f>_xlfn.XLOOKUP(Metas_Diarias[[#This Row],[data]],Feriados[Data],Feriados[Feriado],1)</f>
        <v>1</v>
      </c>
      <c r="J2704" s="33" cm="1">
        <f t="array" aca="1" ref="J2704" ca="1">SUMPRODUCT(IF((NOT(ISERROR(MATCH(ROW(INDIRECT(DATE(YEAR(B2704),MONTH(B2704),1)&amp;":"&amp;DATE(YEAR(B2704),MONTH(B2704)+1,0))),Feriados[Data],0))))=FALSE,
IF(WEEKDAY(ROW(INDIRECT(DATE(YEAR(B2704),MONTH(B2704),1)&amp;":"&amp;DATE(YEAR(B2704),MONTH(B2704)+1,0))),2)&lt;=5,1,IF(WEEKDAY(ROW(INDIRECT(DATE(YEAR(B2704),MONTH(B2704),1)&amp;":"&amp;DATE(YEAR(B2704),MONTH(B2704)+1,0))),2)=6,0.5,0)),0))</f>
        <v>22.5</v>
      </c>
      <c r="K2704" s="22" cm="1">
        <f t="array" ref="K2704">_xlfn.XLOOKUP(1,((Metas_Diarias[[#This Row],[tipo_equipe_id]]=Metas[equipe])*(Metas_Diarias[[#This Row],[data]]&gt;Metas[data_inicio])*(Metas_Diarias[[#This Row],[data]]&lt;Metas[data_fim])),Metas[meta_mensal],0)</f>
        <v>0</v>
      </c>
      <c r="L270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5" spans="2:12" x14ac:dyDescent="0.3">
      <c r="B2705" s="34">
        <v>46166</v>
      </c>
      <c r="C2705" s="34" t="str">
        <f>TEXT(Metas_Diarias[[#This Row],[data]],"dddd")</f>
        <v>domingo</v>
      </c>
      <c r="D2705" s="33">
        <v>3</v>
      </c>
      <c r="E2705" s="33">
        <v>4</v>
      </c>
      <c r="F2705" s="18"/>
      <c r="G2705" s="35">
        <f>WEEKDAY(Metas_Diarias[[#This Row],[data]])</f>
        <v>1</v>
      </c>
      <c r="H2705" s="35" t="str">
        <f>IF(Metas_Diarias[[#This Row],[dias_da_demana]]=1,"domingo",IF(Metas_Diarias[[#This Row],[dias_da_demana]]=7,0.5,1))</f>
        <v>domingo</v>
      </c>
      <c r="I2705" s="35">
        <f>_xlfn.XLOOKUP(Metas_Diarias[[#This Row],[data]],Feriados[Data],Feriados[Feriado],1)</f>
        <v>1</v>
      </c>
      <c r="J2705" s="33" cm="1">
        <f t="array" aca="1" ref="J2705" ca="1">SUMPRODUCT(IF((NOT(ISERROR(MATCH(ROW(INDIRECT(DATE(YEAR(B2705),MONTH(B2705),1)&amp;":"&amp;DATE(YEAR(B2705),MONTH(B2705)+1,0))),Feriados[Data],0))))=FALSE,
IF(WEEKDAY(ROW(INDIRECT(DATE(YEAR(B2705),MONTH(B2705),1)&amp;":"&amp;DATE(YEAR(B2705),MONTH(B2705)+1,0))),2)&lt;=5,1,IF(WEEKDAY(ROW(INDIRECT(DATE(YEAR(B2705),MONTH(B2705),1)&amp;":"&amp;DATE(YEAR(B2705),MONTH(B2705)+1,0))),2)=6,0.5,0)),0))</f>
        <v>22.5</v>
      </c>
      <c r="K2705" s="22" cm="1">
        <f t="array" ref="K2705">_xlfn.XLOOKUP(1,((Metas_Diarias[[#This Row],[tipo_equipe_id]]=Metas[equipe])*(Metas_Diarias[[#This Row],[data]]&gt;Metas[data_inicio])*(Metas_Diarias[[#This Row],[data]]&lt;Metas[data_fim])),Metas[meta_mensal],0)</f>
        <v>0</v>
      </c>
      <c r="L27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6" spans="2:12" x14ac:dyDescent="0.3">
      <c r="B2706" s="34">
        <v>46167</v>
      </c>
      <c r="C2706" s="34" t="str">
        <f>TEXT(Metas_Diarias[[#This Row],[data]],"dddd")</f>
        <v>segunda-feira</v>
      </c>
      <c r="D2706" s="33">
        <v>3</v>
      </c>
      <c r="E2706" s="33">
        <v>4</v>
      </c>
      <c r="F2706" s="18"/>
      <c r="G2706" s="35">
        <f>WEEKDAY(Metas_Diarias[[#This Row],[data]])</f>
        <v>2</v>
      </c>
      <c r="H2706" s="35">
        <f>IF(Metas_Diarias[[#This Row],[dias_da_demana]]=1,"domingo",IF(Metas_Diarias[[#This Row],[dias_da_demana]]=7,0.5,1))</f>
        <v>1</v>
      </c>
      <c r="I2706" s="35">
        <f>_xlfn.XLOOKUP(Metas_Diarias[[#This Row],[data]],Feriados[Data],Feriados[Feriado],1)</f>
        <v>1</v>
      </c>
      <c r="J2706" s="33" cm="1">
        <f t="array" aca="1" ref="J2706" ca="1">SUMPRODUCT(IF((NOT(ISERROR(MATCH(ROW(INDIRECT(DATE(YEAR(B2706),MONTH(B2706),1)&amp;":"&amp;DATE(YEAR(B2706),MONTH(B2706)+1,0))),Feriados[Data],0))))=FALSE,
IF(WEEKDAY(ROW(INDIRECT(DATE(YEAR(B2706),MONTH(B2706),1)&amp;":"&amp;DATE(YEAR(B2706),MONTH(B2706)+1,0))),2)&lt;=5,1,IF(WEEKDAY(ROW(INDIRECT(DATE(YEAR(B2706),MONTH(B2706),1)&amp;":"&amp;DATE(YEAR(B2706),MONTH(B2706)+1,0))),2)=6,0.5,0)),0))</f>
        <v>22.5</v>
      </c>
      <c r="K2706" s="22" cm="1">
        <f t="array" ref="K2706">_xlfn.XLOOKUP(1,((Metas_Diarias[[#This Row],[tipo_equipe_id]]=Metas[equipe])*(Metas_Diarias[[#This Row],[data]]&gt;Metas[data_inicio])*(Metas_Diarias[[#This Row],[data]]&lt;Metas[data_fim])),Metas[meta_mensal],0)</f>
        <v>0</v>
      </c>
      <c r="L270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7" spans="2:12" x14ac:dyDescent="0.3">
      <c r="B2707" s="34">
        <v>46168</v>
      </c>
      <c r="C2707" s="34" t="str">
        <f>TEXT(Metas_Diarias[[#This Row],[data]],"dddd")</f>
        <v>terça-feira</v>
      </c>
      <c r="D2707" s="33">
        <v>3</v>
      </c>
      <c r="E2707" s="33">
        <v>4</v>
      </c>
      <c r="F2707" s="18"/>
      <c r="G2707" s="35">
        <f>WEEKDAY(Metas_Diarias[[#This Row],[data]])</f>
        <v>3</v>
      </c>
      <c r="H2707" s="35">
        <f>IF(Metas_Diarias[[#This Row],[dias_da_demana]]=1,"domingo",IF(Metas_Diarias[[#This Row],[dias_da_demana]]=7,0.5,1))</f>
        <v>1</v>
      </c>
      <c r="I2707" s="35">
        <f>_xlfn.XLOOKUP(Metas_Diarias[[#This Row],[data]],Feriados[Data],Feriados[Feriado],1)</f>
        <v>1</v>
      </c>
      <c r="J2707" s="33" cm="1">
        <f t="array" aca="1" ref="J2707" ca="1">SUMPRODUCT(IF((NOT(ISERROR(MATCH(ROW(INDIRECT(DATE(YEAR(B2707),MONTH(B2707),1)&amp;":"&amp;DATE(YEAR(B2707),MONTH(B2707)+1,0))),Feriados[Data],0))))=FALSE,
IF(WEEKDAY(ROW(INDIRECT(DATE(YEAR(B2707),MONTH(B2707),1)&amp;":"&amp;DATE(YEAR(B2707),MONTH(B2707)+1,0))),2)&lt;=5,1,IF(WEEKDAY(ROW(INDIRECT(DATE(YEAR(B2707),MONTH(B2707),1)&amp;":"&amp;DATE(YEAR(B2707),MONTH(B2707)+1,0))),2)=6,0.5,0)),0))</f>
        <v>22.5</v>
      </c>
      <c r="K2707" s="22" cm="1">
        <f t="array" ref="K2707">_xlfn.XLOOKUP(1,((Metas_Diarias[[#This Row],[tipo_equipe_id]]=Metas[equipe])*(Metas_Diarias[[#This Row],[data]]&gt;Metas[data_inicio])*(Metas_Diarias[[#This Row],[data]]&lt;Metas[data_fim])),Metas[meta_mensal],0)</f>
        <v>0</v>
      </c>
      <c r="L27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8" spans="2:12" x14ac:dyDescent="0.3">
      <c r="B2708" s="34">
        <v>46169</v>
      </c>
      <c r="C2708" s="34" t="str">
        <f>TEXT(Metas_Diarias[[#This Row],[data]],"dddd")</f>
        <v>quarta-feira</v>
      </c>
      <c r="D2708" s="33">
        <v>3</v>
      </c>
      <c r="E2708" s="33">
        <v>4</v>
      </c>
      <c r="F2708" s="18"/>
      <c r="G2708" s="35">
        <f>WEEKDAY(Metas_Diarias[[#This Row],[data]])</f>
        <v>4</v>
      </c>
      <c r="H2708" s="35">
        <f>IF(Metas_Diarias[[#This Row],[dias_da_demana]]=1,"domingo",IF(Metas_Diarias[[#This Row],[dias_da_demana]]=7,0.5,1))</f>
        <v>1</v>
      </c>
      <c r="I2708" s="35">
        <f>_xlfn.XLOOKUP(Metas_Diarias[[#This Row],[data]],Feriados[Data],Feriados[Feriado],1)</f>
        <v>1</v>
      </c>
      <c r="J2708" s="33" cm="1">
        <f t="array" aca="1" ref="J2708" ca="1">SUMPRODUCT(IF((NOT(ISERROR(MATCH(ROW(INDIRECT(DATE(YEAR(B2708),MONTH(B2708),1)&amp;":"&amp;DATE(YEAR(B2708),MONTH(B2708)+1,0))),Feriados[Data],0))))=FALSE,
IF(WEEKDAY(ROW(INDIRECT(DATE(YEAR(B2708),MONTH(B2708),1)&amp;":"&amp;DATE(YEAR(B2708),MONTH(B2708)+1,0))),2)&lt;=5,1,IF(WEEKDAY(ROW(INDIRECT(DATE(YEAR(B2708),MONTH(B2708),1)&amp;":"&amp;DATE(YEAR(B2708),MONTH(B2708)+1,0))),2)=6,0.5,0)),0))</f>
        <v>22.5</v>
      </c>
      <c r="K2708" s="22" cm="1">
        <f t="array" ref="K2708">_xlfn.XLOOKUP(1,((Metas_Diarias[[#This Row],[tipo_equipe_id]]=Metas[equipe])*(Metas_Diarias[[#This Row],[data]]&gt;Metas[data_inicio])*(Metas_Diarias[[#This Row],[data]]&lt;Metas[data_fim])),Metas[meta_mensal],0)</f>
        <v>0</v>
      </c>
      <c r="L27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09" spans="2:12" x14ac:dyDescent="0.3">
      <c r="B2709" s="34">
        <v>46170</v>
      </c>
      <c r="C2709" s="34" t="str">
        <f>TEXT(Metas_Diarias[[#This Row],[data]],"dddd")</f>
        <v>quinta-feira</v>
      </c>
      <c r="D2709" s="33">
        <v>3</v>
      </c>
      <c r="E2709" s="33">
        <v>4</v>
      </c>
      <c r="F2709" s="18"/>
      <c r="G2709" s="35">
        <f>WEEKDAY(Metas_Diarias[[#This Row],[data]])</f>
        <v>5</v>
      </c>
      <c r="H2709" s="35">
        <f>IF(Metas_Diarias[[#This Row],[dias_da_demana]]=1,"domingo",IF(Metas_Diarias[[#This Row],[dias_da_demana]]=7,0.5,1))</f>
        <v>1</v>
      </c>
      <c r="I2709" s="35">
        <f>_xlfn.XLOOKUP(Metas_Diarias[[#This Row],[data]],Feriados[Data],Feriados[Feriado],1)</f>
        <v>1</v>
      </c>
      <c r="J2709" s="33" cm="1">
        <f t="array" aca="1" ref="J2709" ca="1">SUMPRODUCT(IF((NOT(ISERROR(MATCH(ROW(INDIRECT(DATE(YEAR(B2709),MONTH(B2709),1)&amp;":"&amp;DATE(YEAR(B2709),MONTH(B2709)+1,0))),Feriados[Data],0))))=FALSE,
IF(WEEKDAY(ROW(INDIRECT(DATE(YEAR(B2709),MONTH(B2709),1)&amp;":"&amp;DATE(YEAR(B2709),MONTH(B2709)+1,0))),2)&lt;=5,1,IF(WEEKDAY(ROW(INDIRECT(DATE(YEAR(B2709),MONTH(B2709),1)&amp;":"&amp;DATE(YEAR(B2709),MONTH(B2709)+1,0))),2)=6,0.5,0)),0))</f>
        <v>22.5</v>
      </c>
      <c r="K2709" s="22" cm="1">
        <f t="array" ref="K2709">_xlfn.XLOOKUP(1,((Metas_Diarias[[#This Row],[tipo_equipe_id]]=Metas[equipe])*(Metas_Diarias[[#This Row],[data]]&gt;Metas[data_inicio])*(Metas_Diarias[[#This Row],[data]]&lt;Metas[data_fim])),Metas[meta_mensal],0)</f>
        <v>0</v>
      </c>
      <c r="L270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0" spans="2:12" x14ac:dyDescent="0.3">
      <c r="B2710" s="34">
        <v>46171</v>
      </c>
      <c r="C2710" s="34" t="str">
        <f>TEXT(Metas_Diarias[[#This Row],[data]],"dddd")</f>
        <v>sexta-feira</v>
      </c>
      <c r="D2710" s="33">
        <v>3</v>
      </c>
      <c r="E2710" s="33">
        <v>4</v>
      </c>
      <c r="F2710" s="18"/>
      <c r="G2710" s="35">
        <f>WEEKDAY(Metas_Diarias[[#This Row],[data]])</f>
        <v>6</v>
      </c>
      <c r="H2710" s="35">
        <f>IF(Metas_Diarias[[#This Row],[dias_da_demana]]=1,"domingo",IF(Metas_Diarias[[#This Row],[dias_da_demana]]=7,0.5,1))</f>
        <v>1</v>
      </c>
      <c r="I2710" s="35">
        <f>_xlfn.XLOOKUP(Metas_Diarias[[#This Row],[data]],Feriados[Data],Feriados[Feriado],1)</f>
        <v>1</v>
      </c>
      <c r="J2710" s="33" cm="1">
        <f t="array" aca="1" ref="J2710" ca="1">SUMPRODUCT(IF((NOT(ISERROR(MATCH(ROW(INDIRECT(DATE(YEAR(B2710),MONTH(B2710),1)&amp;":"&amp;DATE(YEAR(B2710),MONTH(B2710)+1,0))),Feriados[Data],0))))=FALSE,
IF(WEEKDAY(ROW(INDIRECT(DATE(YEAR(B2710),MONTH(B2710),1)&amp;":"&amp;DATE(YEAR(B2710),MONTH(B2710)+1,0))),2)&lt;=5,1,IF(WEEKDAY(ROW(INDIRECT(DATE(YEAR(B2710),MONTH(B2710),1)&amp;":"&amp;DATE(YEAR(B2710),MONTH(B2710)+1,0))),2)=6,0.5,0)),0))</f>
        <v>22.5</v>
      </c>
      <c r="K2710" s="22" cm="1">
        <f t="array" ref="K2710">_xlfn.XLOOKUP(1,((Metas_Diarias[[#This Row],[tipo_equipe_id]]=Metas[equipe])*(Metas_Diarias[[#This Row],[data]]&gt;Metas[data_inicio])*(Metas_Diarias[[#This Row],[data]]&lt;Metas[data_fim])),Metas[meta_mensal],0)</f>
        <v>0</v>
      </c>
      <c r="L27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1" spans="2:12" x14ac:dyDescent="0.3">
      <c r="B2711" s="34">
        <v>46172</v>
      </c>
      <c r="C2711" s="34" t="str">
        <f>TEXT(Metas_Diarias[[#This Row],[data]],"dddd")</f>
        <v>sábado</v>
      </c>
      <c r="D2711" s="33">
        <v>3</v>
      </c>
      <c r="E2711" s="33">
        <v>4</v>
      </c>
      <c r="F2711" s="18"/>
      <c r="G2711" s="35">
        <f>WEEKDAY(Metas_Diarias[[#This Row],[data]])</f>
        <v>7</v>
      </c>
      <c r="H2711" s="35">
        <f>IF(Metas_Diarias[[#This Row],[dias_da_demana]]=1,"domingo",IF(Metas_Diarias[[#This Row],[dias_da_demana]]=7,0.5,1))</f>
        <v>0.5</v>
      </c>
      <c r="I2711" s="35">
        <f>_xlfn.XLOOKUP(Metas_Diarias[[#This Row],[data]],Feriados[Data],Feriados[Feriado],1)</f>
        <v>1</v>
      </c>
      <c r="J2711" s="33" cm="1">
        <f t="array" aca="1" ref="J2711" ca="1">SUMPRODUCT(IF((NOT(ISERROR(MATCH(ROW(INDIRECT(DATE(YEAR(B2711),MONTH(B2711),1)&amp;":"&amp;DATE(YEAR(B2711),MONTH(B2711)+1,0))),Feriados[Data],0))))=FALSE,
IF(WEEKDAY(ROW(INDIRECT(DATE(YEAR(B2711),MONTH(B2711),1)&amp;":"&amp;DATE(YEAR(B2711),MONTH(B2711)+1,0))),2)&lt;=5,1,IF(WEEKDAY(ROW(INDIRECT(DATE(YEAR(B2711),MONTH(B2711),1)&amp;":"&amp;DATE(YEAR(B2711),MONTH(B2711)+1,0))),2)=6,0.5,0)),0))</f>
        <v>22.5</v>
      </c>
      <c r="K2711" s="22" cm="1">
        <f t="array" ref="K2711">_xlfn.XLOOKUP(1,((Metas_Diarias[[#This Row],[tipo_equipe_id]]=Metas[equipe])*(Metas_Diarias[[#This Row],[data]]&gt;Metas[data_inicio])*(Metas_Diarias[[#This Row],[data]]&lt;Metas[data_fim])),Metas[meta_mensal],0)</f>
        <v>0</v>
      </c>
      <c r="L271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2" spans="2:12" x14ac:dyDescent="0.3">
      <c r="B2712" s="34">
        <v>46173</v>
      </c>
      <c r="C2712" s="34" t="str">
        <f>TEXT(Metas_Diarias[[#This Row],[data]],"dddd")</f>
        <v>domingo</v>
      </c>
      <c r="D2712" s="33">
        <v>3</v>
      </c>
      <c r="E2712" s="33">
        <v>4</v>
      </c>
      <c r="F2712" s="18"/>
      <c r="G2712" s="35">
        <f>WEEKDAY(Metas_Diarias[[#This Row],[data]])</f>
        <v>1</v>
      </c>
      <c r="H2712" s="35" t="str">
        <f>IF(Metas_Diarias[[#This Row],[dias_da_demana]]=1,"domingo",IF(Metas_Diarias[[#This Row],[dias_da_demana]]=7,0.5,1))</f>
        <v>domingo</v>
      </c>
      <c r="I2712" s="35">
        <f>_xlfn.XLOOKUP(Metas_Diarias[[#This Row],[data]],Feriados[Data],Feriados[Feriado],1)</f>
        <v>1</v>
      </c>
      <c r="J2712" s="33" cm="1">
        <f t="array" aca="1" ref="J2712" ca="1">SUMPRODUCT(IF((NOT(ISERROR(MATCH(ROW(INDIRECT(DATE(YEAR(B2712),MONTH(B2712),1)&amp;":"&amp;DATE(YEAR(B2712),MONTH(B2712)+1,0))),Feriados[Data],0))))=FALSE,
IF(WEEKDAY(ROW(INDIRECT(DATE(YEAR(B2712),MONTH(B2712),1)&amp;":"&amp;DATE(YEAR(B2712),MONTH(B2712)+1,0))),2)&lt;=5,1,IF(WEEKDAY(ROW(INDIRECT(DATE(YEAR(B2712),MONTH(B2712),1)&amp;":"&amp;DATE(YEAR(B2712),MONTH(B2712)+1,0))),2)=6,0.5,0)),0))</f>
        <v>22.5</v>
      </c>
      <c r="K2712" s="22" cm="1">
        <f t="array" ref="K2712">_xlfn.XLOOKUP(1,((Metas_Diarias[[#This Row],[tipo_equipe_id]]=Metas[equipe])*(Metas_Diarias[[#This Row],[data]]&gt;Metas[data_inicio])*(Metas_Diarias[[#This Row],[data]]&lt;Metas[data_fim])),Metas[meta_mensal],0)</f>
        <v>0</v>
      </c>
      <c r="L27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3" spans="2:12" x14ac:dyDescent="0.3">
      <c r="B2713" s="34">
        <v>46174</v>
      </c>
      <c r="C2713" s="34" t="str">
        <f>TEXT(Metas_Diarias[[#This Row],[data]],"dddd")</f>
        <v>segunda-feira</v>
      </c>
      <c r="D2713" s="33">
        <v>3</v>
      </c>
      <c r="E2713" s="33">
        <v>4</v>
      </c>
      <c r="F2713" s="18"/>
      <c r="G2713" s="35">
        <f>WEEKDAY(Metas_Diarias[[#This Row],[data]])</f>
        <v>2</v>
      </c>
      <c r="H2713" s="35">
        <f>IF(Metas_Diarias[[#This Row],[dias_da_demana]]=1,"domingo",IF(Metas_Diarias[[#This Row],[dias_da_demana]]=7,0.5,1))</f>
        <v>1</v>
      </c>
      <c r="I2713" s="35">
        <f>_xlfn.XLOOKUP(Metas_Diarias[[#This Row],[data]],Feriados[Data],Feriados[Feriado],1)</f>
        <v>1</v>
      </c>
      <c r="J2713" s="33" cm="1">
        <f t="array" aca="1" ref="J2713" ca="1">SUMPRODUCT(IF((NOT(ISERROR(MATCH(ROW(INDIRECT(DATE(YEAR(B2713),MONTH(B2713),1)&amp;":"&amp;DATE(YEAR(B2713),MONTH(B2713)+1,0))),Feriados[Data],0))))=FALSE,
IF(WEEKDAY(ROW(INDIRECT(DATE(YEAR(B2713),MONTH(B2713),1)&amp;":"&amp;DATE(YEAR(B2713),MONTH(B2713)+1,0))),2)&lt;=5,1,IF(WEEKDAY(ROW(INDIRECT(DATE(YEAR(B2713),MONTH(B2713),1)&amp;":"&amp;DATE(YEAR(B2713),MONTH(B2713)+1,0))),2)=6,0.5,0)),0))</f>
        <v>23</v>
      </c>
      <c r="K2713" s="22" cm="1">
        <f t="array" ref="K2713">_xlfn.XLOOKUP(1,((Metas_Diarias[[#This Row],[tipo_equipe_id]]=Metas[equipe])*(Metas_Diarias[[#This Row],[data]]&gt;Metas[data_inicio])*(Metas_Diarias[[#This Row],[data]]&lt;Metas[data_fim])),Metas[meta_mensal],0)</f>
        <v>0</v>
      </c>
      <c r="L271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4" spans="2:12" x14ac:dyDescent="0.3">
      <c r="B2714" s="34">
        <v>46175</v>
      </c>
      <c r="C2714" s="34" t="str">
        <f>TEXT(Metas_Diarias[[#This Row],[data]],"dddd")</f>
        <v>terça-feira</v>
      </c>
      <c r="D2714" s="33">
        <v>3</v>
      </c>
      <c r="E2714" s="33">
        <v>4</v>
      </c>
      <c r="F2714" s="18"/>
      <c r="G2714" s="35">
        <f>WEEKDAY(Metas_Diarias[[#This Row],[data]])</f>
        <v>3</v>
      </c>
      <c r="H2714" s="35">
        <f>IF(Metas_Diarias[[#This Row],[dias_da_demana]]=1,"domingo",IF(Metas_Diarias[[#This Row],[dias_da_demana]]=7,0.5,1))</f>
        <v>1</v>
      </c>
      <c r="I2714" s="35">
        <f>_xlfn.XLOOKUP(Metas_Diarias[[#This Row],[data]],Feriados[Data],Feriados[Feriado],1)</f>
        <v>1</v>
      </c>
      <c r="J2714" s="33" cm="1">
        <f t="array" aca="1" ref="J2714" ca="1">SUMPRODUCT(IF((NOT(ISERROR(MATCH(ROW(INDIRECT(DATE(YEAR(B2714),MONTH(B2714),1)&amp;":"&amp;DATE(YEAR(B2714),MONTH(B2714)+1,0))),Feriados[Data],0))))=FALSE,
IF(WEEKDAY(ROW(INDIRECT(DATE(YEAR(B2714),MONTH(B2714),1)&amp;":"&amp;DATE(YEAR(B2714),MONTH(B2714)+1,0))),2)&lt;=5,1,IF(WEEKDAY(ROW(INDIRECT(DATE(YEAR(B2714),MONTH(B2714),1)&amp;":"&amp;DATE(YEAR(B2714),MONTH(B2714)+1,0))),2)=6,0.5,0)),0))</f>
        <v>23</v>
      </c>
      <c r="K2714" s="22" cm="1">
        <f t="array" ref="K2714">_xlfn.XLOOKUP(1,((Metas_Diarias[[#This Row],[tipo_equipe_id]]=Metas[equipe])*(Metas_Diarias[[#This Row],[data]]&gt;Metas[data_inicio])*(Metas_Diarias[[#This Row],[data]]&lt;Metas[data_fim])),Metas[meta_mensal],0)</f>
        <v>0</v>
      </c>
      <c r="L27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5" spans="2:12" x14ac:dyDescent="0.3">
      <c r="B2715" s="34">
        <v>46176</v>
      </c>
      <c r="C2715" s="34" t="str">
        <f>TEXT(Metas_Diarias[[#This Row],[data]],"dddd")</f>
        <v>quarta-feira</v>
      </c>
      <c r="D2715" s="33">
        <v>3</v>
      </c>
      <c r="E2715" s="33">
        <v>4</v>
      </c>
      <c r="F2715" s="18"/>
      <c r="G2715" s="35">
        <f>WEEKDAY(Metas_Diarias[[#This Row],[data]])</f>
        <v>4</v>
      </c>
      <c r="H2715" s="35">
        <f>IF(Metas_Diarias[[#This Row],[dias_da_demana]]=1,"domingo",IF(Metas_Diarias[[#This Row],[dias_da_demana]]=7,0.5,1))</f>
        <v>1</v>
      </c>
      <c r="I2715" s="35">
        <f>_xlfn.XLOOKUP(Metas_Diarias[[#This Row],[data]],Feriados[Data],Feriados[Feriado],1)</f>
        <v>1</v>
      </c>
      <c r="J2715" s="33" cm="1">
        <f t="array" aca="1" ref="J2715" ca="1">SUMPRODUCT(IF((NOT(ISERROR(MATCH(ROW(INDIRECT(DATE(YEAR(B2715),MONTH(B2715),1)&amp;":"&amp;DATE(YEAR(B2715),MONTH(B2715)+1,0))),Feriados[Data],0))))=FALSE,
IF(WEEKDAY(ROW(INDIRECT(DATE(YEAR(B2715),MONTH(B2715),1)&amp;":"&amp;DATE(YEAR(B2715),MONTH(B2715)+1,0))),2)&lt;=5,1,IF(WEEKDAY(ROW(INDIRECT(DATE(YEAR(B2715),MONTH(B2715),1)&amp;":"&amp;DATE(YEAR(B2715),MONTH(B2715)+1,0))),2)=6,0.5,0)),0))</f>
        <v>23</v>
      </c>
      <c r="K2715" s="22" cm="1">
        <f t="array" ref="K2715">_xlfn.XLOOKUP(1,((Metas_Diarias[[#This Row],[tipo_equipe_id]]=Metas[equipe])*(Metas_Diarias[[#This Row],[data]]&gt;Metas[data_inicio])*(Metas_Diarias[[#This Row],[data]]&lt;Metas[data_fim])),Metas[meta_mensal],0)</f>
        <v>0</v>
      </c>
      <c r="L27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6" spans="2:12" x14ac:dyDescent="0.3">
      <c r="B2716" s="34">
        <v>46177</v>
      </c>
      <c r="C2716" s="34" t="str">
        <f>TEXT(Metas_Diarias[[#This Row],[data]],"dddd")</f>
        <v>quinta-feira</v>
      </c>
      <c r="D2716" s="33">
        <v>3</v>
      </c>
      <c r="E2716" s="33">
        <v>4</v>
      </c>
      <c r="F2716" s="18"/>
      <c r="G2716" s="35">
        <f>WEEKDAY(Metas_Diarias[[#This Row],[data]])</f>
        <v>5</v>
      </c>
      <c r="H2716" s="35">
        <f>IF(Metas_Diarias[[#This Row],[dias_da_demana]]=1,"domingo",IF(Metas_Diarias[[#This Row],[dias_da_demana]]=7,0.5,1))</f>
        <v>1</v>
      </c>
      <c r="I2716" s="35" t="str">
        <f>_xlfn.XLOOKUP(Metas_Diarias[[#This Row],[data]],Feriados[Data],Feriados[Feriado],1)</f>
        <v>Corpus Christi</v>
      </c>
      <c r="J2716" s="33" cm="1">
        <f t="array" aca="1" ref="J2716" ca="1">SUMPRODUCT(IF((NOT(ISERROR(MATCH(ROW(INDIRECT(DATE(YEAR(B2716),MONTH(B2716),1)&amp;":"&amp;DATE(YEAR(B2716),MONTH(B2716)+1,0))),Feriados[Data],0))))=FALSE,
IF(WEEKDAY(ROW(INDIRECT(DATE(YEAR(B2716),MONTH(B2716),1)&amp;":"&amp;DATE(YEAR(B2716),MONTH(B2716)+1,0))),2)&lt;=5,1,IF(WEEKDAY(ROW(INDIRECT(DATE(YEAR(B2716),MONTH(B2716),1)&amp;":"&amp;DATE(YEAR(B2716),MONTH(B2716)+1,0))),2)=6,0.5,0)),0))</f>
        <v>23</v>
      </c>
      <c r="K2716" s="22" cm="1">
        <f t="array" ref="K2716">_xlfn.XLOOKUP(1,((Metas_Diarias[[#This Row],[tipo_equipe_id]]=Metas[equipe])*(Metas_Diarias[[#This Row],[data]]&gt;Metas[data_inicio])*(Metas_Diarias[[#This Row],[data]]&lt;Metas[data_fim])),Metas[meta_mensal],0)</f>
        <v>0</v>
      </c>
      <c r="L27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7" spans="2:12" x14ac:dyDescent="0.3">
      <c r="B2717" s="34">
        <v>46178</v>
      </c>
      <c r="C2717" s="34" t="str">
        <f>TEXT(Metas_Diarias[[#This Row],[data]],"dddd")</f>
        <v>sexta-feira</v>
      </c>
      <c r="D2717" s="33">
        <v>3</v>
      </c>
      <c r="E2717" s="33">
        <v>4</v>
      </c>
      <c r="F2717" s="18"/>
      <c r="G2717" s="35">
        <f>WEEKDAY(Metas_Diarias[[#This Row],[data]])</f>
        <v>6</v>
      </c>
      <c r="H2717" s="35">
        <f>IF(Metas_Diarias[[#This Row],[dias_da_demana]]=1,"domingo",IF(Metas_Diarias[[#This Row],[dias_da_demana]]=7,0.5,1))</f>
        <v>1</v>
      </c>
      <c r="I2717" s="35">
        <f>_xlfn.XLOOKUP(Metas_Diarias[[#This Row],[data]],Feriados[Data],Feriados[Feriado],1)</f>
        <v>1</v>
      </c>
      <c r="J2717" s="33" cm="1">
        <f t="array" aca="1" ref="J2717" ca="1">SUMPRODUCT(IF((NOT(ISERROR(MATCH(ROW(INDIRECT(DATE(YEAR(B2717),MONTH(B2717),1)&amp;":"&amp;DATE(YEAR(B2717),MONTH(B2717)+1,0))),Feriados[Data],0))))=FALSE,
IF(WEEKDAY(ROW(INDIRECT(DATE(YEAR(B2717),MONTH(B2717),1)&amp;":"&amp;DATE(YEAR(B2717),MONTH(B2717)+1,0))),2)&lt;=5,1,IF(WEEKDAY(ROW(INDIRECT(DATE(YEAR(B2717),MONTH(B2717),1)&amp;":"&amp;DATE(YEAR(B2717),MONTH(B2717)+1,0))),2)=6,0.5,0)),0))</f>
        <v>23</v>
      </c>
      <c r="K2717" s="22" cm="1">
        <f t="array" ref="K2717">_xlfn.XLOOKUP(1,((Metas_Diarias[[#This Row],[tipo_equipe_id]]=Metas[equipe])*(Metas_Diarias[[#This Row],[data]]&gt;Metas[data_inicio])*(Metas_Diarias[[#This Row],[data]]&lt;Metas[data_fim])),Metas[meta_mensal],0)</f>
        <v>0</v>
      </c>
      <c r="L27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8" spans="2:12" x14ac:dyDescent="0.3">
      <c r="B2718" s="34">
        <v>46179</v>
      </c>
      <c r="C2718" s="34" t="str">
        <f>TEXT(Metas_Diarias[[#This Row],[data]],"dddd")</f>
        <v>sábado</v>
      </c>
      <c r="D2718" s="33">
        <v>3</v>
      </c>
      <c r="E2718" s="33">
        <v>4</v>
      </c>
      <c r="F2718" s="18"/>
      <c r="G2718" s="35">
        <f>WEEKDAY(Metas_Diarias[[#This Row],[data]])</f>
        <v>7</v>
      </c>
      <c r="H2718" s="35">
        <f>IF(Metas_Diarias[[#This Row],[dias_da_demana]]=1,"domingo",IF(Metas_Diarias[[#This Row],[dias_da_demana]]=7,0.5,1))</f>
        <v>0.5</v>
      </c>
      <c r="I2718" s="35">
        <f>_xlfn.XLOOKUP(Metas_Diarias[[#This Row],[data]],Feriados[Data],Feriados[Feriado],1)</f>
        <v>1</v>
      </c>
      <c r="J2718" s="33" cm="1">
        <f t="array" aca="1" ref="J2718" ca="1">SUMPRODUCT(IF((NOT(ISERROR(MATCH(ROW(INDIRECT(DATE(YEAR(B2718),MONTH(B2718),1)&amp;":"&amp;DATE(YEAR(B2718),MONTH(B2718)+1,0))),Feriados[Data],0))))=FALSE,
IF(WEEKDAY(ROW(INDIRECT(DATE(YEAR(B2718),MONTH(B2718),1)&amp;":"&amp;DATE(YEAR(B2718),MONTH(B2718)+1,0))),2)&lt;=5,1,IF(WEEKDAY(ROW(INDIRECT(DATE(YEAR(B2718),MONTH(B2718),1)&amp;":"&amp;DATE(YEAR(B2718),MONTH(B2718)+1,0))),2)=6,0.5,0)),0))</f>
        <v>23</v>
      </c>
      <c r="K2718" s="22" cm="1">
        <f t="array" ref="K2718">_xlfn.XLOOKUP(1,((Metas_Diarias[[#This Row],[tipo_equipe_id]]=Metas[equipe])*(Metas_Diarias[[#This Row],[data]]&gt;Metas[data_inicio])*(Metas_Diarias[[#This Row],[data]]&lt;Metas[data_fim])),Metas[meta_mensal],0)</f>
        <v>0</v>
      </c>
      <c r="L271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19" spans="2:12" x14ac:dyDescent="0.3">
      <c r="B2719" s="34">
        <v>46180</v>
      </c>
      <c r="C2719" s="34" t="str">
        <f>TEXT(Metas_Diarias[[#This Row],[data]],"dddd")</f>
        <v>domingo</v>
      </c>
      <c r="D2719" s="33">
        <v>3</v>
      </c>
      <c r="E2719" s="33">
        <v>4</v>
      </c>
      <c r="F2719" s="18"/>
      <c r="G2719" s="35">
        <f>WEEKDAY(Metas_Diarias[[#This Row],[data]])</f>
        <v>1</v>
      </c>
      <c r="H2719" s="35" t="str">
        <f>IF(Metas_Diarias[[#This Row],[dias_da_demana]]=1,"domingo",IF(Metas_Diarias[[#This Row],[dias_da_demana]]=7,0.5,1))</f>
        <v>domingo</v>
      </c>
      <c r="I2719" s="35">
        <f>_xlfn.XLOOKUP(Metas_Diarias[[#This Row],[data]],Feriados[Data],Feriados[Feriado],1)</f>
        <v>1</v>
      </c>
      <c r="J2719" s="33" cm="1">
        <f t="array" aca="1" ref="J2719" ca="1">SUMPRODUCT(IF((NOT(ISERROR(MATCH(ROW(INDIRECT(DATE(YEAR(B2719),MONTH(B2719),1)&amp;":"&amp;DATE(YEAR(B2719),MONTH(B2719)+1,0))),Feriados[Data],0))))=FALSE,
IF(WEEKDAY(ROW(INDIRECT(DATE(YEAR(B2719),MONTH(B2719),1)&amp;":"&amp;DATE(YEAR(B2719),MONTH(B2719)+1,0))),2)&lt;=5,1,IF(WEEKDAY(ROW(INDIRECT(DATE(YEAR(B2719),MONTH(B2719),1)&amp;":"&amp;DATE(YEAR(B2719),MONTH(B2719)+1,0))),2)=6,0.5,0)),0))</f>
        <v>23</v>
      </c>
      <c r="K2719" s="22" cm="1">
        <f t="array" ref="K2719">_xlfn.XLOOKUP(1,((Metas_Diarias[[#This Row],[tipo_equipe_id]]=Metas[equipe])*(Metas_Diarias[[#This Row],[data]]&gt;Metas[data_inicio])*(Metas_Diarias[[#This Row],[data]]&lt;Metas[data_fim])),Metas[meta_mensal],0)</f>
        <v>0</v>
      </c>
      <c r="L27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0" spans="2:12" x14ac:dyDescent="0.3">
      <c r="B2720" s="34">
        <v>46181</v>
      </c>
      <c r="C2720" s="34" t="str">
        <f>TEXT(Metas_Diarias[[#This Row],[data]],"dddd")</f>
        <v>segunda-feira</v>
      </c>
      <c r="D2720" s="33">
        <v>3</v>
      </c>
      <c r="E2720" s="33">
        <v>4</v>
      </c>
      <c r="F2720" s="18"/>
      <c r="G2720" s="35">
        <f>WEEKDAY(Metas_Diarias[[#This Row],[data]])</f>
        <v>2</v>
      </c>
      <c r="H2720" s="35">
        <f>IF(Metas_Diarias[[#This Row],[dias_da_demana]]=1,"domingo",IF(Metas_Diarias[[#This Row],[dias_da_demana]]=7,0.5,1))</f>
        <v>1</v>
      </c>
      <c r="I2720" s="35">
        <f>_xlfn.XLOOKUP(Metas_Diarias[[#This Row],[data]],Feriados[Data],Feriados[Feriado],1)</f>
        <v>1</v>
      </c>
      <c r="J2720" s="33" cm="1">
        <f t="array" aca="1" ref="J2720" ca="1">SUMPRODUCT(IF((NOT(ISERROR(MATCH(ROW(INDIRECT(DATE(YEAR(B2720),MONTH(B2720),1)&amp;":"&amp;DATE(YEAR(B2720),MONTH(B2720)+1,0))),Feriados[Data],0))))=FALSE,
IF(WEEKDAY(ROW(INDIRECT(DATE(YEAR(B2720),MONTH(B2720),1)&amp;":"&amp;DATE(YEAR(B2720),MONTH(B2720)+1,0))),2)&lt;=5,1,IF(WEEKDAY(ROW(INDIRECT(DATE(YEAR(B2720),MONTH(B2720),1)&amp;":"&amp;DATE(YEAR(B2720),MONTH(B2720)+1,0))),2)=6,0.5,0)),0))</f>
        <v>23</v>
      </c>
      <c r="K2720" s="22" cm="1">
        <f t="array" ref="K2720">_xlfn.XLOOKUP(1,((Metas_Diarias[[#This Row],[tipo_equipe_id]]=Metas[equipe])*(Metas_Diarias[[#This Row],[data]]&gt;Metas[data_inicio])*(Metas_Diarias[[#This Row],[data]]&lt;Metas[data_fim])),Metas[meta_mensal],0)</f>
        <v>0</v>
      </c>
      <c r="L272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1" spans="2:12" x14ac:dyDescent="0.3">
      <c r="B2721" s="34">
        <v>46182</v>
      </c>
      <c r="C2721" s="34" t="str">
        <f>TEXT(Metas_Diarias[[#This Row],[data]],"dddd")</f>
        <v>terça-feira</v>
      </c>
      <c r="D2721" s="33">
        <v>3</v>
      </c>
      <c r="E2721" s="33">
        <v>4</v>
      </c>
      <c r="F2721" s="18"/>
      <c r="G2721" s="35">
        <f>WEEKDAY(Metas_Diarias[[#This Row],[data]])</f>
        <v>3</v>
      </c>
      <c r="H2721" s="35">
        <f>IF(Metas_Diarias[[#This Row],[dias_da_demana]]=1,"domingo",IF(Metas_Diarias[[#This Row],[dias_da_demana]]=7,0.5,1))</f>
        <v>1</v>
      </c>
      <c r="I2721" s="35">
        <f>_xlfn.XLOOKUP(Metas_Diarias[[#This Row],[data]],Feriados[Data],Feriados[Feriado],1)</f>
        <v>1</v>
      </c>
      <c r="J2721" s="33" cm="1">
        <f t="array" aca="1" ref="J2721" ca="1">SUMPRODUCT(IF((NOT(ISERROR(MATCH(ROW(INDIRECT(DATE(YEAR(B2721),MONTH(B2721),1)&amp;":"&amp;DATE(YEAR(B2721),MONTH(B2721)+1,0))),Feriados[Data],0))))=FALSE,
IF(WEEKDAY(ROW(INDIRECT(DATE(YEAR(B2721),MONTH(B2721),1)&amp;":"&amp;DATE(YEAR(B2721),MONTH(B2721)+1,0))),2)&lt;=5,1,IF(WEEKDAY(ROW(INDIRECT(DATE(YEAR(B2721),MONTH(B2721),1)&amp;":"&amp;DATE(YEAR(B2721),MONTH(B2721)+1,0))),2)=6,0.5,0)),0))</f>
        <v>23</v>
      </c>
      <c r="K2721" s="22" cm="1">
        <f t="array" ref="K2721">_xlfn.XLOOKUP(1,((Metas_Diarias[[#This Row],[tipo_equipe_id]]=Metas[equipe])*(Metas_Diarias[[#This Row],[data]]&gt;Metas[data_inicio])*(Metas_Diarias[[#This Row],[data]]&lt;Metas[data_fim])),Metas[meta_mensal],0)</f>
        <v>0</v>
      </c>
      <c r="L272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2" spans="2:12" x14ac:dyDescent="0.3">
      <c r="B2722" s="34">
        <v>46183</v>
      </c>
      <c r="C2722" s="34" t="str">
        <f>TEXT(Metas_Diarias[[#This Row],[data]],"dddd")</f>
        <v>quarta-feira</v>
      </c>
      <c r="D2722" s="33">
        <v>3</v>
      </c>
      <c r="E2722" s="33">
        <v>4</v>
      </c>
      <c r="F2722" s="18"/>
      <c r="G2722" s="35">
        <f>WEEKDAY(Metas_Diarias[[#This Row],[data]])</f>
        <v>4</v>
      </c>
      <c r="H2722" s="35">
        <f>IF(Metas_Diarias[[#This Row],[dias_da_demana]]=1,"domingo",IF(Metas_Diarias[[#This Row],[dias_da_demana]]=7,0.5,1))</f>
        <v>1</v>
      </c>
      <c r="I2722" s="35">
        <f>_xlfn.XLOOKUP(Metas_Diarias[[#This Row],[data]],Feriados[Data],Feriados[Feriado],1)</f>
        <v>1</v>
      </c>
      <c r="J2722" s="33" cm="1">
        <f t="array" aca="1" ref="J2722" ca="1">SUMPRODUCT(IF((NOT(ISERROR(MATCH(ROW(INDIRECT(DATE(YEAR(B2722),MONTH(B2722),1)&amp;":"&amp;DATE(YEAR(B2722),MONTH(B2722)+1,0))),Feriados[Data],0))))=FALSE,
IF(WEEKDAY(ROW(INDIRECT(DATE(YEAR(B2722),MONTH(B2722),1)&amp;":"&amp;DATE(YEAR(B2722),MONTH(B2722)+1,0))),2)&lt;=5,1,IF(WEEKDAY(ROW(INDIRECT(DATE(YEAR(B2722),MONTH(B2722),1)&amp;":"&amp;DATE(YEAR(B2722),MONTH(B2722)+1,0))),2)=6,0.5,0)),0))</f>
        <v>23</v>
      </c>
      <c r="K2722" s="22" cm="1">
        <f t="array" ref="K2722">_xlfn.XLOOKUP(1,((Metas_Diarias[[#This Row],[tipo_equipe_id]]=Metas[equipe])*(Metas_Diarias[[#This Row],[data]]&gt;Metas[data_inicio])*(Metas_Diarias[[#This Row],[data]]&lt;Metas[data_fim])),Metas[meta_mensal],0)</f>
        <v>0</v>
      </c>
      <c r="L27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3" spans="2:12" x14ac:dyDescent="0.3">
      <c r="B2723" s="34">
        <v>46184</v>
      </c>
      <c r="C2723" s="34" t="str">
        <f>TEXT(Metas_Diarias[[#This Row],[data]],"dddd")</f>
        <v>quinta-feira</v>
      </c>
      <c r="D2723" s="33">
        <v>3</v>
      </c>
      <c r="E2723" s="33">
        <v>4</v>
      </c>
      <c r="F2723" s="18"/>
      <c r="G2723" s="35">
        <f>WEEKDAY(Metas_Diarias[[#This Row],[data]])</f>
        <v>5</v>
      </c>
      <c r="H2723" s="35">
        <f>IF(Metas_Diarias[[#This Row],[dias_da_demana]]=1,"domingo",IF(Metas_Diarias[[#This Row],[dias_da_demana]]=7,0.5,1))</f>
        <v>1</v>
      </c>
      <c r="I2723" s="35">
        <f>_xlfn.XLOOKUP(Metas_Diarias[[#This Row],[data]],Feriados[Data],Feriados[Feriado],1)</f>
        <v>1</v>
      </c>
      <c r="J2723" s="33" cm="1">
        <f t="array" aca="1" ref="J2723" ca="1">SUMPRODUCT(IF((NOT(ISERROR(MATCH(ROW(INDIRECT(DATE(YEAR(B2723),MONTH(B2723),1)&amp;":"&amp;DATE(YEAR(B2723),MONTH(B2723)+1,0))),Feriados[Data],0))))=FALSE,
IF(WEEKDAY(ROW(INDIRECT(DATE(YEAR(B2723),MONTH(B2723),1)&amp;":"&amp;DATE(YEAR(B2723),MONTH(B2723)+1,0))),2)&lt;=5,1,IF(WEEKDAY(ROW(INDIRECT(DATE(YEAR(B2723),MONTH(B2723),1)&amp;":"&amp;DATE(YEAR(B2723),MONTH(B2723)+1,0))),2)=6,0.5,0)),0))</f>
        <v>23</v>
      </c>
      <c r="K2723" s="22" cm="1">
        <f t="array" ref="K2723">_xlfn.XLOOKUP(1,((Metas_Diarias[[#This Row],[tipo_equipe_id]]=Metas[equipe])*(Metas_Diarias[[#This Row],[data]]&gt;Metas[data_inicio])*(Metas_Diarias[[#This Row],[data]]&lt;Metas[data_fim])),Metas[meta_mensal],0)</f>
        <v>0</v>
      </c>
      <c r="L272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4" spans="2:12" x14ac:dyDescent="0.3">
      <c r="B2724" s="34">
        <v>46185</v>
      </c>
      <c r="C2724" s="34" t="str">
        <f>TEXT(Metas_Diarias[[#This Row],[data]],"dddd")</f>
        <v>sexta-feira</v>
      </c>
      <c r="D2724" s="33">
        <v>3</v>
      </c>
      <c r="E2724" s="33">
        <v>4</v>
      </c>
      <c r="F2724" s="18"/>
      <c r="G2724" s="35">
        <f>WEEKDAY(Metas_Diarias[[#This Row],[data]])</f>
        <v>6</v>
      </c>
      <c r="H2724" s="35">
        <f>IF(Metas_Diarias[[#This Row],[dias_da_demana]]=1,"domingo",IF(Metas_Diarias[[#This Row],[dias_da_demana]]=7,0.5,1))</f>
        <v>1</v>
      </c>
      <c r="I2724" s="35">
        <f>_xlfn.XLOOKUP(Metas_Diarias[[#This Row],[data]],Feriados[Data],Feriados[Feriado],1)</f>
        <v>1</v>
      </c>
      <c r="J2724" s="33" cm="1">
        <f t="array" aca="1" ref="J2724" ca="1">SUMPRODUCT(IF((NOT(ISERROR(MATCH(ROW(INDIRECT(DATE(YEAR(B2724),MONTH(B2724),1)&amp;":"&amp;DATE(YEAR(B2724),MONTH(B2724)+1,0))),Feriados[Data],0))))=FALSE,
IF(WEEKDAY(ROW(INDIRECT(DATE(YEAR(B2724),MONTH(B2724),1)&amp;":"&amp;DATE(YEAR(B2724),MONTH(B2724)+1,0))),2)&lt;=5,1,IF(WEEKDAY(ROW(INDIRECT(DATE(YEAR(B2724),MONTH(B2724),1)&amp;":"&amp;DATE(YEAR(B2724),MONTH(B2724)+1,0))),2)=6,0.5,0)),0))</f>
        <v>23</v>
      </c>
      <c r="K2724" s="22" cm="1">
        <f t="array" ref="K2724">_xlfn.XLOOKUP(1,((Metas_Diarias[[#This Row],[tipo_equipe_id]]=Metas[equipe])*(Metas_Diarias[[#This Row],[data]]&gt;Metas[data_inicio])*(Metas_Diarias[[#This Row],[data]]&lt;Metas[data_fim])),Metas[meta_mensal],0)</f>
        <v>0</v>
      </c>
      <c r="L27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5" spans="2:12" x14ac:dyDescent="0.3">
      <c r="B2725" s="34">
        <v>46186</v>
      </c>
      <c r="C2725" s="34" t="str">
        <f>TEXT(Metas_Diarias[[#This Row],[data]],"dddd")</f>
        <v>sábado</v>
      </c>
      <c r="D2725" s="33">
        <v>3</v>
      </c>
      <c r="E2725" s="33">
        <v>4</v>
      </c>
      <c r="F2725" s="18"/>
      <c r="G2725" s="35">
        <f>WEEKDAY(Metas_Diarias[[#This Row],[data]])</f>
        <v>7</v>
      </c>
      <c r="H2725" s="35">
        <f>IF(Metas_Diarias[[#This Row],[dias_da_demana]]=1,"domingo",IF(Metas_Diarias[[#This Row],[dias_da_demana]]=7,0.5,1))</f>
        <v>0.5</v>
      </c>
      <c r="I2725" s="35">
        <f>_xlfn.XLOOKUP(Metas_Diarias[[#This Row],[data]],Feriados[Data],Feriados[Feriado],1)</f>
        <v>1</v>
      </c>
      <c r="J2725" s="33" cm="1">
        <f t="array" aca="1" ref="J2725" ca="1">SUMPRODUCT(IF((NOT(ISERROR(MATCH(ROW(INDIRECT(DATE(YEAR(B2725),MONTH(B2725),1)&amp;":"&amp;DATE(YEAR(B2725),MONTH(B2725)+1,0))),Feriados[Data],0))))=FALSE,
IF(WEEKDAY(ROW(INDIRECT(DATE(YEAR(B2725),MONTH(B2725),1)&amp;":"&amp;DATE(YEAR(B2725),MONTH(B2725)+1,0))),2)&lt;=5,1,IF(WEEKDAY(ROW(INDIRECT(DATE(YEAR(B2725),MONTH(B2725),1)&amp;":"&amp;DATE(YEAR(B2725),MONTH(B2725)+1,0))),2)=6,0.5,0)),0))</f>
        <v>23</v>
      </c>
      <c r="K2725" s="22" cm="1">
        <f t="array" ref="K2725">_xlfn.XLOOKUP(1,((Metas_Diarias[[#This Row],[tipo_equipe_id]]=Metas[equipe])*(Metas_Diarias[[#This Row],[data]]&gt;Metas[data_inicio])*(Metas_Diarias[[#This Row],[data]]&lt;Metas[data_fim])),Metas[meta_mensal],0)</f>
        <v>0</v>
      </c>
      <c r="L272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6" spans="2:12" x14ac:dyDescent="0.3">
      <c r="B2726" s="34">
        <v>46187</v>
      </c>
      <c r="C2726" s="34" t="str">
        <f>TEXT(Metas_Diarias[[#This Row],[data]],"dddd")</f>
        <v>domingo</v>
      </c>
      <c r="D2726" s="33">
        <v>3</v>
      </c>
      <c r="E2726" s="33">
        <v>4</v>
      </c>
      <c r="F2726" s="18"/>
      <c r="G2726" s="35">
        <f>WEEKDAY(Metas_Diarias[[#This Row],[data]])</f>
        <v>1</v>
      </c>
      <c r="H2726" s="35" t="str">
        <f>IF(Metas_Diarias[[#This Row],[dias_da_demana]]=1,"domingo",IF(Metas_Diarias[[#This Row],[dias_da_demana]]=7,0.5,1))</f>
        <v>domingo</v>
      </c>
      <c r="I2726" s="35">
        <f>_xlfn.XLOOKUP(Metas_Diarias[[#This Row],[data]],Feriados[Data],Feriados[Feriado],1)</f>
        <v>1</v>
      </c>
      <c r="J2726" s="33" cm="1">
        <f t="array" aca="1" ref="J2726" ca="1">SUMPRODUCT(IF((NOT(ISERROR(MATCH(ROW(INDIRECT(DATE(YEAR(B2726),MONTH(B2726),1)&amp;":"&amp;DATE(YEAR(B2726),MONTH(B2726)+1,0))),Feriados[Data],0))))=FALSE,
IF(WEEKDAY(ROW(INDIRECT(DATE(YEAR(B2726),MONTH(B2726),1)&amp;":"&amp;DATE(YEAR(B2726),MONTH(B2726)+1,0))),2)&lt;=5,1,IF(WEEKDAY(ROW(INDIRECT(DATE(YEAR(B2726),MONTH(B2726),1)&amp;":"&amp;DATE(YEAR(B2726),MONTH(B2726)+1,0))),2)=6,0.5,0)),0))</f>
        <v>23</v>
      </c>
      <c r="K2726" s="22" cm="1">
        <f t="array" ref="K2726">_xlfn.XLOOKUP(1,((Metas_Diarias[[#This Row],[tipo_equipe_id]]=Metas[equipe])*(Metas_Diarias[[#This Row],[data]]&gt;Metas[data_inicio])*(Metas_Diarias[[#This Row],[data]]&lt;Metas[data_fim])),Metas[meta_mensal],0)</f>
        <v>0</v>
      </c>
      <c r="L27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7" spans="2:12" x14ac:dyDescent="0.3">
      <c r="B2727" s="34">
        <v>46188</v>
      </c>
      <c r="C2727" s="34" t="str">
        <f>TEXT(Metas_Diarias[[#This Row],[data]],"dddd")</f>
        <v>segunda-feira</v>
      </c>
      <c r="D2727" s="33">
        <v>3</v>
      </c>
      <c r="E2727" s="33">
        <v>4</v>
      </c>
      <c r="F2727" s="18"/>
      <c r="G2727" s="35">
        <f>WEEKDAY(Metas_Diarias[[#This Row],[data]])</f>
        <v>2</v>
      </c>
      <c r="H2727" s="35">
        <f>IF(Metas_Diarias[[#This Row],[dias_da_demana]]=1,"domingo",IF(Metas_Diarias[[#This Row],[dias_da_demana]]=7,0.5,1))</f>
        <v>1</v>
      </c>
      <c r="I2727" s="35">
        <f>_xlfn.XLOOKUP(Metas_Diarias[[#This Row],[data]],Feriados[Data],Feriados[Feriado],1)</f>
        <v>1</v>
      </c>
      <c r="J2727" s="33" cm="1">
        <f t="array" aca="1" ref="J2727" ca="1">SUMPRODUCT(IF((NOT(ISERROR(MATCH(ROW(INDIRECT(DATE(YEAR(B2727),MONTH(B2727),1)&amp;":"&amp;DATE(YEAR(B2727),MONTH(B2727)+1,0))),Feriados[Data],0))))=FALSE,
IF(WEEKDAY(ROW(INDIRECT(DATE(YEAR(B2727),MONTH(B2727),1)&amp;":"&amp;DATE(YEAR(B2727),MONTH(B2727)+1,0))),2)&lt;=5,1,IF(WEEKDAY(ROW(INDIRECT(DATE(YEAR(B2727),MONTH(B2727),1)&amp;":"&amp;DATE(YEAR(B2727),MONTH(B2727)+1,0))),2)=6,0.5,0)),0))</f>
        <v>23</v>
      </c>
      <c r="K2727" s="22" cm="1">
        <f t="array" ref="K2727">_xlfn.XLOOKUP(1,((Metas_Diarias[[#This Row],[tipo_equipe_id]]=Metas[equipe])*(Metas_Diarias[[#This Row],[data]]&gt;Metas[data_inicio])*(Metas_Diarias[[#This Row],[data]]&lt;Metas[data_fim])),Metas[meta_mensal],0)</f>
        <v>0</v>
      </c>
      <c r="L272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8" spans="2:12" x14ac:dyDescent="0.3">
      <c r="B2728" s="34">
        <v>46189</v>
      </c>
      <c r="C2728" s="34" t="str">
        <f>TEXT(Metas_Diarias[[#This Row],[data]],"dddd")</f>
        <v>terça-feira</v>
      </c>
      <c r="D2728" s="33">
        <v>3</v>
      </c>
      <c r="E2728" s="33">
        <v>4</v>
      </c>
      <c r="F2728" s="18"/>
      <c r="G2728" s="35">
        <f>WEEKDAY(Metas_Diarias[[#This Row],[data]])</f>
        <v>3</v>
      </c>
      <c r="H2728" s="35">
        <f>IF(Metas_Diarias[[#This Row],[dias_da_demana]]=1,"domingo",IF(Metas_Diarias[[#This Row],[dias_da_demana]]=7,0.5,1))</f>
        <v>1</v>
      </c>
      <c r="I2728" s="35">
        <f>_xlfn.XLOOKUP(Metas_Diarias[[#This Row],[data]],Feriados[Data],Feriados[Feriado],1)</f>
        <v>1</v>
      </c>
      <c r="J2728" s="33" cm="1">
        <f t="array" aca="1" ref="J2728" ca="1">SUMPRODUCT(IF((NOT(ISERROR(MATCH(ROW(INDIRECT(DATE(YEAR(B2728),MONTH(B2728),1)&amp;":"&amp;DATE(YEAR(B2728),MONTH(B2728)+1,0))),Feriados[Data],0))))=FALSE,
IF(WEEKDAY(ROW(INDIRECT(DATE(YEAR(B2728),MONTH(B2728),1)&amp;":"&amp;DATE(YEAR(B2728),MONTH(B2728)+1,0))),2)&lt;=5,1,IF(WEEKDAY(ROW(INDIRECT(DATE(YEAR(B2728),MONTH(B2728),1)&amp;":"&amp;DATE(YEAR(B2728),MONTH(B2728)+1,0))),2)=6,0.5,0)),0))</f>
        <v>23</v>
      </c>
      <c r="K2728" s="22" cm="1">
        <f t="array" ref="K2728">_xlfn.XLOOKUP(1,((Metas_Diarias[[#This Row],[tipo_equipe_id]]=Metas[equipe])*(Metas_Diarias[[#This Row],[data]]&gt;Metas[data_inicio])*(Metas_Diarias[[#This Row],[data]]&lt;Metas[data_fim])),Metas[meta_mensal],0)</f>
        <v>0</v>
      </c>
      <c r="L272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29" spans="2:12" x14ac:dyDescent="0.3">
      <c r="B2729" s="34">
        <v>46190</v>
      </c>
      <c r="C2729" s="34" t="str">
        <f>TEXT(Metas_Diarias[[#This Row],[data]],"dddd")</f>
        <v>quarta-feira</v>
      </c>
      <c r="D2729" s="33">
        <v>3</v>
      </c>
      <c r="E2729" s="33">
        <v>4</v>
      </c>
      <c r="F2729" s="18"/>
      <c r="G2729" s="35">
        <f>WEEKDAY(Metas_Diarias[[#This Row],[data]])</f>
        <v>4</v>
      </c>
      <c r="H2729" s="35">
        <f>IF(Metas_Diarias[[#This Row],[dias_da_demana]]=1,"domingo",IF(Metas_Diarias[[#This Row],[dias_da_demana]]=7,0.5,1))</f>
        <v>1</v>
      </c>
      <c r="I2729" s="35">
        <f>_xlfn.XLOOKUP(Metas_Diarias[[#This Row],[data]],Feriados[Data],Feriados[Feriado],1)</f>
        <v>1</v>
      </c>
      <c r="J2729" s="33" cm="1">
        <f t="array" aca="1" ref="J2729" ca="1">SUMPRODUCT(IF((NOT(ISERROR(MATCH(ROW(INDIRECT(DATE(YEAR(B2729),MONTH(B2729),1)&amp;":"&amp;DATE(YEAR(B2729),MONTH(B2729)+1,0))),Feriados[Data],0))))=FALSE,
IF(WEEKDAY(ROW(INDIRECT(DATE(YEAR(B2729),MONTH(B2729),1)&amp;":"&amp;DATE(YEAR(B2729),MONTH(B2729)+1,0))),2)&lt;=5,1,IF(WEEKDAY(ROW(INDIRECT(DATE(YEAR(B2729),MONTH(B2729),1)&amp;":"&amp;DATE(YEAR(B2729),MONTH(B2729)+1,0))),2)=6,0.5,0)),0))</f>
        <v>23</v>
      </c>
      <c r="K2729" s="22" cm="1">
        <f t="array" ref="K2729">_xlfn.XLOOKUP(1,((Metas_Diarias[[#This Row],[tipo_equipe_id]]=Metas[equipe])*(Metas_Diarias[[#This Row],[data]]&gt;Metas[data_inicio])*(Metas_Diarias[[#This Row],[data]]&lt;Metas[data_fim])),Metas[meta_mensal],0)</f>
        <v>0</v>
      </c>
      <c r="L272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0" spans="2:12" x14ac:dyDescent="0.3">
      <c r="B2730" s="34">
        <v>46191</v>
      </c>
      <c r="C2730" s="34" t="str">
        <f>TEXT(Metas_Diarias[[#This Row],[data]],"dddd")</f>
        <v>quinta-feira</v>
      </c>
      <c r="D2730" s="33">
        <v>3</v>
      </c>
      <c r="E2730" s="33">
        <v>4</v>
      </c>
      <c r="F2730" s="18"/>
      <c r="G2730" s="35">
        <f>WEEKDAY(Metas_Diarias[[#This Row],[data]])</f>
        <v>5</v>
      </c>
      <c r="H2730" s="35">
        <f>IF(Metas_Diarias[[#This Row],[dias_da_demana]]=1,"domingo",IF(Metas_Diarias[[#This Row],[dias_da_demana]]=7,0.5,1))</f>
        <v>1</v>
      </c>
      <c r="I2730" s="35">
        <f>_xlfn.XLOOKUP(Metas_Diarias[[#This Row],[data]],Feriados[Data],Feriados[Feriado],1)</f>
        <v>1</v>
      </c>
      <c r="J2730" s="33" cm="1">
        <f t="array" aca="1" ref="J2730" ca="1">SUMPRODUCT(IF((NOT(ISERROR(MATCH(ROW(INDIRECT(DATE(YEAR(B2730),MONTH(B2730),1)&amp;":"&amp;DATE(YEAR(B2730),MONTH(B2730)+1,0))),Feriados[Data],0))))=FALSE,
IF(WEEKDAY(ROW(INDIRECT(DATE(YEAR(B2730),MONTH(B2730),1)&amp;":"&amp;DATE(YEAR(B2730),MONTH(B2730)+1,0))),2)&lt;=5,1,IF(WEEKDAY(ROW(INDIRECT(DATE(YEAR(B2730),MONTH(B2730),1)&amp;":"&amp;DATE(YEAR(B2730),MONTH(B2730)+1,0))),2)=6,0.5,0)),0))</f>
        <v>23</v>
      </c>
      <c r="K2730" s="22" cm="1">
        <f t="array" ref="K2730">_xlfn.XLOOKUP(1,((Metas_Diarias[[#This Row],[tipo_equipe_id]]=Metas[equipe])*(Metas_Diarias[[#This Row],[data]]&gt;Metas[data_inicio])*(Metas_Diarias[[#This Row],[data]]&lt;Metas[data_fim])),Metas[meta_mensal],0)</f>
        <v>0</v>
      </c>
      <c r="L273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1" spans="2:12" x14ac:dyDescent="0.3">
      <c r="B2731" s="34">
        <v>46192</v>
      </c>
      <c r="C2731" s="34" t="str">
        <f>TEXT(Metas_Diarias[[#This Row],[data]],"dddd")</f>
        <v>sexta-feira</v>
      </c>
      <c r="D2731" s="33">
        <v>3</v>
      </c>
      <c r="E2731" s="33">
        <v>4</v>
      </c>
      <c r="F2731" s="18"/>
      <c r="G2731" s="35">
        <f>WEEKDAY(Metas_Diarias[[#This Row],[data]])</f>
        <v>6</v>
      </c>
      <c r="H2731" s="35">
        <f>IF(Metas_Diarias[[#This Row],[dias_da_demana]]=1,"domingo",IF(Metas_Diarias[[#This Row],[dias_da_demana]]=7,0.5,1))</f>
        <v>1</v>
      </c>
      <c r="I2731" s="35">
        <f>_xlfn.XLOOKUP(Metas_Diarias[[#This Row],[data]],Feriados[Data],Feriados[Feriado],1)</f>
        <v>1</v>
      </c>
      <c r="J2731" s="33" cm="1">
        <f t="array" aca="1" ref="J2731" ca="1">SUMPRODUCT(IF((NOT(ISERROR(MATCH(ROW(INDIRECT(DATE(YEAR(B2731),MONTH(B2731),1)&amp;":"&amp;DATE(YEAR(B2731),MONTH(B2731)+1,0))),Feriados[Data],0))))=FALSE,
IF(WEEKDAY(ROW(INDIRECT(DATE(YEAR(B2731),MONTH(B2731),1)&amp;":"&amp;DATE(YEAR(B2731),MONTH(B2731)+1,0))),2)&lt;=5,1,IF(WEEKDAY(ROW(INDIRECT(DATE(YEAR(B2731),MONTH(B2731),1)&amp;":"&amp;DATE(YEAR(B2731),MONTH(B2731)+1,0))),2)=6,0.5,0)),0))</f>
        <v>23</v>
      </c>
      <c r="K2731" s="22" cm="1">
        <f t="array" ref="K2731">_xlfn.XLOOKUP(1,((Metas_Diarias[[#This Row],[tipo_equipe_id]]=Metas[equipe])*(Metas_Diarias[[#This Row],[data]]&gt;Metas[data_inicio])*(Metas_Diarias[[#This Row],[data]]&lt;Metas[data_fim])),Metas[meta_mensal],0)</f>
        <v>0</v>
      </c>
      <c r="L27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2" spans="2:12" x14ac:dyDescent="0.3">
      <c r="B2732" s="34">
        <v>46193</v>
      </c>
      <c r="C2732" s="34" t="str">
        <f>TEXT(Metas_Diarias[[#This Row],[data]],"dddd")</f>
        <v>sábado</v>
      </c>
      <c r="D2732" s="33">
        <v>3</v>
      </c>
      <c r="E2732" s="33">
        <v>4</v>
      </c>
      <c r="F2732" s="18"/>
      <c r="G2732" s="35">
        <f>WEEKDAY(Metas_Diarias[[#This Row],[data]])</f>
        <v>7</v>
      </c>
      <c r="H2732" s="35">
        <f>IF(Metas_Diarias[[#This Row],[dias_da_demana]]=1,"domingo",IF(Metas_Diarias[[#This Row],[dias_da_demana]]=7,0.5,1))</f>
        <v>0.5</v>
      </c>
      <c r="I2732" s="35">
        <f>_xlfn.XLOOKUP(Metas_Diarias[[#This Row],[data]],Feriados[Data],Feriados[Feriado],1)</f>
        <v>1</v>
      </c>
      <c r="J2732" s="33" cm="1">
        <f t="array" aca="1" ref="J2732" ca="1">SUMPRODUCT(IF((NOT(ISERROR(MATCH(ROW(INDIRECT(DATE(YEAR(B2732),MONTH(B2732),1)&amp;":"&amp;DATE(YEAR(B2732),MONTH(B2732)+1,0))),Feriados[Data],0))))=FALSE,
IF(WEEKDAY(ROW(INDIRECT(DATE(YEAR(B2732),MONTH(B2732),1)&amp;":"&amp;DATE(YEAR(B2732),MONTH(B2732)+1,0))),2)&lt;=5,1,IF(WEEKDAY(ROW(INDIRECT(DATE(YEAR(B2732),MONTH(B2732),1)&amp;":"&amp;DATE(YEAR(B2732),MONTH(B2732)+1,0))),2)=6,0.5,0)),0))</f>
        <v>23</v>
      </c>
      <c r="K2732" s="22" cm="1">
        <f t="array" ref="K2732">_xlfn.XLOOKUP(1,((Metas_Diarias[[#This Row],[tipo_equipe_id]]=Metas[equipe])*(Metas_Diarias[[#This Row],[data]]&gt;Metas[data_inicio])*(Metas_Diarias[[#This Row],[data]]&lt;Metas[data_fim])),Metas[meta_mensal],0)</f>
        <v>0</v>
      </c>
      <c r="L273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3" spans="2:12" x14ac:dyDescent="0.3">
      <c r="B2733" s="34">
        <v>46194</v>
      </c>
      <c r="C2733" s="34" t="str">
        <f>TEXT(Metas_Diarias[[#This Row],[data]],"dddd")</f>
        <v>domingo</v>
      </c>
      <c r="D2733" s="33">
        <v>3</v>
      </c>
      <c r="E2733" s="33">
        <v>4</v>
      </c>
      <c r="F2733" s="18"/>
      <c r="G2733" s="35">
        <f>WEEKDAY(Metas_Diarias[[#This Row],[data]])</f>
        <v>1</v>
      </c>
      <c r="H2733" s="35" t="str">
        <f>IF(Metas_Diarias[[#This Row],[dias_da_demana]]=1,"domingo",IF(Metas_Diarias[[#This Row],[dias_da_demana]]=7,0.5,1))</f>
        <v>domingo</v>
      </c>
      <c r="I2733" s="35">
        <f>_xlfn.XLOOKUP(Metas_Diarias[[#This Row],[data]],Feriados[Data],Feriados[Feriado],1)</f>
        <v>1</v>
      </c>
      <c r="J2733" s="33" cm="1">
        <f t="array" aca="1" ref="J2733" ca="1">SUMPRODUCT(IF((NOT(ISERROR(MATCH(ROW(INDIRECT(DATE(YEAR(B2733),MONTH(B2733),1)&amp;":"&amp;DATE(YEAR(B2733),MONTH(B2733)+1,0))),Feriados[Data],0))))=FALSE,
IF(WEEKDAY(ROW(INDIRECT(DATE(YEAR(B2733),MONTH(B2733),1)&amp;":"&amp;DATE(YEAR(B2733),MONTH(B2733)+1,0))),2)&lt;=5,1,IF(WEEKDAY(ROW(INDIRECT(DATE(YEAR(B2733),MONTH(B2733),1)&amp;":"&amp;DATE(YEAR(B2733),MONTH(B2733)+1,0))),2)=6,0.5,0)),0))</f>
        <v>23</v>
      </c>
      <c r="K2733" s="22" cm="1">
        <f t="array" ref="K2733">_xlfn.XLOOKUP(1,((Metas_Diarias[[#This Row],[tipo_equipe_id]]=Metas[equipe])*(Metas_Diarias[[#This Row],[data]]&gt;Metas[data_inicio])*(Metas_Diarias[[#This Row],[data]]&lt;Metas[data_fim])),Metas[meta_mensal],0)</f>
        <v>0</v>
      </c>
      <c r="L27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4" spans="2:12" x14ac:dyDescent="0.3">
      <c r="B2734" s="34">
        <v>46195</v>
      </c>
      <c r="C2734" s="34" t="str">
        <f>TEXT(Metas_Diarias[[#This Row],[data]],"dddd")</f>
        <v>segunda-feira</v>
      </c>
      <c r="D2734" s="33">
        <v>3</v>
      </c>
      <c r="E2734" s="33">
        <v>4</v>
      </c>
      <c r="F2734" s="18"/>
      <c r="G2734" s="35">
        <f>WEEKDAY(Metas_Diarias[[#This Row],[data]])</f>
        <v>2</v>
      </c>
      <c r="H2734" s="35">
        <f>IF(Metas_Diarias[[#This Row],[dias_da_demana]]=1,"domingo",IF(Metas_Diarias[[#This Row],[dias_da_demana]]=7,0.5,1))</f>
        <v>1</v>
      </c>
      <c r="I2734" s="35">
        <f>_xlfn.XLOOKUP(Metas_Diarias[[#This Row],[data]],Feriados[Data],Feriados[Feriado],1)</f>
        <v>1</v>
      </c>
      <c r="J2734" s="33" cm="1">
        <f t="array" aca="1" ref="J2734" ca="1">SUMPRODUCT(IF((NOT(ISERROR(MATCH(ROW(INDIRECT(DATE(YEAR(B2734),MONTH(B2734),1)&amp;":"&amp;DATE(YEAR(B2734),MONTH(B2734)+1,0))),Feriados[Data],0))))=FALSE,
IF(WEEKDAY(ROW(INDIRECT(DATE(YEAR(B2734),MONTH(B2734),1)&amp;":"&amp;DATE(YEAR(B2734),MONTH(B2734)+1,0))),2)&lt;=5,1,IF(WEEKDAY(ROW(INDIRECT(DATE(YEAR(B2734),MONTH(B2734),1)&amp;":"&amp;DATE(YEAR(B2734),MONTH(B2734)+1,0))),2)=6,0.5,0)),0))</f>
        <v>23</v>
      </c>
      <c r="K2734" s="22" cm="1">
        <f t="array" ref="K2734">_xlfn.XLOOKUP(1,((Metas_Diarias[[#This Row],[tipo_equipe_id]]=Metas[equipe])*(Metas_Diarias[[#This Row],[data]]&gt;Metas[data_inicio])*(Metas_Diarias[[#This Row],[data]]&lt;Metas[data_fim])),Metas[meta_mensal],0)</f>
        <v>0</v>
      </c>
      <c r="L273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5" spans="2:12" x14ac:dyDescent="0.3">
      <c r="B2735" s="34">
        <v>46196</v>
      </c>
      <c r="C2735" s="34" t="str">
        <f>TEXT(Metas_Diarias[[#This Row],[data]],"dddd")</f>
        <v>terça-feira</v>
      </c>
      <c r="D2735" s="33">
        <v>3</v>
      </c>
      <c r="E2735" s="33">
        <v>4</v>
      </c>
      <c r="F2735" s="18"/>
      <c r="G2735" s="35">
        <f>WEEKDAY(Metas_Diarias[[#This Row],[data]])</f>
        <v>3</v>
      </c>
      <c r="H2735" s="35">
        <f>IF(Metas_Diarias[[#This Row],[dias_da_demana]]=1,"domingo",IF(Metas_Diarias[[#This Row],[dias_da_demana]]=7,0.5,1))</f>
        <v>1</v>
      </c>
      <c r="I2735" s="35">
        <f>_xlfn.XLOOKUP(Metas_Diarias[[#This Row],[data]],Feriados[Data],Feriados[Feriado],1)</f>
        <v>1</v>
      </c>
      <c r="J2735" s="33" cm="1">
        <f t="array" aca="1" ref="J2735" ca="1">SUMPRODUCT(IF((NOT(ISERROR(MATCH(ROW(INDIRECT(DATE(YEAR(B2735),MONTH(B2735),1)&amp;":"&amp;DATE(YEAR(B2735),MONTH(B2735)+1,0))),Feriados[Data],0))))=FALSE,
IF(WEEKDAY(ROW(INDIRECT(DATE(YEAR(B2735),MONTH(B2735),1)&amp;":"&amp;DATE(YEAR(B2735),MONTH(B2735)+1,0))),2)&lt;=5,1,IF(WEEKDAY(ROW(INDIRECT(DATE(YEAR(B2735),MONTH(B2735),1)&amp;":"&amp;DATE(YEAR(B2735),MONTH(B2735)+1,0))),2)=6,0.5,0)),0))</f>
        <v>23</v>
      </c>
      <c r="K2735" s="22" cm="1">
        <f t="array" ref="K2735">_xlfn.XLOOKUP(1,((Metas_Diarias[[#This Row],[tipo_equipe_id]]=Metas[equipe])*(Metas_Diarias[[#This Row],[data]]&gt;Metas[data_inicio])*(Metas_Diarias[[#This Row],[data]]&lt;Metas[data_fim])),Metas[meta_mensal],0)</f>
        <v>0</v>
      </c>
      <c r="L273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6" spans="2:12" x14ac:dyDescent="0.3">
      <c r="B2736" s="34">
        <v>46197</v>
      </c>
      <c r="C2736" s="34" t="str">
        <f>TEXT(Metas_Diarias[[#This Row],[data]],"dddd")</f>
        <v>quarta-feira</v>
      </c>
      <c r="D2736" s="33">
        <v>3</v>
      </c>
      <c r="E2736" s="33">
        <v>4</v>
      </c>
      <c r="F2736" s="18"/>
      <c r="G2736" s="35">
        <f>WEEKDAY(Metas_Diarias[[#This Row],[data]])</f>
        <v>4</v>
      </c>
      <c r="H2736" s="35">
        <f>IF(Metas_Diarias[[#This Row],[dias_da_demana]]=1,"domingo",IF(Metas_Diarias[[#This Row],[dias_da_demana]]=7,0.5,1))</f>
        <v>1</v>
      </c>
      <c r="I2736" s="35">
        <f>_xlfn.XLOOKUP(Metas_Diarias[[#This Row],[data]],Feriados[Data],Feriados[Feriado],1)</f>
        <v>1</v>
      </c>
      <c r="J2736" s="33" cm="1">
        <f t="array" aca="1" ref="J2736" ca="1">SUMPRODUCT(IF((NOT(ISERROR(MATCH(ROW(INDIRECT(DATE(YEAR(B2736),MONTH(B2736),1)&amp;":"&amp;DATE(YEAR(B2736),MONTH(B2736)+1,0))),Feriados[Data],0))))=FALSE,
IF(WEEKDAY(ROW(INDIRECT(DATE(YEAR(B2736),MONTH(B2736),1)&amp;":"&amp;DATE(YEAR(B2736),MONTH(B2736)+1,0))),2)&lt;=5,1,IF(WEEKDAY(ROW(INDIRECT(DATE(YEAR(B2736),MONTH(B2736),1)&amp;":"&amp;DATE(YEAR(B2736),MONTH(B2736)+1,0))),2)=6,0.5,0)),0))</f>
        <v>23</v>
      </c>
      <c r="K2736" s="22" cm="1">
        <f t="array" ref="K2736">_xlfn.XLOOKUP(1,((Metas_Diarias[[#This Row],[tipo_equipe_id]]=Metas[equipe])*(Metas_Diarias[[#This Row],[data]]&gt;Metas[data_inicio])*(Metas_Diarias[[#This Row],[data]]&lt;Metas[data_fim])),Metas[meta_mensal],0)</f>
        <v>0</v>
      </c>
      <c r="L273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7" spans="2:12" x14ac:dyDescent="0.3">
      <c r="B2737" s="34">
        <v>46198</v>
      </c>
      <c r="C2737" s="34" t="str">
        <f>TEXT(Metas_Diarias[[#This Row],[data]],"dddd")</f>
        <v>quinta-feira</v>
      </c>
      <c r="D2737" s="33">
        <v>3</v>
      </c>
      <c r="E2737" s="33">
        <v>4</v>
      </c>
      <c r="F2737" s="18"/>
      <c r="G2737" s="35">
        <f>WEEKDAY(Metas_Diarias[[#This Row],[data]])</f>
        <v>5</v>
      </c>
      <c r="H2737" s="35">
        <f>IF(Metas_Diarias[[#This Row],[dias_da_demana]]=1,"domingo",IF(Metas_Diarias[[#This Row],[dias_da_demana]]=7,0.5,1))</f>
        <v>1</v>
      </c>
      <c r="I2737" s="35">
        <f>_xlfn.XLOOKUP(Metas_Diarias[[#This Row],[data]],Feriados[Data],Feriados[Feriado],1)</f>
        <v>1</v>
      </c>
      <c r="J2737" s="33" cm="1">
        <f t="array" aca="1" ref="J2737" ca="1">SUMPRODUCT(IF((NOT(ISERROR(MATCH(ROW(INDIRECT(DATE(YEAR(B2737),MONTH(B2737),1)&amp;":"&amp;DATE(YEAR(B2737),MONTH(B2737)+1,0))),Feriados[Data],0))))=FALSE,
IF(WEEKDAY(ROW(INDIRECT(DATE(YEAR(B2737),MONTH(B2737),1)&amp;":"&amp;DATE(YEAR(B2737),MONTH(B2737)+1,0))),2)&lt;=5,1,IF(WEEKDAY(ROW(INDIRECT(DATE(YEAR(B2737),MONTH(B2737),1)&amp;":"&amp;DATE(YEAR(B2737),MONTH(B2737)+1,0))),2)=6,0.5,0)),0))</f>
        <v>23</v>
      </c>
      <c r="K2737" s="22" cm="1">
        <f t="array" ref="K2737">_xlfn.XLOOKUP(1,((Metas_Diarias[[#This Row],[tipo_equipe_id]]=Metas[equipe])*(Metas_Diarias[[#This Row],[data]]&gt;Metas[data_inicio])*(Metas_Diarias[[#This Row],[data]]&lt;Metas[data_fim])),Metas[meta_mensal],0)</f>
        <v>0</v>
      </c>
      <c r="L273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8" spans="2:12" x14ac:dyDescent="0.3">
      <c r="B2738" s="34">
        <v>46199</v>
      </c>
      <c r="C2738" s="34" t="str">
        <f>TEXT(Metas_Diarias[[#This Row],[data]],"dddd")</f>
        <v>sexta-feira</v>
      </c>
      <c r="D2738" s="33">
        <v>3</v>
      </c>
      <c r="E2738" s="33">
        <v>4</v>
      </c>
      <c r="F2738" s="18"/>
      <c r="G2738" s="35">
        <f>WEEKDAY(Metas_Diarias[[#This Row],[data]])</f>
        <v>6</v>
      </c>
      <c r="H2738" s="35">
        <f>IF(Metas_Diarias[[#This Row],[dias_da_demana]]=1,"domingo",IF(Metas_Diarias[[#This Row],[dias_da_demana]]=7,0.5,1))</f>
        <v>1</v>
      </c>
      <c r="I2738" s="35">
        <f>_xlfn.XLOOKUP(Metas_Diarias[[#This Row],[data]],Feriados[Data],Feriados[Feriado],1)</f>
        <v>1</v>
      </c>
      <c r="J2738" s="33" cm="1">
        <f t="array" aca="1" ref="J2738" ca="1">SUMPRODUCT(IF((NOT(ISERROR(MATCH(ROW(INDIRECT(DATE(YEAR(B2738),MONTH(B2738),1)&amp;":"&amp;DATE(YEAR(B2738),MONTH(B2738)+1,0))),Feriados[Data],0))))=FALSE,
IF(WEEKDAY(ROW(INDIRECT(DATE(YEAR(B2738),MONTH(B2738),1)&amp;":"&amp;DATE(YEAR(B2738),MONTH(B2738)+1,0))),2)&lt;=5,1,IF(WEEKDAY(ROW(INDIRECT(DATE(YEAR(B2738),MONTH(B2738),1)&amp;":"&amp;DATE(YEAR(B2738),MONTH(B2738)+1,0))),2)=6,0.5,0)),0))</f>
        <v>23</v>
      </c>
      <c r="K2738" s="22" cm="1">
        <f t="array" ref="K2738">_xlfn.XLOOKUP(1,((Metas_Diarias[[#This Row],[tipo_equipe_id]]=Metas[equipe])*(Metas_Diarias[[#This Row],[data]]&gt;Metas[data_inicio])*(Metas_Diarias[[#This Row],[data]]&lt;Metas[data_fim])),Metas[meta_mensal],0)</f>
        <v>0</v>
      </c>
      <c r="L27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39" spans="2:12" x14ac:dyDescent="0.3">
      <c r="B2739" s="34">
        <v>46200</v>
      </c>
      <c r="C2739" s="34" t="str">
        <f>TEXT(Metas_Diarias[[#This Row],[data]],"dddd")</f>
        <v>sábado</v>
      </c>
      <c r="D2739" s="33">
        <v>3</v>
      </c>
      <c r="E2739" s="33">
        <v>4</v>
      </c>
      <c r="F2739" s="18"/>
      <c r="G2739" s="35">
        <f>WEEKDAY(Metas_Diarias[[#This Row],[data]])</f>
        <v>7</v>
      </c>
      <c r="H2739" s="35">
        <f>IF(Metas_Diarias[[#This Row],[dias_da_demana]]=1,"domingo",IF(Metas_Diarias[[#This Row],[dias_da_demana]]=7,0.5,1))</f>
        <v>0.5</v>
      </c>
      <c r="I2739" s="35">
        <f>_xlfn.XLOOKUP(Metas_Diarias[[#This Row],[data]],Feriados[Data],Feriados[Feriado],1)</f>
        <v>1</v>
      </c>
      <c r="J2739" s="33" cm="1">
        <f t="array" aca="1" ref="J2739" ca="1">SUMPRODUCT(IF((NOT(ISERROR(MATCH(ROW(INDIRECT(DATE(YEAR(B2739),MONTH(B2739),1)&amp;":"&amp;DATE(YEAR(B2739),MONTH(B2739)+1,0))),Feriados[Data],0))))=FALSE,
IF(WEEKDAY(ROW(INDIRECT(DATE(YEAR(B2739),MONTH(B2739),1)&amp;":"&amp;DATE(YEAR(B2739),MONTH(B2739)+1,0))),2)&lt;=5,1,IF(WEEKDAY(ROW(INDIRECT(DATE(YEAR(B2739),MONTH(B2739),1)&amp;":"&amp;DATE(YEAR(B2739),MONTH(B2739)+1,0))),2)=6,0.5,0)),0))</f>
        <v>23</v>
      </c>
      <c r="K2739" s="22" cm="1">
        <f t="array" ref="K2739">_xlfn.XLOOKUP(1,((Metas_Diarias[[#This Row],[tipo_equipe_id]]=Metas[equipe])*(Metas_Diarias[[#This Row],[data]]&gt;Metas[data_inicio])*(Metas_Diarias[[#This Row],[data]]&lt;Metas[data_fim])),Metas[meta_mensal],0)</f>
        <v>0</v>
      </c>
      <c r="L273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0" spans="2:12" x14ac:dyDescent="0.3">
      <c r="B2740" s="34">
        <v>46201</v>
      </c>
      <c r="C2740" s="34" t="str">
        <f>TEXT(Metas_Diarias[[#This Row],[data]],"dddd")</f>
        <v>domingo</v>
      </c>
      <c r="D2740" s="33">
        <v>3</v>
      </c>
      <c r="E2740" s="33">
        <v>4</v>
      </c>
      <c r="F2740" s="18"/>
      <c r="G2740" s="35">
        <f>WEEKDAY(Metas_Diarias[[#This Row],[data]])</f>
        <v>1</v>
      </c>
      <c r="H2740" s="35" t="str">
        <f>IF(Metas_Diarias[[#This Row],[dias_da_demana]]=1,"domingo",IF(Metas_Diarias[[#This Row],[dias_da_demana]]=7,0.5,1))</f>
        <v>domingo</v>
      </c>
      <c r="I2740" s="35">
        <f>_xlfn.XLOOKUP(Metas_Diarias[[#This Row],[data]],Feriados[Data],Feriados[Feriado],1)</f>
        <v>1</v>
      </c>
      <c r="J2740" s="33" cm="1">
        <f t="array" aca="1" ref="J2740" ca="1">SUMPRODUCT(IF((NOT(ISERROR(MATCH(ROW(INDIRECT(DATE(YEAR(B2740),MONTH(B2740),1)&amp;":"&amp;DATE(YEAR(B2740),MONTH(B2740)+1,0))),Feriados[Data],0))))=FALSE,
IF(WEEKDAY(ROW(INDIRECT(DATE(YEAR(B2740),MONTH(B2740),1)&amp;":"&amp;DATE(YEAR(B2740),MONTH(B2740)+1,0))),2)&lt;=5,1,IF(WEEKDAY(ROW(INDIRECT(DATE(YEAR(B2740),MONTH(B2740),1)&amp;":"&amp;DATE(YEAR(B2740),MONTH(B2740)+1,0))),2)=6,0.5,0)),0))</f>
        <v>23</v>
      </c>
      <c r="K2740" s="22" cm="1">
        <f t="array" ref="K2740">_xlfn.XLOOKUP(1,((Metas_Diarias[[#This Row],[tipo_equipe_id]]=Metas[equipe])*(Metas_Diarias[[#This Row],[data]]&gt;Metas[data_inicio])*(Metas_Diarias[[#This Row],[data]]&lt;Metas[data_fim])),Metas[meta_mensal],0)</f>
        <v>0</v>
      </c>
      <c r="L274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1" spans="2:12" x14ac:dyDescent="0.3">
      <c r="B2741" s="34">
        <v>46202</v>
      </c>
      <c r="C2741" s="34" t="str">
        <f>TEXT(Metas_Diarias[[#This Row],[data]],"dddd")</f>
        <v>segunda-feira</v>
      </c>
      <c r="D2741" s="33">
        <v>3</v>
      </c>
      <c r="E2741" s="33">
        <v>4</v>
      </c>
      <c r="F2741" s="18"/>
      <c r="G2741" s="35">
        <f>WEEKDAY(Metas_Diarias[[#This Row],[data]])</f>
        <v>2</v>
      </c>
      <c r="H2741" s="35">
        <f>IF(Metas_Diarias[[#This Row],[dias_da_demana]]=1,"domingo",IF(Metas_Diarias[[#This Row],[dias_da_demana]]=7,0.5,1))</f>
        <v>1</v>
      </c>
      <c r="I2741" s="35">
        <f>_xlfn.XLOOKUP(Metas_Diarias[[#This Row],[data]],Feriados[Data],Feriados[Feriado],1)</f>
        <v>1</v>
      </c>
      <c r="J2741" s="33" cm="1">
        <f t="array" aca="1" ref="J2741" ca="1">SUMPRODUCT(IF((NOT(ISERROR(MATCH(ROW(INDIRECT(DATE(YEAR(B2741),MONTH(B2741),1)&amp;":"&amp;DATE(YEAR(B2741),MONTH(B2741)+1,0))),Feriados[Data],0))))=FALSE,
IF(WEEKDAY(ROW(INDIRECT(DATE(YEAR(B2741),MONTH(B2741),1)&amp;":"&amp;DATE(YEAR(B2741),MONTH(B2741)+1,0))),2)&lt;=5,1,IF(WEEKDAY(ROW(INDIRECT(DATE(YEAR(B2741),MONTH(B2741),1)&amp;":"&amp;DATE(YEAR(B2741),MONTH(B2741)+1,0))),2)=6,0.5,0)),0))</f>
        <v>23</v>
      </c>
      <c r="K2741" s="22" cm="1">
        <f t="array" ref="K2741">_xlfn.XLOOKUP(1,((Metas_Diarias[[#This Row],[tipo_equipe_id]]=Metas[equipe])*(Metas_Diarias[[#This Row],[data]]&gt;Metas[data_inicio])*(Metas_Diarias[[#This Row],[data]]&lt;Metas[data_fim])),Metas[meta_mensal],0)</f>
        <v>0</v>
      </c>
      <c r="L274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2" spans="2:12" x14ac:dyDescent="0.3">
      <c r="B2742" s="34">
        <v>46203</v>
      </c>
      <c r="C2742" s="34" t="str">
        <f>TEXT(Metas_Diarias[[#This Row],[data]],"dddd")</f>
        <v>terça-feira</v>
      </c>
      <c r="D2742" s="33">
        <v>3</v>
      </c>
      <c r="E2742" s="33">
        <v>4</v>
      </c>
      <c r="F2742" s="18"/>
      <c r="G2742" s="35">
        <f>WEEKDAY(Metas_Diarias[[#This Row],[data]])</f>
        <v>3</v>
      </c>
      <c r="H2742" s="35">
        <f>IF(Metas_Diarias[[#This Row],[dias_da_demana]]=1,"domingo",IF(Metas_Diarias[[#This Row],[dias_da_demana]]=7,0.5,1))</f>
        <v>1</v>
      </c>
      <c r="I2742" s="35">
        <f>_xlfn.XLOOKUP(Metas_Diarias[[#This Row],[data]],Feriados[Data],Feriados[Feriado],1)</f>
        <v>1</v>
      </c>
      <c r="J2742" s="33" cm="1">
        <f t="array" aca="1" ref="J2742" ca="1">SUMPRODUCT(IF((NOT(ISERROR(MATCH(ROW(INDIRECT(DATE(YEAR(B2742),MONTH(B2742),1)&amp;":"&amp;DATE(YEAR(B2742),MONTH(B2742)+1,0))),Feriados[Data],0))))=FALSE,
IF(WEEKDAY(ROW(INDIRECT(DATE(YEAR(B2742),MONTH(B2742),1)&amp;":"&amp;DATE(YEAR(B2742),MONTH(B2742)+1,0))),2)&lt;=5,1,IF(WEEKDAY(ROW(INDIRECT(DATE(YEAR(B2742),MONTH(B2742),1)&amp;":"&amp;DATE(YEAR(B2742),MONTH(B2742)+1,0))),2)=6,0.5,0)),0))</f>
        <v>23</v>
      </c>
      <c r="K2742" s="22" cm="1">
        <f t="array" ref="K2742">_xlfn.XLOOKUP(1,((Metas_Diarias[[#This Row],[tipo_equipe_id]]=Metas[equipe])*(Metas_Diarias[[#This Row],[data]]&gt;Metas[data_inicio])*(Metas_Diarias[[#This Row],[data]]&lt;Metas[data_fim])),Metas[meta_mensal],0)</f>
        <v>0</v>
      </c>
      <c r="L274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3" spans="2:12" x14ac:dyDescent="0.3">
      <c r="B2743" s="34">
        <v>46204</v>
      </c>
      <c r="C2743" s="34" t="str">
        <f>TEXT(Metas_Diarias[[#This Row],[data]],"dddd")</f>
        <v>quarta-feira</v>
      </c>
      <c r="D2743" s="33">
        <v>3</v>
      </c>
      <c r="E2743" s="33">
        <v>4</v>
      </c>
      <c r="F2743" s="18"/>
      <c r="G2743" s="35">
        <f>WEEKDAY(Metas_Diarias[[#This Row],[data]])</f>
        <v>4</v>
      </c>
      <c r="H2743" s="35">
        <f>IF(Metas_Diarias[[#This Row],[dias_da_demana]]=1,"domingo",IF(Metas_Diarias[[#This Row],[dias_da_demana]]=7,0.5,1))</f>
        <v>1</v>
      </c>
      <c r="I2743" s="35">
        <f>_xlfn.XLOOKUP(Metas_Diarias[[#This Row],[data]],Feriados[Data],Feriados[Feriado],1)</f>
        <v>1</v>
      </c>
      <c r="J2743" s="33" cm="1">
        <f t="array" aca="1" ref="J2743" ca="1">SUMPRODUCT(IF((NOT(ISERROR(MATCH(ROW(INDIRECT(DATE(YEAR(B2743),MONTH(B2743),1)&amp;":"&amp;DATE(YEAR(B2743),MONTH(B2743)+1,0))),Feriados[Data],0))))=FALSE,
IF(WEEKDAY(ROW(INDIRECT(DATE(YEAR(B2743),MONTH(B2743),1)&amp;":"&amp;DATE(YEAR(B2743),MONTH(B2743)+1,0))),2)&lt;=5,1,IF(WEEKDAY(ROW(INDIRECT(DATE(YEAR(B2743),MONTH(B2743),1)&amp;":"&amp;DATE(YEAR(B2743),MONTH(B2743)+1,0))),2)=6,0.5,0)),0))</f>
        <v>25</v>
      </c>
      <c r="K2743" s="22" cm="1">
        <f t="array" ref="K2743">_xlfn.XLOOKUP(1,((Metas_Diarias[[#This Row],[tipo_equipe_id]]=Metas[equipe])*(Metas_Diarias[[#This Row],[data]]&gt;Metas[data_inicio])*(Metas_Diarias[[#This Row],[data]]&lt;Metas[data_fim])),Metas[meta_mensal],0)</f>
        <v>0</v>
      </c>
      <c r="L27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4" spans="2:12" x14ac:dyDescent="0.3">
      <c r="B2744" s="34">
        <v>46205</v>
      </c>
      <c r="C2744" s="34" t="str">
        <f>TEXT(Metas_Diarias[[#This Row],[data]],"dddd")</f>
        <v>quinta-feira</v>
      </c>
      <c r="D2744" s="33">
        <v>3</v>
      </c>
      <c r="E2744" s="33">
        <v>4</v>
      </c>
      <c r="F2744" s="18"/>
      <c r="G2744" s="35">
        <f>WEEKDAY(Metas_Diarias[[#This Row],[data]])</f>
        <v>5</v>
      </c>
      <c r="H2744" s="35">
        <f>IF(Metas_Diarias[[#This Row],[dias_da_demana]]=1,"domingo",IF(Metas_Diarias[[#This Row],[dias_da_demana]]=7,0.5,1))</f>
        <v>1</v>
      </c>
      <c r="I2744" s="35">
        <f>_xlfn.XLOOKUP(Metas_Diarias[[#This Row],[data]],Feriados[Data],Feriados[Feriado],1)</f>
        <v>1</v>
      </c>
      <c r="J2744" s="33" cm="1">
        <f t="array" aca="1" ref="J2744" ca="1">SUMPRODUCT(IF((NOT(ISERROR(MATCH(ROW(INDIRECT(DATE(YEAR(B2744),MONTH(B2744),1)&amp;":"&amp;DATE(YEAR(B2744),MONTH(B2744)+1,0))),Feriados[Data],0))))=FALSE,
IF(WEEKDAY(ROW(INDIRECT(DATE(YEAR(B2744),MONTH(B2744),1)&amp;":"&amp;DATE(YEAR(B2744),MONTH(B2744)+1,0))),2)&lt;=5,1,IF(WEEKDAY(ROW(INDIRECT(DATE(YEAR(B2744),MONTH(B2744),1)&amp;":"&amp;DATE(YEAR(B2744),MONTH(B2744)+1,0))),2)=6,0.5,0)),0))</f>
        <v>25</v>
      </c>
      <c r="K2744" s="22" cm="1">
        <f t="array" ref="K2744">_xlfn.XLOOKUP(1,((Metas_Diarias[[#This Row],[tipo_equipe_id]]=Metas[equipe])*(Metas_Diarias[[#This Row],[data]]&gt;Metas[data_inicio])*(Metas_Diarias[[#This Row],[data]]&lt;Metas[data_fim])),Metas[meta_mensal],0)</f>
        <v>0</v>
      </c>
      <c r="L274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5" spans="2:12" x14ac:dyDescent="0.3">
      <c r="B2745" s="34">
        <v>46206</v>
      </c>
      <c r="C2745" s="34" t="str">
        <f>TEXT(Metas_Diarias[[#This Row],[data]],"dddd")</f>
        <v>sexta-feira</v>
      </c>
      <c r="D2745" s="33">
        <v>3</v>
      </c>
      <c r="E2745" s="33">
        <v>4</v>
      </c>
      <c r="F2745" s="18"/>
      <c r="G2745" s="35">
        <f>WEEKDAY(Metas_Diarias[[#This Row],[data]])</f>
        <v>6</v>
      </c>
      <c r="H2745" s="35">
        <f>IF(Metas_Diarias[[#This Row],[dias_da_demana]]=1,"domingo",IF(Metas_Diarias[[#This Row],[dias_da_demana]]=7,0.5,1))</f>
        <v>1</v>
      </c>
      <c r="I2745" s="35">
        <f>_xlfn.XLOOKUP(Metas_Diarias[[#This Row],[data]],Feriados[Data],Feriados[Feriado],1)</f>
        <v>1</v>
      </c>
      <c r="J2745" s="33" cm="1">
        <f t="array" aca="1" ref="J2745" ca="1">SUMPRODUCT(IF((NOT(ISERROR(MATCH(ROW(INDIRECT(DATE(YEAR(B2745),MONTH(B2745),1)&amp;":"&amp;DATE(YEAR(B2745),MONTH(B2745)+1,0))),Feriados[Data],0))))=FALSE,
IF(WEEKDAY(ROW(INDIRECT(DATE(YEAR(B2745),MONTH(B2745),1)&amp;":"&amp;DATE(YEAR(B2745),MONTH(B2745)+1,0))),2)&lt;=5,1,IF(WEEKDAY(ROW(INDIRECT(DATE(YEAR(B2745),MONTH(B2745),1)&amp;":"&amp;DATE(YEAR(B2745),MONTH(B2745)+1,0))),2)=6,0.5,0)),0))</f>
        <v>25</v>
      </c>
      <c r="K2745" s="22" cm="1">
        <f t="array" ref="K2745">_xlfn.XLOOKUP(1,((Metas_Diarias[[#This Row],[tipo_equipe_id]]=Metas[equipe])*(Metas_Diarias[[#This Row],[data]]&gt;Metas[data_inicio])*(Metas_Diarias[[#This Row],[data]]&lt;Metas[data_fim])),Metas[meta_mensal],0)</f>
        <v>0</v>
      </c>
      <c r="L27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6" spans="2:12" x14ac:dyDescent="0.3">
      <c r="B2746" s="34">
        <v>46207</v>
      </c>
      <c r="C2746" s="34" t="str">
        <f>TEXT(Metas_Diarias[[#This Row],[data]],"dddd")</f>
        <v>sábado</v>
      </c>
      <c r="D2746" s="33">
        <v>3</v>
      </c>
      <c r="E2746" s="33">
        <v>4</v>
      </c>
      <c r="F2746" s="18"/>
      <c r="G2746" s="35">
        <f>WEEKDAY(Metas_Diarias[[#This Row],[data]])</f>
        <v>7</v>
      </c>
      <c r="H2746" s="35">
        <f>IF(Metas_Diarias[[#This Row],[dias_da_demana]]=1,"domingo",IF(Metas_Diarias[[#This Row],[dias_da_demana]]=7,0.5,1))</f>
        <v>0.5</v>
      </c>
      <c r="I2746" s="35">
        <f>_xlfn.XLOOKUP(Metas_Diarias[[#This Row],[data]],Feriados[Data],Feriados[Feriado],1)</f>
        <v>1</v>
      </c>
      <c r="J2746" s="33" cm="1">
        <f t="array" aca="1" ref="J2746" ca="1">SUMPRODUCT(IF((NOT(ISERROR(MATCH(ROW(INDIRECT(DATE(YEAR(B2746),MONTH(B2746),1)&amp;":"&amp;DATE(YEAR(B2746),MONTH(B2746)+1,0))),Feriados[Data],0))))=FALSE,
IF(WEEKDAY(ROW(INDIRECT(DATE(YEAR(B2746),MONTH(B2746),1)&amp;":"&amp;DATE(YEAR(B2746),MONTH(B2746)+1,0))),2)&lt;=5,1,IF(WEEKDAY(ROW(INDIRECT(DATE(YEAR(B2746),MONTH(B2746),1)&amp;":"&amp;DATE(YEAR(B2746),MONTH(B2746)+1,0))),2)=6,0.5,0)),0))</f>
        <v>25</v>
      </c>
      <c r="K2746" s="22" cm="1">
        <f t="array" ref="K2746">_xlfn.XLOOKUP(1,((Metas_Diarias[[#This Row],[tipo_equipe_id]]=Metas[equipe])*(Metas_Diarias[[#This Row],[data]]&gt;Metas[data_inicio])*(Metas_Diarias[[#This Row],[data]]&lt;Metas[data_fim])),Metas[meta_mensal],0)</f>
        <v>0</v>
      </c>
      <c r="L274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7" spans="2:12" x14ac:dyDescent="0.3">
      <c r="B2747" s="34">
        <v>46208</v>
      </c>
      <c r="C2747" s="34" t="str">
        <f>TEXT(Metas_Diarias[[#This Row],[data]],"dddd")</f>
        <v>domingo</v>
      </c>
      <c r="D2747" s="33">
        <v>3</v>
      </c>
      <c r="E2747" s="33">
        <v>4</v>
      </c>
      <c r="F2747" s="18"/>
      <c r="G2747" s="35">
        <f>WEEKDAY(Metas_Diarias[[#This Row],[data]])</f>
        <v>1</v>
      </c>
      <c r="H2747" s="35" t="str">
        <f>IF(Metas_Diarias[[#This Row],[dias_da_demana]]=1,"domingo",IF(Metas_Diarias[[#This Row],[dias_da_demana]]=7,0.5,1))</f>
        <v>domingo</v>
      </c>
      <c r="I2747" s="35">
        <f>_xlfn.XLOOKUP(Metas_Diarias[[#This Row],[data]],Feriados[Data],Feriados[Feriado],1)</f>
        <v>1</v>
      </c>
      <c r="J2747" s="33" cm="1">
        <f t="array" aca="1" ref="J2747" ca="1">SUMPRODUCT(IF((NOT(ISERROR(MATCH(ROW(INDIRECT(DATE(YEAR(B2747),MONTH(B2747),1)&amp;":"&amp;DATE(YEAR(B2747),MONTH(B2747)+1,0))),Feriados[Data],0))))=FALSE,
IF(WEEKDAY(ROW(INDIRECT(DATE(YEAR(B2747),MONTH(B2747),1)&amp;":"&amp;DATE(YEAR(B2747),MONTH(B2747)+1,0))),2)&lt;=5,1,IF(WEEKDAY(ROW(INDIRECT(DATE(YEAR(B2747),MONTH(B2747),1)&amp;":"&amp;DATE(YEAR(B2747),MONTH(B2747)+1,0))),2)=6,0.5,0)),0))</f>
        <v>25</v>
      </c>
      <c r="K2747" s="22" cm="1">
        <f t="array" ref="K2747">_xlfn.XLOOKUP(1,((Metas_Diarias[[#This Row],[tipo_equipe_id]]=Metas[equipe])*(Metas_Diarias[[#This Row],[data]]&gt;Metas[data_inicio])*(Metas_Diarias[[#This Row],[data]]&lt;Metas[data_fim])),Metas[meta_mensal],0)</f>
        <v>0</v>
      </c>
      <c r="L274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8" spans="2:12" x14ac:dyDescent="0.3">
      <c r="B2748" s="34">
        <v>46209</v>
      </c>
      <c r="C2748" s="34" t="str">
        <f>TEXT(Metas_Diarias[[#This Row],[data]],"dddd")</f>
        <v>segunda-feira</v>
      </c>
      <c r="D2748" s="33">
        <v>3</v>
      </c>
      <c r="E2748" s="33">
        <v>4</v>
      </c>
      <c r="F2748" s="18"/>
      <c r="G2748" s="35">
        <f>WEEKDAY(Metas_Diarias[[#This Row],[data]])</f>
        <v>2</v>
      </c>
      <c r="H2748" s="35">
        <f>IF(Metas_Diarias[[#This Row],[dias_da_demana]]=1,"domingo",IF(Metas_Diarias[[#This Row],[dias_da_demana]]=7,0.5,1))</f>
        <v>1</v>
      </c>
      <c r="I2748" s="35">
        <f>_xlfn.XLOOKUP(Metas_Diarias[[#This Row],[data]],Feriados[Data],Feriados[Feriado],1)</f>
        <v>1</v>
      </c>
      <c r="J2748" s="33" cm="1">
        <f t="array" aca="1" ref="J2748" ca="1">SUMPRODUCT(IF((NOT(ISERROR(MATCH(ROW(INDIRECT(DATE(YEAR(B2748),MONTH(B2748),1)&amp;":"&amp;DATE(YEAR(B2748),MONTH(B2748)+1,0))),Feriados[Data],0))))=FALSE,
IF(WEEKDAY(ROW(INDIRECT(DATE(YEAR(B2748),MONTH(B2748),1)&amp;":"&amp;DATE(YEAR(B2748),MONTH(B2748)+1,0))),2)&lt;=5,1,IF(WEEKDAY(ROW(INDIRECT(DATE(YEAR(B2748),MONTH(B2748),1)&amp;":"&amp;DATE(YEAR(B2748),MONTH(B2748)+1,0))),2)=6,0.5,0)),0))</f>
        <v>25</v>
      </c>
      <c r="K2748" s="22" cm="1">
        <f t="array" ref="K2748">_xlfn.XLOOKUP(1,((Metas_Diarias[[#This Row],[tipo_equipe_id]]=Metas[equipe])*(Metas_Diarias[[#This Row],[data]]&gt;Metas[data_inicio])*(Metas_Diarias[[#This Row],[data]]&lt;Metas[data_fim])),Metas[meta_mensal],0)</f>
        <v>0</v>
      </c>
      <c r="L274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49" spans="2:12" x14ac:dyDescent="0.3">
      <c r="B2749" s="34">
        <v>46210</v>
      </c>
      <c r="C2749" s="34" t="str">
        <f>TEXT(Metas_Diarias[[#This Row],[data]],"dddd")</f>
        <v>terça-feira</v>
      </c>
      <c r="D2749" s="33">
        <v>3</v>
      </c>
      <c r="E2749" s="33">
        <v>4</v>
      </c>
      <c r="F2749" s="18"/>
      <c r="G2749" s="35">
        <f>WEEKDAY(Metas_Diarias[[#This Row],[data]])</f>
        <v>3</v>
      </c>
      <c r="H2749" s="35">
        <f>IF(Metas_Diarias[[#This Row],[dias_da_demana]]=1,"domingo",IF(Metas_Diarias[[#This Row],[dias_da_demana]]=7,0.5,1))</f>
        <v>1</v>
      </c>
      <c r="I2749" s="35">
        <f>_xlfn.XLOOKUP(Metas_Diarias[[#This Row],[data]],Feriados[Data],Feriados[Feriado],1)</f>
        <v>1</v>
      </c>
      <c r="J2749" s="33" cm="1">
        <f t="array" aca="1" ref="J2749" ca="1">SUMPRODUCT(IF((NOT(ISERROR(MATCH(ROW(INDIRECT(DATE(YEAR(B2749),MONTH(B2749),1)&amp;":"&amp;DATE(YEAR(B2749),MONTH(B2749)+1,0))),Feriados[Data],0))))=FALSE,
IF(WEEKDAY(ROW(INDIRECT(DATE(YEAR(B2749),MONTH(B2749),1)&amp;":"&amp;DATE(YEAR(B2749),MONTH(B2749)+1,0))),2)&lt;=5,1,IF(WEEKDAY(ROW(INDIRECT(DATE(YEAR(B2749),MONTH(B2749),1)&amp;":"&amp;DATE(YEAR(B2749),MONTH(B2749)+1,0))),2)=6,0.5,0)),0))</f>
        <v>25</v>
      </c>
      <c r="K2749" s="22" cm="1">
        <f t="array" ref="K2749">_xlfn.XLOOKUP(1,((Metas_Diarias[[#This Row],[tipo_equipe_id]]=Metas[equipe])*(Metas_Diarias[[#This Row],[data]]&gt;Metas[data_inicio])*(Metas_Diarias[[#This Row],[data]]&lt;Metas[data_fim])),Metas[meta_mensal],0)</f>
        <v>0</v>
      </c>
      <c r="L274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0" spans="2:12" x14ac:dyDescent="0.3">
      <c r="B2750" s="34">
        <v>46211</v>
      </c>
      <c r="C2750" s="34" t="str">
        <f>TEXT(Metas_Diarias[[#This Row],[data]],"dddd")</f>
        <v>quarta-feira</v>
      </c>
      <c r="D2750" s="33">
        <v>3</v>
      </c>
      <c r="E2750" s="33">
        <v>4</v>
      </c>
      <c r="F2750" s="18"/>
      <c r="G2750" s="35">
        <f>WEEKDAY(Metas_Diarias[[#This Row],[data]])</f>
        <v>4</v>
      </c>
      <c r="H2750" s="35">
        <f>IF(Metas_Diarias[[#This Row],[dias_da_demana]]=1,"domingo",IF(Metas_Diarias[[#This Row],[dias_da_demana]]=7,0.5,1))</f>
        <v>1</v>
      </c>
      <c r="I2750" s="35">
        <f>_xlfn.XLOOKUP(Metas_Diarias[[#This Row],[data]],Feriados[Data],Feriados[Feriado],1)</f>
        <v>1</v>
      </c>
      <c r="J2750" s="33" cm="1">
        <f t="array" aca="1" ref="J2750" ca="1">SUMPRODUCT(IF((NOT(ISERROR(MATCH(ROW(INDIRECT(DATE(YEAR(B2750),MONTH(B2750),1)&amp;":"&amp;DATE(YEAR(B2750),MONTH(B2750)+1,0))),Feriados[Data],0))))=FALSE,
IF(WEEKDAY(ROW(INDIRECT(DATE(YEAR(B2750),MONTH(B2750),1)&amp;":"&amp;DATE(YEAR(B2750),MONTH(B2750)+1,0))),2)&lt;=5,1,IF(WEEKDAY(ROW(INDIRECT(DATE(YEAR(B2750),MONTH(B2750),1)&amp;":"&amp;DATE(YEAR(B2750),MONTH(B2750)+1,0))),2)=6,0.5,0)),0))</f>
        <v>25</v>
      </c>
      <c r="K2750" s="22" cm="1">
        <f t="array" ref="K2750">_xlfn.XLOOKUP(1,((Metas_Diarias[[#This Row],[tipo_equipe_id]]=Metas[equipe])*(Metas_Diarias[[#This Row],[data]]&gt;Metas[data_inicio])*(Metas_Diarias[[#This Row],[data]]&lt;Metas[data_fim])),Metas[meta_mensal],0)</f>
        <v>0</v>
      </c>
      <c r="L275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1" spans="2:12" x14ac:dyDescent="0.3">
      <c r="B2751" s="34">
        <v>46212</v>
      </c>
      <c r="C2751" s="34" t="str">
        <f>TEXT(Metas_Diarias[[#This Row],[data]],"dddd")</f>
        <v>quinta-feira</v>
      </c>
      <c r="D2751" s="33">
        <v>3</v>
      </c>
      <c r="E2751" s="33">
        <v>4</v>
      </c>
      <c r="F2751" s="18"/>
      <c r="G2751" s="35">
        <f>WEEKDAY(Metas_Diarias[[#This Row],[data]])</f>
        <v>5</v>
      </c>
      <c r="H2751" s="35">
        <f>IF(Metas_Diarias[[#This Row],[dias_da_demana]]=1,"domingo",IF(Metas_Diarias[[#This Row],[dias_da_demana]]=7,0.5,1))</f>
        <v>1</v>
      </c>
      <c r="I2751" s="35">
        <f>_xlfn.XLOOKUP(Metas_Diarias[[#This Row],[data]],Feriados[Data],Feriados[Feriado],1)</f>
        <v>1</v>
      </c>
      <c r="J2751" s="33" cm="1">
        <f t="array" aca="1" ref="J2751" ca="1">SUMPRODUCT(IF((NOT(ISERROR(MATCH(ROW(INDIRECT(DATE(YEAR(B2751),MONTH(B2751),1)&amp;":"&amp;DATE(YEAR(B2751),MONTH(B2751)+1,0))),Feriados[Data],0))))=FALSE,
IF(WEEKDAY(ROW(INDIRECT(DATE(YEAR(B2751),MONTH(B2751),1)&amp;":"&amp;DATE(YEAR(B2751),MONTH(B2751)+1,0))),2)&lt;=5,1,IF(WEEKDAY(ROW(INDIRECT(DATE(YEAR(B2751),MONTH(B2751),1)&amp;":"&amp;DATE(YEAR(B2751),MONTH(B2751)+1,0))),2)=6,0.5,0)),0))</f>
        <v>25</v>
      </c>
      <c r="K2751" s="22" cm="1">
        <f t="array" ref="K2751">_xlfn.XLOOKUP(1,((Metas_Diarias[[#This Row],[tipo_equipe_id]]=Metas[equipe])*(Metas_Diarias[[#This Row],[data]]&gt;Metas[data_inicio])*(Metas_Diarias[[#This Row],[data]]&lt;Metas[data_fim])),Metas[meta_mensal],0)</f>
        <v>0</v>
      </c>
      <c r="L27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2" spans="2:12" x14ac:dyDescent="0.3">
      <c r="B2752" s="34">
        <v>46213</v>
      </c>
      <c r="C2752" s="34" t="str">
        <f>TEXT(Metas_Diarias[[#This Row],[data]],"dddd")</f>
        <v>sexta-feira</v>
      </c>
      <c r="D2752" s="33">
        <v>3</v>
      </c>
      <c r="E2752" s="33">
        <v>4</v>
      </c>
      <c r="F2752" s="18"/>
      <c r="G2752" s="35">
        <f>WEEKDAY(Metas_Diarias[[#This Row],[data]])</f>
        <v>6</v>
      </c>
      <c r="H2752" s="35">
        <f>IF(Metas_Diarias[[#This Row],[dias_da_demana]]=1,"domingo",IF(Metas_Diarias[[#This Row],[dias_da_demana]]=7,0.5,1))</f>
        <v>1</v>
      </c>
      <c r="I2752" s="35">
        <f>_xlfn.XLOOKUP(Metas_Diarias[[#This Row],[data]],Feriados[Data],Feriados[Feriado],1)</f>
        <v>1</v>
      </c>
      <c r="J2752" s="33" cm="1">
        <f t="array" aca="1" ref="J2752" ca="1">SUMPRODUCT(IF((NOT(ISERROR(MATCH(ROW(INDIRECT(DATE(YEAR(B2752),MONTH(B2752),1)&amp;":"&amp;DATE(YEAR(B2752),MONTH(B2752)+1,0))),Feriados[Data],0))))=FALSE,
IF(WEEKDAY(ROW(INDIRECT(DATE(YEAR(B2752),MONTH(B2752),1)&amp;":"&amp;DATE(YEAR(B2752),MONTH(B2752)+1,0))),2)&lt;=5,1,IF(WEEKDAY(ROW(INDIRECT(DATE(YEAR(B2752),MONTH(B2752),1)&amp;":"&amp;DATE(YEAR(B2752),MONTH(B2752)+1,0))),2)=6,0.5,0)),0))</f>
        <v>25</v>
      </c>
      <c r="K2752" s="22" cm="1">
        <f t="array" ref="K2752">_xlfn.XLOOKUP(1,((Metas_Diarias[[#This Row],[tipo_equipe_id]]=Metas[equipe])*(Metas_Diarias[[#This Row],[data]]&gt;Metas[data_inicio])*(Metas_Diarias[[#This Row],[data]]&lt;Metas[data_fim])),Metas[meta_mensal],0)</f>
        <v>0</v>
      </c>
      <c r="L27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3" spans="2:12" x14ac:dyDescent="0.3">
      <c r="B2753" s="34">
        <v>46214</v>
      </c>
      <c r="C2753" s="34" t="str">
        <f>TEXT(Metas_Diarias[[#This Row],[data]],"dddd")</f>
        <v>sábado</v>
      </c>
      <c r="D2753" s="33">
        <v>3</v>
      </c>
      <c r="E2753" s="33">
        <v>4</v>
      </c>
      <c r="F2753" s="18"/>
      <c r="G2753" s="35">
        <f>WEEKDAY(Metas_Diarias[[#This Row],[data]])</f>
        <v>7</v>
      </c>
      <c r="H2753" s="35">
        <f>IF(Metas_Diarias[[#This Row],[dias_da_demana]]=1,"domingo",IF(Metas_Diarias[[#This Row],[dias_da_demana]]=7,0.5,1))</f>
        <v>0.5</v>
      </c>
      <c r="I2753" s="35">
        <f>_xlfn.XLOOKUP(Metas_Diarias[[#This Row],[data]],Feriados[Data],Feriados[Feriado],1)</f>
        <v>1</v>
      </c>
      <c r="J2753" s="33" cm="1">
        <f t="array" aca="1" ref="J2753" ca="1">SUMPRODUCT(IF((NOT(ISERROR(MATCH(ROW(INDIRECT(DATE(YEAR(B2753),MONTH(B2753),1)&amp;":"&amp;DATE(YEAR(B2753),MONTH(B2753)+1,0))),Feriados[Data],0))))=FALSE,
IF(WEEKDAY(ROW(INDIRECT(DATE(YEAR(B2753),MONTH(B2753),1)&amp;":"&amp;DATE(YEAR(B2753),MONTH(B2753)+1,0))),2)&lt;=5,1,IF(WEEKDAY(ROW(INDIRECT(DATE(YEAR(B2753),MONTH(B2753),1)&amp;":"&amp;DATE(YEAR(B2753),MONTH(B2753)+1,0))),2)=6,0.5,0)),0))</f>
        <v>25</v>
      </c>
      <c r="K2753" s="22" cm="1">
        <f t="array" ref="K2753">_xlfn.XLOOKUP(1,((Metas_Diarias[[#This Row],[tipo_equipe_id]]=Metas[equipe])*(Metas_Diarias[[#This Row],[data]]&gt;Metas[data_inicio])*(Metas_Diarias[[#This Row],[data]]&lt;Metas[data_fim])),Metas[meta_mensal],0)</f>
        <v>0</v>
      </c>
      <c r="L275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4" spans="2:12" x14ac:dyDescent="0.3">
      <c r="B2754" s="34">
        <v>46215</v>
      </c>
      <c r="C2754" s="34" t="str">
        <f>TEXT(Metas_Diarias[[#This Row],[data]],"dddd")</f>
        <v>domingo</v>
      </c>
      <c r="D2754" s="33">
        <v>3</v>
      </c>
      <c r="E2754" s="33">
        <v>4</v>
      </c>
      <c r="F2754" s="18"/>
      <c r="G2754" s="35">
        <f>WEEKDAY(Metas_Diarias[[#This Row],[data]])</f>
        <v>1</v>
      </c>
      <c r="H2754" s="35" t="str">
        <f>IF(Metas_Diarias[[#This Row],[dias_da_demana]]=1,"domingo",IF(Metas_Diarias[[#This Row],[dias_da_demana]]=7,0.5,1))</f>
        <v>domingo</v>
      </c>
      <c r="I2754" s="35">
        <f>_xlfn.XLOOKUP(Metas_Diarias[[#This Row],[data]],Feriados[Data],Feriados[Feriado],1)</f>
        <v>1</v>
      </c>
      <c r="J2754" s="33" cm="1">
        <f t="array" aca="1" ref="J2754" ca="1">SUMPRODUCT(IF((NOT(ISERROR(MATCH(ROW(INDIRECT(DATE(YEAR(B2754),MONTH(B2754),1)&amp;":"&amp;DATE(YEAR(B2754),MONTH(B2754)+1,0))),Feriados[Data],0))))=FALSE,
IF(WEEKDAY(ROW(INDIRECT(DATE(YEAR(B2754),MONTH(B2754),1)&amp;":"&amp;DATE(YEAR(B2754),MONTH(B2754)+1,0))),2)&lt;=5,1,IF(WEEKDAY(ROW(INDIRECT(DATE(YEAR(B2754),MONTH(B2754),1)&amp;":"&amp;DATE(YEAR(B2754),MONTH(B2754)+1,0))),2)=6,0.5,0)),0))</f>
        <v>25</v>
      </c>
      <c r="K2754" s="22" cm="1">
        <f t="array" ref="K2754">_xlfn.XLOOKUP(1,((Metas_Diarias[[#This Row],[tipo_equipe_id]]=Metas[equipe])*(Metas_Diarias[[#This Row],[data]]&gt;Metas[data_inicio])*(Metas_Diarias[[#This Row],[data]]&lt;Metas[data_fim])),Metas[meta_mensal],0)</f>
        <v>0</v>
      </c>
      <c r="L275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5" spans="2:12" x14ac:dyDescent="0.3">
      <c r="B2755" s="34">
        <v>46216</v>
      </c>
      <c r="C2755" s="34" t="str">
        <f>TEXT(Metas_Diarias[[#This Row],[data]],"dddd")</f>
        <v>segunda-feira</v>
      </c>
      <c r="D2755" s="33">
        <v>3</v>
      </c>
      <c r="E2755" s="33">
        <v>4</v>
      </c>
      <c r="F2755" s="18"/>
      <c r="G2755" s="35">
        <f>WEEKDAY(Metas_Diarias[[#This Row],[data]])</f>
        <v>2</v>
      </c>
      <c r="H2755" s="35">
        <f>IF(Metas_Diarias[[#This Row],[dias_da_demana]]=1,"domingo",IF(Metas_Diarias[[#This Row],[dias_da_demana]]=7,0.5,1))</f>
        <v>1</v>
      </c>
      <c r="I2755" s="35">
        <f>_xlfn.XLOOKUP(Metas_Diarias[[#This Row],[data]],Feriados[Data],Feriados[Feriado],1)</f>
        <v>1</v>
      </c>
      <c r="J2755" s="33" cm="1">
        <f t="array" aca="1" ref="J2755" ca="1">SUMPRODUCT(IF((NOT(ISERROR(MATCH(ROW(INDIRECT(DATE(YEAR(B2755),MONTH(B2755),1)&amp;":"&amp;DATE(YEAR(B2755),MONTH(B2755)+1,0))),Feriados[Data],0))))=FALSE,
IF(WEEKDAY(ROW(INDIRECT(DATE(YEAR(B2755),MONTH(B2755),1)&amp;":"&amp;DATE(YEAR(B2755),MONTH(B2755)+1,0))),2)&lt;=5,1,IF(WEEKDAY(ROW(INDIRECT(DATE(YEAR(B2755),MONTH(B2755),1)&amp;":"&amp;DATE(YEAR(B2755),MONTH(B2755)+1,0))),2)=6,0.5,0)),0))</f>
        <v>25</v>
      </c>
      <c r="K2755" s="22" cm="1">
        <f t="array" ref="K2755">_xlfn.XLOOKUP(1,((Metas_Diarias[[#This Row],[tipo_equipe_id]]=Metas[equipe])*(Metas_Diarias[[#This Row],[data]]&gt;Metas[data_inicio])*(Metas_Diarias[[#This Row],[data]]&lt;Metas[data_fim])),Metas[meta_mensal],0)</f>
        <v>0</v>
      </c>
      <c r="L275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6" spans="2:12" x14ac:dyDescent="0.3">
      <c r="B2756" s="34">
        <v>46217</v>
      </c>
      <c r="C2756" s="34" t="str">
        <f>TEXT(Metas_Diarias[[#This Row],[data]],"dddd")</f>
        <v>terça-feira</v>
      </c>
      <c r="D2756" s="33">
        <v>3</v>
      </c>
      <c r="E2756" s="33">
        <v>4</v>
      </c>
      <c r="F2756" s="18"/>
      <c r="G2756" s="35">
        <f>WEEKDAY(Metas_Diarias[[#This Row],[data]])</f>
        <v>3</v>
      </c>
      <c r="H2756" s="35">
        <f>IF(Metas_Diarias[[#This Row],[dias_da_demana]]=1,"domingo",IF(Metas_Diarias[[#This Row],[dias_da_demana]]=7,0.5,1))</f>
        <v>1</v>
      </c>
      <c r="I2756" s="35">
        <f>_xlfn.XLOOKUP(Metas_Diarias[[#This Row],[data]],Feriados[Data],Feriados[Feriado],1)</f>
        <v>1</v>
      </c>
      <c r="J2756" s="33" cm="1">
        <f t="array" aca="1" ref="J2756" ca="1">SUMPRODUCT(IF((NOT(ISERROR(MATCH(ROW(INDIRECT(DATE(YEAR(B2756),MONTH(B2756),1)&amp;":"&amp;DATE(YEAR(B2756),MONTH(B2756)+1,0))),Feriados[Data],0))))=FALSE,
IF(WEEKDAY(ROW(INDIRECT(DATE(YEAR(B2756),MONTH(B2756),1)&amp;":"&amp;DATE(YEAR(B2756),MONTH(B2756)+1,0))),2)&lt;=5,1,IF(WEEKDAY(ROW(INDIRECT(DATE(YEAR(B2756),MONTH(B2756),1)&amp;":"&amp;DATE(YEAR(B2756),MONTH(B2756)+1,0))),2)=6,0.5,0)),0))</f>
        <v>25</v>
      </c>
      <c r="K2756" s="22" cm="1">
        <f t="array" ref="K2756">_xlfn.XLOOKUP(1,((Metas_Diarias[[#This Row],[tipo_equipe_id]]=Metas[equipe])*(Metas_Diarias[[#This Row],[data]]&gt;Metas[data_inicio])*(Metas_Diarias[[#This Row],[data]]&lt;Metas[data_fim])),Metas[meta_mensal],0)</f>
        <v>0</v>
      </c>
      <c r="L275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7" spans="2:12" x14ac:dyDescent="0.3">
      <c r="B2757" s="34">
        <v>46218</v>
      </c>
      <c r="C2757" s="34" t="str">
        <f>TEXT(Metas_Diarias[[#This Row],[data]],"dddd")</f>
        <v>quarta-feira</v>
      </c>
      <c r="D2757" s="33">
        <v>3</v>
      </c>
      <c r="E2757" s="33">
        <v>4</v>
      </c>
      <c r="F2757" s="18"/>
      <c r="G2757" s="35">
        <f>WEEKDAY(Metas_Diarias[[#This Row],[data]])</f>
        <v>4</v>
      </c>
      <c r="H2757" s="35">
        <f>IF(Metas_Diarias[[#This Row],[dias_da_demana]]=1,"domingo",IF(Metas_Diarias[[#This Row],[dias_da_demana]]=7,0.5,1))</f>
        <v>1</v>
      </c>
      <c r="I2757" s="35">
        <f>_xlfn.XLOOKUP(Metas_Diarias[[#This Row],[data]],Feriados[Data],Feriados[Feriado],1)</f>
        <v>1</v>
      </c>
      <c r="J2757" s="33" cm="1">
        <f t="array" aca="1" ref="J2757" ca="1">SUMPRODUCT(IF((NOT(ISERROR(MATCH(ROW(INDIRECT(DATE(YEAR(B2757),MONTH(B2757),1)&amp;":"&amp;DATE(YEAR(B2757),MONTH(B2757)+1,0))),Feriados[Data],0))))=FALSE,
IF(WEEKDAY(ROW(INDIRECT(DATE(YEAR(B2757),MONTH(B2757),1)&amp;":"&amp;DATE(YEAR(B2757),MONTH(B2757)+1,0))),2)&lt;=5,1,IF(WEEKDAY(ROW(INDIRECT(DATE(YEAR(B2757),MONTH(B2757),1)&amp;":"&amp;DATE(YEAR(B2757),MONTH(B2757)+1,0))),2)=6,0.5,0)),0))</f>
        <v>25</v>
      </c>
      <c r="K2757" s="22" cm="1">
        <f t="array" ref="K2757">_xlfn.XLOOKUP(1,((Metas_Diarias[[#This Row],[tipo_equipe_id]]=Metas[equipe])*(Metas_Diarias[[#This Row],[data]]&gt;Metas[data_inicio])*(Metas_Diarias[[#This Row],[data]]&lt;Metas[data_fim])),Metas[meta_mensal],0)</f>
        <v>0</v>
      </c>
      <c r="L275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8" spans="2:12" x14ac:dyDescent="0.3">
      <c r="B2758" s="34">
        <v>46219</v>
      </c>
      <c r="C2758" s="34" t="str">
        <f>TEXT(Metas_Diarias[[#This Row],[data]],"dddd")</f>
        <v>quinta-feira</v>
      </c>
      <c r="D2758" s="33">
        <v>3</v>
      </c>
      <c r="E2758" s="33">
        <v>4</v>
      </c>
      <c r="F2758" s="18"/>
      <c r="G2758" s="35">
        <f>WEEKDAY(Metas_Diarias[[#This Row],[data]])</f>
        <v>5</v>
      </c>
      <c r="H2758" s="35">
        <f>IF(Metas_Diarias[[#This Row],[dias_da_demana]]=1,"domingo",IF(Metas_Diarias[[#This Row],[dias_da_demana]]=7,0.5,1))</f>
        <v>1</v>
      </c>
      <c r="I2758" s="35">
        <f>_xlfn.XLOOKUP(Metas_Diarias[[#This Row],[data]],Feriados[Data],Feriados[Feriado],1)</f>
        <v>1</v>
      </c>
      <c r="J2758" s="33" cm="1">
        <f t="array" aca="1" ref="J2758" ca="1">SUMPRODUCT(IF((NOT(ISERROR(MATCH(ROW(INDIRECT(DATE(YEAR(B2758),MONTH(B2758),1)&amp;":"&amp;DATE(YEAR(B2758),MONTH(B2758)+1,0))),Feriados[Data],0))))=FALSE,
IF(WEEKDAY(ROW(INDIRECT(DATE(YEAR(B2758),MONTH(B2758),1)&amp;":"&amp;DATE(YEAR(B2758),MONTH(B2758)+1,0))),2)&lt;=5,1,IF(WEEKDAY(ROW(INDIRECT(DATE(YEAR(B2758),MONTH(B2758),1)&amp;":"&amp;DATE(YEAR(B2758),MONTH(B2758)+1,0))),2)=6,0.5,0)),0))</f>
        <v>25</v>
      </c>
      <c r="K2758" s="22" cm="1">
        <f t="array" ref="K2758">_xlfn.XLOOKUP(1,((Metas_Diarias[[#This Row],[tipo_equipe_id]]=Metas[equipe])*(Metas_Diarias[[#This Row],[data]]&gt;Metas[data_inicio])*(Metas_Diarias[[#This Row],[data]]&lt;Metas[data_fim])),Metas[meta_mensal],0)</f>
        <v>0</v>
      </c>
      <c r="L275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59" spans="2:12" x14ac:dyDescent="0.3">
      <c r="B2759" s="34">
        <v>46220</v>
      </c>
      <c r="C2759" s="34" t="str">
        <f>TEXT(Metas_Diarias[[#This Row],[data]],"dddd")</f>
        <v>sexta-feira</v>
      </c>
      <c r="D2759" s="33">
        <v>3</v>
      </c>
      <c r="E2759" s="33">
        <v>4</v>
      </c>
      <c r="F2759" s="18"/>
      <c r="G2759" s="35">
        <f>WEEKDAY(Metas_Diarias[[#This Row],[data]])</f>
        <v>6</v>
      </c>
      <c r="H2759" s="35">
        <f>IF(Metas_Diarias[[#This Row],[dias_da_demana]]=1,"domingo",IF(Metas_Diarias[[#This Row],[dias_da_demana]]=7,0.5,1))</f>
        <v>1</v>
      </c>
      <c r="I2759" s="35">
        <f>_xlfn.XLOOKUP(Metas_Diarias[[#This Row],[data]],Feriados[Data],Feriados[Feriado],1)</f>
        <v>1</v>
      </c>
      <c r="J2759" s="33" cm="1">
        <f t="array" aca="1" ref="J2759" ca="1">SUMPRODUCT(IF((NOT(ISERROR(MATCH(ROW(INDIRECT(DATE(YEAR(B2759),MONTH(B2759),1)&amp;":"&amp;DATE(YEAR(B2759),MONTH(B2759)+1,0))),Feriados[Data],0))))=FALSE,
IF(WEEKDAY(ROW(INDIRECT(DATE(YEAR(B2759),MONTH(B2759),1)&amp;":"&amp;DATE(YEAR(B2759),MONTH(B2759)+1,0))),2)&lt;=5,1,IF(WEEKDAY(ROW(INDIRECT(DATE(YEAR(B2759),MONTH(B2759),1)&amp;":"&amp;DATE(YEAR(B2759),MONTH(B2759)+1,0))),2)=6,0.5,0)),0))</f>
        <v>25</v>
      </c>
      <c r="K2759" s="22" cm="1">
        <f t="array" ref="K2759">_xlfn.XLOOKUP(1,((Metas_Diarias[[#This Row],[tipo_equipe_id]]=Metas[equipe])*(Metas_Diarias[[#This Row],[data]]&gt;Metas[data_inicio])*(Metas_Diarias[[#This Row],[data]]&lt;Metas[data_fim])),Metas[meta_mensal],0)</f>
        <v>0</v>
      </c>
      <c r="L27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0" spans="2:12" x14ac:dyDescent="0.3">
      <c r="B2760" s="34">
        <v>46221</v>
      </c>
      <c r="C2760" s="34" t="str">
        <f>TEXT(Metas_Diarias[[#This Row],[data]],"dddd")</f>
        <v>sábado</v>
      </c>
      <c r="D2760" s="33">
        <v>3</v>
      </c>
      <c r="E2760" s="33">
        <v>4</v>
      </c>
      <c r="F2760" s="18"/>
      <c r="G2760" s="35">
        <f>WEEKDAY(Metas_Diarias[[#This Row],[data]])</f>
        <v>7</v>
      </c>
      <c r="H2760" s="35">
        <f>IF(Metas_Diarias[[#This Row],[dias_da_demana]]=1,"domingo",IF(Metas_Diarias[[#This Row],[dias_da_demana]]=7,0.5,1))</f>
        <v>0.5</v>
      </c>
      <c r="I2760" s="35">
        <f>_xlfn.XLOOKUP(Metas_Diarias[[#This Row],[data]],Feriados[Data],Feriados[Feriado],1)</f>
        <v>1</v>
      </c>
      <c r="J2760" s="33" cm="1">
        <f t="array" aca="1" ref="J2760" ca="1">SUMPRODUCT(IF((NOT(ISERROR(MATCH(ROW(INDIRECT(DATE(YEAR(B2760),MONTH(B2760),1)&amp;":"&amp;DATE(YEAR(B2760),MONTH(B2760)+1,0))),Feriados[Data],0))))=FALSE,
IF(WEEKDAY(ROW(INDIRECT(DATE(YEAR(B2760),MONTH(B2760),1)&amp;":"&amp;DATE(YEAR(B2760),MONTH(B2760)+1,0))),2)&lt;=5,1,IF(WEEKDAY(ROW(INDIRECT(DATE(YEAR(B2760),MONTH(B2760),1)&amp;":"&amp;DATE(YEAR(B2760),MONTH(B2760)+1,0))),2)=6,0.5,0)),0))</f>
        <v>25</v>
      </c>
      <c r="K2760" s="22" cm="1">
        <f t="array" ref="K2760">_xlfn.XLOOKUP(1,((Metas_Diarias[[#This Row],[tipo_equipe_id]]=Metas[equipe])*(Metas_Diarias[[#This Row],[data]]&gt;Metas[data_inicio])*(Metas_Diarias[[#This Row],[data]]&lt;Metas[data_fim])),Metas[meta_mensal],0)</f>
        <v>0</v>
      </c>
      <c r="L276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1" spans="2:12" x14ac:dyDescent="0.3">
      <c r="B2761" s="34">
        <v>46222</v>
      </c>
      <c r="C2761" s="34" t="str">
        <f>TEXT(Metas_Diarias[[#This Row],[data]],"dddd")</f>
        <v>domingo</v>
      </c>
      <c r="D2761" s="33">
        <v>3</v>
      </c>
      <c r="E2761" s="33">
        <v>4</v>
      </c>
      <c r="F2761" s="18"/>
      <c r="G2761" s="35">
        <f>WEEKDAY(Metas_Diarias[[#This Row],[data]])</f>
        <v>1</v>
      </c>
      <c r="H2761" s="35" t="str">
        <f>IF(Metas_Diarias[[#This Row],[dias_da_demana]]=1,"domingo",IF(Metas_Diarias[[#This Row],[dias_da_demana]]=7,0.5,1))</f>
        <v>domingo</v>
      </c>
      <c r="I2761" s="35">
        <f>_xlfn.XLOOKUP(Metas_Diarias[[#This Row],[data]],Feriados[Data],Feriados[Feriado],1)</f>
        <v>1</v>
      </c>
      <c r="J2761" s="33" cm="1">
        <f t="array" aca="1" ref="J2761" ca="1">SUMPRODUCT(IF((NOT(ISERROR(MATCH(ROW(INDIRECT(DATE(YEAR(B2761),MONTH(B2761),1)&amp;":"&amp;DATE(YEAR(B2761),MONTH(B2761)+1,0))),Feriados[Data],0))))=FALSE,
IF(WEEKDAY(ROW(INDIRECT(DATE(YEAR(B2761),MONTH(B2761),1)&amp;":"&amp;DATE(YEAR(B2761),MONTH(B2761)+1,0))),2)&lt;=5,1,IF(WEEKDAY(ROW(INDIRECT(DATE(YEAR(B2761),MONTH(B2761),1)&amp;":"&amp;DATE(YEAR(B2761),MONTH(B2761)+1,0))),2)=6,0.5,0)),0))</f>
        <v>25</v>
      </c>
      <c r="K2761" s="22" cm="1">
        <f t="array" ref="K2761">_xlfn.XLOOKUP(1,((Metas_Diarias[[#This Row],[tipo_equipe_id]]=Metas[equipe])*(Metas_Diarias[[#This Row],[data]]&gt;Metas[data_inicio])*(Metas_Diarias[[#This Row],[data]]&lt;Metas[data_fim])),Metas[meta_mensal],0)</f>
        <v>0</v>
      </c>
      <c r="L27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2" spans="2:12" x14ac:dyDescent="0.3">
      <c r="B2762" s="34">
        <v>46223</v>
      </c>
      <c r="C2762" s="34" t="str">
        <f>TEXT(Metas_Diarias[[#This Row],[data]],"dddd")</f>
        <v>segunda-feira</v>
      </c>
      <c r="D2762" s="33">
        <v>3</v>
      </c>
      <c r="E2762" s="33">
        <v>4</v>
      </c>
      <c r="F2762" s="18"/>
      <c r="G2762" s="35">
        <f>WEEKDAY(Metas_Diarias[[#This Row],[data]])</f>
        <v>2</v>
      </c>
      <c r="H2762" s="35">
        <f>IF(Metas_Diarias[[#This Row],[dias_da_demana]]=1,"domingo",IF(Metas_Diarias[[#This Row],[dias_da_demana]]=7,0.5,1))</f>
        <v>1</v>
      </c>
      <c r="I2762" s="35">
        <f>_xlfn.XLOOKUP(Metas_Diarias[[#This Row],[data]],Feriados[Data],Feriados[Feriado],1)</f>
        <v>1</v>
      </c>
      <c r="J2762" s="33" cm="1">
        <f t="array" aca="1" ref="J2762" ca="1">SUMPRODUCT(IF((NOT(ISERROR(MATCH(ROW(INDIRECT(DATE(YEAR(B2762),MONTH(B2762),1)&amp;":"&amp;DATE(YEAR(B2762),MONTH(B2762)+1,0))),Feriados[Data],0))))=FALSE,
IF(WEEKDAY(ROW(INDIRECT(DATE(YEAR(B2762),MONTH(B2762),1)&amp;":"&amp;DATE(YEAR(B2762),MONTH(B2762)+1,0))),2)&lt;=5,1,IF(WEEKDAY(ROW(INDIRECT(DATE(YEAR(B2762),MONTH(B2762),1)&amp;":"&amp;DATE(YEAR(B2762),MONTH(B2762)+1,0))),2)=6,0.5,0)),0))</f>
        <v>25</v>
      </c>
      <c r="K2762" s="22" cm="1">
        <f t="array" ref="K2762">_xlfn.XLOOKUP(1,((Metas_Diarias[[#This Row],[tipo_equipe_id]]=Metas[equipe])*(Metas_Diarias[[#This Row],[data]]&gt;Metas[data_inicio])*(Metas_Diarias[[#This Row],[data]]&lt;Metas[data_fim])),Metas[meta_mensal],0)</f>
        <v>0</v>
      </c>
      <c r="L276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3" spans="2:12" x14ac:dyDescent="0.3">
      <c r="B2763" s="34">
        <v>46224</v>
      </c>
      <c r="C2763" s="34" t="str">
        <f>TEXT(Metas_Diarias[[#This Row],[data]],"dddd")</f>
        <v>terça-feira</v>
      </c>
      <c r="D2763" s="33">
        <v>3</v>
      </c>
      <c r="E2763" s="33">
        <v>4</v>
      </c>
      <c r="F2763" s="18"/>
      <c r="G2763" s="35">
        <f>WEEKDAY(Metas_Diarias[[#This Row],[data]])</f>
        <v>3</v>
      </c>
      <c r="H2763" s="35">
        <f>IF(Metas_Diarias[[#This Row],[dias_da_demana]]=1,"domingo",IF(Metas_Diarias[[#This Row],[dias_da_demana]]=7,0.5,1))</f>
        <v>1</v>
      </c>
      <c r="I2763" s="35">
        <f>_xlfn.XLOOKUP(Metas_Diarias[[#This Row],[data]],Feriados[Data],Feriados[Feriado],1)</f>
        <v>1</v>
      </c>
      <c r="J2763" s="33" cm="1">
        <f t="array" aca="1" ref="J2763" ca="1">SUMPRODUCT(IF((NOT(ISERROR(MATCH(ROW(INDIRECT(DATE(YEAR(B2763),MONTH(B2763),1)&amp;":"&amp;DATE(YEAR(B2763),MONTH(B2763)+1,0))),Feriados[Data],0))))=FALSE,
IF(WEEKDAY(ROW(INDIRECT(DATE(YEAR(B2763),MONTH(B2763),1)&amp;":"&amp;DATE(YEAR(B2763),MONTH(B2763)+1,0))),2)&lt;=5,1,IF(WEEKDAY(ROW(INDIRECT(DATE(YEAR(B2763),MONTH(B2763),1)&amp;":"&amp;DATE(YEAR(B2763),MONTH(B2763)+1,0))),2)=6,0.5,0)),0))</f>
        <v>25</v>
      </c>
      <c r="K2763" s="22" cm="1">
        <f t="array" ref="K2763">_xlfn.XLOOKUP(1,((Metas_Diarias[[#This Row],[tipo_equipe_id]]=Metas[equipe])*(Metas_Diarias[[#This Row],[data]]&gt;Metas[data_inicio])*(Metas_Diarias[[#This Row],[data]]&lt;Metas[data_fim])),Metas[meta_mensal],0)</f>
        <v>0</v>
      </c>
      <c r="L276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4" spans="2:12" x14ac:dyDescent="0.3">
      <c r="B2764" s="34">
        <v>46225</v>
      </c>
      <c r="C2764" s="34" t="str">
        <f>TEXT(Metas_Diarias[[#This Row],[data]],"dddd")</f>
        <v>quarta-feira</v>
      </c>
      <c r="D2764" s="33">
        <v>3</v>
      </c>
      <c r="E2764" s="33">
        <v>4</v>
      </c>
      <c r="F2764" s="18"/>
      <c r="G2764" s="35">
        <f>WEEKDAY(Metas_Diarias[[#This Row],[data]])</f>
        <v>4</v>
      </c>
      <c r="H2764" s="35">
        <f>IF(Metas_Diarias[[#This Row],[dias_da_demana]]=1,"domingo",IF(Metas_Diarias[[#This Row],[dias_da_demana]]=7,0.5,1))</f>
        <v>1</v>
      </c>
      <c r="I2764" s="35">
        <f>_xlfn.XLOOKUP(Metas_Diarias[[#This Row],[data]],Feriados[Data],Feriados[Feriado],1)</f>
        <v>1</v>
      </c>
      <c r="J2764" s="33" cm="1">
        <f t="array" aca="1" ref="J2764" ca="1">SUMPRODUCT(IF((NOT(ISERROR(MATCH(ROW(INDIRECT(DATE(YEAR(B2764),MONTH(B2764),1)&amp;":"&amp;DATE(YEAR(B2764),MONTH(B2764)+1,0))),Feriados[Data],0))))=FALSE,
IF(WEEKDAY(ROW(INDIRECT(DATE(YEAR(B2764),MONTH(B2764),1)&amp;":"&amp;DATE(YEAR(B2764),MONTH(B2764)+1,0))),2)&lt;=5,1,IF(WEEKDAY(ROW(INDIRECT(DATE(YEAR(B2764),MONTH(B2764),1)&amp;":"&amp;DATE(YEAR(B2764),MONTH(B2764)+1,0))),2)=6,0.5,0)),0))</f>
        <v>25</v>
      </c>
      <c r="K2764" s="22" cm="1">
        <f t="array" ref="K2764">_xlfn.XLOOKUP(1,((Metas_Diarias[[#This Row],[tipo_equipe_id]]=Metas[equipe])*(Metas_Diarias[[#This Row],[data]]&gt;Metas[data_inicio])*(Metas_Diarias[[#This Row],[data]]&lt;Metas[data_fim])),Metas[meta_mensal],0)</f>
        <v>0</v>
      </c>
      <c r="L276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5" spans="2:12" x14ac:dyDescent="0.3">
      <c r="B2765" s="34">
        <v>46226</v>
      </c>
      <c r="C2765" s="34" t="str">
        <f>TEXT(Metas_Diarias[[#This Row],[data]],"dddd")</f>
        <v>quinta-feira</v>
      </c>
      <c r="D2765" s="33">
        <v>3</v>
      </c>
      <c r="E2765" s="33">
        <v>4</v>
      </c>
      <c r="F2765" s="18"/>
      <c r="G2765" s="35">
        <f>WEEKDAY(Metas_Diarias[[#This Row],[data]])</f>
        <v>5</v>
      </c>
      <c r="H2765" s="35">
        <f>IF(Metas_Diarias[[#This Row],[dias_da_demana]]=1,"domingo",IF(Metas_Diarias[[#This Row],[dias_da_demana]]=7,0.5,1))</f>
        <v>1</v>
      </c>
      <c r="I2765" s="35">
        <f>_xlfn.XLOOKUP(Metas_Diarias[[#This Row],[data]],Feriados[Data],Feriados[Feriado],1)</f>
        <v>1</v>
      </c>
      <c r="J2765" s="33" cm="1">
        <f t="array" aca="1" ref="J2765" ca="1">SUMPRODUCT(IF((NOT(ISERROR(MATCH(ROW(INDIRECT(DATE(YEAR(B2765),MONTH(B2765),1)&amp;":"&amp;DATE(YEAR(B2765),MONTH(B2765)+1,0))),Feriados[Data],0))))=FALSE,
IF(WEEKDAY(ROW(INDIRECT(DATE(YEAR(B2765),MONTH(B2765),1)&amp;":"&amp;DATE(YEAR(B2765),MONTH(B2765)+1,0))),2)&lt;=5,1,IF(WEEKDAY(ROW(INDIRECT(DATE(YEAR(B2765),MONTH(B2765),1)&amp;":"&amp;DATE(YEAR(B2765),MONTH(B2765)+1,0))),2)=6,0.5,0)),0))</f>
        <v>25</v>
      </c>
      <c r="K2765" s="22" cm="1">
        <f t="array" ref="K2765">_xlfn.XLOOKUP(1,((Metas_Diarias[[#This Row],[tipo_equipe_id]]=Metas[equipe])*(Metas_Diarias[[#This Row],[data]]&gt;Metas[data_inicio])*(Metas_Diarias[[#This Row],[data]]&lt;Metas[data_fim])),Metas[meta_mensal],0)</f>
        <v>0</v>
      </c>
      <c r="L276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6" spans="2:12" x14ac:dyDescent="0.3">
      <c r="B2766" s="34">
        <v>46227</v>
      </c>
      <c r="C2766" s="34" t="str">
        <f>TEXT(Metas_Diarias[[#This Row],[data]],"dddd")</f>
        <v>sexta-feira</v>
      </c>
      <c r="D2766" s="33">
        <v>3</v>
      </c>
      <c r="E2766" s="33">
        <v>4</v>
      </c>
      <c r="F2766" s="18"/>
      <c r="G2766" s="35">
        <f>WEEKDAY(Metas_Diarias[[#This Row],[data]])</f>
        <v>6</v>
      </c>
      <c r="H2766" s="35">
        <f>IF(Metas_Diarias[[#This Row],[dias_da_demana]]=1,"domingo",IF(Metas_Diarias[[#This Row],[dias_da_demana]]=7,0.5,1))</f>
        <v>1</v>
      </c>
      <c r="I2766" s="35">
        <f>_xlfn.XLOOKUP(Metas_Diarias[[#This Row],[data]],Feriados[Data],Feriados[Feriado],1)</f>
        <v>1</v>
      </c>
      <c r="J2766" s="33" cm="1">
        <f t="array" aca="1" ref="J2766" ca="1">SUMPRODUCT(IF((NOT(ISERROR(MATCH(ROW(INDIRECT(DATE(YEAR(B2766),MONTH(B2766),1)&amp;":"&amp;DATE(YEAR(B2766),MONTH(B2766)+1,0))),Feriados[Data],0))))=FALSE,
IF(WEEKDAY(ROW(INDIRECT(DATE(YEAR(B2766),MONTH(B2766),1)&amp;":"&amp;DATE(YEAR(B2766),MONTH(B2766)+1,0))),2)&lt;=5,1,IF(WEEKDAY(ROW(INDIRECT(DATE(YEAR(B2766),MONTH(B2766),1)&amp;":"&amp;DATE(YEAR(B2766),MONTH(B2766)+1,0))),2)=6,0.5,0)),0))</f>
        <v>25</v>
      </c>
      <c r="K2766" s="22" cm="1">
        <f t="array" ref="K2766">_xlfn.XLOOKUP(1,((Metas_Diarias[[#This Row],[tipo_equipe_id]]=Metas[equipe])*(Metas_Diarias[[#This Row],[data]]&gt;Metas[data_inicio])*(Metas_Diarias[[#This Row],[data]]&lt;Metas[data_fim])),Metas[meta_mensal],0)</f>
        <v>0</v>
      </c>
      <c r="L27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7" spans="2:12" x14ac:dyDescent="0.3">
      <c r="B2767" s="34">
        <v>46228</v>
      </c>
      <c r="C2767" s="34" t="str">
        <f>TEXT(Metas_Diarias[[#This Row],[data]],"dddd")</f>
        <v>sábado</v>
      </c>
      <c r="D2767" s="33">
        <v>3</v>
      </c>
      <c r="E2767" s="33">
        <v>4</v>
      </c>
      <c r="F2767" s="18"/>
      <c r="G2767" s="35">
        <f>WEEKDAY(Metas_Diarias[[#This Row],[data]])</f>
        <v>7</v>
      </c>
      <c r="H2767" s="35">
        <f>IF(Metas_Diarias[[#This Row],[dias_da_demana]]=1,"domingo",IF(Metas_Diarias[[#This Row],[dias_da_demana]]=7,0.5,1))</f>
        <v>0.5</v>
      </c>
      <c r="I2767" s="35">
        <f>_xlfn.XLOOKUP(Metas_Diarias[[#This Row],[data]],Feriados[Data],Feriados[Feriado],1)</f>
        <v>1</v>
      </c>
      <c r="J2767" s="33" cm="1">
        <f t="array" aca="1" ref="J2767" ca="1">SUMPRODUCT(IF((NOT(ISERROR(MATCH(ROW(INDIRECT(DATE(YEAR(B2767),MONTH(B2767),1)&amp;":"&amp;DATE(YEAR(B2767),MONTH(B2767)+1,0))),Feriados[Data],0))))=FALSE,
IF(WEEKDAY(ROW(INDIRECT(DATE(YEAR(B2767),MONTH(B2767),1)&amp;":"&amp;DATE(YEAR(B2767),MONTH(B2767)+1,0))),2)&lt;=5,1,IF(WEEKDAY(ROW(INDIRECT(DATE(YEAR(B2767),MONTH(B2767),1)&amp;":"&amp;DATE(YEAR(B2767),MONTH(B2767)+1,0))),2)=6,0.5,0)),0))</f>
        <v>25</v>
      </c>
      <c r="K2767" s="22" cm="1">
        <f t="array" ref="K2767">_xlfn.XLOOKUP(1,((Metas_Diarias[[#This Row],[tipo_equipe_id]]=Metas[equipe])*(Metas_Diarias[[#This Row],[data]]&gt;Metas[data_inicio])*(Metas_Diarias[[#This Row],[data]]&lt;Metas[data_fim])),Metas[meta_mensal],0)</f>
        <v>0</v>
      </c>
      <c r="L276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8" spans="2:12" x14ac:dyDescent="0.3">
      <c r="B2768" s="34">
        <v>46229</v>
      </c>
      <c r="C2768" s="34" t="str">
        <f>TEXT(Metas_Diarias[[#This Row],[data]],"dddd")</f>
        <v>domingo</v>
      </c>
      <c r="D2768" s="33">
        <v>3</v>
      </c>
      <c r="E2768" s="33">
        <v>4</v>
      </c>
      <c r="F2768" s="18"/>
      <c r="G2768" s="35">
        <f>WEEKDAY(Metas_Diarias[[#This Row],[data]])</f>
        <v>1</v>
      </c>
      <c r="H2768" s="35" t="str">
        <f>IF(Metas_Diarias[[#This Row],[dias_da_demana]]=1,"domingo",IF(Metas_Diarias[[#This Row],[dias_da_demana]]=7,0.5,1))</f>
        <v>domingo</v>
      </c>
      <c r="I2768" s="35">
        <f>_xlfn.XLOOKUP(Metas_Diarias[[#This Row],[data]],Feriados[Data],Feriados[Feriado],1)</f>
        <v>1</v>
      </c>
      <c r="J2768" s="33" cm="1">
        <f t="array" aca="1" ref="J2768" ca="1">SUMPRODUCT(IF((NOT(ISERROR(MATCH(ROW(INDIRECT(DATE(YEAR(B2768),MONTH(B2768),1)&amp;":"&amp;DATE(YEAR(B2768),MONTH(B2768)+1,0))),Feriados[Data],0))))=FALSE,
IF(WEEKDAY(ROW(INDIRECT(DATE(YEAR(B2768),MONTH(B2768),1)&amp;":"&amp;DATE(YEAR(B2768),MONTH(B2768)+1,0))),2)&lt;=5,1,IF(WEEKDAY(ROW(INDIRECT(DATE(YEAR(B2768),MONTH(B2768),1)&amp;":"&amp;DATE(YEAR(B2768),MONTH(B2768)+1,0))),2)=6,0.5,0)),0))</f>
        <v>25</v>
      </c>
      <c r="K2768" s="22" cm="1">
        <f t="array" ref="K2768">_xlfn.XLOOKUP(1,((Metas_Diarias[[#This Row],[tipo_equipe_id]]=Metas[equipe])*(Metas_Diarias[[#This Row],[data]]&gt;Metas[data_inicio])*(Metas_Diarias[[#This Row],[data]]&lt;Metas[data_fim])),Metas[meta_mensal],0)</f>
        <v>0</v>
      </c>
      <c r="L27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69" spans="2:12" x14ac:dyDescent="0.3">
      <c r="B2769" s="34">
        <v>46230</v>
      </c>
      <c r="C2769" s="34" t="str">
        <f>TEXT(Metas_Diarias[[#This Row],[data]],"dddd")</f>
        <v>segunda-feira</v>
      </c>
      <c r="D2769" s="33">
        <v>3</v>
      </c>
      <c r="E2769" s="33">
        <v>4</v>
      </c>
      <c r="F2769" s="18"/>
      <c r="G2769" s="35">
        <f>WEEKDAY(Metas_Diarias[[#This Row],[data]])</f>
        <v>2</v>
      </c>
      <c r="H2769" s="35">
        <f>IF(Metas_Diarias[[#This Row],[dias_da_demana]]=1,"domingo",IF(Metas_Diarias[[#This Row],[dias_da_demana]]=7,0.5,1))</f>
        <v>1</v>
      </c>
      <c r="I2769" s="35">
        <f>_xlfn.XLOOKUP(Metas_Diarias[[#This Row],[data]],Feriados[Data],Feriados[Feriado],1)</f>
        <v>1</v>
      </c>
      <c r="J2769" s="33" cm="1">
        <f t="array" aca="1" ref="J2769" ca="1">SUMPRODUCT(IF((NOT(ISERROR(MATCH(ROW(INDIRECT(DATE(YEAR(B2769),MONTH(B2769),1)&amp;":"&amp;DATE(YEAR(B2769),MONTH(B2769)+1,0))),Feriados[Data],0))))=FALSE,
IF(WEEKDAY(ROW(INDIRECT(DATE(YEAR(B2769),MONTH(B2769),1)&amp;":"&amp;DATE(YEAR(B2769),MONTH(B2769)+1,0))),2)&lt;=5,1,IF(WEEKDAY(ROW(INDIRECT(DATE(YEAR(B2769),MONTH(B2769),1)&amp;":"&amp;DATE(YEAR(B2769),MONTH(B2769)+1,0))),2)=6,0.5,0)),0))</f>
        <v>25</v>
      </c>
      <c r="K2769" s="22" cm="1">
        <f t="array" ref="K2769">_xlfn.XLOOKUP(1,((Metas_Diarias[[#This Row],[tipo_equipe_id]]=Metas[equipe])*(Metas_Diarias[[#This Row],[data]]&gt;Metas[data_inicio])*(Metas_Diarias[[#This Row],[data]]&lt;Metas[data_fim])),Metas[meta_mensal],0)</f>
        <v>0</v>
      </c>
      <c r="L276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0" spans="2:12" x14ac:dyDescent="0.3">
      <c r="B2770" s="34">
        <v>46231</v>
      </c>
      <c r="C2770" s="34" t="str">
        <f>TEXT(Metas_Diarias[[#This Row],[data]],"dddd")</f>
        <v>terça-feira</v>
      </c>
      <c r="D2770" s="33">
        <v>3</v>
      </c>
      <c r="E2770" s="33">
        <v>4</v>
      </c>
      <c r="F2770" s="18"/>
      <c r="G2770" s="35">
        <f>WEEKDAY(Metas_Diarias[[#This Row],[data]])</f>
        <v>3</v>
      </c>
      <c r="H2770" s="35">
        <f>IF(Metas_Diarias[[#This Row],[dias_da_demana]]=1,"domingo",IF(Metas_Diarias[[#This Row],[dias_da_demana]]=7,0.5,1))</f>
        <v>1</v>
      </c>
      <c r="I2770" s="35">
        <f>_xlfn.XLOOKUP(Metas_Diarias[[#This Row],[data]],Feriados[Data],Feriados[Feriado],1)</f>
        <v>1</v>
      </c>
      <c r="J2770" s="33" cm="1">
        <f t="array" aca="1" ref="J2770" ca="1">SUMPRODUCT(IF((NOT(ISERROR(MATCH(ROW(INDIRECT(DATE(YEAR(B2770),MONTH(B2770),1)&amp;":"&amp;DATE(YEAR(B2770),MONTH(B2770)+1,0))),Feriados[Data],0))))=FALSE,
IF(WEEKDAY(ROW(INDIRECT(DATE(YEAR(B2770),MONTH(B2770),1)&amp;":"&amp;DATE(YEAR(B2770),MONTH(B2770)+1,0))),2)&lt;=5,1,IF(WEEKDAY(ROW(INDIRECT(DATE(YEAR(B2770),MONTH(B2770),1)&amp;":"&amp;DATE(YEAR(B2770),MONTH(B2770)+1,0))),2)=6,0.5,0)),0))</f>
        <v>25</v>
      </c>
      <c r="K2770" s="22" cm="1">
        <f t="array" ref="K2770">_xlfn.XLOOKUP(1,((Metas_Diarias[[#This Row],[tipo_equipe_id]]=Metas[equipe])*(Metas_Diarias[[#This Row],[data]]&gt;Metas[data_inicio])*(Metas_Diarias[[#This Row],[data]]&lt;Metas[data_fim])),Metas[meta_mensal],0)</f>
        <v>0</v>
      </c>
      <c r="L27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1" spans="2:12" x14ac:dyDescent="0.3">
      <c r="B2771" s="34">
        <v>46232</v>
      </c>
      <c r="C2771" s="34" t="str">
        <f>TEXT(Metas_Diarias[[#This Row],[data]],"dddd")</f>
        <v>quarta-feira</v>
      </c>
      <c r="D2771" s="33">
        <v>3</v>
      </c>
      <c r="E2771" s="33">
        <v>4</v>
      </c>
      <c r="F2771" s="18"/>
      <c r="G2771" s="35">
        <f>WEEKDAY(Metas_Diarias[[#This Row],[data]])</f>
        <v>4</v>
      </c>
      <c r="H2771" s="35">
        <f>IF(Metas_Diarias[[#This Row],[dias_da_demana]]=1,"domingo",IF(Metas_Diarias[[#This Row],[dias_da_demana]]=7,0.5,1))</f>
        <v>1</v>
      </c>
      <c r="I2771" s="35">
        <f>_xlfn.XLOOKUP(Metas_Diarias[[#This Row],[data]],Feriados[Data],Feriados[Feriado],1)</f>
        <v>1</v>
      </c>
      <c r="J2771" s="33" cm="1">
        <f t="array" aca="1" ref="J2771" ca="1">SUMPRODUCT(IF((NOT(ISERROR(MATCH(ROW(INDIRECT(DATE(YEAR(B2771),MONTH(B2771),1)&amp;":"&amp;DATE(YEAR(B2771),MONTH(B2771)+1,0))),Feriados[Data],0))))=FALSE,
IF(WEEKDAY(ROW(INDIRECT(DATE(YEAR(B2771),MONTH(B2771),1)&amp;":"&amp;DATE(YEAR(B2771),MONTH(B2771)+1,0))),2)&lt;=5,1,IF(WEEKDAY(ROW(INDIRECT(DATE(YEAR(B2771),MONTH(B2771),1)&amp;":"&amp;DATE(YEAR(B2771),MONTH(B2771)+1,0))),2)=6,0.5,0)),0))</f>
        <v>25</v>
      </c>
      <c r="K2771" s="22" cm="1">
        <f t="array" ref="K2771">_xlfn.XLOOKUP(1,((Metas_Diarias[[#This Row],[tipo_equipe_id]]=Metas[equipe])*(Metas_Diarias[[#This Row],[data]]&gt;Metas[data_inicio])*(Metas_Diarias[[#This Row],[data]]&lt;Metas[data_fim])),Metas[meta_mensal],0)</f>
        <v>0</v>
      </c>
      <c r="L27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2" spans="2:12" x14ac:dyDescent="0.3">
      <c r="B2772" s="34">
        <v>46233</v>
      </c>
      <c r="C2772" s="34" t="str">
        <f>TEXT(Metas_Diarias[[#This Row],[data]],"dddd")</f>
        <v>quinta-feira</v>
      </c>
      <c r="D2772" s="33">
        <v>3</v>
      </c>
      <c r="E2772" s="33">
        <v>4</v>
      </c>
      <c r="F2772" s="18"/>
      <c r="G2772" s="35">
        <f>WEEKDAY(Metas_Diarias[[#This Row],[data]])</f>
        <v>5</v>
      </c>
      <c r="H2772" s="35">
        <f>IF(Metas_Diarias[[#This Row],[dias_da_demana]]=1,"domingo",IF(Metas_Diarias[[#This Row],[dias_da_demana]]=7,0.5,1))</f>
        <v>1</v>
      </c>
      <c r="I2772" s="35">
        <f>_xlfn.XLOOKUP(Metas_Diarias[[#This Row],[data]],Feriados[Data],Feriados[Feriado],1)</f>
        <v>1</v>
      </c>
      <c r="J2772" s="33" cm="1">
        <f t="array" aca="1" ref="J2772" ca="1">SUMPRODUCT(IF((NOT(ISERROR(MATCH(ROW(INDIRECT(DATE(YEAR(B2772),MONTH(B2772),1)&amp;":"&amp;DATE(YEAR(B2772),MONTH(B2772)+1,0))),Feriados[Data],0))))=FALSE,
IF(WEEKDAY(ROW(INDIRECT(DATE(YEAR(B2772),MONTH(B2772),1)&amp;":"&amp;DATE(YEAR(B2772),MONTH(B2772)+1,0))),2)&lt;=5,1,IF(WEEKDAY(ROW(INDIRECT(DATE(YEAR(B2772),MONTH(B2772),1)&amp;":"&amp;DATE(YEAR(B2772),MONTH(B2772)+1,0))),2)=6,0.5,0)),0))</f>
        <v>25</v>
      </c>
      <c r="K2772" s="22" cm="1">
        <f t="array" ref="K2772">_xlfn.XLOOKUP(1,((Metas_Diarias[[#This Row],[tipo_equipe_id]]=Metas[equipe])*(Metas_Diarias[[#This Row],[data]]&gt;Metas[data_inicio])*(Metas_Diarias[[#This Row],[data]]&lt;Metas[data_fim])),Metas[meta_mensal],0)</f>
        <v>0</v>
      </c>
      <c r="L277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3" spans="2:12" x14ac:dyDescent="0.3">
      <c r="B2773" s="34">
        <v>46234</v>
      </c>
      <c r="C2773" s="34" t="str">
        <f>TEXT(Metas_Diarias[[#This Row],[data]],"dddd")</f>
        <v>sexta-feira</v>
      </c>
      <c r="D2773" s="33">
        <v>3</v>
      </c>
      <c r="E2773" s="33">
        <v>4</v>
      </c>
      <c r="F2773" s="18"/>
      <c r="G2773" s="35">
        <f>WEEKDAY(Metas_Diarias[[#This Row],[data]])</f>
        <v>6</v>
      </c>
      <c r="H2773" s="35">
        <f>IF(Metas_Diarias[[#This Row],[dias_da_demana]]=1,"domingo",IF(Metas_Diarias[[#This Row],[dias_da_demana]]=7,0.5,1))</f>
        <v>1</v>
      </c>
      <c r="I2773" s="35">
        <f>_xlfn.XLOOKUP(Metas_Diarias[[#This Row],[data]],Feriados[Data],Feriados[Feriado],1)</f>
        <v>1</v>
      </c>
      <c r="J2773" s="33" cm="1">
        <f t="array" aca="1" ref="J2773" ca="1">SUMPRODUCT(IF((NOT(ISERROR(MATCH(ROW(INDIRECT(DATE(YEAR(B2773),MONTH(B2773),1)&amp;":"&amp;DATE(YEAR(B2773),MONTH(B2773)+1,0))),Feriados[Data],0))))=FALSE,
IF(WEEKDAY(ROW(INDIRECT(DATE(YEAR(B2773),MONTH(B2773),1)&amp;":"&amp;DATE(YEAR(B2773),MONTH(B2773)+1,0))),2)&lt;=5,1,IF(WEEKDAY(ROW(INDIRECT(DATE(YEAR(B2773),MONTH(B2773),1)&amp;":"&amp;DATE(YEAR(B2773),MONTH(B2773)+1,0))),2)=6,0.5,0)),0))</f>
        <v>25</v>
      </c>
      <c r="K2773" s="22" cm="1">
        <f t="array" ref="K2773">_xlfn.XLOOKUP(1,((Metas_Diarias[[#This Row],[tipo_equipe_id]]=Metas[equipe])*(Metas_Diarias[[#This Row],[data]]&gt;Metas[data_inicio])*(Metas_Diarias[[#This Row],[data]]&lt;Metas[data_fim])),Metas[meta_mensal],0)</f>
        <v>0</v>
      </c>
      <c r="L27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4" spans="2:12" x14ac:dyDescent="0.3">
      <c r="B2774" s="34">
        <v>46235</v>
      </c>
      <c r="C2774" s="34" t="str">
        <f>TEXT(Metas_Diarias[[#This Row],[data]],"dddd")</f>
        <v>sábado</v>
      </c>
      <c r="D2774" s="33">
        <v>3</v>
      </c>
      <c r="E2774" s="33">
        <v>4</v>
      </c>
      <c r="F2774" s="18"/>
      <c r="G2774" s="35">
        <f>WEEKDAY(Metas_Diarias[[#This Row],[data]])</f>
        <v>7</v>
      </c>
      <c r="H2774" s="35">
        <f>IF(Metas_Diarias[[#This Row],[dias_da_demana]]=1,"domingo",IF(Metas_Diarias[[#This Row],[dias_da_demana]]=7,0.5,1))</f>
        <v>0.5</v>
      </c>
      <c r="I2774" s="35">
        <f>_xlfn.XLOOKUP(Metas_Diarias[[#This Row],[data]],Feriados[Data],Feriados[Feriado],1)</f>
        <v>1</v>
      </c>
      <c r="J2774" s="33" cm="1">
        <f t="array" aca="1" ref="J2774" ca="1">SUMPRODUCT(IF((NOT(ISERROR(MATCH(ROW(INDIRECT(DATE(YEAR(B2774),MONTH(B2774),1)&amp;":"&amp;DATE(YEAR(B2774),MONTH(B2774)+1,0))),Feriados[Data],0))))=FALSE,
IF(WEEKDAY(ROW(INDIRECT(DATE(YEAR(B2774),MONTH(B2774),1)&amp;":"&amp;DATE(YEAR(B2774),MONTH(B2774)+1,0))),2)&lt;=5,1,IF(WEEKDAY(ROW(INDIRECT(DATE(YEAR(B2774),MONTH(B2774),1)&amp;":"&amp;DATE(YEAR(B2774),MONTH(B2774)+1,0))),2)=6,0.5,0)),0))</f>
        <v>23.5</v>
      </c>
      <c r="K2774" s="22" cm="1">
        <f t="array" ref="K2774">_xlfn.XLOOKUP(1,((Metas_Diarias[[#This Row],[tipo_equipe_id]]=Metas[equipe])*(Metas_Diarias[[#This Row],[data]]&gt;Metas[data_inicio])*(Metas_Diarias[[#This Row],[data]]&lt;Metas[data_fim])),Metas[meta_mensal],0)</f>
        <v>0</v>
      </c>
      <c r="L277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5" spans="2:12" x14ac:dyDescent="0.3">
      <c r="B2775" s="34">
        <v>46236</v>
      </c>
      <c r="C2775" s="34" t="str">
        <f>TEXT(Metas_Diarias[[#This Row],[data]],"dddd")</f>
        <v>domingo</v>
      </c>
      <c r="D2775" s="33">
        <v>3</v>
      </c>
      <c r="E2775" s="33">
        <v>4</v>
      </c>
      <c r="F2775" s="18"/>
      <c r="G2775" s="35">
        <f>WEEKDAY(Metas_Diarias[[#This Row],[data]])</f>
        <v>1</v>
      </c>
      <c r="H2775" s="35" t="str">
        <f>IF(Metas_Diarias[[#This Row],[dias_da_demana]]=1,"domingo",IF(Metas_Diarias[[#This Row],[dias_da_demana]]=7,0.5,1))</f>
        <v>domingo</v>
      </c>
      <c r="I2775" s="35">
        <f>_xlfn.XLOOKUP(Metas_Diarias[[#This Row],[data]],Feriados[Data],Feriados[Feriado],1)</f>
        <v>1</v>
      </c>
      <c r="J2775" s="33" cm="1">
        <f t="array" aca="1" ref="J2775" ca="1">SUMPRODUCT(IF((NOT(ISERROR(MATCH(ROW(INDIRECT(DATE(YEAR(B2775),MONTH(B2775),1)&amp;":"&amp;DATE(YEAR(B2775),MONTH(B2775)+1,0))),Feriados[Data],0))))=FALSE,
IF(WEEKDAY(ROW(INDIRECT(DATE(YEAR(B2775),MONTH(B2775),1)&amp;":"&amp;DATE(YEAR(B2775),MONTH(B2775)+1,0))),2)&lt;=5,1,IF(WEEKDAY(ROW(INDIRECT(DATE(YEAR(B2775),MONTH(B2775),1)&amp;":"&amp;DATE(YEAR(B2775),MONTH(B2775)+1,0))),2)=6,0.5,0)),0))</f>
        <v>23.5</v>
      </c>
      <c r="K2775" s="22" cm="1">
        <f t="array" ref="K2775">_xlfn.XLOOKUP(1,((Metas_Diarias[[#This Row],[tipo_equipe_id]]=Metas[equipe])*(Metas_Diarias[[#This Row],[data]]&gt;Metas[data_inicio])*(Metas_Diarias[[#This Row],[data]]&lt;Metas[data_fim])),Metas[meta_mensal],0)</f>
        <v>0</v>
      </c>
      <c r="L27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6" spans="2:12" x14ac:dyDescent="0.3">
      <c r="B2776" s="34">
        <v>46237</v>
      </c>
      <c r="C2776" s="34" t="str">
        <f>TEXT(Metas_Diarias[[#This Row],[data]],"dddd")</f>
        <v>segunda-feira</v>
      </c>
      <c r="D2776" s="33">
        <v>3</v>
      </c>
      <c r="E2776" s="33">
        <v>4</v>
      </c>
      <c r="F2776" s="18"/>
      <c r="G2776" s="35">
        <f>WEEKDAY(Metas_Diarias[[#This Row],[data]])</f>
        <v>2</v>
      </c>
      <c r="H2776" s="35">
        <f>IF(Metas_Diarias[[#This Row],[dias_da_demana]]=1,"domingo",IF(Metas_Diarias[[#This Row],[dias_da_demana]]=7,0.5,1))</f>
        <v>1</v>
      </c>
      <c r="I2776" s="35">
        <f>_xlfn.XLOOKUP(Metas_Diarias[[#This Row],[data]],Feriados[Data],Feriados[Feriado],1)</f>
        <v>1</v>
      </c>
      <c r="J2776" s="33" cm="1">
        <f t="array" aca="1" ref="J2776" ca="1">SUMPRODUCT(IF((NOT(ISERROR(MATCH(ROW(INDIRECT(DATE(YEAR(B2776),MONTH(B2776),1)&amp;":"&amp;DATE(YEAR(B2776),MONTH(B2776)+1,0))),Feriados[Data],0))))=FALSE,
IF(WEEKDAY(ROW(INDIRECT(DATE(YEAR(B2776),MONTH(B2776),1)&amp;":"&amp;DATE(YEAR(B2776),MONTH(B2776)+1,0))),2)&lt;=5,1,IF(WEEKDAY(ROW(INDIRECT(DATE(YEAR(B2776),MONTH(B2776),1)&amp;":"&amp;DATE(YEAR(B2776),MONTH(B2776)+1,0))),2)=6,0.5,0)),0))</f>
        <v>23.5</v>
      </c>
      <c r="K2776" s="22" cm="1">
        <f t="array" ref="K2776">_xlfn.XLOOKUP(1,((Metas_Diarias[[#This Row],[tipo_equipe_id]]=Metas[equipe])*(Metas_Diarias[[#This Row],[data]]&gt;Metas[data_inicio])*(Metas_Diarias[[#This Row],[data]]&lt;Metas[data_fim])),Metas[meta_mensal],0)</f>
        <v>0</v>
      </c>
      <c r="L277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7" spans="2:12" x14ac:dyDescent="0.3">
      <c r="B2777" s="34">
        <v>46238</v>
      </c>
      <c r="C2777" s="34" t="str">
        <f>TEXT(Metas_Diarias[[#This Row],[data]],"dddd")</f>
        <v>terça-feira</v>
      </c>
      <c r="D2777" s="33">
        <v>3</v>
      </c>
      <c r="E2777" s="33">
        <v>4</v>
      </c>
      <c r="F2777" s="18"/>
      <c r="G2777" s="35">
        <f>WEEKDAY(Metas_Diarias[[#This Row],[data]])</f>
        <v>3</v>
      </c>
      <c r="H2777" s="35">
        <f>IF(Metas_Diarias[[#This Row],[dias_da_demana]]=1,"domingo",IF(Metas_Diarias[[#This Row],[dias_da_demana]]=7,0.5,1))</f>
        <v>1</v>
      </c>
      <c r="I2777" s="35">
        <f>_xlfn.XLOOKUP(Metas_Diarias[[#This Row],[data]],Feriados[Data],Feriados[Feriado],1)</f>
        <v>1</v>
      </c>
      <c r="J2777" s="33" cm="1">
        <f t="array" aca="1" ref="J2777" ca="1">SUMPRODUCT(IF((NOT(ISERROR(MATCH(ROW(INDIRECT(DATE(YEAR(B2777),MONTH(B2777),1)&amp;":"&amp;DATE(YEAR(B2777),MONTH(B2777)+1,0))),Feriados[Data],0))))=FALSE,
IF(WEEKDAY(ROW(INDIRECT(DATE(YEAR(B2777),MONTH(B2777),1)&amp;":"&amp;DATE(YEAR(B2777),MONTH(B2777)+1,0))),2)&lt;=5,1,IF(WEEKDAY(ROW(INDIRECT(DATE(YEAR(B2777),MONTH(B2777),1)&amp;":"&amp;DATE(YEAR(B2777),MONTH(B2777)+1,0))),2)=6,0.5,0)),0))</f>
        <v>23.5</v>
      </c>
      <c r="K2777" s="22" cm="1">
        <f t="array" ref="K2777">_xlfn.XLOOKUP(1,((Metas_Diarias[[#This Row],[tipo_equipe_id]]=Metas[equipe])*(Metas_Diarias[[#This Row],[data]]&gt;Metas[data_inicio])*(Metas_Diarias[[#This Row],[data]]&lt;Metas[data_fim])),Metas[meta_mensal],0)</f>
        <v>0</v>
      </c>
      <c r="L27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8" spans="2:12" x14ac:dyDescent="0.3">
      <c r="B2778" s="34">
        <v>46239</v>
      </c>
      <c r="C2778" s="34" t="str">
        <f>TEXT(Metas_Diarias[[#This Row],[data]],"dddd")</f>
        <v>quarta-feira</v>
      </c>
      <c r="D2778" s="33">
        <v>3</v>
      </c>
      <c r="E2778" s="33">
        <v>4</v>
      </c>
      <c r="F2778" s="18"/>
      <c r="G2778" s="35">
        <f>WEEKDAY(Metas_Diarias[[#This Row],[data]])</f>
        <v>4</v>
      </c>
      <c r="H2778" s="35">
        <f>IF(Metas_Diarias[[#This Row],[dias_da_demana]]=1,"domingo",IF(Metas_Diarias[[#This Row],[dias_da_demana]]=7,0.5,1))</f>
        <v>1</v>
      </c>
      <c r="I2778" s="35">
        <f>_xlfn.XLOOKUP(Metas_Diarias[[#This Row],[data]],Feriados[Data],Feriados[Feriado],1)</f>
        <v>1</v>
      </c>
      <c r="J2778" s="33" cm="1">
        <f t="array" aca="1" ref="J2778" ca="1">SUMPRODUCT(IF((NOT(ISERROR(MATCH(ROW(INDIRECT(DATE(YEAR(B2778),MONTH(B2778),1)&amp;":"&amp;DATE(YEAR(B2778),MONTH(B2778)+1,0))),Feriados[Data],0))))=FALSE,
IF(WEEKDAY(ROW(INDIRECT(DATE(YEAR(B2778),MONTH(B2778),1)&amp;":"&amp;DATE(YEAR(B2778),MONTH(B2778)+1,0))),2)&lt;=5,1,IF(WEEKDAY(ROW(INDIRECT(DATE(YEAR(B2778),MONTH(B2778),1)&amp;":"&amp;DATE(YEAR(B2778),MONTH(B2778)+1,0))),2)=6,0.5,0)),0))</f>
        <v>23.5</v>
      </c>
      <c r="K2778" s="22" cm="1">
        <f t="array" ref="K2778">_xlfn.XLOOKUP(1,((Metas_Diarias[[#This Row],[tipo_equipe_id]]=Metas[equipe])*(Metas_Diarias[[#This Row],[data]]&gt;Metas[data_inicio])*(Metas_Diarias[[#This Row],[data]]&lt;Metas[data_fim])),Metas[meta_mensal],0)</f>
        <v>0</v>
      </c>
      <c r="L27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79" spans="2:12" x14ac:dyDescent="0.3">
      <c r="B2779" s="34">
        <v>46240</v>
      </c>
      <c r="C2779" s="34" t="str">
        <f>TEXT(Metas_Diarias[[#This Row],[data]],"dddd")</f>
        <v>quinta-feira</v>
      </c>
      <c r="D2779" s="33">
        <v>3</v>
      </c>
      <c r="E2779" s="33">
        <v>4</v>
      </c>
      <c r="F2779" s="18"/>
      <c r="G2779" s="35">
        <f>WEEKDAY(Metas_Diarias[[#This Row],[data]])</f>
        <v>5</v>
      </c>
      <c r="H2779" s="35">
        <f>IF(Metas_Diarias[[#This Row],[dias_da_demana]]=1,"domingo",IF(Metas_Diarias[[#This Row],[dias_da_demana]]=7,0.5,1))</f>
        <v>1</v>
      </c>
      <c r="I2779" s="35">
        <f>_xlfn.XLOOKUP(Metas_Diarias[[#This Row],[data]],Feriados[Data],Feriados[Feriado],1)</f>
        <v>1</v>
      </c>
      <c r="J2779" s="33" cm="1">
        <f t="array" aca="1" ref="J2779" ca="1">SUMPRODUCT(IF((NOT(ISERROR(MATCH(ROW(INDIRECT(DATE(YEAR(B2779),MONTH(B2779),1)&amp;":"&amp;DATE(YEAR(B2779),MONTH(B2779)+1,0))),Feriados[Data],0))))=FALSE,
IF(WEEKDAY(ROW(INDIRECT(DATE(YEAR(B2779),MONTH(B2779),1)&amp;":"&amp;DATE(YEAR(B2779),MONTH(B2779)+1,0))),2)&lt;=5,1,IF(WEEKDAY(ROW(INDIRECT(DATE(YEAR(B2779),MONTH(B2779),1)&amp;":"&amp;DATE(YEAR(B2779),MONTH(B2779)+1,0))),2)=6,0.5,0)),0))</f>
        <v>23.5</v>
      </c>
      <c r="K2779" s="22" cm="1">
        <f t="array" ref="K2779">_xlfn.XLOOKUP(1,((Metas_Diarias[[#This Row],[tipo_equipe_id]]=Metas[equipe])*(Metas_Diarias[[#This Row],[data]]&gt;Metas[data_inicio])*(Metas_Diarias[[#This Row],[data]]&lt;Metas[data_fim])),Metas[meta_mensal],0)</f>
        <v>0</v>
      </c>
      <c r="L27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0" spans="2:12" x14ac:dyDescent="0.3">
      <c r="B2780" s="34">
        <v>46241</v>
      </c>
      <c r="C2780" s="34" t="str">
        <f>TEXT(Metas_Diarias[[#This Row],[data]],"dddd")</f>
        <v>sexta-feira</v>
      </c>
      <c r="D2780" s="33">
        <v>3</v>
      </c>
      <c r="E2780" s="33">
        <v>4</v>
      </c>
      <c r="F2780" s="18"/>
      <c r="G2780" s="35">
        <f>WEEKDAY(Metas_Diarias[[#This Row],[data]])</f>
        <v>6</v>
      </c>
      <c r="H2780" s="35">
        <f>IF(Metas_Diarias[[#This Row],[dias_da_demana]]=1,"domingo",IF(Metas_Diarias[[#This Row],[dias_da_demana]]=7,0.5,1))</f>
        <v>1</v>
      </c>
      <c r="I2780" s="35">
        <f>_xlfn.XLOOKUP(Metas_Diarias[[#This Row],[data]],Feriados[Data],Feriados[Feriado],1)</f>
        <v>1</v>
      </c>
      <c r="J2780" s="33" cm="1">
        <f t="array" aca="1" ref="J2780" ca="1">SUMPRODUCT(IF((NOT(ISERROR(MATCH(ROW(INDIRECT(DATE(YEAR(B2780),MONTH(B2780),1)&amp;":"&amp;DATE(YEAR(B2780),MONTH(B2780)+1,0))),Feriados[Data],0))))=FALSE,
IF(WEEKDAY(ROW(INDIRECT(DATE(YEAR(B2780),MONTH(B2780),1)&amp;":"&amp;DATE(YEAR(B2780),MONTH(B2780)+1,0))),2)&lt;=5,1,IF(WEEKDAY(ROW(INDIRECT(DATE(YEAR(B2780),MONTH(B2780),1)&amp;":"&amp;DATE(YEAR(B2780),MONTH(B2780)+1,0))),2)=6,0.5,0)),0))</f>
        <v>23.5</v>
      </c>
      <c r="K2780" s="22" cm="1">
        <f t="array" ref="K2780">_xlfn.XLOOKUP(1,((Metas_Diarias[[#This Row],[tipo_equipe_id]]=Metas[equipe])*(Metas_Diarias[[#This Row],[data]]&gt;Metas[data_inicio])*(Metas_Diarias[[#This Row],[data]]&lt;Metas[data_fim])),Metas[meta_mensal],0)</f>
        <v>0</v>
      </c>
      <c r="L27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1" spans="2:12" x14ac:dyDescent="0.3">
      <c r="B2781" s="34">
        <v>46242</v>
      </c>
      <c r="C2781" s="34" t="str">
        <f>TEXT(Metas_Diarias[[#This Row],[data]],"dddd")</f>
        <v>sábado</v>
      </c>
      <c r="D2781" s="33">
        <v>3</v>
      </c>
      <c r="E2781" s="33">
        <v>4</v>
      </c>
      <c r="F2781" s="18"/>
      <c r="G2781" s="35">
        <f>WEEKDAY(Metas_Diarias[[#This Row],[data]])</f>
        <v>7</v>
      </c>
      <c r="H2781" s="35">
        <f>IF(Metas_Diarias[[#This Row],[dias_da_demana]]=1,"domingo",IF(Metas_Diarias[[#This Row],[dias_da_demana]]=7,0.5,1))</f>
        <v>0.5</v>
      </c>
      <c r="I2781" s="35">
        <f>_xlfn.XLOOKUP(Metas_Diarias[[#This Row],[data]],Feriados[Data],Feriados[Feriado],1)</f>
        <v>1</v>
      </c>
      <c r="J2781" s="33" cm="1">
        <f t="array" aca="1" ref="J2781" ca="1">SUMPRODUCT(IF((NOT(ISERROR(MATCH(ROW(INDIRECT(DATE(YEAR(B2781),MONTH(B2781),1)&amp;":"&amp;DATE(YEAR(B2781),MONTH(B2781)+1,0))),Feriados[Data],0))))=FALSE,
IF(WEEKDAY(ROW(INDIRECT(DATE(YEAR(B2781),MONTH(B2781),1)&amp;":"&amp;DATE(YEAR(B2781),MONTH(B2781)+1,0))),2)&lt;=5,1,IF(WEEKDAY(ROW(INDIRECT(DATE(YEAR(B2781),MONTH(B2781),1)&amp;":"&amp;DATE(YEAR(B2781),MONTH(B2781)+1,0))),2)=6,0.5,0)),0))</f>
        <v>23.5</v>
      </c>
      <c r="K2781" s="22" cm="1">
        <f t="array" ref="K2781">_xlfn.XLOOKUP(1,((Metas_Diarias[[#This Row],[tipo_equipe_id]]=Metas[equipe])*(Metas_Diarias[[#This Row],[data]]&gt;Metas[data_inicio])*(Metas_Diarias[[#This Row],[data]]&lt;Metas[data_fim])),Metas[meta_mensal],0)</f>
        <v>0</v>
      </c>
      <c r="L278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2" spans="2:12" x14ac:dyDescent="0.3">
      <c r="B2782" s="34">
        <v>46243</v>
      </c>
      <c r="C2782" s="34" t="str">
        <f>TEXT(Metas_Diarias[[#This Row],[data]],"dddd")</f>
        <v>domingo</v>
      </c>
      <c r="D2782" s="33">
        <v>3</v>
      </c>
      <c r="E2782" s="33">
        <v>4</v>
      </c>
      <c r="F2782" s="18"/>
      <c r="G2782" s="35">
        <f>WEEKDAY(Metas_Diarias[[#This Row],[data]])</f>
        <v>1</v>
      </c>
      <c r="H2782" s="35" t="str">
        <f>IF(Metas_Diarias[[#This Row],[dias_da_demana]]=1,"domingo",IF(Metas_Diarias[[#This Row],[dias_da_demana]]=7,0.5,1))</f>
        <v>domingo</v>
      </c>
      <c r="I2782" s="35">
        <f>_xlfn.XLOOKUP(Metas_Diarias[[#This Row],[data]],Feriados[Data],Feriados[Feriado],1)</f>
        <v>1</v>
      </c>
      <c r="J2782" s="33" cm="1">
        <f t="array" aca="1" ref="J2782" ca="1">SUMPRODUCT(IF((NOT(ISERROR(MATCH(ROW(INDIRECT(DATE(YEAR(B2782),MONTH(B2782),1)&amp;":"&amp;DATE(YEAR(B2782),MONTH(B2782)+1,0))),Feriados[Data],0))))=FALSE,
IF(WEEKDAY(ROW(INDIRECT(DATE(YEAR(B2782),MONTH(B2782),1)&amp;":"&amp;DATE(YEAR(B2782),MONTH(B2782)+1,0))),2)&lt;=5,1,IF(WEEKDAY(ROW(INDIRECT(DATE(YEAR(B2782),MONTH(B2782),1)&amp;":"&amp;DATE(YEAR(B2782),MONTH(B2782)+1,0))),2)=6,0.5,0)),0))</f>
        <v>23.5</v>
      </c>
      <c r="K2782" s="22" cm="1">
        <f t="array" ref="K2782">_xlfn.XLOOKUP(1,((Metas_Diarias[[#This Row],[tipo_equipe_id]]=Metas[equipe])*(Metas_Diarias[[#This Row],[data]]&gt;Metas[data_inicio])*(Metas_Diarias[[#This Row],[data]]&lt;Metas[data_fim])),Metas[meta_mensal],0)</f>
        <v>0</v>
      </c>
      <c r="L27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3" spans="2:12" x14ac:dyDescent="0.3">
      <c r="B2783" s="34">
        <v>46244</v>
      </c>
      <c r="C2783" s="34" t="str">
        <f>TEXT(Metas_Diarias[[#This Row],[data]],"dddd")</f>
        <v>segunda-feira</v>
      </c>
      <c r="D2783" s="33">
        <v>3</v>
      </c>
      <c r="E2783" s="33">
        <v>4</v>
      </c>
      <c r="F2783" s="18"/>
      <c r="G2783" s="35">
        <f>WEEKDAY(Metas_Diarias[[#This Row],[data]])</f>
        <v>2</v>
      </c>
      <c r="H2783" s="35">
        <f>IF(Metas_Diarias[[#This Row],[dias_da_demana]]=1,"domingo",IF(Metas_Diarias[[#This Row],[dias_da_demana]]=7,0.5,1))</f>
        <v>1</v>
      </c>
      <c r="I2783" s="35">
        <f>_xlfn.XLOOKUP(Metas_Diarias[[#This Row],[data]],Feriados[Data],Feriados[Feriado],1)</f>
        <v>1</v>
      </c>
      <c r="J2783" s="33" cm="1">
        <f t="array" aca="1" ref="J2783" ca="1">SUMPRODUCT(IF((NOT(ISERROR(MATCH(ROW(INDIRECT(DATE(YEAR(B2783),MONTH(B2783),1)&amp;":"&amp;DATE(YEAR(B2783),MONTH(B2783)+1,0))),Feriados[Data],0))))=FALSE,
IF(WEEKDAY(ROW(INDIRECT(DATE(YEAR(B2783),MONTH(B2783),1)&amp;":"&amp;DATE(YEAR(B2783),MONTH(B2783)+1,0))),2)&lt;=5,1,IF(WEEKDAY(ROW(INDIRECT(DATE(YEAR(B2783),MONTH(B2783),1)&amp;":"&amp;DATE(YEAR(B2783),MONTH(B2783)+1,0))),2)=6,0.5,0)),0))</f>
        <v>23.5</v>
      </c>
      <c r="K2783" s="22" cm="1">
        <f t="array" ref="K2783">_xlfn.XLOOKUP(1,((Metas_Diarias[[#This Row],[tipo_equipe_id]]=Metas[equipe])*(Metas_Diarias[[#This Row],[data]]&gt;Metas[data_inicio])*(Metas_Diarias[[#This Row],[data]]&lt;Metas[data_fim])),Metas[meta_mensal],0)</f>
        <v>0</v>
      </c>
      <c r="L278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4" spans="2:12" x14ac:dyDescent="0.3">
      <c r="B2784" s="34">
        <v>46245</v>
      </c>
      <c r="C2784" s="34" t="str">
        <f>TEXT(Metas_Diarias[[#This Row],[data]],"dddd")</f>
        <v>terça-feira</v>
      </c>
      <c r="D2784" s="33">
        <v>3</v>
      </c>
      <c r="E2784" s="33">
        <v>4</v>
      </c>
      <c r="F2784" s="18"/>
      <c r="G2784" s="35">
        <f>WEEKDAY(Metas_Diarias[[#This Row],[data]])</f>
        <v>3</v>
      </c>
      <c r="H2784" s="35">
        <f>IF(Metas_Diarias[[#This Row],[dias_da_demana]]=1,"domingo",IF(Metas_Diarias[[#This Row],[dias_da_demana]]=7,0.5,1))</f>
        <v>1</v>
      </c>
      <c r="I2784" s="35">
        <f>_xlfn.XLOOKUP(Metas_Diarias[[#This Row],[data]],Feriados[Data],Feriados[Feriado],1)</f>
        <v>1</v>
      </c>
      <c r="J2784" s="33" cm="1">
        <f t="array" aca="1" ref="J2784" ca="1">SUMPRODUCT(IF((NOT(ISERROR(MATCH(ROW(INDIRECT(DATE(YEAR(B2784),MONTH(B2784),1)&amp;":"&amp;DATE(YEAR(B2784),MONTH(B2784)+1,0))),Feriados[Data],0))))=FALSE,
IF(WEEKDAY(ROW(INDIRECT(DATE(YEAR(B2784),MONTH(B2784),1)&amp;":"&amp;DATE(YEAR(B2784),MONTH(B2784)+1,0))),2)&lt;=5,1,IF(WEEKDAY(ROW(INDIRECT(DATE(YEAR(B2784),MONTH(B2784),1)&amp;":"&amp;DATE(YEAR(B2784),MONTH(B2784)+1,0))),2)=6,0.5,0)),0))</f>
        <v>23.5</v>
      </c>
      <c r="K2784" s="22" cm="1">
        <f t="array" ref="K2784">_xlfn.XLOOKUP(1,((Metas_Diarias[[#This Row],[tipo_equipe_id]]=Metas[equipe])*(Metas_Diarias[[#This Row],[data]]&gt;Metas[data_inicio])*(Metas_Diarias[[#This Row],[data]]&lt;Metas[data_fim])),Metas[meta_mensal],0)</f>
        <v>0</v>
      </c>
      <c r="L27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5" spans="2:12" x14ac:dyDescent="0.3">
      <c r="B2785" s="34">
        <v>46246</v>
      </c>
      <c r="C2785" s="34" t="str">
        <f>TEXT(Metas_Diarias[[#This Row],[data]],"dddd")</f>
        <v>quarta-feira</v>
      </c>
      <c r="D2785" s="33">
        <v>3</v>
      </c>
      <c r="E2785" s="33">
        <v>4</v>
      </c>
      <c r="F2785" s="18"/>
      <c r="G2785" s="35">
        <f>WEEKDAY(Metas_Diarias[[#This Row],[data]])</f>
        <v>4</v>
      </c>
      <c r="H2785" s="35">
        <f>IF(Metas_Diarias[[#This Row],[dias_da_demana]]=1,"domingo",IF(Metas_Diarias[[#This Row],[dias_da_demana]]=7,0.5,1))</f>
        <v>1</v>
      </c>
      <c r="I2785" s="35">
        <f>_xlfn.XLOOKUP(Metas_Diarias[[#This Row],[data]],Feriados[Data],Feriados[Feriado],1)</f>
        <v>1</v>
      </c>
      <c r="J2785" s="33" cm="1">
        <f t="array" aca="1" ref="J2785" ca="1">SUMPRODUCT(IF((NOT(ISERROR(MATCH(ROW(INDIRECT(DATE(YEAR(B2785),MONTH(B2785),1)&amp;":"&amp;DATE(YEAR(B2785),MONTH(B2785)+1,0))),Feriados[Data],0))))=FALSE,
IF(WEEKDAY(ROW(INDIRECT(DATE(YEAR(B2785),MONTH(B2785),1)&amp;":"&amp;DATE(YEAR(B2785),MONTH(B2785)+1,0))),2)&lt;=5,1,IF(WEEKDAY(ROW(INDIRECT(DATE(YEAR(B2785),MONTH(B2785),1)&amp;":"&amp;DATE(YEAR(B2785),MONTH(B2785)+1,0))),2)=6,0.5,0)),0))</f>
        <v>23.5</v>
      </c>
      <c r="K2785" s="22" cm="1">
        <f t="array" ref="K2785">_xlfn.XLOOKUP(1,((Metas_Diarias[[#This Row],[tipo_equipe_id]]=Metas[equipe])*(Metas_Diarias[[#This Row],[data]]&gt;Metas[data_inicio])*(Metas_Diarias[[#This Row],[data]]&lt;Metas[data_fim])),Metas[meta_mensal],0)</f>
        <v>0</v>
      </c>
      <c r="L278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6" spans="2:12" x14ac:dyDescent="0.3">
      <c r="B2786" s="34">
        <v>46247</v>
      </c>
      <c r="C2786" s="34" t="str">
        <f>TEXT(Metas_Diarias[[#This Row],[data]],"dddd")</f>
        <v>quinta-feira</v>
      </c>
      <c r="D2786" s="33">
        <v>3</v>
      </c>
      <c r="E2786" s="33">
        <v>4</v>
      </c>
      <c r="F2786" s="18"/>
      <c r="G2786" s="35">
        <f>WEEKDAY(Metas_Diarias[[#This Row],[data]])</f>
        <v>5</v>
      </c>
      <c r="H2786" s="35">
        <f>IF(Metas_Diarias[[#This Row],[dias_da_demana]]=1,"domingo",IF(Metas_Diarias[[#This Row],[dias_da_demana]]=7,0.5,1))</f>
        <v>1</v>
      </c>
      <c r="I2786" s="35">
        <f>_xlfn.XLOOKUP(Metas_Diarias[[#This Row],[data]],Feriados[Data],Feriados[Feriado],1)</f>
        <v>1</v>
      </c>
      <c r="J2786" s="33" cm="1">
        <f t="array" aca="1" ref="J2786" ca="1">SUMPRODUCT(IF((NOT(ISERROR(MATCH(ROW(INDIRECT(DATE(YEAR(B2786),MONTH(B2786),1)&amp;":"&amp;DATE(YEAR(B2786),MONTH(B2786)+1,0))),Feriados[Data],0))))=FALSE,
IF(WEEKDAY(ROW(INDIRECT(DATE(YEAR(B2786),MONTH(B2786),1)&amp;":"&amp;DATE(YEAR(B2786),MONTH(B2786)+1,0))),2)&lt;=5,1,IF(WEEKDAY(ROW(INDIRECT(DATE(YEAR(B2786),MONTH(B2786),1)&amp;":"&amp;DATE(YEAR(B2786),MONTH(B2786)+1,0))),2)=6,0.5,0)),0))</f>
        <v>23.5</v>
      </c>
      <c r="K2786" s="22" cm="1">
        <f t="array" ref="K2786">_xlfn.XLOOKUP(1,((Metas_Diarias[[#This Row],[tipo_equipe_id]]=Metas[equipe])*(Metas_Diarias[[#This Row],[data]]&gt;Metas[data_inicio])*(Metas_Diarias[[#This Row],[data]]&lt;Metas[data_fim])),Metas[meta_mensal],0)</f>
        <v>0</v>
      </c>
      <c r="L27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7" spans="2:12" x14ac:dyDescent="0.3">
      <c r="B2787" s="34">
        <v>46248</v>
      </c>
      <c r="C2787" s="34" t="str">
        <f>TEXT(Metas_Diarias[[#This Row],[data]],"dddd")</f>
        <v>sexta-feira</v>
      </c>
      <c r="D2787" s="33">
        <v>3</v>
      </c>
      <c r="E2787" s="33">
        <v>4</v>
      </c>
      <c r="F2787" s="18"/>
      <c r="G2787" s="35">
        <f>WEEKDAY(Metas_Diarias[[#This Row],[data]])</f>
        <v>6</v>
      </c>
      <c r="H2787" s="35">
        <f>IF(Metas_Diarias[[#This Row],[dias_da_demana]]=1,"domingo",IF(Metas_Diarias[[#This Row],[dias_da_demana]]=7,0.5,1))</f>
        <v>1</v>
      </c>
      <c r="I2787" s="35">
        <f>_xlfn.XLOOKUP(Metas_Diarias[[#This Row],[data]],Feriados[Data],Feriados[Feriado],1)</f>
        <v>1</v>
      </c>
      <c r="J2787" s="33" cm="1">
        <f t="array" aca="1" ref="J2787" ca="1">SUMPRODUCT(IF((NOT(ISERROR(MATCH(ROW(INDIRECT(DATE(YEAR(B2787),MONTH(B2787),1)&amp;":"&amp;DATE(YEAR(B2787),MONTH(B2787)+1,0))),Feriados[Data],0))))=FALSE,
IF(WEEKDAY(ROW(INDIRECT(DATE(YEAR(B2787),MONTH(B2787),1)&amp;":"&amp;DATE(YEAR(B2787),MONTH(B2787)+1,0))),2)&lt;=5,1,IF(WEEKDAY(ROW(INDIRECT(DATE(YEAR(B2787),MONTH(B2787),1)&amp;":"&amp;DATE(YEAR(B2787),MONTH(B2787)+1,0))),2)=6,0.5,0)),0))</f>
        <v>23.5</v>
      </c>
      <c r="K2787" s="22" cm="1">
        <f t="array" ref="K2787">_xlfn.XLOOKUP(1,((Metas_Diarias[[#This Row],[tipo_equipe_id]]=Metas[equipe])*(Metas_Diarias[[#This Row],[data]]&gt;Metas[data_inicio])*(Metas_Diarias[[#This Row],[data]]&lt;Metas[data_fim])),Metas[meta_mensal],0)</f>
        <v>0</v>
      </c>
      <c r="L27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8" spans="2:12" x14ac:dyDescent="0.3">
      <c r="B2788" s="34">
        <v>46249</v>
      </c>
      <c r="C2788" s="34" t="str">
        <f>TEXT(Metas_Diarias[[#This Row],[data]],"dddd")</f>
        <v>sábado</v>
      </c>
      <c r="D2788" s="33">
        <v>3</v>
      </c>
      <c r="E2788" s="33">
        <v>4</v>
      </c>
      <c r="F2788" s="18"/>
      <c r="G2788" s="35">
        <f>WEEKDAY(Metas_Diarias[[#This Row],[data]])</f>
        <v>7</v>
      </c>
      <c r="H2788" s="35">
        <f>IF(Metas_Diarias[[#This Row],[dias_da_demana]]=1,"domingo",IF(Metas_Diarias[[#This Row],[dias_da_demana]]=7,0.5,1))</f>
        <v>0.5</v>
      </c>
      <c r="I2788" s="35">
        <f>_xlfn.XLOOKUP(Metas_Diarias[[#This Row],[data]],Feriados[Data],Feriados[Feriado],1)</f>
        <v>1</v>
      </c>
      <c r="J2788" s="33" cm="1">
        <f t="array" aca="1" ref="J2788" ca="1">SUMPRODUCT(IF((NOT(ISERROR(MATCH(ROW(INDIRECT(DATE(YEAR(B2788),MONTH(B2788),1)&amp;":"&amp;DATE(YEAR(B2788),MONTH(B2788)+1,0))),Feriados[Data],0))))=FALSE,
IF(WEEKDAY(ROW(INDIRECT(DATE(YEAR(B2788),MONTH(B2788),1)&amp;":"&amp;DATE(YEAR(B2788),MONTH(B2788)+1,0))),2)&lt;=5,1,IF(WEEKDAY(ROW(INDIRECT(DATE(YEAR(B2788),MONTH(B2788),1)&amp;":"&amp;DATE(YEAR(B2788),MONTH(B2788)+1,0))),2)=6,0.5,0)),0))</f>
        <v>23.5</v>
      </c>
      <c r="K2788" s="22" cm="1">
        <f t="array" ref="K2788">_xlfn.XLOOKUP(1,((Metas_Diarias[[#This Row],[tipo_equipe_id]]=Metas[equipe])*(Metas_Diarias[[#This Row],[data]]&gt;Metas[data_inicio])*(Metas_Diarias[[#This Row],[data]]&lt;Metas[data_fim])),Metas[meta_mensal],0)</f>
        <v>0</v>
      </c>
      <c r="L278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89" spans="2:12" x14ac:dyDescent="0.3">
      <c r="B2789" s="34">
        <v>46250</v>
      </c>
      <c r="C2789" s="34" t="str">
        <f>TEXT(Metas_Diarias[[#This Row],[data]],"dddd")</f>
        <v>domingo</v>
      </c>
      <c r="D2789" s="33">
        <v>3</v>
      </c>
      <c r="E2789" s="33">
        <v>4</v>
      </c>
      <c r="F2789" s="18"/>
      <c r="G2789" s="35">
        <f>WEEKDAY(Metas_Diarias[[#This Row],[data]])</f>
        <v>1</v>
      </c>
      <c r="H2789" s="35" t="str">
        <f>IF(Metas_Diarias[[#This Row],[dias_da_demana]]=1,"domingo",IF(Metas_Diarias[[#This Row],[dias_da_demana]]=7,0.5,1))</f>
        <v>domingo</v>
      </c>
      <c r="I2789" s="35">
        <f>_xlfn.XLOOKUP(Metas_Diarias[[#This Row],[data]],Feriados[Data],Feriados[Feriado],1)</f>
        <v>1</v>
      </c>
      <c r="J2789" s="33" cm="1">
        <f t="array" aca="1" ref="J2789" ca="1">SUMPRODUCT(IF((NOT(ISERROR(MATCH(ROW(INDIRECT(DATE(YEAR(B2789),MONTH(B2789),1)&amp;":"&amp;DATE(YEAR(B2789),MONTH(B2789)+1,0))),Feriados[Data],0))))=FALSE,
IF(WEEKDAY(ROW(INDIRECT(DATE(YEAR(B2789),MONTH(B2789),1)&amp;":"&amp;DATE(YEAR(B2789),MONTH(B2789)+1,0))),2)&lt;=5,1,IF(WEEKDAY(ROW(INDIRECT(DATE(YEAR(B2789),MONTH(B2789),1)&amp;":"&amp;DATE(YEAR(B2789),MONTH(B2789)+1,0))),2)=6,0.5,0)),0))</f>
        <v>23.5</v>
      </c>
      <c r="K2789" s="22" cm="1">
        <f t="array" ref="K2789">_xlfn.XLOOKUP(1,((Metas_Diarias[[#This Row],[tipo_equipe_id]]=Metas[equipe])*(Metas_Diarias[[#This Row],[data]]&gt;Metas[data_inicio])*(Metas_Diarias[[#This Row],[data]]&lt;Metas[data_fim])),Metas[meta_mensal],0)</f>
        <v>0</v>
      </c>
      <c r="L27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0" spans="2:12" x14ac:dyDescent="0.3">
      <c r="B2790" s="34">
        <v>46251</v>
      </c>
      <c r="C2790" s="34" t="str">
        <f>TEXT(Metas_Diarias[[#This Row],[data]],"dddd")</f>
        <v>segunda-feira</v>
      </c>
      <c r="D2790" s="33">
        <v>3</v>
      </c>
      <c r="E2790" s="33">
        <v>4</v>
      </c>
      <c r="F2790" s="18"/>
      <c r="G2790" s="35">
        <f>WEEKDAY(Metas_Diarias[[#This Row],[data]])</f>
        <v>2</v>
      </c>
      <c r="H2790" s="35">
        <f>IF(Metas_Diarias[[#This Row],[dias_da_demana]]=1,"domingo",IF(Metas_Diarias[[#This Row],[dias_da_demana]]=7,0.5,1))</f>
        <v>1</v>
      </c>
      <c r="I2790" s="35">
        <f>_xlfn.XLOOKUP(Metas_Diarias[[#This Row],[data]],Feriados[Data],Feriados[Feriado],1)</f>
        <v>1</v>
      </c>
      <c r="J2790" s="33" cm="1">
        <f t="array" aca="1" ref="J2790" ca="1">SUMPRODUCT(IF((NOT(ISERROR(MATCH(ROW(INDIRECT(DATE(YEAR(B2790),MONTH(B2790),1)&amp;":"&amp;DATE(YEAR(B2790),MONTH(B2790)+1,0))),Feriados[Data],0))))=FALSE,
IF(WEEKDAY(ROW(INDIRECT(DATE(YEAR(B2790),MONTH(B2790),1)&amp;":"&amp;DATE(YEAR(B2790),MONTH(B2790)+1,0))),2)&lt;=5,1,IF(WEEKDAY(ROW(INDIRECT(DATE(YEAR(B2790),MONTH(B2790),1)&amp;":"&amp;DATE(YEAR(B2790),MONTH(B2790)+1,0))),2)=6,0.5,0)),0))</f>
        <v>23.5</v>
      </c>
      <c r="K2790" s="22" cm="1">
        <f t="array" ref="K2790">_xlfn.XLOOKUP(1,((Metas_Diarias[[#This Row],[tipo_equipe_id]]=Metas[equipe])*(Metas_Diarias[[#This Row],[data]]&gt;Metas[data_inicio])*(Metas_Diarias[[#This Row],[data]]&lt;Metas[data_fim])),Metas[meta_mensal],0)</f>
        <v>0</v>
      </c>
      <c r="L279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1" spans="2:12" x14ac:dyDescent="0.3">
      <c r="B2791" s="34">
        <v>46252</v>
      </c>
      <c r="C2791" s="34" t="str">
        <f>TEXT(Metas_Diarias[[#This Row],[data]],"dddd")</f>
        <v>terça-feira</v>
      </c>
      <c r="D2791" s="33">
        <v>3</v>
      </c>
      <c r="E2791" s="33">
        <v>4</v>
      </c>
      <c r="F2791" s="18"/>
      <c r="G2791" s="35">
        <f>WEEKDAY(Metas_Diarias[[#This Row],[data]])</f>
        <v>3</v>
      </c>
      <c r="H2791" s="35">
        <f>IF(Metas_Diarias[[#This Row],[dias_da_demana]]=1,"domingo",IF(Metas_Diarias[[#This Row],[dias_da_demana]]=7,0.5,1))</f>
        <v>1</v>
      </c>
      <c r="I2791" s="35">
        <f>_xlfn.XLOOKUP(Metas_Diarias[[#This Row],[data]],Feriados[Data],Feriados[Feriado],1)</f>
        <v>1</v>
      </c>
      <c r="J2791" s="33" cm="1">
        <f t="array" aca="1" ref="J2791" ca="1">SUMPRODUCT(IF((NOT(ISERROR(MATCH(ROW(INDIRECT(DATE(YEAR(B2791),MONTH(B2791),1)&amp;":"&amp;DATE(YEAR(B2791),MONTH(B2791)+1,0))),Feriados[Data],0))))=FALSE,
IF(WEEKDAY(ROW(INDIRECT(DATE(YEAR(B2791),MONTH(B2791),1)&amp;":"&amp;DATE(YEAR(B2791),MONTH(B2791)+1,0))),2)&lt;=5,1,IF(WEEKDAY(ROW(INDIRECT(DATE(YEAR(B2791),MONTH(B2791),1)&amp;":"&amp;DATE(YEAR(B2791),MONTH(B2791)+1,0))),2)=6,0.5,0)),0))</f>
        <v>23.5</v>
      </c>
      <c r="K2791" s="22" cm="1">
        <f t="array" ref="K2791">_xlfn.XLOOKUP(1,((Metas_Diarias[[#This Row],[tipo_equipe_id]]=Metas[equipe])*(Metas_Diarias[[#This Row],[data]]&gt;Metas[data_inicio])*(Metas_Diarias[[#This Row],[data]]&lt;Metas[data_fim])),Metas[meta_mensal],0)</f>
        <v>0</v>
      </c>
      <c r="L27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2" spans="2:12" x14ac:dyDescent="0.3">
      <c r="B2792" s="34">
        <v>46253</v>
      </c>
      <c r="C2792" s="34" t="str">
        <f>TEXT(Metas_Diarias[[#This Row],[data]],"dddd")</f>
        <v>quarta-feira</v>
      </c>
      <c r="D2792" s="33">
        <v>3</v>
      </c>
      <c r="E2792" s="33">
        <v>4</v>
      </c>
      <c r="F2792" s="18"/>
      <c r="G2792" s="35">
        <f>WEEKDAY(Metas_Diarias[[#This Row],[data]])</f>
        <v>4</v>
      </c>
      <c r="H2792" s="35">
        <f>IF(Metas_Diarias[[#This Row],[dias_da_demana]]=1,"domingo",IF(Metas_Diarias[[#This Row],[dias_da_demana]]=7,0.5,1))</f>
        <v>1</v>
      </c>
      <c r="I2792" s="35">
        <f>_xlfn.XLOOKUP(Metas_Diarias[[#This Row],[data]],Feriados[Data],Feriados[Feriado],1)</f>
        <v>1</v>
      </c>
      <c r="J2792" s="33" cm="1">
        <f t="array" aca="1" ref="J2792" ca="1">SUMPRODUCT(IF((NOT(ISERROR(MATCH(ROW(INDIRECT(DATE(YEAR(B2792),MONTH(B2792),1)&amp;":"&amp;DATE(YEAR(B2792),MONTH(B2792)+1,0))),Feriados[Data],0))))=FALSE,
IF(WEEKDAY(ROW(INDIRECT(DATE(YEAR(B2792),MONTH(B2792),1)&amp;":"&amp;DATE(YEAR(B2792),MONTH(B2792)+1,0))),2)&lt;=5,1,IF(WEEKDAY(ROW(INDIRECT(DATE(YEAR(B2792),MONTH(B2792),1)&amp;":"&amp;DATE(YEAR(B2792),MONTH(B2792)+1,0))),2)=6,0.5,0)),0))</f>
        <v>23.5</v>
      </c>
      <c r="K2792" s="22" cm="1">
        <f t="array" ref="K2792">_xlfn.XLOOKUP(1,((Metas_Diarias[[#This Row],[tipo_equipe_id]]=Metas[equipe])*(Metas_Diarias[[#This Row],[data]]&gt;Metas[data_inicio])*(Metas_Diarias[[#This Row],[data]]&lt;Metas[data_fim])),Metas[meta_mensal],0)</f>
        <v>0</v>
      </c>
      <c r="L279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3" spans="2:12" x14ac:dyDescent="0.3">
      <c r="B2793" s="34">
        <v>46254</v>
      </c>
      <c r="C2793" s="34" t="str">
        <f>TEXT(Metas_Diarias[[#This Row],[data]],"dddd")</f>
        <v>quinta-feira</v>
      </c>
      <c r="D2793" s="33">
        <v>3</v>
      </c>
      <c r="E2793" s="33">
        <v>4</v>
      </c>
      <c r="F2793" s="18"/>
      <c r="G2793" s="35">
        <f>WEEKDAY(Metas_Diarias[[#This Row],[data]])</f>
        <v>5</v>
      </c>
      <c r="H2793" s="35">
        <f>IF(Metas_Diarias[[#This Row],[dias_da_demana]]=1,"domingo",IF(Metas_Diarias[[#This Row],[dias_da_demana]]=7,0.5,1))</f>
        <v>1</v>
      </c>
      <c r="I2793" s="35">
        <f>_xlfn.XLOOKUP(Metas_Diarias[[#This Row],[data]],Feriados[Data],Feriados[Feriado],1)</f>
        <v>1</v>
      </c>
      <c r="J2793" s="33" cm="1">
        <f t="array" aca="1" ref="J2793" ca="1">SUMPRODUCT(IF((NOT(ISERROR(MATCH(ROW(INDIRECT(DATE(YEAR(B2793),MONTH(B2793),1)&amp;":"&amp;DATE(YEAR(B2793),MONTH(B2793)+1,0))),Feriados[Data],0))))=FALSE,
IF(WEEKDAY(ROW(INDIRECT(DATE(YEAR(B2793),MONTH(B2793),1)&amp;":"&amp;DATE(YEAR(B2793),MONTH(B2793)+1,0))),2)&lt;=5,1,IF(WEEKDAY(ROW(INDIRECT(DATE(YEAR(B2793),MONTH(B2793),1)&amp;":"&amp;DATE(YEAR(B2793),MONTH(B2793)+1,0))),2)=6,0.5,0)),0))</f>
        <v>23.5</v>
      </c>
      <c r="K2793" s="22" cm="1">
        <f t="array" ref="K2793">_xlfn.XLOOKUP(1,((Metas_Diarias[[#This Row],[tipo_equipe_id]]=Metas[equipe])*(Metas_Diarias[[#This Row],[data]]&gt;Metas[data_inicio])*(Metas_Diarias[[#This Row],[data]]&lt;Metas[data_fim])),Metas[meta_mensal],0)</f>
        <v>0</v>
      </c>
      <c r="L279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4" spans="2:12" x14ac:dyDescent="0.3">
      <c r="B2794" s="34">
        <v>46255</v>
      </c>
      <c r="C2794" s="34" t="str">
        <f>TEXT(Metas_Diarias[[#This Row],[data]],"dddd")</f>
        <v>sexta-feira</v>
      </c>
      <c r="D2794" s="33">
        <v>3</v>
      </c>
      <c r="E2794" s="33">
        <v>4</v>
      </c>
      <c r="F2794" s="18"/>
      <c r="G2794" s="35">
        <f>WEEKDAY(Metas_Diarias[[#This Row],[data]])</f>
        <v>6</v>
      </c>
      <c r="H2794" s="35">
        <f>IF(Metas_Diarias[[#This Row],[dias_da_demana]]=1,"domingo",IF(Metas_Diarias[[#This Row],[dias_da_demana]]=7,0.5,1))</f>
        <v>1</v>
      </c>
      <c r="I2794" s="35">
        <f>_xlfn.XLOOKUP(Metas_Diarias[[#This Row],[data]],Feriados[Data],Feriados[Feriado],1)</f>
        <v>1</v>
      </c>
      <c r="J2794" s="33" cm="1">
        <f t="array" aca="1" ref="J2794" ca="1">SUMPRODUCT(IF((NOT(ISERROR(MATCH(ROW(INDIRECT(DATE(YEAR(B2794),MONTH(B2794),1)&amp;":"&amp;DATE(YEAR(B2794),MONTH(B2794)+1,0))),Feriados[Data],0))))=FALSE,
IF(WEEKDAY(ROW(INDIRECT(DATE(YEAR(B2794),MONTH(B2794),1)&amp;":"&amp;DATE(YEAR(B2794),MONTH(B2794)+1,0))),2)&lt;=5,1,IF(WEEKDAY(ROW(INDIRECT(DATE(YEAR(B2794),MONTH(B2794),1)&amp;":"&amp;DATE(YEAR(B2794),MONTH(B2794)+1,0))),2)=6,0.5,0)),0))</f>
        <v>23.5</v>
      </c>
      <c r="K2794" s="22" cm="1">
        <f t="array" ref="K2794">_xlfn.XLOOKUP(1,((Metas_Diarias[[#This Row],[tipo_equipe_id]]=Metas[equipe])*(Metas_Diarias[[#This Row],[data]]&gt;Metas[data_inicio])*(Metas_Diarias[[#This Row],[data]]&lt;Metas[data_fim])),Metas[meta_mensal],0)</f>
        <v>0</v>
      </c>
      <c r="L27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5" spans="2:12" x14ac:dyDescent="0.3">
      <c r="B2795" s="34">
        <v>46256</v>
      </c>
      <c r="C2795" s="34" t="str">
        <f>TEXT(Metas_Diarias[[#This Row],[data]],"dddd")</f>
        <v>sábado</v>
      </c>
      <c r="D2795" s="33">
        <v>3</v>
      </c>
      <c r="E2795" s="33">
        <v>4</v>
      </c>
      <c r="F2795" s="18"/>
      <c r="G2795" s="35">
        <f>WEEKDAY(Metas_Diarias[[#This Row],[data]])</f>
        <v>7</v>
      </c>
      <c r="H2795" s="35">
        <f>IF(Metas_Diarias[[#This Row],[dias_da_demana]]=1,"domingo",IF(Metas_Diarias[[#This Row],[dias_da_demana]]=7,0.5,1))</f>
        <v>0.5</v>
      </c>
      <c r="I2795" s="35">
        <f>_xlfn.XLOOKUP(Metas_Diarias[[#This Row],[data]],Feriados[Data],Feriados[Feriado],1)</f>
        <v>1</v>
      </c>
      <c r="J2795" s="33" cm="1">
        <f t="array" aca="1" ref="J2795" ca="1">SUMPRODUCT(IF((NOT(ISERROR(MATCH(ROW(INDIRECT(DATE(YEAR(B2795),MONTH(B2795),1)&amp;":"&amp;DATE(YEAR(B2795),MONTH(B2795)+1,0))),Feriados[Data],0))))=FALSE,
IF(WEEKDAY(ROW(INDIRECT(DATE(YEAR(B2795),MONTH(B2795),1)&amp;":"&amp;DATE(YEAR(B2795),MONTH(B2795)+1,0))),2)&lt;=5,1,IF(WEEKDAY(ROW(INDIRECT(DATE(YEAR(B2795),MONTH(B2795),1)&amp;":"&amp;DATE(YEAR(B2795),MONTH(B2795)+1,0))),2)=6,0.5,0)),0))</f>
        <v>23.5</v>
      </c>
      <c r="K2795" s="22" cm="1">
        <f t="array" ref="K2795">_xlfn.XLOOKUP(1,((Metas_Diarias[[#This Row],[tipo_equipe_id]]=Metas[equipe])*(Metas_Diarias[[#This Row],[data]]&gt;Metas[data_inicio])*(Metas_Diarias[[#This Row],[data]]&lt;Metas[data_fim])),Metas[meta_mensal],0)</f>
        <v>0</v>
      </c>
      <c r="L279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6" spans="2:12" x14ac:dyDescent="0.3">
      <c r="B2796" s="34">
        <v>46257</v>
      </c>
      <c r="C2796" s="34" t="str">
        <f>TEXT(Metas_Diarias[[#This Row],[data]],"dddd")</f>
        <v>domingo</v>
      </c>
      <c r="D2796" s="33">
        <v>3</v>
      </c>
      <c r="E2796" s="33">
        <v>4</v>
      </c>
      <c r="F2796" s="18"/>
      <c r="G2796" s="35">
        <f>WEEKDAY(Metas_Diarias[[#This Row],[data]])</f>
        <v>1</v>
      </c>
      <c r="H2796" s="35" t="str">
        <f>IF(Metas_Diarias[[#This Row],[dias_da_demana]]=1,"domingo",IF(Metas_Diarias[[#This Row],[dias_da_demana]]=7,0.5,1))</f>
        <v>domingo</v>
      </c>
      <c r="I2796" s="35">
        <f>_xlfn.XLOOKUP(Metas_Diarias[[#This Row],[data]],Feriados[Data],Feriados[Feriado],1)</f>
        <v>1</v>
      </c>
      <c r="J2796" s="33" cm="1">
        <f t="array" aca="1" ref="J2796" ca="1">SUMPRODUCT(IF((NOT(ISERROR(MATCH(ROW(INDIRECT(DATE(YEAR(B2796),MONTH(B2796),1)&amp;":"&amp;DATE(YEAR(B2796),MONTH(B2796)+1,0))),Feriados[Data],0))))=FALSE,
IF(WEEKDAY(ROW(INDIRECT(DATE(YEAR(B2796),MONTH(B2796),1)&amp;":"&amp;DATE(YEAR(B2796),MONTH(B2796)+1,0))),2)&lt;=5,1,IF(WEEKDAY(ROW(INDIRECT(DATE(YEAR(B2796),MONTH(B2796),1)&amp;":"&amp;DATE(YEAR(B2796),MONTH(B2796)+1,0))),2)=6,0.5,0)),0))</f>
        <v>23.5</v>
      </c>
      <c r="K2796" s="22" cm="1">
        <f t="array" ref="K2796">_xlfn.XLOOKUP(1,((Metas_Diarias[[#This Row],[tipo_equipe_id]]=Metas[equipe])*(Metas_Diarias[[#This Row],[data]]&gt;Metas[data_inicio])*(Metas_Diarias[[#This Row],[data]]&lt;Metas[data_fim])),Metas[meta_mensal],0)</f>
        <v>0</v>
      </c>
      <c r="L27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7" spans="2:12" x14ac:dyDescent="0.3">
      <c r="B2797" s="34">
        <v>46258</v>
      </c>
      <c r="C2797" s="34" t="str">
        <f>TEXT(Metas_Diarias[[#This Row],[data]],"dddd")</f>
        <v>segunda-feira</v>
      </c>
      <c r="D2797" s="33">
        <v>3</v>
      </c>
      <c r="E2797" s="33">
        <v>4</v>
      </c>
      <c r="F2797" s="18"/>
      <c r="G2797" s="35">
        <f>WEEKDAY(Metas_Diarias[[#This Row],[data]])</f>
        <v>2</v>
      </c>
      <c r="H2797" s="35">
        <f>IF(Metas_Diarias[[#This Row],[dias_da_demana]]=1,"domingo",IF(Metas_Diarias[[#This Row],[dias_da_demana]]=7,0.5,1))</f>
        <v>1</v>
      </c>
      <c r="I2797" s="35">
        <f>_xlfn.XLOOKUP(Metas_Diarias[[#This Row],[data]],Feriados[Data],Feriados[Feriado],1)</f>
        <v>1</v>
      </c>
      <c r="J2797" s="33" cm="1">
        <f t="array" aca="1" ref="J2797" ca="1">SUMPRODUCT(IF((NOT(ISERROR(MATCH(ROW(INDIRECT(DATE(YEAR(B2797),MONTH(B2797),1)&amp;":"&amp;DATE(YEAR(B2797),MONTH(B2797)+1,0))),Feriados[Data],0))))=FALSE,
IF(WEEKDAY(ROW(INDIRECT(DATE(YEAR(B2797),MONTH(B2797),1)&amp;":"&amp;DATE(YEAR(B2797),MONTH(B2797)+1,0))),2)&lt;=5,1,IF(WEEKDAY(ROW(INDIRECT(DATE(YEAR(B2797),MONTH(B2797),1)&amp;":"&amp;DATE(YEAR(B2797),MONTH(B2797)+1,0))),2)=6,0.5,0)),0))</f>
        <v>23.5</v>
      </c>
      <c r="K2797" s="22" cm="1">
        <f t="array" ref="K2797">_xlfn.XLOOKUP(1,((Metas_Diarias[[#This Row],[tipo_equipe_id]]=Metas[equipe])*(Metas_Diarias[[#This Row],[data]]&gt;Metas[data_inicio])*(Metas_Diarias[[#This Row],[data]]&lt;Metas[data_fim])),Metas[meta_mensal],0)</f>
        <v>0</v>
      </c>
      <c r="L279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8" spans="2:12" x14ac:dyDescent="0.3">
      <c r="B2798" s="34">
        <v>46259</v>
      </c>
      <c r="C2798" s="34" t="str">
        <f>TEXT(Metas_Diarias[[#This Row],[data]],"dddd")</f>
        <v>terça-feira</v>
      </c>
      <c r="D2798" s="33">
        <v>3</v>
      </c>
      <c r="E2798" s="33">
        <v>4</v>
      </c>
      <c r="F2798" s="18"/>
      <c r="G2798" s="35">
        <f>WEEKDAY(Metas_Diarias[[#This Row],[data]])</f>
        <v>3</v>
      </c>
      <c r="H2798" s="35">
        <f>IF(Metas_Diarias[[#This Row],[dias_da_demana]]=1,"domingo",IF(Metas_Diarias[[#This Row],[dias_da_demana]]=7,0.5,1))</f>
        <v>1</v>
      </c>
      <c r="I2798" s="35">
        <f>_xlfn.XLOOKUP(Metas_Diarias[[#This Row],[data]],Feriados[Data],Feriados[Feriado],1)</f>
        <v>1</v>
      </c>
      <c r="J2798" s="33" cm="1">
        <f t="array" aca="1" ref="J2798" ca="1">SUMPRODUCT(IF((NOT(ISERROR(MATCH(ROW(INDIRECT(DATE(YEAR(B2798),MONTH(B2798),1)&amp;":"&amp;DATE(YEAR(B2798),MONTH(B2798)+1,0))),Feriados[Data],0))))=FALSE,
IF(WEEKDAY(ROW(INDIRECT(DATE(YEAR(B2798),MONTH(B2798),1)&amp;":"&amp;DATE(YEAR(B2798),MONTH(B2798)+1,0))),2)&lt;=5,1,IF(WEEKDAY(ROW(INDIRECT(DATE(YEAR(B2798),MONTH(B2798),1)&amp;":"&amp;DATE(YEAR(B2798),MONTH(B2798)+1,0))),2)=6,0.5,0)),0))</f>
        <v>23.5</v>
      </c>
      <c r="K2798" s="22" cm="1">
        <f t="array" ref="K2798">_xlfn.XLOOKUP(1,((Metas_Diarias[[#This Row],[tipo_equipe_id]]=Metas[equipe])*(Metas_Diarias[[#This Row],[data]]&gt;Metas[data_inicio])*(Metas_Diarias[[#This Row],[data]]&lt;Metas[data_fim])),Metas[meta_mensal],0)</f>
        <v>0</v>
      </c>
      <c r="L27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799" spans="2:12" x14ac:dyDescent="0.3">
      <c r="B2799" s="34">
        <v>46260</v>
      </c>
      <c r="C2799" s="34" t="str">
        <f>TEXT(Metas_Diarias[[#This Row],[data]],"dddd")</f>
        <v>quarta-feira</v>
      </c>
      <c r="D2799" s="33">
        <v>3</v>
      </c>
      <c r="E2799" s="33">
        <v>4</v>
      </c>
      <c r="F2799" s="18"/>
      <c r="G2799" s="35">
        <f>WEEKDAY(Metas_Diarias[[#This Row],[data]])</f>
        <v>4</v>
      </c>
      <c r="H2799" s="35">
        <f>IF(Metas_Diarias[[#This Row],[dias_da_demana]]=1,"domingo",IF(Metas_Diarias[[#This Row],[dias_da_demana]]=7,0.5,1))</f>
        <v>1</v>
      </c>
      <c r="I2799" s="35">
        <f>_xlfn.XLOOKUP(Metas_Diarias[[#This Row],[data]],Feriados[Data],Feriados[Feriado],1)</f>
        <v>1</v>
      </c>
      <c r="J2799" s="33" cm="1">
        <f t="array" aca="1" ref="J2799" ca="1">SUMPRODUCT(IF((NOT(ISERROR(MATCH(ROW(INDIRECT(DATE(YEAR(B2799),MONTH(B2799),1)&amp;":"&amp;DATE(YEAR(B2799),MONTH(B2799)+1,0))),Feriados[Data],0))))=FALSE,
IF(WEEKDAY(ROW(INDIRECT(DATE(YEAR(B2799),MONTH(B2799),1)&amp;":"&amp;DATE(YEAR(B2799),MONTH(B2799)+1,0))),2)&lt;=5,1,IF(WEEKDAY(ROW(INDIRECT(DATE(YEAR(B2799),MONTH(B2799),1)&amp;":"&amp;DATE(YEAR(B2799),MONTH(B2799)+1,0))),2)=6,0.5,0)),0))</f>
        <v>23.5</v>
      </c>
      <c r="K2799" s="22" cm="1">
        <f t="array" ref="K2799">_xlfn.XLOOKUP(1,((Metas_Diarias[[#This Row],[tipo_equipe_id]]=Metas[equipe])*(Metas_Diarias[[#This Row],[data]]&gt;Metas[data_inicio])*(Metas_Diarias[[#This Row],[data]]&lt;Metas[data_fim])),Metas[meta_mensal],0)</f>
        <v>0</v>
      </c>
      <c r="L279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0" spans="2:12" x14ac:dyDescent="0.3">
      <c r="B2800" s="34">
        <v>46261</v>
      </c>
      <c r="C2800" s="34" t="str">
        <f>TEXT(Metas_Diarias[[#This Row],[data]],"dddd")</f>
        <v>quinta-feira</v>
      </c>
      <c r="D2800" s="33">
        <v>3</v>
      </c>
      <c r="E2800" s="33">
        <v>4</v>
      </c>
      <c r="F2800" s="18"/>
      <c r="G2800" s="35">
        <f>WEEKDAY(Metas_Diarias[[#This Row],[data]])</f>
        <v>5</v>
      </c>
      <c r="H2800" s="35">
        <f>IF(Metas_Diarias[[#This Row],[dias_da_demana]]=1,"domingo",IF(Metas_Diarias[[#This Row],[dias_da_demana]]=7,0.5,1))</f>
        <v>1</v>
      </c>
      <c r="I2800" s="35">
        <f>_xlfn.XLOOKUP(Metas_Diarias[[#This Row],[data]],Feriados[Data],Feriados[Feriado],1)</f>
        <v>1</v>
      </c>
      <c r="J2800" s="33" cm="1">
        <f t="array" aca="1" ref="J2800" ca="1">SUMPRODUCT(IF((NOT(ISERROR(MATCH(ROW(INDIRECT(DATE(YEAR(B2800),MONTH(B2800),1)&amp;":"&amp;DATE(YEAR(B2800),MONTH(B2800)+1,0))),Feriados[Data],0))))=FALSE,
IF(WEEKDAY(ROW(INDIRECT(DATE(YEAR(B2800),MONTH(B2800),1)&amp;":"&amp;DATE(YEAR(B2800),MONTH(B2800)+1,0))),2)&lt;=5,1,IF(WEEKDAY(ROW(INDIRECT(DATE(YEAR(B2800),MONTH(B2800),1)&amp;":"&amp;DATE(YEAR(B2800),MONTH(B2800)+1,0))),2)=6,0.5,0)),0))</f>
        <v>23.5</v>
      </c>
      <c r="K2800" s="22" cm="1">
        <f t="array" ref="K2800">_xlfn.XLOOKUP(1,((Metas_Diarias[[#This Row],[tipo_equipe_id]]=Metas[equipe])*(Metas_Diarias[[#This Row],[data]]&gt;Metas[data_inicio])*(Metas_Diarias[[#This Row],[data]]&lt;Metas[data_fim])),Metas[meta_mensal],0)</f>
        <v>0</v>
      </c>
      <c r="L280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1" spans="2:12" x14ac:dyDescent="0.3">
      <c r="B2801" s="34">
        <v>46262</v>
      </c>
      <c r="C2801" s="34" t="str">
        <f>TEXT(Metas_Diarias[[#This Row],[data]],"dddd")</f>
        <v>sexta-feira</v>
      </c>
      <c r="D2801" s="33">
        <v>3</v>
      </c>
      <c r="E2801" s="33">
        <v>4</v>
      </c>
      <c r="F2801" s="18"/>
      <c r="G2801" s="35">
        <f>WEEKDAY(Metas_Diarias[[#This Row],[data]])</f>
        <v>6</v>
      </c>
      <c r="H2801" s="35">
        <f>IF(Metas_Diarias[[#This Row],[dias_da_demana]]=1,"domingo",IF(Metas_Diarias[[#This Row],[dias_da_demana]]=7,0.5,1))</f>
        <v>1</v>
      </c>
      <c r="I2801" s="35">
        <f>_xlfn.XLOOKUP(Metas_Diarias[[#This Row],[data]],Feriados[Data],Feriados[Feriado],1)</f>
        <v>1</v>
      </c>
      <c r="J2801" s="33" cm="1">
        <f t="array" aca="1" ref="J2801" ca="1">SUMPRODUCT(IF((NOT(ISERROR(MATCH(ROW(INDIRECT(DATE(YEAR(B2801),MONTH(B2801),1)&amp;":"&amp;DATE(YEAR(B2801),MONTH(B2801)+1,0))),Feriados[Data],0))))=FALSE,
IF(WEEKDAY(ROW(INDIRECT(DATE(YEAR(B2801),MONTH(B2801),1)&amp;":"&amp;DATE(YEAR(B2801),MONTH(B2801)+1,0))),2)&lt;=5,1,IF(WEEKDAY(ROW(INDIRECT(DATE(YEAR(B2801),MONTH(B2801),1)&amp;":"&amp;DATE(YEAR(B2801),MONTH(B2801)+1,0))),2)=6,0.5,0)),0))</f>
        <v>23.5</v>
      </c>
      <c r="K2801" s="22" cm="1">
        <f t="array" ref="K2801">_xlfn.XLOOKUP(1,((Metas_Diarias[[#This Row],[tipo_equipe_id]]=Metas[equipe])*(Metas_Diarias[[#This Row],[data]]&gt;Metas[data_inicio])*(Metas_Diarias[[#This Row],[data]]&lt;Metas[data_fim])),Metas[meta_mensal],0)</f>
        <v>0</v>
      </c>
      <c r="L28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2" spans="2:12" x14ac:dyDescent="0.3">
      <c r="B2802" s="34">
        <v>46263</v>
      </c>
      <c r="C2802" s="34" t="str">
        <f>TEXT(Metas_Diarias[[#This Row],[data]],"dddd")</f>
        <v>sábado</v>
      </c>
      <c r="D2802" s="33">
        <v>3</v>
      </c>
      <c r="E2802" s="33">
        <v>4</v>
      </c>
      <c r="F2802" s="18"/>
      <c r="G2802" s="35">
        <f>WEEKDAY(Metas_Diarias[[#This Row],[data]])</f>
        <v>7</v>
      </c>
      <c r="H2802" s="35">
        <f>IF(Metas_Diarias[[#This Row],[dias_da_demana]]=1,"domingo",IF(Metas_Diarias[[#This Row],[dias_da_demana]]=7,0.5,1))</f>
        <v>0.5</v>
      </c>
      <c r="I2802" s="35">
        <f>_xlfn.XLOOKUP(Metas_Diarias[[#This Row],[data]],Feriados[Data],Feriados[Feriado],1)</f>
        <v>1</v>
      </c>
      <c r="J2802" s="33" cm="1">
        <f t="array" aca="1" ref="J2802" ca="1">SUMPRODUCT(IF((NOT(ISERROR(MATCH(ROW(INDIRECT(DATE(YEAR(B2802),MONTH(B2802),1)&amp;":"&amp;DATE(YEAR(B2802),MONTH(B2802)+1,0))),Feriados[Data],0))))=FALSE,
IF(WEEKDAY(ROW(INDIRECT(DATE(YEAR(B2802),MONTH(B2802),1)&amp;":"&amp;DATE(YEAR(B2802),MONTH(B2802)+1,0))),2)&lt;=5,1,IF(WEEKDAY(ROW(INDIRECT(DATE(YEAR(B2802),MONTH(B2802),1)&amp;":"&amp;DATE(YEAR(B2802),MONTH(B2802)+1,0))),2)=6,0.5,0)),0))</f>
        <v>23.5</v>
      </c>
      <c r="K2802" s="22" cm="1">
        <f t="array" ref="K2802">_xlfn.XLOOKUP(1,((Metas_Diarias[[#This Row],[tipo_equipe_id]]=Metas[equipe])*(Metas_Diarias[[#This Row],[data]]&gt;Metas[data_inicio])*(Metas_Diarias[[#This Row],[data]]&lt;Metas[data_fim])),Metas[meta_mensal],0)</f>
        <v>0</v>
      </c>
      <c r="L280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3" spans="2:12" x14ac:dyDescent="0.3">
      <c r="B2803" s="34">
        <v>46264</v>
      </c>
      <c r="C2803" s="34" t="str">
        <f>TEXT(Metas_Diarias[[#This Row],[data]],"dddd")</f>
        <v>domingo</v>
      </c>
      <c r="D2803" s="33">
        <v>3</v>
      </c>
      <c r="E2803" s="33">
        <v>4</v>
      </c>
      <c r="F2803" s="18"/>
      <c r="G2803" s="35">
        <f>WEEKDAY(Metas_Diarias[[#This Row],[data]])</f>
        <v>1</v>
      </c>
      <c r="H2803" s="35" t="str">
        <f>IF(Metas_Diarias[[#This Row],[dias_da_demana]]=1,"domingo",IF(Metas_Diarias[[#This Row],[dias_da_demana]]=7,0.5,1))</f>
        <v>domingo</v>
      </c>
      <c r="I2803" s="35">
        <f>_xlfn.XLOOKUP(Metas_Diarias[[#This Row],[data]],Feriados[Data],Feriados[Feriado],1)</f>
        <v>1</v>
      </c>
      <c r="J2803" s="33" cm="1">
        <f t="array" aca="1" ref="J2803" ca="1">SUMPRODUCT(IF((NOT(ISERROR(MATCH(ROW(INDIRECT(DATE(YEAR(B2803),MONTH(B2803),1)&amp;":"&amp;DATE(YEAR(B2803),MONTH(B2803)+1,0))),Feriados[Data],0))))=FALSE,
IF(WEEKDAY(ROW(INDIRECT(DATE(YEAR(B2803),MONTH(B2803),1)&amp;":"&amp;DATE(YEAR(B2803),MONTH(B2803)+1,0))),2)&lt;=5,1,IF(WEEKDAY(ROW(INDIRECT(DATE(YEAR(B2803),MONTH(B2803),1)&amp;":"&amp;DATE(YEAR(B2803),MONTH(B2803)+1,0))),2)=6,0.5,0)),0))</f>
        <v>23.5</v>
      </c>
      <c r="K2803" s="22" cm="1">
        <f t="array" ref="K2803">_xlfn.XLOOKUP(1,((Metas_Diarias[[#This Row],[tipo_equipe_id]]=Metas[equipe])*(Metas_Diarias[[#This Row],[data]]&gt;Metas[data_inicio])*(Metas_Diarias[[#This Row],[data]]&lt;Metas[data_fim])),Metas[meta_mensal],0)</f>
        <v>0</v>
      </c>
      <c r="L28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4" spans="2:12" x14ac:dyDescent="0.3">
      <c r="B2804" s="34">
        <v>46265</v>
      </c>
      <c r="C2804" s="34" t="str">
        <f>TEXT(Metas_Diarias[[#This Row],[data]],"dddd")</f>
        <v>segunda-feira</v>
      </c>
      <c r="D2804" s="33">
        <v>3</v>
      </c>
      <c r="E2804" s="33">
        <v>4</v>
      </c>
      <c r="F2804" s="18"/>
      <c r="G2804" s="35">
        <f>WEEKDAY(Metas_Diarias[[#This Row],[data]])</f>
        <v>2</v>
      </c>
      <c r="H2804" s="35">
        <f>IF(Metas_Diarias[[#This Row],[dias_da_demana]]=1,"domingo",IF(Metas_Diarias[[#This Row],[dias_da_demana]]=7,0.5,1))</f>
        <v>1</v>
      </c>
      <c r="I2804" s="35">
        <f>_xlfn.XLOOKUP(Metas_Diarias[[#This Row],[data]],Feriados[Data],Feriados[Feriado],1)</f>
        <v>1</v>
      </c>
      <c r="J2804" s="33" cm="1">
        <f t="array" aca="1" ref="J2804" ca="1">SUMPRODUCT(IF((NOT(ISERROR(MATCH(ROW(INDIRECT(DATE(YEAR(B2804),MONTH(B2804),1)&amp;":"&amp;DATE(YEAR(B2804),MONTH(B2804)+1,0))),Feriados[Data],0))))=FALSE,
IF(WEEKDAY(ROW(INDIRECT(DATE(YEAR(B2804),MONTH(B2804),1)&amp;":"&amp;DATE(YEAR(B2804),MONTH(B2804)+1,0))),2)&lt;=5,1,IF(WEEKDAY(ROW(INDIRECT(DATE(YEAR(B2804),MONTH(B2804),1)&amp;":"&amp;DATE(YEAR(B2804),MONTH(B2804)+1,0))),2)=6,0.5,0)),0))</f>
        <v>23.5</v>
      </c>
      <c r="K2804" s="22" cm="1">
        <f t="array" ref="K2804">_xlfn.XLOOKUP(1,((Metas_Diarias[[#This Row],[tipo_equipe_id]]=Metas[equipe])*(Metas_Diarias[[#This Row],[data]]&gt;Metas[data_inicio])*(Metas_Diarias[[#This Row],[data]]&lt;Metas[data_fim])),Metas[meta_mensal],0)</f>
        <v>0</v>
      </c>
      <c r="L280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5" spans="2:12" x14ac:dyDescent="0.3">
      <c r="B2805" s="34">
        <v>46266</v>
      </c>
      <c r="C2805" s="34" t="str">
        <f>TEXT(Metas_Diarias[[#This Row],[data]],"dddd")</f>
        <v>terça-feira</v>
      </c>
      <c r="D2805" s="33">
        <v>3</v>
      </c>
      <c r="E2805" s="33">
        <v>4</v>
      </c>
      <c r="F2805" s="18"/>
      <c r="G2805" s="35">
        <f>WEEKDAY(Metas_Diarias[[#This Row],[data]])</f>
        <v>3</v>
      </c>
      <c r="H2805" s="35">
        <f>IF(Metas_Diarias[[#This Row],[dias_da_demana]]=1,"domingo",IF(Metas_Diarias[[#This Row],[dias_da_demana]]=7,0.5,1))</f>
        <v>1</v>
      </c>
      <c r="I2805" s="35">
        <f>_xlfn.XLOOKUP(Metas_Diarias[[#This Row],[data]],Feriados[Data],Feriados[Feriado],1)</f>
        <v>1</v>
      </c>
      <c r="J2805" s="33" cm="1">
        <f t="array" aca="1" ref="J2805" ca="1">SUMPRODUCT(IF((NOT(ISERROR(MATCH(ROW(INDIRECT(DATE(YEAR(B2805),MONTH(B2805),1)&amp;":"&amp;DATE(YEAR(B2805),MONTH(B2805)+1,0))),Feriados[Data],0))))=FALSE,
IF(WEEKDAY(ROW(INDIRECT(DATE(YEAR(B2805),MONTH(B2805),1)&amp;":"&amp;DATE(YEAR(B2805),MONTH(B2805)+1,0))),2)&lt;=5,1,IF(WEEKDAY(ROW(INDIRECT(DATE(YEAR(B2805),MONTH(B2805),1)&amp;":"&amp;DATE(YEAR(B2805),MONTH(B2805)+1,0))),2)=6,0.5,0)),0))</f>
        <v>23</v>
      </c>
      <c r="K2805" s="22" cm="1">
        <f t="array" ref="K2805">_xlfn.XLOOKUP(1,((Metas_Diarias[[#This Row],[tipo_equipe_id]]=Metas[equipe])*(Metas_Diarias[[#This Row],[data]]&gt;Metas[data_inicio])*(Metas_Diarias[[#This Row],[data]]&lt;Metas[data_fim])),Metas[meta_mensal],0)</f>
        <v>0</v>
      </c>
      <c r="L28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6" spans="2:12" x14ac:dyDescent="0.3">
      <c r="B2806" s="34">
        <v>46267</v>
      </c>
      <c r="C2806" s="34" t="str">
        <f>TEXT(Metas_Diarias[[#This Row],[data]],"dddd")</f>
        <v>quarta-feira</v>
      </c>
      <c r="D2806" s="33">
        <v>3</v>
      </c>
      <c r="E2806" s="33">
        <v>4</v>
      </c>
      <c r="F2806" s="18"/>
      <c r="G2806" s="35">
        <f>WEEKDAY(Metas_Diarias[[#This Row],[data]])</f>
        <v>4</v>
      </c>
      <c r="H2806" s="35">
        <f>IF(Metas_Diarias[[#This Row],[dias_da_demana]]=1,"domingo",IF(Metas_Diarias[[#This Row],[dias_da_demana]]=7,0.5,1))</f>
        <v>1</v>
      </c>
      <c r="I2806" s="35">
        <f>_xlfn.XLOOKUP(Metas_Diarias[[#This Row],[data]],Feriados[Data],Feriados[Feriado],1)</f>
        <v>1</v>
      </c>
      <c r="J2806" s="33" cm="1">
        <f t="array" aca="1" ref="J2806" ca="1">SUMPRODUCT(IF((NOT(ISERROR(MATCH(ROW(INDIRECT(DATE(YEAR(B2806),MONTH(B2806),1)&amp;":"&amp;DATE(YEAR(B2806),MONTH(B2806)+1,0))),Feriados[Data],0))))=FALSE,
IF(WEEKDAY(ROW(INDIRECT(DATE(YEAR(B2806),MONTH(B2806),1)&amp;":"&amp;DATE(YEAR(B2806),MONTH(B2806)+1,0))),2)&lt;=5,1,IF(WEEKDAY(ROW(INDIRECT(DATE(YEAR(B2806),MONTH(B2806),1)&amp;":"&amp;DATE(YEAR(B2806),MONTH(B2806)+1,0))),2)=6,0.5,0)),0))</f>
        <v>23</v>
      </c>
      <c r="K2806" s="22" cm="1">
        <f t="array" ref="K2806">_xlfn.XLOOKUP(1,((Metas_Diarias[[#This Row],[tipo_equipe_id]]=Metas[equipe])*(Metas_Diarias[[#This Row],[data]]&gt;Metas[data_inicio])*(Metas_Diarias[[#This Row],[data]]&lt;Metas[data_fim])),Metas[meta_mensal],0)</f>
        <v>0</v>
      </c>
      <c r="L280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7" spans="2:12" x14ac:dyDescent="0.3">
      <c r="B2807" s="34">
        <v>46268</v>
      </c>
      <c r="C2807" s="34" t="str">
        <f>TEXT(Metas_Diarias[[#This Row],[data]],"dddd")</f>
        <v>quinta-feira</v>
      </c>
      <c r="D2807" s="33">
        <v>3</v>
      </c>
      <c r="E2807" s="33">
        <v>4</v>
      </c>
      <c r="F2807" s="18"/>
      <c r="G2807" s="35">
        <f>WEEKDAY(Metas_Diarias[[#This Row],[data]])</f>
        <v>5</v>
      </c>
      <c r="H2807" s="35">
        <f>IF(Metas_Diarias[[#This Row],[dias_da_demana]]=1,"domingo",IF(Metas_Diarias[[#This Row],[dias_da_demana]]=7,0.5,1))</f>
        <v>1</v>
      </c>
      <c r="I2807" s="35">
        <f>_xlfn.XLOOKUP(Metas_Diarias[[#This Row],[data]],Feriados[Data],Feriados[Feriado],1)</f>
        <v>1</v>
      </c>
      <c r="J2807" s="33" cm="1">
        <f t="array" aca="1" ref="J2807" ca="1">SUMPRODUCT(IF((NOT(ISERROR(MATCH(ROW(INDIRECT(DATE(YEAR(B2807),MONTH(B2807),1)&amp;":"&amp;DATE(YEAR(B2807),MONTH(B2807)+1,0))),Feriados[Data],0))))=FALSE,
IF(WEEKDAY(ROW(INDIRECT(DATE(YEAR(B2807),MONTH(B2807),1)&amp;":"&amp;DATE(YEAR(B2807),MONTH(B2807)+1,0))),2)&lt;=5,1,IF(WEEKDAY(ROW(INDIRECT(DATE(YEAR(B2807),MONTH(B2807),1)&amp;":"&amp;DATE(YEAR(B2807),MONTH(B2807)+1,0))),2)=6,0.5,0)),0))</f>
        <v>23</v>
      </c>
      <c r="K2807" s="22" cm="1">
        <f t="array" ref="K2807">_xlfn.XLOOKUP(1,((Metas_Diarias[[#This Row],[tipo_equipe_id]]=Metas[equipe])*(Metas_Diarias[[#This Row],[data]]&gt;Metas[data_inicio])*(Metas_Diarias[[#This Row],[data]]&lt;Metas[data_fim])),Metas[meta_mensal],0)</f>
        <v>0</v>
      </c>
      <c r="L28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8" spans="2:12" x14ac:dyDescent="0.3">
      <c r="B2808" s="34">
        <v>46269</v>
      </c>
      <c r="C2808" s="34" t="str">
        <f>TEXT(Metas_Diarias[[#This Row],[data]],"dddd")</f>
        <v>sexta-feira</v>
      </c>
      <c r="D2808" s="33">
        <v>3</v>
      </c>
      <c r="E2808" s="33">
        <v>4</v>
      </c>
      <c r="F2808" s="18"/>
      <c r="G2808" s="35">
        <f>WEEKDAY(Metas_Diarias[[#This Row],[data]])</f>
        <v>6</v>
      </c>
      <c r="H2808" s="35">
        <f>IF(Metas_Diarias[[#This Row],[dias_da_demana]]=1,"domingo",IF(Metas_Diarias[[#This Row],[dias_da_demana]]=7,0.5,1))</f>
        <v>1</v>
      </c>
      <c r="I2808" s="35">
        <f>_xlfn.XLOOKUP(Metas_Diarias[[#This Row],[data]],Feriados[Data],Feriados[Feriado],1)</f>
        <v>1</v>
      </c>
      <c r="J2808" s="33" cm="1">
        <f t="array" aca="1" ref="J2808" ca="1">SUMPRODUCT(IF((NOT(ISERROR(MATCH(ROW(INDIRECT(DATE(YEAR(B2808),MONTH(B2808),1)&amp;":"&amp;DATE(YEAR(B2808),MONTH(B2808)+1,0))),Feriados[Data],0))))=FALSE,
IF(WEEKDAY(ROW(INDIRECT(DATE(YEAR(B2808),MONTH(B2808),1)&amp;":"&amp;DATE(YEAR(B2808),MONTH(B2808)+1,0))),2)&lt;=5,1,IF(WEEKDAY(ROW(INDIRECT(DATE(YEAR(B2808),MONTH(B2808),1)&amp;":"&amp;DATE(YEAR(B2808),MONTH(B2808)+1,0))),2)=6,0.5,0)),0))</f>
        <v>23</v>
      </c>
      <c r="K2808" s="22" cm="1">
        <f t="array" ref="K2808">_xlfn.XLOOKUP(1,((Metas_Diarias[[#This Row],[tipo_equipe_id]]=Metas[equipe])*(Metas_Diarias[[#This Row],[data]]&gt;Metas[data_inicio])*(Metas_Diarias[[#This Row],[data]]&lt;Metas[data_fim])),Metas[meta_mensal],0)</f>
        <v>0</v>
      </c>
      <c r="L28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09" spans="2:12" x14ac:dyDescent="0.3">
      <c r="B2809" s="34">
        <v>46270</v>
      </c>
      <c r="C2809" s="34" t="str">
        <f>TEXT(Metas_Diarias[[#This Row],[data]],"dddd")</f>
        <v>sábado</v>
      </c>
      <c r="D2809" s="33">
        <v>3</v>
      </c>
      <c r="E2809" s="33">
        <v>4</v>
      </c>
      <c r="F2809" s="18"/>
      <c r="G2809" s="35">
        <f>WEEKDAY(Metas_Diarias[[#This Row],[data]])</f>
        <v>7</v>
      </c>
      <c r="H2809" s="35">
        <f>IF(Metas_Diarias[[#This Row],[dias_da_demana]]=1,"domingo",IF(Metas_Diarias[[#This Row],[dias_da_demana]]=7,0.5,1))</f>
        <v>0.5</v>
      </c>
      <c r="I2809" s="35">
        <f>_xlfn.XLOOKUP(Metas_Diarias[[#This Row],[data]],Feriados[Data],Feriados[Feriado],1)</f>
        <v>1</v>
      </c>
      <c r="J2809" s="33" cm="1">
        <f t="array" aca="1" ref="J2809" ca="1">SUMPRODUCT(IF((NOT(ISERROR(MATCH(ROW(INDIRECT(DATE(YEAR(B2809),MONTH(B2809),1)&amp;":"&amp;DATE(YEAR(B2809),MONTH(B2809)+1,0))),Feriados[Data],0))))=FALSE,
IF(WEEKDAY(ROW(INDIRECT(DATE(YEAR(B2809),MONTH(B2809),1)&amp;":"&amp;DATE(YEAR(B2809),MONTH(B2809)+1,0))),2)&lt;=5,1,IF(WEEKDAY(ROW(INDIRECT(DATE(YEAR(B2809),MONTH(B2809),1)&amp;":"&amp;DATE(YEAR(B2809),MONTH(B2809)+1,0))),2)=6,0.5,0)),0))</f>
        <v>23</v>
      </c>
      <c r="K2809" s="22" cm="1">
        <f t="array" ref="K2809">_xlfn.XLOOKUP(1,((Metas_Diarias[[#This Row],[tipo_equipe_id]]=Metas[equipe])*(Metas_Diarias[[#This Row],[data]]&gt;Metas[data_inicio])*(Metas_Diarias[[#This Row],[data]]&lt;Metas[data_fim])),Metas[meta_mensal],0)</f>
        <v>0</v>
      </c>
      <c r="L280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0" spans="2:12" x14ac:dyDescent="0.3">
      <c r="B2810" s="34">
        <v>46271</v>
      </c>
      <c r="C2810" s="34" t="str">
        <f>TEXT(Metas_Diarias[[#This Row],[data]],"dddd")</f>
        <v>domingo</v>
      </c>
      <c r="D2810" s="33">
        <v>3</v>
      </c>
      <c r="E2810" s="33">
        <v>4</v>
      </c>
      <c r="F2810" s="18"/>
      <c r="G2810" s="35">
        <f>WEEKDAY(Metas_Diarias[[#This Row],[data]])</f>
        <v>1</v>
      </c>
      <c r="H2810" s="35" t="str">
        <f>IF(Metas_Diarias[[#This Row],[dias_da_demana]]=1,"domingo",IF(Metas_Diarias[[#This Row],[dias_da_demana]]=7,0.5,1))</f>
        <v>domingo</v>
      </c>
      <c r="I2810" s="35">
        <f>_xlfn.XLOOKUP(Metas_Diarias[[#This Row],[data]],Feriados[Data],Feriados[Feriado],1)</f>
        <v>1</v>
      </c>
      <c r="J2810" s="33" cm="1">
        <f t="array" aca="1" ref="J2810" ca="1">SUMPRODUCT(IF((NOT(ISERROR(MATCH(ROW(INDIRECT(DATE(YEAR(B2810),MONTH(B2810),1)&amp;":"&amp;DATE(YEAR(B2810),MONTH(B2810)+1,0))),Feriados[Data],0))))=FALSE,
IF(WEEKDAY(ROW(INDIRECT(DATE(YEAR(B2810),MONTH(B2810),1)&amp;":"&amp;DATE(YEAR(B2810),MONTH(B2810)+1,0))),2)&lt;=5,1,IF(WEEKDAY(ROW(INDIRECT(DATE(YEAR(B2810),MONTH(B2810),1)&amp;":"&amp;DATE(YEAR(B2810),MONTH(B2810)+1,0))),2)=6,0.5,0)),0))</f>
        <v>23</v>
      </c>
      <c r="K2810" s="22" cm="1">
        <f t="array" ref="K2810">_xlfn.XLOOKUP(1,((Metas_Diarias[[#This Row],[tipo_equipe_id]]=Metas[equipe])*(Metas_Diarias[[#This Row],[data]]&gt;Metas[data_inicio])*(Metas_Diarias[[#This Row],[data]]&lt;Metas[data_fim])),Metas[meta_mensal],0)</f>
        <v>0</v>
      </c>
      <c r="L28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1" spans="2:12" x14ac:dyDescent="0.3">
      <c r="B2811" s="34">
        <v>46272</v>
      </c>
      <c r="C2811" s="34" t="str">
        <f>TEXT(Metas_Diarias[[#This Row],[data]],"dddd")</f>
        <v>segunda-feira</v>
      </c>
      <c r="D2811" s="33">
        <v>3</v>
      </c>
      <c r="E2811" s="33">
        <v>4</v>
      </c>
      <c r="F2811" s="18"/>
      <c r="G2811" s="35">
        <f>WEEKDAY(Metas_Diarias[[#This Row],[data]])</f>
        <v>2</v>
      </c>
      <c r="H2811" s="35">
        <f>IF(Metas_Diarias[[#This Row],[dias_da_demana]]=1,"domingo",IF(Metas_Diarias[[#This Row],[dias_da_demana]]=7,0.5,1))</f>
        <v>1</v>
      </c>
      <c r="I2811" s="35" t="str">
        <f>_xlfn.XLOOKUP(Metas_Diarias[[#This Row],[data]],Feriados[Data],Feriados[Feriado],1)</f>
        <v>Independência do Brasil</v>
      </c>
      <c r="J2811" s="33" cm="1">
        <f t="array" aca="1" ref="J2811" ca="1">SUMPRODUCT(IF((NOT(ISERROR(MATCH(ROW(INDIRECT(DATE(YEAR(B2811),MONTH(B2811),1)&amp;":"&amp;DATE(YEAR(B2811),MONTH(B2811)+1,0))),Feriados[Data],0))))=FALSE,
IF(WEEKDAY(ROW(INDIRECT(DATE(YEAR(B2811),MONTH(B2811),1)&amp;":"&amp;DATE(YEAR(B2811),MONTH(B2811)+1,0))),2)&lt;=5,1,IF(WEEKDAY(ROW(INDIRECT(DATE(YEAR(B2811),MONTH(B2811),1)&amp;":"&amp;DATE(YEAR(B2811),MONTH(B2811)+1,0))),2)=6,0.5,0)),0))</f>
        <v>23</v>
      </c>
      <c r="K2811" s="22" cm="1">
        <f t="array" ref="K2811">_xlfn.XLOOKUP(1,((Metas_Diarias[[#This Row],[tipo_equipe_id]]=Metas[equipe])*(Metas_Diarias[[#This Row],[data]]&gt;Metas[data_inicio])*(Metas_Diarias[[#This Row],[data]]&lt;Metas[data_fim])),Metas[meta_mensal],0)</f>
        <v>0</v>
      </c>
      <c r="L281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2" spans="2:12" x14ac:dyDescent="0.3">
      <c r="B2812" s="34">
        <v>46273</v>
      </c>
      <c r="C2812" s="34" t="str">
        <f>TEXT(Metas_Diarias[[#This Row],[data]],"dddd")</f>
        <v>terça-feira</v>
      </c>
      <c r="D2812" s="33">
        <v>3</v>
      </c>
      <c r="E2812" s="33">
        <v>4</v>
      </c>
      <c r="F2812" s="18"/>
      <c r="G2812" s="35">
        <f>WEEKDAY(Metas_Diarias[[#This Row],[data]])</f>
        <v>3</v>
      </c>
      <c r="H2812" s="35">
        <f>IF(Metas_Diarias[[#This Row],[dias_da_demana]]=1,"domingo",IF(Metas_Diarias[[#This Row],[dias_da_demana]]=7,0.5,1))</f>
        <v>1</v>
      </c>
      <c r="I2812" s="35">
        <f>_xlfn.XLOOKUP(Metas_Diarias[[#This Row],[data]],Feriados[Data],Feriados[Feriado],1)</f>
        <v>1</v>
      </c>
      <c r="J2812" s="33" cm="1">
        <f t="array" aca="1" ref="J2812" ca="1">SUMPRODUCT(IF((NOT(ISERROR(MATCH(ROW(INDIRECT(DATE(YEAR(B2812),MONTH(B2812),1)&amp;":"&amp;DATE(YEAR(B2812),MONTH(B2812)+1,0))),Feriados[Data],0))))=FALSE,
IF(WEEKDAY(ROW(INDIRECT(DATE(YEAR(B2812),MONTH(B2812),1)&amp;":"&amp;DATE(YEAR(B2812),MONTH(B2812)+1,0))),2)&lt;=5,1,IF(WEEKDAY(ROW(INDIRECT(DATE(YEAR(B2812),MONTH(B2812),1)&amp;":"&amp;DATE(YEAR(B2812),MONTH(B2812)+1,0))),2)=6,0.5,0)),0))</f>
        <v>23</v>
      </c>
      <c r="K2812" s="22" cm="1">
        <f t="array" ref="K2812">_xlfn.XLOOKUP(1,((Metas_Diarias[[#This Row],[tipo_equipe_id]]=Metas[equipe])*(Metas_Diarias[[#This Row],[data]]&gt;Metas[data_inicio])*(Metas_Diarias[[#This Row],[data]]&lt;Metas[data_fim])),Metas[meta_mensal],0)</f>
        <v>0</v>
      </c>
      <c r="L28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3" spans="2:12" x14ac:dyDescent="0.3">
      <c r="B2813" s="34">
        <v>46274</v>
      </c>
      <c r="C2813" s="34" t="str">
        <f>TEXT(Metas_Diarias[[#This Row],[data]],"dddd")</f>
        <v>quarta-feira</v>
      </c>
      <c r="D2813" s="33">
        <v>3</v>
      </c>
      <c r="E2813" s="33">
        <v>4</v>
      </c>
      <c r="F2813" s="18"/>
      <c r="G2813" s="35">
        <f>WEEKDAY(Metas_Diarias[[#This Row],[data]])</f>
        <v>4</v>
      </c>
      <c r="H2813" s="35">
        <f>IF(Metas_Diarias[[#This Row],[dias_da_demana]]=1,"domingo",IF(Metas_Diarias[[#This Row],[dias_da_demana]]=7,0.5,1))</f>
        <v>1</v>
      </c>
      <c r="I2813" s="35">
        <f>_xlfn.XLOOKUP(Metas_Diarias[[#This Row],[data]],Feriados[Data],Feriados[Feriado],1)</f>
        <v>1</v>
      </c>
      <c r="J2813" s="33" cm="1">
        <f t="array" aca="1" ref="J2813" ca="1">SUMPRODUCT(IF((NOT(ISERROR(MATCH(ROW(INDIRECT(DATE(YEAR(B2813),MONTH(B2813),1)&amp;":"&amp;DATE(YEAR(B2813),MONTH(B2813)+1,0))),Feriados[Data],0))))=FALSE,
IF(WEEKDAY(ROW(INDIRECT(DATE(YEAR(B2813),MONTH(B2813),1)&amp;":"&amp;DATE(YEAR(B2813),MONTH(B2813)+1,0))),2)&lt;=5,1,IF(WEEKDAY(ROW(INDIRECT(DATE(YEAR(B2813),MONTH(B2813),1)&amp;":"&amp;DATE(YEAR(B2813),MONTH(B2813)+1,0))),2)=6,0.5,0)),0))</f>
        <v>23</v>
      </c>
      <c r="K2813" s="22" cm="1">
        <f t="array" ref="K2813">_xlfn.XLOOKUP(1,((Metas_Diarias[[#This Row],[tipo_equipe_id]]=Metas[equipe])*(Metas_Diarias[[#This Row],[data]]&gt;Metas[data_inicio])*(Metas_Diarias[[#This Row],[data]]&lt;Metas[data_fim])),Metas[meta_mensal],0)</f>
        <v>0</v>
      </c>
      <c r="L281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4" spans="2:12" x14ac:dyDescent="0.3">
      <c r="B2814" s="34">
        <v>46275</v>
      </c>
      <c r="C2814" s="34" t="str">
        <f>TEXT(Metas_Diarias[[#This Row],[data]],"dddd")</f>
        <v>quinta-feira</v>
      </c>
      <c r="D2814" s="33">
        <v>3</v>
      </c>
      <c r="E2814" s="33">
        <v>4</v>
      </c>
      <c r="F2814" s="18"/>
      <c r="G2814" s="35">
        <f>WEEKDAY(Metas_Diarias[[#This Row],[data]])</f>
        <v>5</v>
      </c>
      <c r="H2814" s="35">
        <f>IF(Metas_Diarias[[#This Row],[dias_da_demana]]=1,"domingo",IF(Metas_Diarias[[#This Row],[dias_da_demana]]=7,0.5,1))</f>
        <v>1</v>
      </c>
      <c r="I2814" s="35">
        <f>_xlfn.XLOOKUP(Metas_Diarias[[#This Row],[data]],Feriados[Data],Feriados[Feriado],1)</f>
        <v>1</v>
      </c>
      <c r="J2814" s="33" cm="1">
        <f t="array" aca="1" ref="J2814" ca="1">SUMPRODUCT(IF((NOT(ISERROR(MATCH(ROW(INDIRECT(DATE(YEAR(B2814),MONTH(B2814),1)&amp;":"&amp;DATE(YEAR(B2814),MONTH(B2814)+1,0))),Feriados[Data],0))))=FALSE,
IF(WEEKDAY(ROW(INDIRECT(DATE(YEAR(B2814),MONTH(B2814),1)&amp;":"&amp;DATE(YEAR(B2814),MONTH(B2814)+1,0))),2)&lt;=5,1,IF(WEEKDAY(ROW(INDIRECT(DATE(YEAR(B2814),MONTH(B2814),1)&amp;":"&amp;DATE(YEAR(B2814),MONTH(B2814)+1,0))),2)=6,0.5,0)),0))</f>
        <v>23</v>
      </c>
      <c r="K2814" s="22" cm="1">
        <f t="array" ref="K2814">_xlfn.XLOOKUP(1,((Metas_Diarias[[#This Row],[tipo_equipe_id]]=Metas[equipe])*(Metas_Diarias[[#This Row],[data]]&gt;Metas[data_inicio])*(Metas_Diarias[[#This Row],[data]]&lt;Metas[data_fim])),Metas[meta_mensal],0)</f>
        <v>0</v>
      </c>
      <c r="L28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5" spans="2:12" x14ac:dyDescent="0.3">
      <c r="B2815" s="34">
        <v>46276</v>
      </c>
      <c r="C2815" s="34" t="str">
        <f>TEXT(Metas_Diarias[[#This Row],[data]],"dddd")</f>
        <v>sexta-feira</v>
      </c>
      <c r="D2815" s="33">
        <v>3</v>
      </c>
      <c r="E2815" s="33">
        <v>4</v>
      </c>
      <c r="F2815" s="18"/>
      <c r="G2815" s="35">
        <f>WEEKDAY(Metas_Diarias[[#This Row],[data]])</f>
        <v>6</v>
      </c>
      <c r="H2815" s="35">
        <f>IF(Metas_Diarias[[#This Row],[dias_da_demana]]=1,"domingo",IF(Metas_Diarias[[#This Row],[dias_da_demana]]=7,0.5,1))</f>
        <v>1</v>
      </c>
      <c r="I2815" s="35">
        <f>_xlfn.XLOOKUP(Metas_Diarias[[#This Row],[data]],Feriados[Data],Feriados[Feriado],1)</f>
        <v>1</v>
      </c>
      <c r="J2815" s="33" cm="1">
        <f t="array" aca="1" ref="J2815" ca="1">SUMPRODUCT(IF((NOT(ISERROR(MATCH(ROW(INDIRECT(DATE(YEAR(B2815),MONTH(B2815),1)&amp;":"&amp;DATE(YEAR(B2815),MONTH(B2815)+1,0))),Feriados[Data],0))))=FALSE,
IF(WEEKDAY(ROW(INDIRECT(DATE(YEAR(B2815),MONTH(B2815),1)&amp;":"&amp;DATE(YEAR(B2815),MONTH(B2815)+1,0))),2)&lt;=5,1,IF(WEEKDAY(ROW(INDIRECT(DATE(YEAR(B2815),MONTH(B2815),1)&amp;":"&amp;DATE(YEAR(B2815),MONTH(B2815)+1,0))),2)=6,0.5,0)),0))</f>
        <v>23</v>
      </c>
      <c r="K2815" s="22" cm="1">
        <f t="array" ref="K2815">_xlfn.XLOOKUP(1,((Metas_Diarias[[#This Row],[tipo_equipe_id]]=Metas[equipe])*(Metas_Diarias[[#This Row],[data]]&gt;Metas[data_inicio])*(Metas_Diarias[[#This Row],[data]]&lt;Metas[data_fim])),Metas[meta_mensal],0)</f>
        <v>0</v>
      </c>
      <c r="L28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6" spans="2:12" x14ac:dyDescent="0.3">
      <c r="B2816" s="34">
        <v>46277</v>
      </c>
      <c r="C2816" s="34" t="str">
        <f>TEXT(Metas_Diarias[[#This Row],[data]],"dddd")</f>
        <v>sábado</v>
      </c>
      <c r="D2816" s="33">
        <v>3</v>
      </c>
      <c r="E2816" s="33">
        <v>4</v>
      </c>
      <c r="F2816" s="18"/>
      <c r="G2816" s="35">
        <f>WEEKDAY(Metas_Diarias[[#This Row],[data]])</f>
        <v>7</v>
      </c>
      <c r="H2816" s="35">
        <f>IF(Metas_Diarias[[#This Row],[dias_da_demana]]=1,"domingo",IF(Metas_Diarias[[#This Row],[dias_da_demana]]=7,0.5,1))</f>
        <v>0.5</v>
      </c>
      <c r="I2816" s="35">
        <f>_xlfn.XLOOKUP(Metas_Diarias[[#This Row],[data]],Feriados[Data],Feriados[Feriado],1)</f>
        <v>1</v>
      </c>
      <c r="J2816" s="33" cm="1">
        <f t="array" aca="1" ref="J2816" ca="1">SUMPRODUCT(IF((NOT(ISERROR(MATCH(ROW(INDIRECT(DATE(YEAR(B2816),MONTH(B2816),1)&amp;":"&amp;DATE(YEAR(B2816),MONTH(B2816)+1,0))),Feriados[Data],0))))=FALSE,
IF(WEEKDAY(ROW(INDIRECT(DATE(YEAR(B2816),MONTH(B2816),1)&amp;":"&amp;DATE(YEAR(B2816),MONTH(B2816)+1,0))),2)&lt;=5,1,IF(WEEKDAY(ROW(INDIRECT(DATE(YEAR(B2816),MONTH(B2816),1)&amp;":"&amp;DATE(YEAR(B2816),MONTH(B2816)+1,0))),2)=6,0.5,0)),0))</f>
        <v>23</v>
      </c>
      <c r="K2816" s="22" cm="1">
        <f t="array" ref="K2816">_xlfn.XLOOKUP(1,((Metas_Diarias[[#This Row],[tipo_equipe_id]]=Metas[equipe])*(Metas_Diarias[[#This Row],[data]]&gt;Metas[data_inicio])*(Metas_Diarias[[#This Row],[data]]&lt;Metas[data_fim])),Metas[meta_mensal],0)</f>
        <v>0</v>
      </c>
      <c r="L28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7" spans="2:12" x14ac:dyDescent="0.3">
      <c r="B2817" s="34">
        <v>46278</v>
      </c>
      <c r="C2817" s="34" t="str">
        <f>TEXT(Metas_Diarias[[#This Row],[data]],"dddd")</f>
        <v>domingo</v>
      </c>
      <c r="D2817" s="33">
        <v>3</v>
      </c>
      <c r="E2817" s="33">
        <v>4</v>
      </c>
      <c r="F2817" s="18"/>
      <c r="G2817" s="35">
        <f>WEEKDAY(Metas_Diarias[[#This Row],[data]])</f>
        <v>1</v>
      </c>
      <c r="H2817" s="35" t="str">
        <f>IF(Metas_Diarias[[#This Row],[dias_da_demana]]=1,"domingo",IF(Metas_Diarias[[#This Row],[dias_da_demana]]=7,0.5,1))</f>
        <v>domingo</v>
      </c>
      <c r="I2817" s="35">
        <f>_xlfn.XLOOKUP(Metas_Diarias[[#This Row],[data]],Feriados[Data],Feriados[Feriado],1)</f>
        <v>1</v>
      </c>
      <c r="J2817" s="33" cm="1">
        <f t="array" aca="1" ref="J2817" ca="1">SUMPRODUCT(IF((NOT(ISERROR(MATCH(ROW(INDIRECT(DATE(YEAR(B2817),MONTH(B2817),1)&amp;":"&amp;DATE(YEAR(B2817),MONTH(B2817)+1,0))),Feriados[Data],0))))=FALSE,
IF(WEEKDAY(ROW(INDIRECT(DATE(YEAR(B2817),MONTH(B2817),1)&amp;":"&amp;DATE(YEAR(B2817),MONTH(B2817)+1,0))),2)&lt;=5,1,IF(WEEKDAY(ROW(INDIRECT(DATE(YEAR(B2817),MONTH(B2817),1)&amp;":"&amp;DATE(YEAR(B2817),MONTH(B2817)+1,0))),2)=6,0.5,0)),0))</f>
        <v>23</v>
      </c>
      <c r="K2817" s="22" cm="1">
        <f t="array" ref="K2817">_xlfn.XLOOKUP(1,((Metas_Diarias[[#This Row],[tipo_equipe_id]]=Metas[equipe])*(Metas_Diarias[[#This Row],[data]]&gt;Metas[data_inicio])*(Metas_Diarias[[#This Row],[data]]&lt;Metas[data_fim])),Metas[meta_mensal],0)</f>
        <v>0</v>
      </c>
      <c r="L28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8" spans="2:12" x14ac:dyDescent="0.3">
      <c r="B2818" s="34">
        <v>46279</v>
      </c>
      <c r="C2818" s="34" t="str">
        <f>TEXT(Metas_Diarias[[#This Row],[data]],"dddd")</f>
        <v>segunda-feira</v>
      </c>
      <c r="D2818" s="33">
        <v>3</v>
      </c>
      <c r="E2818" s="33">
        <v>4</v>
      </c>
      <c r="F2818" s="18"/>
      <c r="G2818" s="35">
        <f>WEEKDAY(Metas_Diarias[[#This Row],[data]])</f>
        <v>2</v>
      </c>
      <c r="H2818" s="35">
        <f>IF(Metas_Diarias[[#This Row],[dias_da_demana]]=1,"domingo",IF(Metas_Diarias[[#This Row],[dias_da_demana]]=7,0.5,1))</f>
        <v>1</v>
      </c>
      <c r="I2818" s="35">
        <f>_xlfn.XLOOKUP(Metas_Diarias[[#This Row],[data]],Feriados[Data],Feriados[Feriado],1)</f>
        <v>1</v>
      </c>
      <c r="J2818" s="33" cm="1">
        <f t="array" aca="1" ref="J2818" ca="1">SUMPRODUCT(IF((NOT(ISERROR(MATCH(ROW(INDIRECT(DATE(YEAR(B2818),MONTH(B2818),1)&amp;":"&amp;DATE(YEAR(B2818),MONTH(B2818)+1,0))),Feriados[Data],0))))=FALSE,
IF(WEEKDAY(ROW(INDIRECT(DATE(YEAR(B2818),MONTH(B2818),1)&amp;":"&amp;DATE(YEAR(B2818),MONTH(B2818)+1,0))),2)&lt;=5,1,IF(WEEKDAY(ROW(INDIRECT(DATE(YEAR(B2818),MONTH(B2818),1)&amp;":"&amp;DATE(YEAR(B2818),MONTH(B2818)+1,0))),2)=6,0.5,0)),0))</f>
        <v>23</v>
      </c>
      <c r="K2818" s="22" cm="1">
        <f t="array" ref="K2818">_xlfn.XLOOKUP(1,((Metas_Diarias[[#This Row],[tipo_equipe_id]]=Metas[equipe])*(Metas_Diarias[[#This Row],[data]]&gt;Metas[data_inicio])*(Metas_Diarias[[#This Row],[data]]&lt;Metas[data_fim])),Metas[meta_mensal],0)</f>
        <v>0</v>
      </c>
      <c r="L281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19" spans="2:12" x14ac:dyDescent="0.3">
      <c r="B2819" s="34">
        <v>46280</v>
      </c>
      <c r="C2819" s="34" t="str">
        <f>TEXT(Metas_Diarias[[#This Row],[data]],"dddd")</f>
        <v>terça-feira</v>
      </c>
      <c r="D2819" s="33">
        <v>3</v>
      </c>
      <c r="E2819" s="33">
        <v>4</v>
      </c>
      <c r="F2819" s="18"/>
      <c r="G2819" s="35">
        <f>WEEKDAY(Metas_Diarias[[#This Row],[data]])</f>
        <v>3</v>
      </c>
      <c r="H2819" s="35">
        <f>IF(Metas_Diarias[[#This Row],[dias_da_demana]]=1,"domingo",IF(Metas_Diarias[[#This Row],[dias_da_demana]]=7,0.5,1))</f>
        <v>1</v>
      </c>
      <c r="I2819" s="35">
        <f>_xlfn.XLOOKUP(Metas_Diarias[[#This Row],[data]],Feriados[Data],Feriados[Feriado],1)</f>
        <v>1</v>
      </c>
      <c r="J2819" s="33" cm="1">
        <f t="array" aca="1" ref="J2819" ca="1">SUMPRODUCT(IF((NOT(ISERROR(MATCH(ROW(INDIRECT(DATE(YEAR(B2819),MONTH(B2819),1)&amp;":"&amp;DATE(YEAR(B2819),MONTH(B2819)+1,0))),Feriados[Data],0))))=FALSE,
IF(WEEKDAY(ROW(INDIRECT(DATE(YEAR(B2819),MONTH(B2819),1)&amp;":"&amp;DATE(YEAR(B2819),MONTH(B2819)+1,0))),2)&lt;=5,1,IF(WEEKDAY(ROW(INDIRECT(DATE(YEAR(B2819),MONTH(B2819),1)&amp;":"&amp;DATE(YEAR(B2819),MONTH(B2819)+1,0))),2)=6,0.5,0)),0))</f>
        <v>23</v>
      </c>
      <c r="K2819" s="22" cm="1">
        <f t="array" ref="K2819">_xlfn.XLOOKUP(1,((Metas_Diarias[[#This Row],[tipo_equipe_id]]=Metas[equipe])*(Metas_Diarias[[#This Row],[data]]&gt;Metas[data_inicio])*(Metas_Diarias[[#This Row],[data]]&lt;Metas[data_fim])),Metas[meta_mensal],0)</f>
        <v>0</v>
      </c>
      <c r="L28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0" spans="2:12" x14ac:dyDescent="0.3">
      <c r="B2820" s="34">
        <v>46281</v>
      </c>
      <c r="C2820" s="34" t="str">
        <f>TEXT(Metas_Diarias[[#This Row],[data]],"dddd")</f>
        <v>quarta-feira</v>
      </c>
      <c r="D2820" s="33">
        <v>3</v>
      </c>
      <c r="E2820" s="33">
        <v>4</v>
      </c>
      <c r="F2820" s="18"/>
      <c r="G2820" s="35">
        <f>WEEKDAY(Metas_Diarias[[#This Row],[data]])</f>
        <v>4</v>
      </c>
      <c r="H2820" s="35">
        <f>IF(Metas_Diarias[[#This Row],[dias_da_demana]]=1,"domingo",IF(Metas_Diarias[[#This Row],[dias_da_demana]]=7,0.5,1))</f>
        <v>1</v>
      </c>
      <c r="I2820" s="35">
        <f>_xlfn.XLOOKUP(Metas_Diarias[[#This Row],[data]],Feriados[Data],Feriados[Feriado],1)</f>
        <v>1</v>
      </c>
      <c r="J2820" s="33" cm="1">
        <f t="array" aca="1" ref="J2820" ca="1">SUMPRODUCT(IF((NOT(ISERROR(MATCH(ROW(INDIRECT(DATE(YEAR(B2820),MONTH(B2820),1)&amp;":"&amp;DATE(YEAR(B2820),MONTH(B2820)+1,0))),Feriados[Data],0))))=FALSE,
IF(WEEKDAY(ROW(INDIRECT(DATE(YEAR(B2820),MONTH(B2820),1)&amp;":"&amp;DATE(YEAR(B2820),MONTH(B2820)+1,0))),2)&lt;=5,1,IF(WEEKDAY(ROW(INDIRECT(DATE(YEAR(B2820),MONTH(B2820),1)&amp;":"&amp;DATE(YEAR(B2820),MONTH(B2820)+1,0))),2)=6,0.5,0)),0))</f>
        <v>23</v>
      </c>
      <c r="K2820" s="22" cm="1">
        <f t="array" ref="K2820">_xlfn.XLOOKUP(1,((Metas_Diarias[[#This Row],[tipo_equipe_id]]=Metas[equipe])*(Metas_Diarias[[#This Row],[data]]&gt;Metas[data_inicio])*(Metas_Diarias[[#This Row],[data]]&lt;Metas[data_fim])),Metas[meta_mensal],0)</f>
        <v>0</v>
      </c>
      <c r="L282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1" spans="2:12" x14ac:dyDescent="0.3">
      <c r="B2821" s="34">
        <v>46282</v>
      </c>
      <c r="C2821" s="34" t="str">
        <f>TEXT(Metas_Diarias[[#This Row],[data]],"dddd")</f>
        <v>quinta-feira</v>
      </c>
      <c r="D2821" s="33">
        <v>3</v>
      </c>
      <c r="E2821" s="33">
        <v>4</v>
      </c>
      <c r="F2821" s="18"/>
      <c r="G2821" s="35">
        <f>WEEKDAY(Metas_Diarias[[#This Row],[data]])</f>
        <v>5</v>
      </c>
      <c r="H2821" s="35">
        <f>IF(Metas_Diarias[[#This Row],[dias_da_demana]]=1,"domingo",IF(Metas_Diarias[[#This Row],[dias_da_demana]]=7,0.5,1))</f>
        <v>1</v>
      </c>
      <c r="I2821" s="35">
        <f>_xlfn.XLOOKUP(Metas_Diarias[[#This Row],[data]],Feriados[Data],Feriados[Feriado],1)</f>
        <v>1</v>
      </c>
      <c r="J2821" s="33" cm="1">
        <f t="array" aca="1" ref="J2821" ca="1">SUMPRODUCT(IF((NOT(ISERROR(MATCH(ROW(INDIRECT(DATE(YEAR(B2821),MONTH(B2821),1)&amp;":"&amp;DATE(YEAR(B2821),MONTH(B2821)+1,0))),Feriados[Data],0))))=FALSE,
IF(WEEKDAY(ROW(INDIRECT(DATE(YEAR(B2821),MONTH(B2821),1)&amp;":"&amp;DATE(YEAR(B2821),MONTH(B2821)+1,0))),2)&lt;=5,1,IF(WEEKDAY(ROW(INDIRECT(DATE(YEAR(B2821),MONTH(B2821),1)&amp;":"&amp;DATE(YEAR(B2821),MONTH(B2821)+1,0))),2)=6,0.5,0)),0))</f>
        <v>23</v>
      </c>
      <c r="K2821" s="22" cm="1">
        <f t="array" ref="K2821">_xlfn.XLOOKUP(1,((Metas_Diarias[[#This Row],[tipo_equipe_id]]=Metas[equipe])*(Metas_Diarias[[#This Row],[data]]&gt;Metas[data_inicio])*(Metas_Diarias[[#This Row],[data]]&lt;Metas[data_fim])),Metas[meta_mensal],0)</f>
        <v>0</v>
      </c>
      <c r="L282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2" spans="2:12" x14ac:dyDescent="0.3">
      <c r="B2822" s="34">
        <v>46283</v>
      </c>
      <c r="C2822" s="34" t="str">
        <f>TEXT(Metas_Diarias[[#This Row],[data]],"dddd")</f>
        <v>sexta-feira</v>
      </c>
      <c r="D2822" s="33">
        <v>3</v>
      </c>
      <c r="E2822" s="33">
        <v>4</v>
      </c>
      <c r="F2822" s="18"/>
      <c r="G2822" s="35">
        <f>WEEKDAY(Metas_Diarias[[#This Row],[data]])</f>
        <v>6</v>
      </c>
      <c r="H2822" s="35">
        <f>IF(Metas_Diarias[[#This Row],[dias_da_demana]]=1,"domingo",IF(Metas_Diarias[[#This Row],[dias_da_demana]]=7,0.5,1))</f>
        <v>1</v>
      </c>
      <c r="I2822" s="35">
        <f>_xlfn.XLOOKUP(Metas_Diarias[[#This Row],[data]],Feriados[Data],Feriados[Feriado],1)</f>
        <v>1</v>
      </c>
      <c r="J2822" s="33" cm="1">
        <f t="array" aca="1" ref="J2822" ca="1">SUMPRODUCT(IF((NOT(ISERROR(MATCH(ROW(INDIRECT(DATE(YEAR(B2822),MONTH(B2822),1)&amp;":"&amp;DATE(YEAR(B2822),MONTH(B2822)+1,0))),Feriados[Data],0))))=FALSE,
IF(WEEKDAY(ROW(INDIRECT(DATE(YEAR(B2822),MONTH(B2822),1)&amp;":"&amp;DATE(YEAR(B2822),MONTH(B2822)+1,0))),2)&lt;=5,1,IF(WEEKDAY(ROW(INDIRECT(DATE(YEAR(B2822),MONTH(B2822),1)&amp;":"&amp;DATE(YEAR(B2822),MONTH(B2822)+1,0))),2)=6,0.5,0)),0))</f>
        <v>23</v>
      </c>
      <c r="K2822" s="22" cm="1">
        <f t="array" ref="K2822">_xlfn.XLOOKUP(1,((Metas_Diarias[[#This Row],[tipo_equipe_id]]=Metas[equipe])*(Metas_Diarias[[#This Row],[data]]&gt;Metas[data_inicio])*(Metas_Diarias[[#This Row],[data]]&lt;Metas[data_fim])),Metas[meta_mensal],0)</f>
        <v>0</v>
      </c>
      <c r="L28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3" spans="2:12" x14ac:dyDescent="0.3">
      <c r="B2823" s="34">
        <v>46284</v>
      </c>
      <c r="C2823" s="34" t="str">
        <f>TEXT(Metas_Diarias[[#This Row],[data]],"dddd")</f>
        <v>sábado</v>
      </c>
      <c r="D2823" s="33">
        <v>3</v>
      </c>
      <c r="E2823" s="33">
        <v>4</v>
      </c>
      <c r="F2823" s="18"/>
      <c r="G2823" s="35">
        <f>WEEKDAY(Metas_Diarias[[#This Row],[data]])</f>
        <v>7</v>
      </c>
      <c r="H2823" s="35">
        <f>IF(Metas_Diarias[[#This Row],[dias_da_demana]]=1,"domingo",IF(Metas_Diarias[[#This Row],[dias_da_demana]]=7,0.5,1))</f>
        <v>0.5</v>
      </c>
      <c r="I2823" s="35">
        <f>_xlfn.XLOOKUP(Metas_Diarias[[#This Row],[data]],Feriados[Data],Feriados[Feriado],1)</f>
        <v>1</v>
      </c>
      <c r="J2823" s="33" cm="1">
        <f t="array" aca="1" ref="J2823" ca="1">SUMPRODUCT(IF((NOT(ISERROR(MATCH(ROW(INDIRECT(DATE(YEAR(B2823),MONTH(B2823),1)&amp;":"&amp;DATE(YEAR(B2823),MONTH(B2823)+1,0))),Feriados[Data],0))))=FALSE,
IF(WEEKDAY(ROW(INDIRECT(DATE(YEAR(B2823),MONTH(B2823),1)&amp;":"&amp;DATE(YEAR(B2823),MONTH(B2823)+1,0))),2)&lt;=5,1,IF(WEEKDAY(ROW(INDIRECT(DATE(YEAR(B2823),MONTH(B2823),1)&amp;":"&amp;DATE(YEAR(B2823),MONTH(B2823)+1,0))),2)=6,0.5,0)),0))</f>
        <v>23</v>
      </c>
      <c r="K2823" s="22" cm="1">
        <f t="array" ref="K2823">_xlfn.XLOOKUP(1,((Metas_Diarias[[#This Row],[tipo_equipe_id]]=Metas[equipe])*(Metas_Diarias[[#This Row],[data]]&gt;Metas[data_inicio])*(Metas_Diarias[[#This Row],[data]]&lt;Metas[data_fim])),Metas[meta_mensal],0)</f>
        <v>0</v>
      </c>
      <c r="L282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4" spans="2:12" x14ac:dyDescent="0.3">
      <c r="B2824" s="34">
        <v>46285</v>
      </c>
      <c r="C2824" s="34" t="str">
        <f>TEXT(Metas_Diarias[[#This Row],[data]],"dddd")</f>
        <v>domingo</v>
      </c>
      <c r="D2824" s="33">
        <v>3</v>
      </c>
      <c r="E2824" s="33">
        <v>4</v>
      </c>
      <c r="F2824" s="18"/>
      <c r="G2824" s="35">
        <f>WEEKDAY(Metas_Diarias[[#This Row],[data]])</f>
        <v>1</v>
      </c>
      <c r="H2824" s="35" t="str">
        <f>IF(Metas_Diarias[[#This Row],[dias_da_demana]]=1,"domingo",IF(Metas_Diarias[[#This Row],[dias_da_demana]]=7,0.5,1))</f>
        <v>domingo</v>
      </c>
      <c r="I2824" s="35">
        <f>_xlfn.XLOOKUP(Metas_Diarias[[#This Row],[data]],Feriados[Data],Feriados[Feriado],1)</f>
        <v>1</v>
      </c>
      <c r="J2824" s="33" cm="1">
        <f t="array" aca="1" ref="J2824" ca="1">SUMPRODUCT(IF((NOT(ISERROR(MATCH(ROW(INDIRECT(DATE(YEAR(B2824),MONTH(B2824),1)&amp;":"&amp;DATE(YEAR(B2824),MONTH(B2824)+1,0))),Feriados[Data],0))))=FALSE,
IF(WEEKDAY(ROW(INDIRECT(DATE(YEAR(B2824),MONTH(B2824),1)&amp;":"&amp;DATE(YEAR(B2824),MONTH(B2824)+1,0))),2)&lt;=5,1,IF(WEEKDAY(ROW(INDIRECT(DATE(YEAR(B2824),MONTH(B2824),1)&amp;":"&amp;DATE(YEAR(B2824),MONTH(B2824)+1,0))),2)=6,0.5,0)),0))</f>
        <v>23</v>
      </c>
      <c r="K2824" s="22" cm="1">
        <f t="array" ref="K2824">_xlfn.XLOOKUP(1,((Metas_Diarias[[#This Row],[tipo_equipe_id]]=Metas[equipe])*(Metas_Diarias[[#This Row],[data]]&gt;Metas[data_inicio])*(Metas_Diarias[[#This Row],[data]]&lt;Metas[data_fim])),Metas[meta_mensal],0)</f>
        <v>0</v>
      </c>
      <c r="L28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5" spans="2:12" x14ac:dyDescent="0.3">
      <c r="B2825" s="34">
        <v>46286</v>
      </c>
      <c r="C2825" s="34" t="str">
        <f>TEXT(Metas_Diarias[[#This Row],[data]],"dddd")</f>
        <v>segunda-feira</v>
      </c>
      <c r="D2825" s="33">
        <v>3</v>
      </c>
      <c r="E2825" s="33">
        <v>4</v>
      </c>
      <c r="F2825" s="18"/>
      <c r="G2825" s="35">
        <f>WEEKDAY(Metas_Diarias[[#This Row],[data]])</f>
        <v>2</v>
      </c>
      <c r="H2825" s="35">
        <f>IF(Metas_Diarias[[#This Row],[dias_da_demana]]=1,"domingo",IF(Metas_Diarias[[#This Row],[dias_da_demana]]=7,0.5,1))</f>
        <v>1</v>
      </c>
      <c r="I2825" s="35">
        <f>_xlfn.XLOOKUP(Metas_Diarias[[#This Row],[data]],Feriados[Data],Feriados[Feriado],1)</f>
        <v>1</v>
      </c>
      <c r="J2825" s="33" cm="1">
        <f t="array" aca="1" ref="J2825" ca="1">SUMPRODUCT(IF((NOT(ISERROR(MATCH(ROW(INDIRECT(DATE(YEAR(B2825),MONTH(B2825),1)&amp;":"&amp;DATE(YEAR(B2825),MONTH(B2825)+1,0))),Feriados[Data],0))))=FALSE,
IF(WEEKDAY(ROW(INDIRECT(DATE(YEAR(B2825),MONTH(B2825),1)&amp;":"&amp;DATE(YEAR(B2825),MONTH(B2825)+1,0))),2)&lt;=5,1,IF(WEEKDAY(ROW(INDIRECT(DATE(YEAR(B2825),MONTH(B2825),1)&amp;":"&amp;DATE(YEAR(B2825),MONTH(B2825)+1,0))),2)=6,0.5,0)),0))</f>
        <v>23</v>
      </c>
      <c r="K2825" s="22" cm="1">
        <f t="array" ref="K2825">_xlfn.XLOOKUP(1,((Metas_Diarias[[#This Row],[tipo_equipe_id]]=Metas[equipe])*(Metas_Diarias[[#This Row],[data]]&gt;Metas[data_inicio])*(Metas_Diarias[[#This Row],[data]]&lt;Metas[data_fim])),Metas[meta_mensal],0)</f>
        <v>0</v>
      </c>
      <c r="L282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6" spans="2:12" x14ac:dyDescent="0.3">
      <c r="B2826" s="34">
        <v>46287</v>
      </c>
      <c r="C2826" s="34" t="str">
        <f>TEXT(Metas_Diarias[[#This Row],[data]],"dddd")</f>
        <v>terça-feira</v>
      </c>
      <c r="D2826" s="33">
        <v>3</v>
      </c>
      <c r="E2826" s="33">
        <v>4</v>
      </c>
      <c r="F2826" s="18"/>
      <c r="G2826" s="35">
        <f>WEEKDAY(Metas_Diarias[[#This Row],[data]])</f>
        <v>3</v>
      </c>
      <c r="H2826" s="35">
        <f>IF(Metas_Diarias[[#This Row],[dias_da_demana]]=1,"domingo",IF(Metas_Diarias[[#This Row],[dias_da_demana]]=7,0.5,1))</f>
        <v>1</v>
      </c>
      <c r="I2826" s="35">
        <f>_xlfn.XLOOKUP(Metas_Diarias[[#This Row],[data]],Feriados[Data],Feriados[Feriado],1)</f>
        <v>1</v>
      </c>
      <c r="J2826" s="33" cm="1">
        <f t="array" aca="1" ref="J2826" ca="1">SUMPRODUCT(IF((NOT(ISERROR(MATCH(ROW(INDIRECT(DATE(YEAR(B2826),MONTH(B2826),1)&amp;":"&amp;DATE(YEAR(B2826),MONTH(B2826)+1,0))),Feriados[Data],0))))=FALSE,
IF(WEEKDAY(ROW(INDIRECT(DATE(YEAR(B2826),MONTH(B2826),1)&amp;":"&amp;DATE(YEAR(B2826),MONTH(B2826)+1,0))),2)&lt;=5,1,IF(WEEKDAY(ROW(INDIRECT(DATE(YEAR(B2826),MONTH(B2826),1)&amp;":"&amp;DATE(YEAR(B2826),MONTH(B2826)+1,0))),2)=6,0.5,0)),0))</f>
        <v>23</v>
      </c>
      <c r="K2826" s="22" cm="1">
        <f t="array" ref="K2826">_xlfn.XLOOKUP(1,((Metas_Diarias[[#This Row],[tipo_equipe_id]]=Metas[equipe])*(Metas_Diarias[[#This Row],[data]]&gt;Metas[data_inicio])*(Metas_Diarias[[#This Row],[data]]&lt;Metas[data_fim])),Metas[meta_mensal],0)</f>
        <v>0</v>
      </c>
      <c r="L28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7" spans="2:12" x14ac:dyDescent="0.3">
      <c r="B2827" s="34">
        <v>46288</v>
      </c>
      <c r="C2827" s="34" t="str">
        <f>TEXT(Metas_Diarias[[#This Row],[data]],"dddd")</f>
        <v>quarta-feira</v>
      </c>
      <c r="D2827" s="33">
        <v>3</v>
      </c>
      <c r="E2827" s="33">
        <v>4</v>
      </c>
      <c r="F2827" s="18"/>
      <c r="G2827" s="35">
        <f>WEEKDAY(Metas_Diarias[[#This Row],[data]])</f>
        <v>4</v>
      </c>
      <c r="H2827" s="35">
        <f>IF(Metas_Diarias[[#This Row],[dias_da_demana]]=1,"domingo",IF(Metas_Diarias[[#This Row],[dias_da_demana]]=7,0.5,1))</f>
        <v>1</v>
      </c>
      <c r="I2827" s="35">
        <f>_xlfn.XLOOKUP(Metas_Diarias[[#This Row],[data]],Feriados[Data],Feriados[Feriado],1)</f>
        <v>1</v>
      </c>
      <c r="J2827" s="33" cm="1">
        <f t="array" aca="1" ref="J2827" ca="1">SUMPRODUCT(IF((NOT(ISERROR(MATCH(ROW(INDIRECT(DATE(YEAR(B2827),MONTH(B2827),1)&amp;":"&amp;DATE(YEAR(B2827),MONTH(B2827)+1,0))),Feriados[Data],0))))=FALSE,
IF(WEEKDAY(ROW(INDIRECT(DATE(YEAR(B2827),MONTH(B2827),1)&amp;":"&amp;DATE(YEAR(B2827),MONTH(B2827)+1,0))),2)&lt;=5,1,IF(WEEKDAY(ROW(INDIRECT(DATE(YEAR(B2827),MONTH(B2827),1)&amp;":"&amp;DATE(YEAR(B2827),MONTH(B2827)+1,0))),2)=6,0.5,0)),0))</f>
        <v>23</v>
      </c>
      <c r="K2827" s="22" cm="1">
        <f t="array" ref="K2827">_xlfn.XLOOKUP(1,((Metas_Diarias[[#This Row],[tipo_equipe_id]]=Metas[equipe])*(Metas_Diarias[[#This Row],[data]]&gt;Metas[data_inicio])*(Metas_Diarias[[#This Row],[data]]&lt;Metas[data_fim])),Metas[meta_mensal],0)</f>
        <v>0</v>
      </c>
      <c r="L282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8" spans="2:12" x14ac:dyDescent="0.3">
      <c r="B2828" s="34">
        <v>46289</v>
      </c>
      <c r="C2828" s="34" t="str">
        <f>TEXT(Metas_Diarias[[#This Row],[data]],"dddd")</f>
        <v>quinta-feira</v>
      </c>
      <c r="D2828" s="33">
        <v>3</v>
      </c>
      <c r="E2828" s="33">
        <v>4</v>
      </c>
      <c r="F2828" s="18"/>
      <c r="G2828" s="35">
        <f>WEEKDAY(Metas_Diarias[[#This Row],[data]])</f>
        <v>5</v>
      </c>
      <c r="H2828" s="35">
        <f>IF(Metas_Diarias[[#This Row],[dias_da_demana]]=1,"domingo",IF(Metas_Diarias[[#This Row],[dias_da_demana]]=7,0.5,1))</f>
        <v>1</v>
      </c>
      <c r="I2828" s="35">
        <f>_xlfn.XLOOKUP(Metas_Diarias[[#This Row],[data]],Feriados[Data],Feriados[Feriado],1)</f>
        <v>1</v>
      </c>
      <c r="J2828" s="33" cm="1">
        <f t="array" aca="1" ref="J2828" ca="1">SUMPRODUCT(IF((NOT(ISERROR(MATCH(ROW(INDIRECT(DATE(YEAR(B2828),MONTH(B2828),1)&amp;":"&amp;DATE(YEAR(B2828),MONTH(B2828)+1,0))),Feriados[Data],0))))=FALSE,
IF(WEEKDAY(ROW(INDIRECT(DATE(YEAR(B2828),MONTH(B2828),1)&amp;":"&amp;DATE(YEAR(B2828),MONTH(B2828)+1,0))),2)&lt;=5,1,IF(WEEKDAY(ROW(INDIRECT(DATE(YEAR(B2828),MONTH(B2828),1)&amp;":"&amp;DATE(YEAR(B2828),MONTH(B2828)+1,0))),2)=6,0.5,0)),0))</f>
        <v>23</v>
      </c>
      <c r="K2828" s="22" cm="1">
        <f t="array" ref="K2828">_xlfn.XLOOKUP(1,((Metas_Diarias[[#This Row],[tipo_equipe_id]]=Metas[equipe])*(Metas_Diarias[[#This Row],[data]]&gt;Metas[data_inicio])*(Metas_Diarias[[#This Row],[data]]&lt;Metas[data_fim])),Metas[meta_mensal],0)</f>
        <v>0</v>
      </c>
      <c r="L282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29" spans="2:12" x14ac:dyDescent="0.3">
      <c r="B2829" s="34">
        <v>46290</v>
      </c>
      <c r="C2829" s="34" t="str">
        <f>TEXT(Metas_Diarias[[#This Row],[data]],"dddd")</f>
        <v>sexta-feira</v>
      </c>
      <c r="D2829" s="33">
        <v>3</v>
      </c>
      <c r="E2829" s="33">
        <v>4</v>
      </c>
      <c r="F2829" s="18"/>
      <c r="G2829" s="35">
        <f>WEEKDAY(Metas_Diarias[[#This Row],[data]])</f>
        <v>6</v>
      </c>
      <c r="H2829" s="35">
        <f>IF(Metas_Diarias[[#This Row],[dias_da_demana]]=1,"domingo",IF(Metas_Diarias[[#This Row],[dias_da_demana]]=7,0.5,1))</f>
        <v>1</v>
      </c>
      <c r="I2829" s="35">
        <f>_xlfn.XLOOKUP(Metas_Diarias[[#This Row],[data]],Feriados[Data],Feriados[Feriado],1)</f>
        <v>1</v>
      </c>
      <c r="J2829" s="33" cm="1">
        <f t="array" aca="1" ref="J2829" ca="1">SUMPRODUCT(IF((NOT(ISERROR(MATCH(ROW(INDIRECT(DATE(YEAR(B2829),MONTH(B2829),1)&amp;":"&amp;DATE(YEAR(B2829),MONTH(B2829)+1,0))),Feriados[Data],0))))=FALSE,
IF(WEEKDAY(ROW(INDIRECT(DATE(YEAR(B2829),MONTH(B2829),1)&amp;":"&amp;DATE(YEAR(B2829),MONTH(B2829)+1,0))),2)&lt;=5,1,IF(WEEKDAY(ROW(INDIRECT(DATE(YEAR(B2829),MONTH(B2829),1)&amp;":"&amp;DATE(YEAR(B2829),MONTH(B2829)+1,0))),2)=6,0.5,0)),0))</f>
        <v>23</v>
      </c>
      <c r="K2829" s="22" cm="1">
        <f t="array" ref="K2829">_xlfn.XLOOKUP(1,((Metas_Diarias[[#This Row],[tipo_equipe_id]]=Metas[equipe])*(Metas_Diarias[[#This Row],[data]]&gt;Metas[data_inicio])*(Metas_Diarias[[#This Row],[data]]&lt;Metas[data_fim])),Metas[meta_mensal],0)</f>
        <v>0</v>
      </c>
      <c r="L282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0" spans="2:12" x14ac:dyDescent="0.3">
      <c r="B2830" s="34">
        <v>46291</v>
      </c>
      <c r="C2830" s="34" t="str">
        <f>TEXT(Metas_Diarias[[#This Row],[data]],"dddd")</f>
        <v>sábado</v>
      </c>
      <c r="D2830" s="33">
        <v>3</v>
      </c>
      <c r="E2830" s="33">
        <v>4</v>
      </c>
      <c r="F2830" s="18"/>
      <c r="G2830" s="35">
        <f>WEEKDAY(Metas_Diarias[[#This Row],[data]])</f>
        <v>7</v>
      </c>
      <c r="H2830" s="35">
        <f>IF(Metas_Diarias[[#This Row],[dias_da_demana]]=1,"domingo",IF(Metas_Diarias[[#This Row],[dias_da_demana]]=7,0.5,1))</f>
        <v>0.5</v>
      </c>
      <c r="I2830" s="35">
        <f>_xlfn.XLOOKUP(Metas_Diarias[[#This Row],[data]],Feriados[Data],Feriados[Feriado],1)</f>
        <v>1</v>
      </c>
      <c r="J2830" s="33" cm="1">
        <f t="array" aca="1" ref="J2830" ca="1">SUMPRODUCT(IF((NOT(ISERROR(MATCH(ROW(INDIRECT(DATE(YEAR(B2830),MONTH(B2830),1)&amp;":"&amp;DATE(YEAR(B2830),MONTH(B2830)+1,0))),Feriados[Data],0))))=FALSE,
IF(WEEKDAY(ROW(INDIRECT(DATE(YEAR(B2830),MONTH(B2830),1)&amp;":"&amp;DATE(YEAR(B2830),MONTH(B2830)+1,0))),2)&lt;=5,1,IF(WEEKDAY(ROW(INDIRECT(DATE(YEAR(B2830),MONTH(B2830),1)&amp;":"&amp;DATE(YEAR(B2830),MONTH(B2830)+1,0))),2)=6,0.5,0)),0))</f>
        <v>23</v>
      </c>
      <c r="K2830" s="22" cm="1">
        <f t="array" ref="K2830">_xlfn.XLOOKUP(1,((Metas_Diarias[[#This Row],[tipo_equipe_id]]=Metas[equipe])*(Metas_Diarias[[#This Row],[data]]&gt;Metas[data_inicio])*(Metas_Diarias[[#This Row],[data]]&lt;Metas[data_fim])),Metas[meta_mensal],0)</f>
        <v>0</v>
      </c>
      <c r="L283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1" spans="2:12" x14ac:dyDescent="0.3">
      <c r="B2831" s="34">
        <v>46292</v>
      </c>
      <c r="C2831" s="34" t="str">
        <f>TEXT(Metas_Diarias[[#This Row],[data]],"dddd")</f>
        <v>domingo</v>
      </c>
      <c r="D2831" s="33">
        <v>3</v>
      </c>
      <c r="E2831" s="33">
        <v>4</v>
      </c>
      <c r="F2831" s="18"/>
      <c r="G2831" s="35">
        <f>WEEKDAY(Metas_Diarias[[#This Row],[data]])</f>
        <v>1</v>
      </c>
      <c r="H2831" s="35" t="str">
        <f>IF(Metas_Diarias[[#This Row],[dias_da_demana]]=1,"domingo",IF(Metas_Diarias[[#This Row],[dias_da_demana]]=7,0.5,1))</f>
        <v>domingo</v>
      </c>
      <c r="I2831" s="35">
        <f>_xlfn.XLOOKUP(Metas_Diarias[[#This Row],[data]],Feriados[Data],Feriados[Feriado],1)</f>
        <v>1</v>
      </c>
      <c r="J2831" s="33" cm="1">
        <f t="array" aca="1" ref="J2831" ca="1">SUMPRODUCT(IF((NOT(ISERROR(MATCH(ROW(INDIRECT(DATE(YEAR(B2831),MONTH(B2831),1)&amp;":"&amp;DATE(YEAR(B2831),MONTH(B2831)+1,0))),Feriados[Data],0))))=FALSE,
IF(WEEKDAY(ROW(INDIRECT(DATE(YEAR(B2831),MONTH(B2831),1)&amp;":"&amp;DATE(YEAR(B2831),MONTH(B2831)+1,0))),2)&lt;=5,1,IF(WEEKDAY(ROW(INDIRECT(DATE(YEAR(B2831),MONTH(B2831),1)&amp;":"&amp;DATE(YEAR(B2831),MONTH(B2831)+1,0))),2)=6,0.5,0)),0))</f>
        <v>23</v>
      </c>
      <c r="K2831" s="22" cm="1">
        <f t="array" ref="K2831">_xlfn.XLOOKUP(1,((Metas_Diarias[[#This Row],[tipo_equipe_id]]=Metas[equipe])*(Metas_Diarias[[#This Row],[data]]&gt;Metas[data_inicio])*(Metas_Diarias[[#This Row],[data]]&lt;Metas[data_fim])),Metas[meta_mensal],0)</f>
        <v>0</v>
      </c>
      <c r="L283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2" spans="2:12" x14ac:dyDescent="0.3">
      <c r="B2832" s="34">
        <v>46293</v>
      </c>
      <c r="C2832" s="34" t="str">
        <f>TEXT(Metas_Diarias[[#This Row],[data]],"dddd")</f>
        <v>segunda-feira</v>
      </c>
      <c r="D2832" s="33">
        <v>3</v>
      </c>
      <c r="E2832" s="33">
        <v>4</v>
      </c>
      <c r="F2832" s="18"/>
      <c r="G2832" s="35">
        <f>WEEKDAY(Metas_Diarias[[#This Row],[data]])</f>
        <v>2</v>
      </c>
      <c r="H2832" s="35">
        <f>IF(Metas_Diarias[[#This Row],[dias_da_demana]]=1,"domingo",IF(Metas_Diarias[[#This Row],[dias_da_demana]]=7,0.5,1))</f>
        <v>1</v>
      </c>
      <c r="I2832" s="35">
        <f>_xlfn.XLOOKUP(Metas_Diarias[[#This Row],[data]],Feriados[Data],Feriados[Feriado],1)</f>
        <v>1</v>
      </c>
      <c r="J2832" s="33" cm="1">
        <f t="array" aca="1" ref="J2832" ca="1">SUMPRODUCT(IF((NOT(ISERROR(MATCH(ROW(INDIRECT(DATE(YEAR(B2832),MONTH(B2832),1)&amp;":"&amp;DATE(YEAR(B2832),MONTH(B2832)+1,0))),Feriados[Data],0))))=FALSE,
IF(WEEKDAY(ROW(INDIRECT(DATE(YEAR(B2832),MONTH(B2832),1)&amp;":"&amp;DATE(YEAR(B2832),MONTH(B2832)+1,0))),2)&lt;=5,1,IF(WEEKDAY(ROW(INDIRECT(DATE(YEAR(B2832),MONTH(B2832),1)&amp;":"&amp;DATE(YEAR(B2832),MONTH(B2832)+1,0))),2)=6,0.5,0)),0))</f>
        <v>23</v>
      </c>
      <c r="K2832" s="22" cm="1">
        <f t="array" ref="K2832">_xlfn.XLOOKUP(1,((Metas_Diarias[[#This Row],[tipo_equipe_id]]=Metas[equipe])*(Metas_Diarias[[#This Row],[data]]&gt;Metas[data_inicio])*(Metas_Diarias[[#This Row],[data]]&lt;Metas[data_fim])),Metas[meta_mensal],0)</f>
        <v>0</v>
      </c>
      <c r="L283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3" spans="2:12" x14ac:dyDescent="0.3">
      <c r="B2833" s="34">
        <v>46294</v>
      </c>
      <c r="C2833" s="34" t="str">
        <f>TEXT(Metas_Diarias[[#This Row],[data]],"dddd")</f>
        <v>terça-feira</v>
      </c>
      <c r="D2833" s="33">
        <v>3</v>
      </c>
      <c r="E2833" s="33">
        <v>4</v>
      </c>
      <c r="F2833" s="18"/>
      <c r="G2833" s="35">
        <f>WEEKDAY(Metas_Diarias[[#This Row],[data]])</f>
        <v>3</v>
      </c>
      <c r="H2833" s="35">
        <f>IF(Metas_Diarias[[#This Row],[dias_da_demana]]=1,"domingo",IF(Metas_Diarias[[#This Row],[dias_da_demana]]=7,0.5,1))</f>
        <v>1</v>
      </c>
      <c r="I2833" s="35">
        <f>_xlfn.XLOOKUP(Metas_Diarias[[#This Row],[data]],Feriados[Data],Feriados[Feriado],1)</f>
        <v>1</v>
      </c>
      <c r="J2833" s="33" cm="1">
        <f t="array" aca="1" ref="J2833" ca="1">SUMPRODUCT(IF((NOT(ISERROR(MATCH(ROW(INDIRECT(DATE(YEAR(B2833),MONTH(B2833),1)&amp;":"&amp;DATE(YEAR(B2833),MONTH(B2833)+1,0))),Feriados[Data],0))))=FALSE,
IF(WEEKDAY(ROW(INDIRECT(DATE(YEAR(B2833),MONTH(B2833),1)&amp;":"&amp;DATE(YEAR(B2833),MONTH(B2833)+1,0))),2)&lt;=5,1,IF(WEEKDAY(ROW(INDIRECT(DATE(YEAR(B2833),MONTH(B2833),1)&amp;":"&amp;DATE(YEAR(B2833),MONTH(B2833)+1,0))),2)=6,0.5,0)),0))</f>
        <v>23</v>
      </c>
      <c r="K2833" s="22" cm="1">
        <f t="array" ref="K2833">_xlfn.XLOOKUP(1,((Metas_Diarias[[#This Row],[tipo_equipe_id]]=Metas[equipe])*(Metas_Diarias[[#This Row],[data]]&gt;Metas[data_inicio])*(Metas_Diarias[[#This Row],[data]]&lt;Metas[data_fim])),Metas[meta_mensal],0)</f>
        <v>0</v>
      </c>
      <c r="L283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4" spans="2:12" x14ac:dyDescent="0.3">
      <c r="B2834" s="34">
        <v>46295</v>
      </c>
      <c r="C2834" s="34" t="str">
        <f>TEXT(Metas_Diarias[[#This Row],[data]],"dddd")</f>
        <v>quarta-feira</v>
      </c>
      <c r="D2834" s="33">
        <v>3</v>
      </c>
      <c r="E2834" s="33">
        <v>4</v>
      </c>
      <c r="F2834" s="18"/>
      <c r="G2834" s="35">
        <f>WEEKDAY(Metas_Diarias[[#This Row],[data]])</f>
        <v>4</v>
      </c>
      <c r="H2834" s="35">
        <f>IF(Metas_Diarias[[#This Row],[dias_da_demana]]=1,"domingo",IF(Metas_Diarias[[#This Row],[dias_da_demana]]=7,0.5,1))</f>
        <v>1</v>
      </c>
      <c r="I2834" s="35">
        <f>_xlfn.XLOOKUP(Metas_Diarias[[#This Row],[data]],Feriados[Data],Feriados[Feriado],1)</f>
        <v>1</v>
      </c>
      <c r="J2834" s="33" cm="1">
        <f t="array" aca="1" ref="J2834" ca="1">SUMPRODUCT(IF((NOT(ISERROR(MATCH(ROW(INDIRECT(DATE(YEAR(B2834),MONTH(B2834),1)&amp;":"&amp;DATE(YEAR(B2834),MONTH(B2834)+1,0))),Feriados[Data],0))))=FALSE,
IF(WEEKDAY(ROW(INDIRECT(DATE(YEAR(B2834),MONTH(B2834),1)&amp;":"&amp;DATE(YEAR(B2834),MONTH(B2834)+1,0))),2)&lt;=5,1,IF(WEEKDAY(ROW(INDIRECT(DATE(YEAR(B2834),MONTH(B2834),1)&amp;":"&amp;DATE(YEAR(B2834),MONTH(B2834)+1,0))),2)=6,0.5,0)),0))</f>
        <v>23</v>
      </c>
      <c r="K2834" s="22" cm="1">
        <f t="array" ref="K2834">_xlfn.XLOOKUP(1,((Metas_Diarias[[#This Row],[tipo_equipe_id]]=Metas[equipe])*(Metas_Diarias[[#This Row],[data]]&gt;Metas[data_inicio])*(Metas_Diarias[[#This Row],[data]]&lt;Metas[data_fim])),Metas[meta_mensal],0)</f>
        <v>0</v>
      </c>
      <c r="L283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5" spans="2:12" x14ac:dyDescent="0.3">
      <c r="B2835" s="34">
        <v>46296</v>
      </c>
      <c r="C2835" s="34" t="str">
        <f>TEXT(Metas_Diarias[[#This Row],[data]],"dddd")</f>
        <v>quinta-feira</v>
      </c>
      <c r="D2835" s="33">
        <v>3</v>
      </c>
      <c r="E2835" s="33">
        <v>4</v>
      </c>
      <c r="F2835" s="18"/>
      <c r="G2835" s="35">
        <f>WEEKDAY(Metas_Diarias[[#This Row],[data]])</f>
        <v>5</v>
      </c>
      <c r="H2835" s="35">
        <f>IF(Metas_Diarias[[#This Row],[dias_da_demana]]=1,"domingo",IF(Metas_Diarias[[#This Row],[dias_da_demana]]=7,0.5,1))</f>
        <v>1</v>
      </c>
      <c r="I2835" s="35">
        <f>_xlfn.XLOOKUP(Metas_Diarias[[#This Row],[data]],Feriados[Data],Feriados[Feriado],1)</f>
        <v>1</v>
      </c>
      <c r="J2835" s="33" cm="1">
        <f t="array" aca="1" ref="J2835" ca="1">SUMPRODUCT(IF((NOT(ISERROR(MATCH(ROW(INDIRECT(DATE(YEAR(B2835),MONTH(B2835),1)&amp;":"&amp;DATE(YEAR(B2835),MONTH(B2835)+1,0))),Feriados[Data],0))))=FALSE,
IF(WEEKDAY(ROW(INDIRECT(DATE(YEAR(B2835),MONTH(B2835),1)&amp;":"&amp;DATE(YEAR(B2835),MONTH(B2835)+1,0))),2)&lt;=5,1,IF(WEEKDAY(ROW(INDIRECT(DATE(YEAR(B2835),MONTH(B2835),1)&amp;":"&amp;DATE(YEAR(B2835),MONTH(B2835)+1,0))),2)=6,0.5,0)),0))</f>
        <v>23.5</v>
      </c>
      <c r="K2835" s="22" cm="1">
        <f t="array" ref="K2835">_xlfn.XLOOKUP(1,((Metas_Diarias[[#This Row],[tipo_equipe_id]]=Metas[equipe])*(Metas_Diarias[[#This Row],[data]]&gt;Metas[data_inicio])*(Metas_Diarias[[#This Row],[data]]&lt;Metas[data_fim])),Metas[meta_mensal],0)</f>
        <v>0</v>
      </c>
      <c r="L283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6" spans="2:12" x14ac:dyDescent="0.3">
      <c r="B2836" s="34">
        <v>46297</v>
      </c>
      <c r="C2836" s="34" t="str">
        <f>TEXT(Metas_Diarias[[#This Row],[data]],"dddd")</f>
        <v>sexta-feira</v>
      </c>
      <c r="D2836" s="33">
        <v>3</v>
      </c>
      <c r="E2836" s="33">
        <v>4</v>
      </c>
      <c r="F2836" s="18"/>
      <c r="G2836" s="35">
        <f>WEEKDAY(Metas_Diarias[[#This Row],[data]])</f>
        <v>6</v>
      </c>
      <c r="H2836" s="35">
        <f>IF(Metas_Diarias[[#This Row],[dias_da_demana]]=1,"domingo",IF(Metas_Diarias[[#This Row],[dias_da_demana]]=7,0.5,1))</f>
        <v>1</v>
      </c>
      <c r="I2836" s="35">
        <f>_xlfn.XLOOKUP(Metas_Diarias[[#This Row],[data]],Feriados[Data],Feriados[Feriado],1)</f>
        <v>1</v>
      </c>
      <c r="J2836" s="33" cm="1">
        <f t="array" aca="1" ref="J2836" ca="1">SUMPRODUCT(IF((NOT(ISERROR(MATCH(ROW(INDIRECT(DATE(YEAR(B2836),MONTH(B2836),1)&amp;":"&amp;DATE(YEAR(B2836),MONTH(B2836)+1,0))),Feriados[Data],0))))=FALSE,
IF(WEEKDAY(ROW(INDIRECT(DATE(YEAR(B2836),MONTH(B2836),1)&amp;":"&amp;DATE(YEAR(B2836),MONTH(B2836)+1,0))),2)&lt;=5,1,IF(WEEKDAY(ROW(INDIRECT(DATE(YEAR(B2836),MONTH(B2836),1)&amp;":"&amp;DATE(YEAR(B2836),MONTH(B2836)+1,0))),2)=6,0.5,0)),0))</f>
        <v>23.5</v>
      </c>
      <c r="K2836" s="22" cm="1">
        <f t="array" ref="K2836">_xlfn.XLOOKUP(1,((Metas_Diarias[[#This Row],[tipo_equipe_id]]=Metas[equipe])*(Metas_Diarias[[#This Row],[data]]&gt;Metas[data_inicio])*(Metas_Diarias[[#This Row],[data]]&lt;Metas[data_fim])),Metas[meta_mensal],0)</f>
        <v>0</v>
      </c>
      <c r="L283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7" spans="2:12" x14ac:dyDescent="0.3">
      <c r="B2837" s="34">
        <v>46298</v>
      </c>
      <c r="C2837" s="34" t="str">
        <f>TEXT(Metas_Diarias[[#This Row],[data]],"dddd")</f>
        <v>sábado</v>
      </c>
      <c r="D2837" s="33">
        <v>3</v>
      </c>
      <c r="E2837" s="33">
        <v>4</v>
      </c>
      <c r="F2837" s="18"/>
      <c r="G2837" s="35">
        <f>WEEKDAY(Metas_Diarias[[#This Row],[data]])</f>
        <v>7</v>
      </c>
      <c r="H2837" s="35">
        <f>IF(Metas_Diarias[[#This Row],[dias_da_demana]]=1,"domingo",IF(Metas_Diarias[[#This Row],[dias_da_demana]]=7,0.5,1))</f>
        <v>0.5</v>
      </c>
      <c r="I2837" s="35">
        <f>_xlfn.XLOOKUP(Metas_Diarias[[#This Row],[data]],Feriados[Data],Feriados[Feriado],1)</f>
        <v>1</v>
      </c>
      <c r="J2837" s="33" cm="1">
        <f t="array" aca="1" ref="J2837" ca="1">SUMPRODUCT(IF((NOT(ISERROR(MATCH(ROW(INDIRECT(DATE(YEAR(B2837),MONTH(B2837),1)&amp;":"&amp;DATE(YEAR(B2837),MONTH(B2837)+1,0))),Feriados[Data],0))))=FALSE,
IF(WEEKDAY(ROW(INDIRECT(DATE(YEAR(B2837),MONTH(B2837),1)&amp;":"&amp;DATE(YEAR(B2837),MONTH(B2837)+1,0))),2)&lt;=5,1,IF(WEEKDAY(ROW(INDIRECT(DATE(YEAR(B2837),MONTH(B2837),1)&amp;":"&amp;DATE(YEAR(B2837),MONTH(B2837)+1,0))),2)=6,0.5,0)),0))</f>
        <v>23.5</v>
      </c>
      <c r="K2837" s="22" cm="1">
        <f t="array" ref="K2837">_xlfn.XLOOKUP(1,((Metas_Diarias[[#This Row],[tipo_equipe_id]]=Metas[equipe])*(Metas_Diarias[[#This Row],[data]]&gt;Metas[data_inicio])*(Metas_Diarias[[#This Row],[data]]&lt;Metas[data_fim])),Metas[meta_mensal],0)</f>
        <v>0</v>
      </c>
      <c r="L283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8" spans="2:12" x14ac:dyDescent="0.3">
      <c r="B2838" s="34">
        <v>46299</v>
      </c>
      <c r="C2838" s="34" t="str">
        <f>TEXT(Metas_Diarias[[#This Row],[data]],"dddd")</f>
        <v>domingo</v>
      </c>
      <c r="D2838" s="33">
        <v>3</v>
      </c>
      <c r="E2838" s="33">
        <v>4</v>
      </c>
      <c r="F2838" s="18"/>
      <c r="G2838" s="35">
        <f>WEEKDAY(Metas_Diarias[[#This Row],[data]])</f>
        <v>1</v>
      </c>
      <c r="H2838" s="35" t="str">
        <f>IF(Metas_Diarias[[#This Row],[dias_da_demana]]=1,"domingo",IF(Metas_Diarias[[#This Row],[dias_da_demana]]=7,0.5,1))</f>
        <v>domingo</v>
      </c>
      <c r="I2838" s="35">
        <f>_xlfn.XLOOKUP(Metas_Diarias[[#This Row],[data]],Feriados[Data],Feriados[Feriado],1)</f>
        <v>1</v>
      </c>
      <c r="J2838" s="33" cm="1">
        <f t="array" aca="1" ref="J2838" ca="1">SUMPRODUCT(IF((NOT(ISERROR(MATCH(ROW(INDIRECT(DATE(YEAR(B2838),MONTH(B2838),1)&amp;":"&amp;DATE(YEAR(B2838),MONTH(B2838)+1,0))),Feriados[Data],0))))=FALSE,
IF(WEEKDAY(ROW(INDIRECT(DATE(YEAR(B2838),MONTH(B2838),1)&amp;":"&amp;DATE(YEAR(B2838),MONTH(B2838)+1,0))),2)&lt;=5,1,IF(WEEKDAY(ROW(INDIRECT(DATE(YEAR(B2838),MONTH(B2838),1)&amp;":"&amp;DATE(YEAR(B2838),MONTH(B2838)+1,0))),2)=6,0.5,0)),0))</f>
        <v>23.5</v>
      </c>
      <c r="K2838" s="22" cm="1">
        <f t="array" ref="K2838">_xlfn.XLOOKUP(1,((Metas_Diarias[[#This Row],[tipo_equipe_id]]=Metas[equipe])*(Metas_Diarias[[#This Row],[data]]&gt;Metas[data_inicio])*(Metas_Diarias[[#This Row],[data]]&lt;Metas[data_fim])),Metas[meta_mensal],0)</f>
        <v>0</v>
      </c>
      <c r="L283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39" spans="2:12" x14ac:dyDescent="0.3">
      <c r="B2839" s="34">
        <v>46300</v>
      </c>
      <c r="C2839" s="34" t="str">
        <f>TEXT(Metas_Diarias[[#This Row],[data]],"dddd")</f>
        <v>segunda-feira</v>
      </c>
      <c r="D2839" s="33">
        <v>3</v>
      </c>
      <c r="E2839" s="33">
        <v>4</v>
      </c>
      <c r="F2839" s="18"/>
      <c r="G2839" s="35">
        <f>WEEKDAY(Metas_Diarias[[#This Row],[data]])</f>
        <v>2</v>
      </c>
      <c r="H2839" s="35">
        <f>IF(Metas_Diarias[[#This Row],[dias_da_demana]]=1,"domingo",IF(Metas_Diarias[[#This Row],[dias_da_demana]]=7,0.5,1))</f>
        <v>1</v>
      </c>
      <c r="I2839" s="35">
        <f>_xlfn.XLOOKUP(Metas_Diarias[[#This Row],[data]],Feriados[Data],Feriados[Feriado],1)</f>
        <v>1</v>
      </c>
      <c r="J2839" s="33" cm="1">
        <f t="array" aca="1" ref="J2839" ca="1">SUMPRODUCT(IF((NOT(ISERROR(MATCH(ROW(INDIRECT(DATE(YEAR(B2839),MONTH(B2839),1)&amp;":"&amp;DATE(YEAR(B2839),MONTH(B2839)+1,0))),Feriados[Data],0))))=FALSE,
IF(WEEKDAY(ROW(INDIRECT(DATE(YEAR(B2839),MONTH(B2839),1)&amp;":"&amp;DATE(YEAR(B2839),MONTH(B2839)+1,0))),2)&lt;=5,1,IF(WEEKDAY(ROW(INDIRECT(DATE(YEAR(B2839),MONTH(B2839),1)&amp;":"&amp;DATE(YEAR(B2839),MONTH(B2839)+1,0))),2)=6,0.5,0)),0))</f>
        <v>23.5</v>
      </c>
      <c r="K2839" s="22" cm="1">
        <f t="array" ref="K2839">_xlfn.XLOOKUP(1,((Metas_Diarias[[#This Row],[tipo_equipe_id]]=Metas[equipe])*(Metas_Diarias[[#This Row],[data]]&gt;Metas[data_inicio])*(Metas_Diarias[[#This Row],[data]]&lt;Metas[data_fim])),Metas[meta_mensal],0)</f>
        <v>0</v>
      </c>
      <c r="L283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0" spans="2:12" x14ac:dyDescent="0.3">
      <c r="B2840" s="34">
        <v>46301</v>
      </c>
      <c r="C2840" s="34" t="str">
        <f>TEXT(Metas_Diarias[[#This Row],[data]],"dddd")</f>
        <v>terça-feira</v>
      </c>
      <c r="D2840" s="33">
        <v>3</v>
      </c>
      <c r="E2840" s="33">
        <v>4</v>
      </c>
      <c r="F2840" s="18"/>
      <c r="G2840" s="35">
        <f>WEEKDAY(Metas_Diarias[[#This Row],[data]])</f>
        <v>3</v>
      </c>
      <c r="H2840" s="35">
        <f>IF(Metas_Diarias[[#This Row],[dias_da_demana]]=1,"domingo",IF(Metas_Diarias[[#This Row],[dias_da_demana]]=7,0.5,1))</f>
        <v>1</v>
      </c>
      <c r="I2840" s="35">
        <f>_xlfn.XLOOKUP(Metas_Diarias[[#This Row],[data]],Feriados[Data],Feriados[Feriado],1)</f>
        <v>1</v>
      </c>
      <c r="J2840" s="33" cm="1">
        <f t="array" aca="1" ref="J2840" ca="1">SUMPRODUCT(IF((NOT(ISERROR(MATCH(ROW(INDIRECT(DATE(YEAR(B2840),MONTH(B2840),1)&amp;":"&amp;DATE(YEAR(B2840),MONTH(B2840)+1,0))),Feriados[Data],0))))=FALSE,
IF(WEEKDAY(ROW(INDIRECT(DATE(YEAR(B2840),MONTH(B2840),1)&amp;":"&amp;DATE(YEAR(B2840),MONTH(B2840)+1,0))),2)&lt;=5,1,IF(WEEKDAY(ROW(INDIRECT(DATE(YEAR(B2840),MONTH(B2840),1)&amp;":"&amp;DATE(YEAR(B2840),MONTH(B2840)+1,0))),2)=6,0.5,0)),0))</f>
        <v>23.5</v>
      </c>
      <c r="K2840" s="22" cm="1">
        <f t="array" ref="K2840">_xlfn.XLOOKUP(1,((Metas_Diarias[[#This Row],[tipo_equipe_id]]=Metas[equipe])*(Metas_Diarias[[#This Row],[data]]&gt;Metas[data_inicio])*(Metas_Diarias[[#This Row],[data]]&lt;Metas[data_fim])),Metas[meta_mensal],0)</f>
        <v>0</v>
      </c>
      <c r="L284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1" spans="2:12" x14ac:dyDescent="0.3">
      <c r="B2841" s="34">
        <v>46302</v>
      </c>
      <c r="C2841" s="34" t="str">
        <f>TEXT(Metas_Diarias[[#This Row],[data]],"dddd")</f>
        <v>quarta-feira</v>
      </c>
      <c r="D2841" s="33">
        <v>3</v>
      </c>
      <c r="E2841" s="33">
        <v>4</v>
      </c>
      <c r="F2841" s="18"/>
      <c r="G2841" s="35">
        <f>WEEKDAY(Metas_Diarias[[#This Row],[data]])</f>
        <v>4</v>
      </c>
      <c r="H2841" s="35">
        <f>IF(Metas_Diarias[[#This Row],[dias_da_demana]]=1,"domingo",IF(Metas_Diarias[[#This Row],[dias_da_demana]]=7,0.5,1))</f>
        <v>1</v>
      </c>
      <c r="I2841" s="35">
        <f>_xlfn.XLOOKUP(Metas_Diarias[[#This Row],[data]],Feriados[Data],Feriados[Feriado],1)</f>
        <v>1</v>
      </c>
      <c r="J2841" s="33" cm="1">
        <f t="array" aca="1" ref="J2841" ca="1">SUMPRODUCT(IF((NOT(ISERROR(MATCH(ROW(INDIRECT(DATE(YEAR(B2841),MONTH(B2841),1)&amp;":"&amp;DATE(YEAR(B2841),MONTH(B2841)+1,0))),Feriados[Data],0))))=FALSE,
IF(WEEKDAY(ROW(INDIRECT(DATE(YEAR(B2841),MONTH(B2841),1)&amp;":"&amp;DATE(YEAR(B2841),MONTH(B2841)+1,0))),2)&lt;=5,1,IF(WEEKDAY(ROW(INDIRECT(DATE(YEAR(B2841),MONTH(B2841),1)&amp;":"&amp;DATE(YEAR(B2841),MONTH(B2841)+1,0))),2)=6,0.5,0)),0))</f>
        <v>23.5</v>
      </c>
      <c r="K2841" s="22" cm="1">
        <f t="array" ref="K2841">_xlfn.XLOOKUP(1,((Metas_Diarias[[#This Row],[tipo_equipe_id]]=Metas[equipe])*(Metas_Diarias[[#This Row],[data]]&gt;Metas[data_inicio])*(Metas_Diarias[[#This Row],[data]]&lt;Metas[data_fim])),Metas[meta_mensal],0)</f>
        <v>0</v>
      </c>
      <c r="L284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2" spans="2:12" x14ac:dyDescent="0.3">
      <c r="B2842" s="34">
        <v>46303</v>
      </c>
      <c r="C2842" s="34" t="str">
        <f>TEXT(Metas_Diarias[[#This Row],[data]],"dddd")</f>
        <v>quinta-feira</v>
      </c>
      <c r="D2842" s="33">
        <v>3</v>
      </c>
      <c r="E2842" s="33">
        <v>4</v>
      </c>
      <c r="F2842" s="18"/>
      <c r="G2842" s="35">
        <f>WEEKDAY(Metas_Diarias[[#This Row],[data]])</f>
        <v>5</v>
      </c>
      <c r="H2842" s="35">
        <f>IF(Metas_Diarias[[#This Row],[dias_da_demana]]=1,"domingo",IF(Metas_Diarias[[#This Row],[dias_da_demana]]=7,0.5,1))</f>
        <v>1</v>
      </c>
      <c r="I2842" s="35">
        <f>_xlfn.XLOOKUP(Metas_Diarias[[#This Row],[data]],Feriados[Data],Feriados[Feriado],1)</f>
        <v>1</v>
      </c>
      <c r="J2842" s="33" cm="1">
        <f t="array" aca="1" ref="J2842" ca="1">SUMPRODUCT(IF((NOT(ISERROR(MATCH(ROW(INDIRECT(DATE(YEAR(B2842),MONTH(B2842),1)&amp;":"&amp;DATE(YEAR(B2842),MONTH(B2842)+1,0))),Feriados[Data],0))))=FALSE,
IF(WEEKDAY(ROW(INDIRECT(DATE(YEAR(B2842),MONTH(B2842),1)&amp;":"&amp;DATE(YEAR(B2842),MONTH(B2842)+1,0))),2)&lt;=5,1,IF(WEEKDAY(ROW(INDIRECT(DATE(YEAR(B2842),MONTH(B2842),1)&amp;":"&amp;DATE(YEAR(B2842),MONTH(B2842)+1,0))),2)=6,0.5,0)),0))</f>
        <v>23.5</v>
      </c>
      <c r="K2842" s="22" cm="1">
        <f t="array" ref="K2842">_xlfn.XLOOKUP(1,((Metas_Diarias[[#This Row],[tipo_equipe_id]]=Metas[equipe])*(Metas_Diarias[[#This Row],[data]]&gt;Metas[data_inicio])*(Metas_Diarias[[#This Row],[data]]&lt;Metas[data_fim])),Metas[meta_mensal],0)</f>
        <v>0</v>
      </c>
      <c r="L284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3" spans="2:12" x14ac:dyDescent="0.3">
      <c r="B2843" s="34">
        <v>46304</v>
      </c>
      <c r="C2843" s="34" t="str">
        <f>TEXT(Metas_Diarias[[#This Row],[data]],"dddd")</f>
        <v>sexta-feira</v>
      </c>
      <c r="D2843" s="33">
        <v>3</v>
      </c>
      <c r="E2843" s="33">
        <v>4</v>
      </c>
      <c r="F2843" s="18"/>
      <c r="G2843" s="35">
        <f>WEEKDAY(Metas_Diarias[[#This Row],[data]])</f>
        <v>6</v>
      </c>
      <c r="H2843" s="35">
        <f>IF(Metas_Diarias[[#This Row],[dias_da_demana]]=1,"domingo",IF(Metas_Diarias[[#This Row],[dias_da_demana]]=7,0.5,1))</f>
        <v>1</v>
      </c>
      <c r="I2843" s="35">
        <f>_xlfn.XLOOKUP(Metas_Diarias[[#This Row],[data]],Feriados[Data],Feriados[Feriado],1)</f>
        <v>1</v>
      </c>
      <c r="J2843" s="33" cm="1">
        <f t="array" aca="1" ref="J2843" ca="1">SUMPRODUCT(IF((NOT(ISERROR(MATCH(ROW(INDIRECT(DATE(YEAR(B2843),MONTH(B2843),1)&amp;":"&amp;DATE(YEAR(B2843),MONTH(B2843)+1,0))),Feriados[Data],0))))=FALSE,
IF(WEEKDAY(ROW(INDIRECT(DATE(YEAR(B2843),MONTH(B2843),1)&amp;":"&amp;DATE(YEAR(B2843),MONTH(B2843)+1,0))),2)&lt;=5,1,IF(WEEKDAY(ROW(INDIRECT(DATE(YEAR(B2843),MONTH(B2843),1)&amp;":"&amp;DATE(YEAR(B2843),MONTH(B2843)+1,0))),2)=6,0.5,0)),0))</f>
        <v>23.5</v>
      </c>
      <c r="K2843" s="22" cm="1">
        <f t="array" ref="K2843">_xlfn.XLOOKUP(1,((Metas_Diarias[[#This Row],[tipo_equipe_id]]=Metas[equipe])*(Metas_Diarias[[#This Row],[data]]&gt;Metas[data_inicio])*(Metas_Diarias[[#This Row],[data]]&lt;Metas[data_fim])),Metas[meta_mensal],0)</f>
        <v>0</v>
      </c>
      <c r="L284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4" spans="2:12" x14ac:dyDescent="0.3">
      <c r="B2844" s="34">
        <v>46305</v>
      </c>
      <c r="C2844" s="34" t="str">
        <f>TEXT(Metas_Diarias[[#This Row],[data]],"dddd")</f>
        <v>sábado</v>
      </c>
      <c r="D2844" s="33">
        <v>3</v>
      </c>
      <c r="E2844" s="33">
        <v>4</v>
      </c>
      <c r="F2844" s="18"/>
      <c r="G2844" s="35">
        <f>WEEKDAY(Metas_Diarias[[#This Row],[data]])</f>
        <v>7</v>
      </c>
      <c r="H2844" s="35">
        <f>IF(Metas_Diarias[[#This Row],[dias_da_demana]]=1,"domingo",IF(Metas_Diarias[[#This Row],[dias_da_demana]]=7,0.5,1))</f>
        <v>0.5</v>
      </c>
      <c r="I2844" s="35">
        <f>_xlfn.XLOOKUP(Metas_Diarias[[#This Row],[data]],Feriados[Data],Feriados[Feriado],1)</f>
        <v>1</v>
      </c>
      <c r="J2844" s="33" cm="1">
        <f t="array" aca="1" ref="J2844" ca="1">SUMPRODUCT(IF((NOT(ISERROR(MATCH(ROW(INDIRECT(DATE(YEAR(B2844),MONTH(B2844),1)&amp;":"&amp;DATE(YEAR(B2844),MONTH(B2844)+1,0))),Feriados[Data],0))))=FALSE,
IF(WEEKDAY(ROW(INDIRECT(DATE(YEAR(B2844),MONTH(B2844),1)&amp;":"&amp;DATE(YEAR(B2844),MONTH(B2844)+1,0))),2)&lt;=5,1,IF(WEEKDAY(ROW(INDIRECT(DATE(YEAR(B2844),MONTH(B2844),1)&amp;":"&amp;DATE(YEAR(B2844),MONTH(B2844)+1,0))),2)=6,0.5,0)),0))</f>
        <v>23.5</v>
      </c>
      <c r="K2844" s="22" cm="1">
        <f t="array" ref="K2844">_xlfn.XLOOKUP(1,((Metas_Diarias[[#This Row],[tipo_equipe_id]]=Metas[equipe])*(Metas_Diarias[[#This Row],[data]]&gt;Metas[data_inicio])*(Metas_Diarias[[#This Row],[data]]&lt;Metas[data_fim])),Metas[meta_mensal],0)</f>
        <v>0</v>
      </c>
      <c r="L284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5" spans="2:12" x14ac:dyDescent="0.3">
      <c r="B2845" s="34">
        <v>46306</v>
      </c>
      <c r="C2845" s="34" t="str">
        <f>TEXT(Metas_Diarias[[#This Row],[data]],"dddd")</f>
        <v>domingo</v>
      </c>
      <c r="D2845" s="33">
        <v>3</v>
      </c>
      <c r="E2845" s="33">
        <v>4</v>
      </c>
      <c r="F2845" s="18"/>
      <c r="G2845" s="35">
        <f>WEEKDAY(Metas_Diarias[[#This Row],[data]])</f>
        <v>1</v>
      </c>
      <c r="H2845" s="35" t="str">
        <f>IF(Metas_Diarias[[#This Row],[dias_da_demana]]=1,"domingo",IF(Metas_Diarias[[#This Row],[dias_da_demana]]=7,0.5,1))</f>
        <v>domingo</v>
      </c>
      <c r="I2845" s="35">
        <f>_xlfn.XLOOKUP(Metas_Diarias[[#This Row],[data]],Feriados[Data],Feriados[Feriado],1)</f>
        <v>1</v>
      </c>
      <c r="J2845" s="33" cm="1">
        <f t="array" aca="1" ref="J2845" ca="1">SUMPRODUCT(IF((NOT(ISERROR(MATCH(ROW(INDIRECT(DATE(YEAR(B2845),MONTH(B2845),1)&amp;":"&amp;DATE(YEAR(B2845),MONTH(B2845)+1,0))),Feriados[Data],0))))=FALSE,
IF(WEEKDAY(ROW(INDIRECT(DATE(YEAR(B2845),MONTH(B2845),1)&amp;":"&amp;DATE(YEAR(B2845),MONTH(B2845)+1,0))),2)&lt;=5,1,IF(WEEKDAY(ROW(INDIRECT(DATE(YEAR(B2845),MONTH(B2845),1)&amp;":"&amp;DATE(YEAR(B2845),MONTH(B2845)+1,0))),2)=6,0.5,0)),0))</f>
        <v>23.5</v>
      </c>
      <c r="K2845" s="22" cm="1">
        <f t="array" ref="K2845">_xlfn.XLOOKUP(1,((Metas_Diarias[[#This Row],[tipo_equipe_id]]=Metas[equipe])*(Metas_Diarias[[#This Row],[data]]&gt;Metas[data_inicio])*(Metas_Diarias[[#This Row],[data]]&lt;Metas[data_fim])),Metas[meta_mensal],0)</f>
        <v>0</v>
      </c>
      <c r="L284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6" spans="2:12" x14ac:dyDescent="0.3">
      <c r="B2846" s="34">
        <v>46307</v>
      </c>
      <c r="C2846" s="34" t="str">
        <f>TEXT(Metas_Diarias[[#This Row],[data]],"dddd")</f>
        <v>segunda-feira</v>
      </c>
      <c r="D2846" s="33">
        <v>3</v>
      </c>
      <c r="E2846" s="33">
        <v>4</v>
      </c>
      <c r="F2846" s="18"/>
      <c r="G2846" s="35">
        <f>WEEKDAY(Metas_Diarias[[#This Row],[data]])</f>
        <v>2</v>
      </c>
      <c r="H2846" s="35">
        <f>IF(Metas_Diarias[[#This Row],[dias_da_demana]]=1,"domingo",IF(Metas_Diarias[[#This Row],[dias_da_demana]]=7,0.5,1))</f>
        <v>1</v>
      </c>
      <c r="I2846" s="35" t="str">
        <f>_xlfn.XLOOKUP(Metas_Diarias[[#This Row],[data]],Feriados[Data],Feriados[Feriado],1)</f>
        <v>Nossa Sr.a Aparecida - Padroeira do Brasil</v>
      </c>
      <c r="J2846" s="33" cm="1">
        <f t="array" aca="1" ref="J2846" ca="1">SUMPRODUCT(IF((NOT(ISERROR(MATCH(ROW(INDIRECT(DATE(YEAR(B2846),MONTH(B2846),1)&amp;":"&amp;DATE(YEAR(B2846),MONTH(B2846)+1,0))),Feriados[Data],0))))=FALSE,
IF(WEEKDAY(ROW(INDIRECT(DATE(YEAR(B2846),MONTH(B2846),1)&amp;":"&amp;DATE(YEAR(B2846),MONTH(B2846)+1,0))),2)&lt;=5,1,IF(WEEKDAY(ROW(INDIRECT(DATE(YEAR(B2846),MONTH(B2846),1)&amp;":"&amp;DATE(YEAR(B2846),MONTH(B2846)+1,0))),2)=6,0.5,0)),0))</f>
        <v>23.5</v>
      </c>
      <c r="K2846" s="22" cm="1">
        <f t="array" ref="K2846">_xlfn.XLOOKUP(1,((Metas_Diarias[[#This Row],[tipo_equipe_id]]=Metas[equipe])*(Metas_Diarias[[#This Row],[data]]&gt;Metas[data_inicio])*(Metas_Diarias[[#This Row],[data]]&lt;Metas[data_fim])),Metas[meta_mensal],0)</f>
        <v>0</v>
      </c>
      <c r="L284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7" spans="2:12" x14ac:dyDescent="0.3">
      <c r="B2847" s="34">
        <v>46308</v>
      </c>
      <c r="C2847" s="34" t="str">
        <f>TEXT(Metas_Diarias[[#This Row],[data]],"dddd")</f>
        <v>terça-feira</v>
      </c>
      <c r="D2847" s="33">
        <v>3</v>
      </c>
      <c r="E2847" s="33">
        <v>4</v>
      </c>
      <c r="F2847" s="18"/>
      <c r="G2847" s="35">
        <f>WEEKDAY(Metas_Diarias[[#This Row],[data]])</f>
        <v>3</v>
      </c>
      <c r="H2847" s="35">
        <f>IF(Metas_Diarias[[#This Row],[dias_da_demana]]=1,"domingo",IF(Metas_Diarias[[#This Row],[dias_da_demana]]=7,0.5,1))</f>
        <v>1</v>
      </c>
      <c r="I2847" s="35">
        <f>_xlfn.XLOOKUP(Metas_Diarias[[#This Row],[data]],Feriados[Data],Feriados[Feriado],1)</f>
        <v>1</v>
      </c>
      <c r="J2847" s="33" cm="1">
        <f t="array" aca="1" ref="J2847" ca="1">SUMPRODUCT(IF((NOT(ISERROR(MATCH(ROW(INDIRECT(DATE(YEAR(B2847),MONTH(B2847),1)&amp;":"&amp;DATE(YEAR(B2847),MONTH(B2847)+1,0))),Feriados[Data],0))))=FALSE,
IF(WEEKDAY(ROW(INDIRECT(DATE(YEAR(B2847),MONTH(B2847),1)&amp;":"&amp;DATE(YEAR(B2847),MONTH(B2847)+1,0))),2)&lt;=5,1,IF(WEEKDAY(ROW(INDIRECT(DATE(YEAR(B2847),MONTH(B2847),1)&amp;":"&amp;DATE(YEAR(B2847),MONTH(B2847)+1,0))),2)=6,0.5,0)),0))</f>
        <v>23.5</v>
      </c>
      <c r="K2847" s="22" cm="1">
        <f t="array" ref="K2847">_xlfn.XLOOKUP(1,((Metas_Diarias[[#This Row],[tipo_equipe_id]]=Metas[equipe])*(Metas_Diarias[[#This Row],[data]]&gt;Metas[data_inicio])*(Metas_Diarias[[#This Row],[data]]&lt;Metas[data_fim])),Metas[meta_mensal],0)</f>
        <v>0</v>
      </c>
      <c r="L284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8" spans="2:12" x14ac:dyDescent="0.3">
      <c r="B2848" s="34">
        <v>46309</v>
      </c>
      <c r="C2848" s="34" t="str">
        <f>TEXT(Metas_Diarias[[#This Row],[data]],"dddd")</f>
        <v>quarta-feira</v>
      </c>
      <c r="D2848" s="33">
        <v>3</v>
      </c>
      <c r="E2848" s="33">
        <v>4</v>
      </c>
      <c r="F2848" s="18"/>
      <c r="G2848" s="35">
        <f>WEEKDAY(Metas_Diarias[[#This Row],[data]])</f>
        <v>4</v>
      </c>
      <c r="H2848" s="35">
        <f>IF(Metas_Diarias[[#This Row],[dias_da_demana]]=1,"domingo",IF(Metas_Diarias[[#This Row],[dias_da_demana]]=7,0.5,1))</f>
        <v>1</v>
      </c>
      <c r="I2848" s="35">
        <f>_xlfn.XLOOKUP(Metas_Diarias[[#This Row],[data]],Feriados[Data],Feriados[Feriado],1)</f>
        <v>1</v>
      </c>
      <c r="J2848" s="33" cm="1">
        <f t="array" aca="1" ref="J2848" ca="1">SUMPRODUCT(IF((NOT(ISERROR(MATCH(ROW(INDIRECT(DATE(YEAR(B2848),MONTH(B2848),1)&amp;":"&amp;DATE(YEAR(B2848),MONTH(B2848)+1,0))),Feriados[Data],0))))=FALSE,
IF(WEEKDAY(ROW(INDIRECT(DATE(YEAR(B2848),MONTH(B2848),1)&amp;":"&amp;DATE(YEAR(B2848),MONTH(B2848)+1,0))),2)&lt;=5,1,IF(WEEKDAY(ROW(INDIRECT(DATE(YEAR(B2848),MONTH(B2848),1)&amp;":"&amp;DATE(YEAR(B2848),MONTH(B2848)+1,0))),2)=6,0.5,0)),0))</f>
        <v>23.5</v>
      </c>
      <c r="K2848" s="22" cm="1">
        <f t="array" ref="K2848">_xlfn.XLOOKUP(1,((Metas_Diarias[[#This Row],[tipo_equipe_id]]=Metas[equipe])*(Metas_Diarias[[#This Row],[data]]&gt;Metas[data_inicio])*(Metas_Diarias[[#This Row],[data]]&lt;Metas[data_fim])),Metas[meta_mensal],0)</f>
        <v>0</v>
      </c>
      <c r="L284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49" spans="2:12" x14ac:dyDescent="0.3">
      <c r="B2849" s="34">
        <v>46310</v>
      </c>
      <c r="C2849" s="34" t="str">
        <f>TEXT(Metas_Diarias[[#This Row],[data]],"dddd")</f>
        <v>quinta-feira</v>
      </c>
      <c r="D2849" s="33">
        <v>3</v>
      </c>
      <c r="E2849" s="33">
        <v>4</v>
      </c>
      <c r="F2849" s="18"/>
      <c r="G2849" s="35">
        <f>WEEKDAY(Metas_Diarias[[#This Row],[data]])</f>
        <v>5</v>
      </c>
      <c r="H2849" s="35">
        <f>IF(Metas_Diarias[[#This Row],[dias_da_demana]]=1,"domingo",IF(Metas_Diarias[[#This Row],[dias_da_demana]]=7,0.5,1))</f>
        <v>1</v>
      </c>
      <c r="I2849" s="35">
        <f>_xlfn.XLOOKUP(Metas_Diarias[[#This Row],[data]],Feriados[Data],Feriados[Feriado],1)</f>
        <v>1</v>
      </c>
      <c r="J2849" s="33" cm="1">
        <f t="array" aca="1" ref="J2849" ca="1">SUMPRODUCT(IF((NOT(ISERROR(MATCH(ROW(INDIRECT(DATE(YEAR(B2849),MONTH(B2849),1)&amp;":"&amp;DATE(YEAR(B2849),MONTH(B2849)+1,0))),Feriados[Data],0))))=FALSE,
IF(WEEKDAY(ROW(INDIRECT(DATE(YEAR(B2849),MONTH(B2849),1)&amp;":"&amp;DATE(YEAR(B2849),MONTH(B2849)+1,0))),2)&lt;=5,1,IF(WEEKDAY(ROW(INDIRECT(DATE(YEAR(B2849),MONTH(B2849),1)&amp;":"&amp;DATE(YEAR(B2849),MONTH(B2849)+1,0))),2)=6,0.5,0)),0))</f>
        <v>23.5</v>
      </c>
      <c r="K2849" s="22" cm="1">
        <f t="array" ref="K2849">_xlfn.XLOOKUP(1,((Metas_Diarias[[#This Row],[tipo_equipe_id]]=Metas[equipe])*(Metas_Diarias[[#This Row],[data]]&gt;Metas[data_inicio])*(Metas_Diarias[[#This Row],[data]]&lt;Metas[data_fim])),Metas[meta_mensal],0)</f>
        <v>0</v>
      </c>
      <c r="L284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0" spans="2:12" x14ac:dyDescent="0.3">
      <c r="B2850" s="34">
        <v>46311</v>
      </c>
      <c r="C2850" s="34" t="str">
        <f>TEXT(Metas_Diarias[[#This Row],[data]],"dddd")</f>
        <v>sexta-feira</v>
      </c>
      <c r="D2850" s="33">
        <v>3</v>
      </c>
      <c r="E2850" s="33">
        <v>4</v>
      </c>
      <c r="F2850" s="18"/>
      <c r="G2850" s="35">
        <f>WEEKDAY(Metas_Diarias[[#This Row],[data]])</f>
        <v>6</v>
      </c>
      <c r="H2850" s="35">
        <f>IF(Metas_Diarias[[#This Row],[dias_da_demana]]=1,"domingo",IF(Metas_Diarias[[#This Row],[dias_da_demana]]=7,0.5,1))</f>
        <v>1</v>
      </c>
      <c r="I2850" s="35">
        <f>_xlfn.XLOOKUP(Metas_Diarias[[#This Row],[data]],Feriados[Data],Feriados[Feriado],1)</f>
        <v>1</v>
      </c>
      <c r="J2850" s="33" cm="1">
        <f t="array" aca="1" ref="J2850" ca="1">SUMPRODUCT(IF((NOT(ISERROR(MATCH(ROW(INDIRECT(DATE(YEAR(B2850),MONTH(B2850),1)&amp;":"&amp;DATE(YEAR(B2850),MONTH(B2850)+1,0))),Feriados[Data],0))))=FALSE,
IF(WEEKDAY(ROW(INDIRECT(DATE(YEAR(B2850),MONTH(B2850),1)&amp;":"&amp;DATE(YEAR(B2850),MONTH(B2850)+1,0))),2)&lt;=5,1,IF(WEEKDAY(ROW(INDIRECT(DATE(YEAR(B2850),MONTH(B2850),1)&amp;":"&amp;DATE(YEAR(B2850),MONTH(B2850)+1,0))),2)=6,0.5,0)),0))</f>
        <v>23.5</v>
      </c>
      <c r="K2850" s="22" cm="1">
        <f t="array" ref="K2850">_xlfn.XLOOKUP(1,((Metas_Diarias[[#This Row],[tipo_equipe_id]]=Metas[equipe])*(Metas_Diarias[[#This Row],[data]]&gt;Metas[data_inicio])*(Metas_Diarias[[#This Row],[data]]&lt;Metas[data_fim])),Metas[meta_mensal],0)</f>
        <v>0</v>
      </c>
      <c r="L285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1" spans="2:12" x14ac:dyDescent="0.3">
      <c r="B2851" s="34">
        <v>46312</v>
      </c>
      <c r="C2851" s="34" t="str">
        <f>TEXT(Metas_Diarias[[#This Row],[data]],"dddd")</f>
        <v>sábado</v>
      </c>
      <c r="D2851" s="33">
        <v>3</v>
      </c>
      <c r="E2851" s="33">
        <v>4</v>
      </c>
      <c r="F2851" s="18"/>
      <c r="G2851" s="35">
        <f>WEEKDAY(Metas_Diarias[[#This Row],[data]])</f>
        <v>7</v>
      </c>
      <c r="H2851" s="35">
        <f>IF(Metas_Diarias[[#This Row],[dias_da_demana]]=1,"domingo",IF(Metas_Diarias[[#This Row],[dias_da_demana]]=7,0.5,1))</f>
        <v>0.5</v>
      </c>
      <c r="I2851" s="35">
        <f>_xlfn.XLOOKUP(Metas_Diarias[[#This Row],[data]],Feriados[Data],Feriados[Feriado],1)</f>
        <v>1</v>
      </c>
      <c r="J2851" s="33" cm="1">
        <f t="array" aca="1" ref="J2851" ca="1">SUMPRODUCT(IF((NOT(ISERROR(MATCH(ROW(INDIRECT(DATE(YEAR(B2851),MONTH(B2851),1)&amp;":"&amp;DATE(YEAR(B2851),MONTH(B2851)+1,0))),Feriados[Data],0))))=FALSE,
IF(WEEKDAY(ROW(INDIRECT(DATE(YEAR(B2851),MONTH(B2851),1)&amp;":"&amp;DATE(YEAR(B2851),MONTH(B2851)+1,0))),2)&lt;=5,1,IF(WEEKDAY(ROW(INDIRECT(DATE(YEAR(B2851),MONTH(B2851),1)&amp;":"&amp;DATE(YEAR(B2851),MONTH(B2851)+1,0))),2)=6,0.5,0)),0))</f>
        <v>23.5</v>
      </c>
      <c r="K2851" s="22" cm="1">
        <f t="array" ref="K2851">_xlfn.XLOOKUP(1,((Metas_Diarias[[#This Row],[tipo_equipe_id]]=Metas[equipe])*(Metas_Diarias[[#This Row],[data]]&gt;Metas[data_inicio])*(Metas_Diarias[[#This Row],[data]]&lt;Metas[data_fim])),Metas[meta_mensal],0)</f>
        <v>0</v>
      </c>
      <c r="L285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2" spans="2:12" x14ac:dyDescent="0.3">
      <c r="B2852" s="34">
        <v>46313</v>
      </c>
      <c r="C2852" s="34" t="str">
        <f>TEXT(Metas_Diarias[[#This Row],[data]],"dddd")</f>
        <v>domingo</v>
      </c>
      <c r="D2852" s="33">
        <v>3</v>
      </c>
      <c r="E2852" s="33">
        <v>4</v>
      </c>
      <c r="F2852" s="18"/>
      <c r="G2852" s="35">
        <f>WEEKDAY(Metas_Diarias[[#This Row],[data]])</f>
        <v>1</v>
      </c>
      <c r="H2852" s="35" t="str">
        <f>IF(Metas_Diarias[[#This Row],[dias_da_demana]]=1,"domingo",IF(Metas_Diarias[[#This Row],[dias_da_demana]]=7,0.5,1))</f>
        <v>domingo</v>
      </c>
      <c r="I2852" s="35">
        <f>_xlfn.XLOOKUP(Metas_Diarias[[#This Row],[data]],Feriados[Data],Feriados[Feriado],1)</f>
        <v>1</v>
      </c>
      <c r="J2852" s="33" cm="1">
        <f t="array" aca="1" ref="J2852" ca="1">SUMPRODUCT(IF((NOT(ISERROR(MATCH(ROW(INDIRECT(DATE(YEAR(B2852),MONTH(B2852),1)&amp;":"&amp;DATE(YEAR(B2852),MONTH(B2852)+1,0))),Feriados[Data],0))))=FALSE,
IF(WEEKDAY(ROW(INDIRECT(DATE(YEAR(B2852),MONTH(B2852),1)&amp;":"&amp;DATE(YEAR(B2852),MONTH(B2852)+1,0))),2)&lt;=5,1,IF(WEEKDAY(ROW(INDIRECT(DATE(YEAR(B2852),MONTH(B2852),1)&amp;":"&amp;DATE(YEAR(B2852),MONTH(B2852)+1,0))),2)=6,0.5,0)),0))</f>
        <v>23.5</v>
      </c>
      <c r="K2852" s="22" cm="1">
        <f t="array" ref="K2852">_xlfn.XLOOKUP(1,((Metas_Diarias[[#This Row],[tipo_equipe_id]]=Metas[equipe])*(Metas_Diarias[[#This Row],[data]]&gt;Metas[data_inicio])*(Metas_Diarias[[#This Row],[data]]&lt;Metas[data_fim])),Metas[meta_mensal],0)</f>
        <v>0</v>
      </c>
      <c r="L285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3" spans="2:12" x14ac:dyDescent="0.3">
      <c r="B2853" s="34">
        <v>46314</v>
      </c>
      <c r="C2853" s="34" t="str">
        <f>TEXT(Metas_Diarias[[#This Row],[data]],"dddd")</f>
        <v>segunda-feira</v>
      </c>
      <c r="D2853" s="33">
        <v>3</v>
      </c>
      <c r="E2853" s="33">
        <v>4</v>
      </c>
      <c r="F2853" s="18"/>
      <c r="G2853" s="35">
        <f>WEEKDAY(Metas_Diarias[[#This Row],[data]])</f>
        <v>2</v>
      </c>
      <c r="H2853" s="35">
        <f>IF(Metas_Diarias[[#This Row],[dias_da_demana]]=1,"domingo",IF(Metas_Diarias[[#This Row],[dias_da_demana]]=7,0.5,1))</f>
        <v>1</v>
      </c>
      <c r="I2853" s="35">
        <f>_xlfn.XLOOKUP(Metas_Diarias[[#This Row],[data]],Feriados[Data],Feriados[Feriado],1)</f>
        <v>1</v>
      </c>
      <c r="J2853" s="33" cm="1">
        <f t="array" aca="1" ref="J2853" ca="1">SUMPRODUCT(IF((NOT(ISERROR(MATCH(ROW(INDIRECT(DATE(YEAR(B2853),MONTH(B2853),1)&amp;":"&amp;DATE(YEAR(B2853),MONTH(B2853)+1,0))),Feriados[Data],0))))=FALSE,
IF(WEEKDAY(ROW(INDIRECT(DATE(YEAR(B2853),MONTH(B2853),1)&amp;":"&amp;DATE(YEAR(B2853),MONTH(B2853)+1,0))),2)&lt;=5,1,IF(WEEKDAY(ROW(INDIRECT(DATE(YEAR(B2853),MONTH(B2853),1)&amp;":"&amp;DATE(YEAR(B2853),MONTH(B2853)+1,0))),2)=6,0.5,0)),0))</f>
        <v>23.5</v>
      </c>
      <c r="K2853" s="22" cm="1">
        <f t="array" ref="K2853">_xlfn.XLOOKUP(1,((Metas_Diarias[[#This Row],[tipo_equipe_id]]=Metas[equipe])*(Metas_Diarias[[#This Row],[data]]&gt;Metas[data_inicio])*(Metas_Diarias[[#This Row],[data]]&lt;Metas[data_fim])),Metas[meta_mensal],0)</f>
        <v>0</v>
      </c>
      <c r="L285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4" spans="2:12" x14ac:dyDescent="0.3">
      <c r="B2854" s="34">
        <v>46315</v>
      </c>
      <c r="C2854" s="34" t="str">
        <f>TEXT(Metas_Diarias[[#This Row],[data]],"dddd")</f>
        <v>terça-feira</v>
      </c>
      <c r="D2854" s="33">
        <v>3</v>
      </c>
      <c r="E2854" s="33">
        <v>4</v>
      </c>
      <c r="F2854" s="18"/>
      <c r="G2854" s="35">
        <f>WEEKDAY(Metas_Diarias[[#This Row],[data]])</f>
        <v>3</v>
      </c>
      <c r="H2854" s="35">
        <f>IF(Metas_Diarias[[#This Row],[dias_da_demana]]=1,"domingo",IF(Metas_Diarias[[#This Row],[dias_da_demana]]=7,0.5,1))</f>
        <v>1</v>
      </c>
      <c r="I2854" s="35">
        <f>_xlfn.XLOOKUP(Metas_Diarias[[#This Row],[data]],Feriados[Data],Feriados[Feriado],1)</f>
        <v>1</v>
      </c>
      <c r="J2854" s="33" cm="1">
        <f t="array" aca="1" ref="J2854" ca="1">SUMPRODUCT(IF((NOT(ISERROR(MATCH(ROW(INDIRECT(DATE(YEAR(B2854),MONTH(B2854),1)&amp;":"&amp;DATE(YEAR(B2854),MONTH(B2854)+1,0))),Feriados[Data],0))))=FALSE,
IF(WEEKDAY(ROW(INDIRECT(DATE(YEAR(B2854),MONTH(B2854),1)&amp;":"&amp;DATE(YEAR(B2854),MONTH(B2854)+1,0))),2)&lt;=5,1,IF(WEEKDAY(ROW(INDIRECT(DATE(YEAR(B2854),MONTH(B2854),1)&amp;":"&amp;DATE(YEAR(B2854),MONTH(B2854)+1,0))),2)=6,0.5,0)),0))</f>
        <v>23.5</v>
      </c>
      <c r="K2854" s="22" cm="1">
        <f t="array" ref="K2854">_xlfn.XLOOKUP(1,((Metas_Diarias[[#This Row],[tipo_equipe_id]]=Metas[equipe])*(Metas_Diarias[[#This Row],[data]]&gt;Metas[data_inicio])*(Metas_Diarias[[#This Row],[data]]&lt;Metas[data_fim])),Metas[meta_mensal],0)</f>
        <v>0</v>
      </c>
      <c r="L285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5" spans="2:12" x14ac:dyDescent="0.3">
      <c r="B2855" s="34">
        <v>46316</v>
      </c>
      <c r="C2855" s="34" t="str">
        <f>TEXT(Metas_Diarias[[#This Row],[data]],"dddd")</f>
        <v>quarta-feira</v>
      </c>
      <c r="D2855" s="33">
        <v>3</v>
      </c>
      <c r="E2855" s="33">
        <v>4</v>
      </c>
      <c r="F2855" s="18"/>
      <c r="G2855" s="35">
        <f>WEEKDAY(Metas_Diarias[[#This Row],[data]])</f>
        <v>4</v>
      </c>
      <c r="H2855" s="35">
        <f>IF(Metas_Diarias[[#This Row],[dias_da_demana]]=1,"domingo",IF(Metas_Diarias[[#This Row],[dias_da_demana]]=7,0.5,1))</f>
        <v>1</v>
      </c>
      <c r="I2855" s="35">
        <f>_xlfn.XLOOKUP(Metas_Diarias[[#This Row],[data]],Feriados[Data],Feriados[Feriado],1)</f>
        <v>1</v>
      </c>
      <c r="J2855" s="33" cm="1">
        <f t="array" aca="1" ref="J2855" ca="1">SUMPRODUCT(IF((NOT(ISERROR(MATCH(ROW(INDIRECT(DATE(YEAR(B2855),MONTH(B2855),1)&amp;":"&amp;DATE(YEAR(B2855),MONTH(B2855)+1,0))),Feriados[Data],0))))=FALSE,
IF(WEEKDAY(ROW(INDIRECT(DATE(YEAR(B2855),MONTH(B2855),1)&amp;":"&amp;DATE(YEAR(B2855),MONTH(B2855)+1,0))),2)&lt;=5,1,IF(WEEKDAY(ROW(INDIRECT(DATE(YEAR(B2855),MONTH(B2855),1)&amp;":"&amp;DATE(YEAR(B2855),MONTH(B2855)+1,0))),2)=6,0.5,0)),0))</f>
        <v>23.5</v>
      </c>
      <c r="K2855" s="22" cm="1">
        <f t="array" ref="K2855">_xlfn.XLOOKUP(1,((Metas_Diarias[[#This Row],[tipo_equipe_id]]=Metas[equipe])*(Metas_Diarias[[#This Row],[data]]&gt;Metas[data_inicio])*(Metas_Diarias[[#This Row],[data]]&lt;Metas[data_fim])),Metas[meta_mensal],0)</f>
        <v>0</v>
      </c>
      <c r="L285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6" spans="2:12" x14ac:dyDescent="0.3">
      <c r="B2856" s="34">
        <v>46317</v>
      </c>
      <c r="C2856" s="34" t="str">
        <f>TEXT(Metas_Diarias[[#This Row],[data]],"dddd")</f>
        <v>quinta-feira</v>
      </c>
      <c r="D2856" s="33">
        <v>3</v>
      </c>
      <c r="E2856" s="33">
        <v>4</v>
      </c>
      <c r="F2856" s="18"/>
      <c r="G2856" s="35">
        <f>WEEKDAY(Metas_Diarias[[#This Row],[data]])</f>
        <v>5</v>
      </c>
      <c r="H2856" s="35">
        <f>IF(Metas_Diarias[[#This Row],[dias_da_demana]]=1,"domingo",IF(Metas_Diarias[[#This Row],[dias_da_demana]]=7,0.5,1))</f>
        <v>1</v>
      </c>
      <c r="I2856" s="35">
        <f>_xlfn.XLOOKUP(Metas_Diarias[[#This Row],[data]],Feriados[Data],Feriados[Feriado],1)</f>
        <v>1</v>
      </c>
      <c r="J2856" s="33" cm="1">
        <f t="array" aca="1" ref="J2856" ca="1">SUMPRODUCT(IF((NOT(ISERROR(MATCH(ROW(INDIRECT(DATE(YEAR(B2856),MONTH(B2856),1)&amp;":"&amp;DATE(YEAR(B2856),MONTH(B2856)+1,0))),Feriados[Data],0))))=FALSE,
IF(WEEKDAY(ROW(INDIRECT(DATE(YEAR(B2856),MONTH(B2856),1)&amp;":"&amp;DATE(YEAR(B2856),MONTH(B2856)+1,0))),2)&lt;=5,1,IF(WEEKDAY(ROW(INDIRECT(DATE(YEAR(B2856),MONTH(B2856),1)&amp;":"&amp;DATE(YEAR(B2856),MONTH(B2856)+1,0))),2)=6,0.5,0)),0))</f>
        <v>23.5</v>
      </c>
      <c r="K2856" s="22" cm="1">
        <f t="array" ref="K2856">_xlfn.XLOOKUP(1,((Metas_Diarias[[#This Row],[tipo_equipe_id]]=Metas[equipe])*(Metas_Diarias[[#This Row],[data]]&gt;Metas[data_inicio])*(Metas_Diarias[[#This Row],[data]]&lt;Metas[data_fim])),Metas[meta_mensal],0)</f>
        <v>0</v>
      </c>
      <c r="L285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7" spans="2:12" x14ac:dyDescent="0.3">
      <c r="B2857" s="34">
        <v>46318</v>
      </c>
      <c r="C2857" s="34" t="str">
        <f>TEXT(Metas_Diarias[[#This Row],[data]],"dddd")</f>
        <v>sexta-feira</v>
      </c>
      <c r="D2857" s="33">
        <v>3</v>
      </c>
      <c r="E2857" s="33">
        <v>4</v>
      </c>
      <c r="F2857" s="18"/>
      <c r="G2857" s="35">
        <f>WEEKDAY(Metas_Diarias[[#This Row],[data]])</f>
        <v>6</v>
      </c>
      <c r="H2857" s="35">
        <f>IF(Metas_Diarias[[#This Row],[dias_da_demana]]=1,"domingo",IF(Metas_Diarias[[#This Row],[dias_da_demana]]=7,0.5,1))</f>
        <v>1</v>
      </c>
      <c r="I2857" s="35">
        <f>_xlfn.XLOOKUP(Metas_Diarias[[#This Row],[data]],Feriados[Data],Feriados[Feriado],1)</f>
        <v>1</v>
      </c>
      <c r="J2857" s="33" cm="1">
        <f t="array" aca="1" ref="J2857" ca="1">SUMPRODUCT(IF((NOT(ISERROR(MATCH(ROW(INDIRECT(DATE(YEAR(B2857),MONTH(B2857),1)&amp;":"&amp;DATE(YEAR(B2857),MONTH(B2857)+1,0))),Feriados[Data],0))))=FALSE,
IF(WEEKDAY(ROW(INDIRECT(DATE(YEAR(B2857),MONTH(B2857),1)&amp;":"&amp;DATE(YEAR(B2857),MONTH(B2857)+1,0))),2)&lt;=5,1,IF(WEEKDAY(ROW(INDIRECT(DATE(YEAR(B2857),MONTH(B2857),1)&amp;":"&amp;DATE(YEAR(B2857),MONTH(B2857)+1,0))),2)=6,0.5,0)),0))</f>
        <v>23.5</v>
      </c>
      <c r="K2857" s="22" cm="1">
        <f t="array" ref="K2857">_xlfn.XLOOKUP(1,((Metas_Diarias[[#This Row],[tipo_equipe_id]]=Metas[equipe])*(Metas_Diarias[[#This Row],[data]]&gt;Metas[data_inicio])*(Metas_Diarias[[#This Row],[data]]&lt;Metas[data_fim])),Metas[meta_mensal],0)</f>
        <v>0</v>
      </c>
      <c r="L285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8" spans="2:12" x14ac:dyDescent="0.3">
      <c r="B2858" s="34">
        <v>46319</v>
      </c>
      <c r="C2858" s="34" t="str">
        <f>TEXT(Metas_Diarias[[#This Row],[data]],"dddd")</f>
        <v>sábado</v>
      </c>
      <c r="D2858" s="33">
        <v>3</v>
      </c>
      <c r="E2858" s="33">
        <v>4</v>
      </c>
      <c r="F2858" s="18"/>
      <c r="G2858" s="35">
        <f>WEEKDAY(Metas_Diarias[[#This Row],[data]])</f>
        <v>7</v>
      </c>
      <c r="H2858" s="35">
        <f>IF(Metas_Diarias[[#This Row],[dias_da_demana]]=1,"domingo",IF(Metas_Diarias[[#This Row],[dias_da_demana]]=7,0.5,1))</f>
        <v>0.5</v>
      </c>
      <c r="I2858" s="35">
        <f>_xlfn.XLOOKUP(Metas_Diarias[[#This Row],[data]],Feriados[Data],Feriados[Feriado],1)</f>
        <v>1</v>
      </c>
      <c r="J2858" s="33" cm="1">
        <f t="array" aca="1" ref="J2858" ca="1">SUMPRODUCT(IF((NOT(ISERROR(MATCH(ROW(INDIRECT(DATE(YEAR(B2858),MONTH(B2858),1)&amp;":"&amp;DATE(YEAR(B2858),MONTH(B2858)+1,0))),Feriados[Data],0))))=FALSE,
IF(WEEKDAY(ROW(INDIRECT(DATE(YEAR(B2858),MONTH(B2858),1)&amp;":"&amp;DATE(YEAR(B2858),MONTH(B2858)+1,0))),2)&lt;=5,1,IF(WEEKDAY(ROW(INDIRECT(DATE(YEAR(B2858),MONTH(B2858),1)&amp;":"&amp;DATE(YEAR(B2858),MONTH(B2858)+1,0))),2)=6,0.5,0)),0))</f>
        <v>23.5</v>
      </c>
      <c r="K2858" s="22" cm="1">
        <f t="array" ref="K2858">_xlfn.XLOOKUP(1,((Metas_Diarias[[#This Row],[tipo_equipe_id]]=Metas[equipe])*(Metas_Diarias[[#This Row],[data]]&gt;Metas[data_inicio])*(Metas_Diarias[[#This Row],[data]]&lt;Metas[data_fim])),Metas[meta_mensal],0)</f>
        <v>0</v>
      </c>
      <c r="L285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59" spans="2:12" x14ac:dyDescent="0.3">
      <c r="B2859" s="34">
        <v>46320</v>
      </c>
      <c r="C2859" s="34" t="str">
        <f>TEXT(Metas_Diarias[[#This Row],[data]],"dddd")</f>
        <v>domingo</v>
      </c>
      <c r="D2859" s="33">
        <v>3</v>
      </c>
      <c r="E2859" s="33">
        <v>4</v>
      </c>
      <c r="F2859" s="18"/>
      <c r="G2859" s="35">
        <f>WEEKDAY(Metas_Diarias[[#This Row],[data]])</f>
        <v>1</v>
      </c>
      <c r="H2859" s="35" t="str">
        <f>IF(Metas_Diarias[[#This Row],[dias_da_demana]]=1,"domingo",IF(Metas_Diarias[[#This Row],[dias_da_demana]]=7,0.5,1))</f>
        <v>domingo</v>
      </c>
      <c r="I2859" s="35">
        <f>_xlfn.XLOOKUP(Metas_Diarias[[#This Row],[data]],Feriados[Data],Feriados[Feriado],1)</f>
        <v>1</v>
      </c>
      <c r="J2859" s="33" cm="1">
        <f t="array" aca="1" ref="J2859" ca="1">SUMPRODUCT(IF((NOT(ISERROR(MATCH(ROW(INDIRECT(DATE(YEAR(B2859),MONTH(B2859),1)&amp;":"&amp;DATE(YEAR(B2859),MONTH(B2859)+1,0))),Feriados[Data],0))))=FALSE,
IF(WEEKDAY(ROW(INDIRECT(DATE(YEAR(B2859),MONTH(B2859),1)&amp;":"&amp;DATE(YEAR(B2859),MONTH(B2859)+1,0))),2)&lt;=5,1,IF(WEEKDAY(ROW(INDIRECT(DATE(YEAR(B2859),MONTH(B2859),1)&amp;":"&amp;DATE(YEAR(B2859),MONTH(B2859)+1,0))),2)=6,0.5,0)),0))</f>
        <v>23.5</v>
      </c>
      <c r="K2859" s="22" cm="1">
        <f t="array" ref="K2859">_xlfn.XLOOKUP(1,((Metas_Diarias[[#This Row],[tipo_equipe_id]]=Metas[equipe])*(Metas_Diarias[[#This Row],[data]]&gt;Metas[data_inicio])*(Metas_Diarias[[#This Row],[data]]&lt;Metas[data_fim])),Metas[meta_mensal],0)</f>
        <v>0</v>
      </c>
      <c r="L285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0" spans="2:12" x14ac:dyDescent="0.3">
      <c r="B2860" s="34">
        <v>46321</v>
      </c>
      <c r="C2860" s="34" t="str">
        <f>TEXT(Metas_Diarias[[#This Row],[data]],"dddd")</f>
        <v>segunda-feira</v>
      </c>
      <c r="D2860" s="33">
        <v>3</v>
      </c>
      <c r="E2860" s="33">
        <v>4</v>
      </c>
      <c r="F2860" s="18"/>
      <c r="G2860" s="35">
        <f>WEEKDAY(Metas_Diarias[[#This Row],[data]])</f>
        <v>2</v>
      </c>
      <c r="H2860" s="35">
        <f>IF(Metas_Diarias[[#This Row],[dias_da_demana]]=1,"domingo",IF(Metas_Diarias[[#This Row],[dias_da_demana]]=7,0.5,1))</f>
        <v>1</v>
      </c>
      <c r="I2860" s="35">
        <f>_xlfn.XLOOKUP(Metas_Diarias[[#This Row],[data]],Feriados[Data],Feriados[Feriado],1)</f>
        <v>1</v>
      </c>
      <c r="J2860" s="33" cm="1">
        <f t="array" aca="1" ref="J2860" ca="1">SUMPRODUCT(IF((NOT(ISERROR(MATCH(ROW(INDIRECT(DATE(YEAR(B2860),MONTH(B2860),1)&amp;":"&amp;DATE(YEAR(B2860),MONTH(B2860)+1,0))),Feriados[Data],0))))=FALSE,
IF(WEEKDAY(ROW(INDIRECT(DATE(YEAR(B2860),MONTH(B2860),1)&amp;":"&amp;DATE(YEAR(B2860),MONTH(B2860)+1,0))),2)&lt;=5,1,IF(WEEKDAY(ROW(INDIRECT(DATE(YEAR(B2860),MONTH(B2860),1)&amp;":"&amp;DATE(YEAR(B2860),MONTH(B2860)+1,0))),2)=6,0.5,0)),0))</f>
        <v>23.5</v>
      </c>
      <c r="K2860" s="22" cm="1">
        <f t="array" ref="K2860">_xlfn.XLOOKUP(1,((Metas_Diarias[[#This Row],[tipo_equipe_id]]=Metas[equipe])*(Metas_Diarias[[#This Row],[data]]&gt;Metas[data_inicio])*(Metas_Diarias[[#This Row],[data]]&lt;Metas[data_fim])),Metas[meta_mensal],0)</f>
        <v>0</v>
      </c>
      <c r="L286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1" spans="2:12" x14ac:dyDescent="0.3">
      <c r="B2861" s="34">
        <v>46322</v>
      </c>
      <c r="C2861" s="34" t="str">
        <f>TEXT(Metas_Diarias[[#This Row],[data]],"dddd")</f>
        <v>terça-feira</v>
      </c>
      <c r="D2861" s="33">
        <v>3</v>
      </c>
      <c r="E2861" s="33">
        <v>4</v>
      </c>
      <c r="F2861" s="18"/>
      <c r="G2861" s="35">
        <f>WEEKDAY(Metas_Diarias[[#This Row],[data]])</f>
        <v>3</v>
      </c>
      <c r="H2861" s="35">
        <f>IF(Metas_Diarias[[#This Row],[dias_da_demana]]=1,"domingo",IF(Metas_Diarias[[#This Row],[dias_da_demana]]=7,0.5,1))</f>
        <v>1</v>
      </c>
      <c r="I2861" s="35">
        <f>_xlfn.XLOOKUP(Metas_Diarias[[#This Row],[data]],Feriados[Data],Feriados[Feriado],1)</f>
        <v>1</v>
      </c>
      <c r="J2861" s="33" cm="1">
        <f t="array" aca="1" ref="J2861" ca="1">SUMPRODUCT(IF((NOT(ISERROR(MATCH(ROW(INDIRECT(DATE(YEAR(B2861),MONTH(B2861),1)&amp;":"&amp;DATE(YEAR(B2861),MONTH(B2861)+1,0))),Feriados[Data],0))))=FALSE,
IF(WEEKDAY(ROW(INDIRECT(DATE(YEAR(B2861),MONTH(B2861),1)&amp;":"&amp;DATE(YEAR(B2861),MONTH(B2861)+1,0))),2)&lt;=5,1,IF(WEEKDAY(ROW(INDIRECT(DATE(YEAR(B2861),MONTH(B2861),1)&amp;":"&amp;DATE(YEAR(B2861),MONTH(B2861)+1,0))),2)=6,0.5,0)),0))</f>
        <v>23.5</v>
      </c>
      <c r="K2861" s="22" cm="1">
        <f t="array" ref="K2861">_xlfn.XLOOKUP(1,((Metas_Diarias[[#This Row],[tipo_equipe_id]]=Metas[equipe])*(Metas_Diarias[[#This Row],[data]]&gt;Metas[data_inicio])*(Metas_Diarias[[#This Row],[data]]&lt;Metas[data_fim])),Metas[meta_mensal],0)</f>
        <v>0</v>
      </c>
      <c r="L286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2" spans="2:12" x14ac:dyDescent="0.3">
      <c r="B2862" s="34">
        <v>46323</v>
      </c>
      <c r="C2862" s="34" t="str">
        <f>TEXT(Metas_Diarias[[#This Row],[data]],"dddd")</f>
        <v>quarta-feira</v>
      </c>
      <c r="D2862" s="33">
        <v>3</v>
      </c>
      <c r="E2862" s="33">
        <v>4</v>
      </c>
      <c r="F2862" s="18"/>
      <c r="G2862" s="35">
        <f>WEEKDAY(Metas_Diarias[[#This Row],[data]])</f>
        <v>4</v>
      </c>
      <c r="H2862" s="35">
        <f>IF(Metas_Diarias[[#This Row],[dias_da_demana]]=1,"domingo",IF(Metas_Diarias[[#This Row],[dias_da_demana]]=7,0.5,1))</f>
        <v>1</v>
      </c>
      <c r="I2862" s="35">
        <f>_xlfn.XLOOKUP(Metas_Diarias[[#This Row],[data]],Feriados[Data],Feriados[Feriado],1)</f>
        <v>1</v>
      </c>
      <c r="J2862" s="33" cm="1">
        <f t="array" aca="1" ref="J2862" ca="1">SUMPRODUCT(IF((NOT(ISERROR(MATCH(ROW(INDIRECT(DATE(YEAR(B2862),MONTH(B2862),1)&amp;":"&amp;DATE(YEAR(B2862),MONTH(B2862)+1,0))),Feriados[Data],0))))=FALSE,
IF(WEEKDAY(ROW(INDIRECT(DATE(YEAR(B2862),MONTH(B2862),1)&amp;":"&amp;DATE(YEAR(B2862),MONTH(B2862)+1,0))),2)&lt;=5,1,IF(WEEKDAY(ROW(INDIRECT(DATE(YEAR(B2862),MONTH(B2862),1)&amp;":"&amp;DATE(YEAR(B2862),MONTH(B2862)+1,0))),2)=6,0.5,0)),0))</f>
        <v>23.5</v>
      </c>
      <c r="K2862" s="22" cm="1">
        <f t="array" ref="K2862">_xlfn.XLOOKUP(1,((Metas_Diarias[[#This Row],[tipo_equipe_id]]=Metas[equipe])*(Metas_Diarias[[#This Row],[data]]&gt;Metas[data_inicio])*(Metas_Diarias[[#This Row],[data]]&lt;Metas[data_fim])),Metas[meta_mensal],0)</f>
        <v>0</v>
      </c>
      <c r="L286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3" spans="2:12" x14ac:dyDescent="0.3">
      <c r="B2863" s="34">
        <v>46324</v>
      </c>
      <c r="C2863" s="34" t="str">
        <f>TEXT(Metas_Diarias[[#This Row],[data]],"dddd")</f>
        <v>quinta-feira</v>
      </c>
      <c r="D2863" s="33">
        <v>3</v>
      </c>
      <c r="E2863" s="33">
        <v>4</v>
      </c>
      <c r="F2863" s="18"/>
      <c r="G2863" s="35">
        <f>WEEKDAY(Metas_Diarias[[#This Row],[data]])</f>
        <v>5</v>
      </c>
      <c r="H2863" s="35">
        <f>IF(Metas_Diarias[[#This Row],[dias_da_demana]]=1,"domingo",IF(Metas_Diarias[[#This Row],[dias_da_demana]]=7,0.5,1))</f>
        <v>1</v>
      </c>
      <c r="I2863" s="35">
        <f>_xlfn.XLOOKUP(Metas_Diarias[[#This Row],[data]],Feriados[Data],Feriados[Feriado],1)</f>
        <v>1</v>
      </c>
      <c r="J2863" s="33" cm="1">
        <f t="array" aca="1" ref="J2863" ca="1">SUMPRODUCT(IF((NOT(ISERROR(MATCH(ROW(INDIRECT(DATE(YEAR(B2863),MONTH(B2863),1)&amp;":"&amp;DATE(YEAR(B2863),MONTH(B2863)+1,0))),Feriados[Data],0))))=FALSE,
IF(WEEKDAY(ROW(INDIRECT(DATE(YEAR(B2863),MONTH(B2863),1)&amp;":"&amp;DATE(YEAR(B2863),MONTH(B2863)+1,0))),2)&lt;=5,1,IF(WEEKDAY(ROW(INDIRECT(DATE(YEAR(B2863),MONTH(B2863),1)&amp;":"&amp;DATE(YEAR(B2863),MONTH(B2863)+1,0))),2)=6,0.5,0)),0))</f>
        <v>23.5</v>
      </c>
      <c r="K2863" s="22" cm="1">
        <f t="array" ref="K2863">_xlfn.XLOOKUP(1,((Metas_Diarias[[#This Row],[tipo_equipe_id]]=Metas[equipe])*(Metas_Diarias[[#This Row],[data]]&gt;Metas[data_inicio])*(Metas_Diarias[[#This Row],[data]]&lt;Metas[data_fim])),Metas[meta_mensal],0)</f>
        <v>0</v>
      </c>
      <c r="L286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4" spans="2:12" x14ac:dyDescent="0.3">
      <c r="B2864" s="34">
        <v>46325</v>
      </c>
      <c r="C2864" s="34" t="str">
        <f>TEXT(Metas_Diarias[[#This Row],[data]],"dddd")</f>
        <v>sexta-feira</v>
      </c>
      <c r="D2864" s="33">
        <v>3</v>
      </c>
      <c r="E2864" s="33">
        <v>4</v>
      </c>
      <c r="F2864" s="18"/>
      <c r="G2864" s="35">
        <f>WEEKDAY(Metas_Diarias[[#This Row],[data]])</f>
        <v>6</v>
      </c>
      <c r="H2864" s="35">
        <f>IF(Metas_Diarias[[#This Row],[dias_da_demana]]=1,"domingo",IF(Metas_Diarias[[#This Row],[dias_da_demana]]=7,0.5,1))</f>
        <v>1</v>
      </c>
      <c r="I2864" s="35">
        <f>_xlfn.XLOOKUP(Metas_Diarias[[#This Row],[data]],Feriados[Data],Feriados[Feriado],1)</f>
        <v>1</v>
      </c>
      <c r="J2864" s="33" cm="1">
        <f t="array" aca="1" ref="J2864" ca="1">SUMPRODUCT(IF((NOT(ISERROR(MATCH(ROW(INDIRECT(DATE(YEAR(B2864),MONTH(B2864),1)&amp;":"&amp;DATE(YEAR(B2864),MONTH(B2864)+1,0))),Feriados[Data],0))))=FALSE,
IF(WEEKDAY(ROW(INDIRECT(DATE(YEAR(B2864),MONTH(B2864),1)&amp;":"&amp;DATE(YEAR(B2864),MONTH(B2864)+1,0))),2)&lt;=5,1,IF(WEEKDAY(ROW(INDIRECT(DATE(YEAR(B2864),MONTH(B2864),1)&amp;":"&amp;DATE(YEAR(B2864),MONTH(B2864)+1,0))),2)=6,0.5,0)),0))</f>
        <v>23.5</v>
      </c>
      <c r="K2864" s="22" cm="1">
        <f t="array" ref="K2864">_xlfn.XLOOKUP(1,((Metas_Diarias[[#This Row],[tipo_equipe_id]]=Metas[equipe])*(Metas_Diarias[[#This Row],[data]]&gt;Metas[data_inicio])*(Metas_Diarias[[#This Row],[data]]&lt;Metas[data_fim])),Metas[meta_mensal],0)</f>
        <v>0</v>
      </c>
      <c r="L286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5" spans="2:12" x14ac:dyDescent="0.3">
      <c r="B2865" s="34">
        <v>46326</v>
      </c>
      <c r="C2865" s="34" t="str">
        <f>TEXT(Metas_Diarias[[#This Row],[data]],"dddd")</f>
        <v>sábado</v>
      </c>
      <c r="D2865" s="33">
        <v>3</v>
      </c>
      <c r="E2865" s="33">
        <v>4</v>
      </c>
      <c r="F2865" s="18"/>
      <c r="G2865" s="35">
        <f>WEEKDAY(Metas_Diarias[[#This Row],[data]])</f>
        <v>7</v>
      </c>
      <c r="H2865" s="35">
        <f>IF(Metas_Diarias[[#This Row],[dias_da_demana]]=1,"domingo",IF(Metas_Diarias[[#This Row],[dias_da_demana]]=7,0.5,1))</f>
        <v>0.5</v>
      </c>
      <c r="I2865" s="35">
        <f>_xlfn.XLOOKUP(Metas_Diarias[[#This Row],[data]],Feriados[Data],Feriados[Feriado],1)</f>
        <v>1</v>
      </c>
      <c r="J2865" s="33" cm="1">
        <f t="array" aca="1" ref="J2865" ca="1">SUMPRODUCT(IF((NOT(ISERROR(MATCH(ROW(INDIRECT(DATE(YEAR(B2865),MONTH(B2865),1)&amp;":"&amp;DATE(YEAR(B2865),MONTH(B2865)+1,0))),Feriados[Data],0))))=FALSE,
IF(WEEKDAY(ROW(INDIRECT(DATE(YEAR(B2865),MONTH(B2865),1)&amp;":"&amp;DATE(YEAR(B2865),MONTH(B2865)+1,0))),2)&lt;=5,1,IF(WEEKDAY(ROW(INDIRECT(DATE(YEAR(B2865),MONTH(B2865),1)&amp;":"&amp;DATE(YEAR(B2865),MONTH(B2865)+1,0))),2)=6,0.5,0)),0))</f>
        <v>23.5</v>
      </c>
      <c r="K2865" s="22" cm="1">
        <f t="array" ref="K2865">_xlfn.XLOOKUP(1,((Metas_Diarias[[#This Row],[tipo_equipe_id]]=Metas[equipe])*(Metas_Diarias[[#This Row],[data]]&gt;Metas[data_inicio])*(Metas_Diarias[[#This Row],[data]]&lt;Metas[data_fim])),Metas[meta_mensal],0)</f>
        <v>0</v>
      </c>
      <c r="L286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6" spans="2:12" x14ac:dyDescent="0.3">
      <c r="B2866" s="34">
        <v>46327</v>
      </c>
      <c r="C2866" s="34" t="str">
        <f>TEXT(Metas_Diarias[[#This Row],[data]],"dddd")</f>
        <v>domingo</v>
      </c>
      <c r="D2866" s="33">
        <v>3</v>
      </c>
      <c r="E2866" s="33">
        <v>4</v>
      </c>
      <c r="F2866" s="18"/>
      <c r="G2866" s="35">
        <f>WEEKDAY(Metas_Diarias[[#This Row],[data]])</f>
        <v>1</v>
      </c>
      <c r="H2866" s="35" t="str">
        <f>IF(Metas_Diarias[[#This Row],[dias_da_demana]]=1,"domingo",IF(Metas_Diarias[[#This Row],[dias_da_demana]]=7,0.5,1))</f>
        <v>domingo</v>
      </c>
      <c r="I2866" s="35">
        <f>_xlfn.XLOOKUP(Metas_Diarias[[#This Row],[data]],Feriados[Data],Feriados[Feriado],1)</f>
        <v>1</v>
      </c>
      <c r="J2866" s="33" cm="1">
        <f t="array" aca="1" ref="J2866" ca="1">SUMPRODUCT(IF((NOT(ISERROR(MATCH(ROW(INDIRECT(DATE(YEAR(B2866),MONTH(B2866),1)&amp;":"&amp;DATE(YEAR(B2866),MONTH(B2866)+1,0))),Feriados[Data],0))))=FALSE,
IF(WEEKDAY(ROW(INDIRECT(DATE(YEAR(B2866),MONTH(B2866),1)&amp;":"&amp;DATE(YEAR(B2866),MONTH(B2866)+1,0))),2)&lt;=5,1,IF(WEEKDAY(ROW(INDIRECT(DATE(YEAR(B2866),MONTH(B2866),1)&amp;":"&amp;DATE(YEAR(B2866),MONTH(B2866)+1,0))),2)=6,0.5,0)),0))</f>
        <v>22</v>
      </c>
      <c r="K2866" s="22" cm="1">
        <f t="array" ref="K2866">_xlfn.XLOOKUP(1,((Metas_Diarias[[#This Row],[tipo_equipe_id]]=Metas[equipe])*(Metas_Diarias[[#This Row],[data]]&gt;Metas[data_inicio])*(Metas_Diarias[[#This Row],[data]]&lt;Metas[data_fim])),Metas[meta_mensal],0)</f>
        <v>0</v>
      </c>
      <c r="L286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7" spans="2:12" x14ac:dyDescent="0.3">
      <c r="B2867" s="34">
        <v>46328</v>
      </c>
      <c r="C2867" s="34" t="str">
        <f>TEXT(Metas_Diarias[[#This Row],[data]],"dddd")</f>
        <v>segunda-feira</v>
      </c>
      <c r="D2867" s="33">
        <v>3</v>
      </c>
      <c r="E2867" s="33">
        <v>4</v>
      </c>
      <c r="F2867" s="18"/>
      <c r="G2867" s="35">
        <f>WEEKDAY(Metas_Diarias[[#This Row],[data]])</f>
        <v>2</v>
      </c>
      <c r="H2867" s="35">
        <f>IF(Metas_Diarias[[#This Row],[dias_da_demana]]=1,"domingo",IF(Metas_Diarias[[#This Row],[dias_da_demana]]=7,0.5,1))</f>
        <v>1</v>
      </c>
      <c r="I2867" s="35" t="str">
        <f>_xlfn.XLOOKUP(Metas_Diarias[[#This Row],[data]],Feriados[Data],Feriados[Feriado],1)</f>
        <v>Finados</v>
      </c>
      <c r="J2867" s="33" cm="1">
        <f t="array" aca="1" ref="J2867" ca="1">SUMPRODUCT(IF((NOT(ISERROR(MATCH(ROW(INDIRECT(DATE(YEAR(B2867),MONTH(B2867),1)&amp;":"&amp;DATE(YEAR(B2867),MONTH(B2867)+1,0))),Feriados[Data],0))))=FALSE,
IF(WEEKDAY(ROW(INDIRECT(DATE(YEAR(B2867),MONTH(B2867),1)&amp;":"&amp;DATE(YEAR(B2867),MONTH(B2867)+1,0))),2)&lt;=5,1,IF(WEEKDAY(ROW(INDIRECT(DATE(YEAR(B2867),MONTH(B2867),1)&amp;":"&amp;DATE(YEAR(B2867),MONTH(B2867)+1,0))),2)=6,0.5,0)),0))</f>
        <v>22</v>
      </c>
      <c r="K2867" s="22" cm="1">
        <f t="array" ref="K2867">_xlfn.XLOOKUP(1,((Metas_Diarias[[#This Row],[tipo_equipe_id]]=Metas[equipe])*(Metas_Diarias[[#This Row],[data]]&gt;Metas[data_inicio])*(Metas_Diarias[[#This Row],[data]]&lt;Metas[data_fim])),Metas[meta_mensal],0)</f>
        <v>0</v>
      </c>
      <c r="L286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8" spans="2:12" x14ac:dyDescent="0.3">
      <c r="B2868" s="34">
        <v>46329</v>
      </c>
      <c r="C2868" s="34" t="str">
        <f>TEXT(Metas_Diarias[[#This Row],[data]],"dddd")</f>
        <v>terça-feira</v>
      </c>
      <c r="D2868" s="33">
        <v>3</v>
      </c>
      <c r="E2868" s="33">
        <v>4</v>
      </c>
      <c r="F2868" s="18"/>
      <c r="G2868" s="35">
        <f>WEEKDAY(Metas_Diarias[[#This Row],[data]])</f>
        <v>3</v>
      </c>
      <c r="H2868" s="35">
        <f>IF(Metas_Diarias[[#This Row],[dias_da_demana]]=1,"domingo",IF(Metas_Diarias[[#This Row],[dias_da_demana]]=7,0.5,1))</f>
        <v>1</v>
      </c>
      <c r="I2868" s="35">
        <f>_xlfn.XLOOKUP(Metas_Diarias[[#This Row],[data]],Feriados[Data],Feriados[Feriado],1)</f>
        <v>1</v>
      </c>
      <c r="J2868" s="33" cm="1">
        <f t="array" aca="1" ref="J2868" ca="1">SUMPRODUCT(IF((NOT(ISERROR(MATCH(ROW(INDIRECT(DATE(YEAR(B2868),MONTH(B2868),1)&amp;":"&amp;DATE(YEAR(B2868),MONTH(B2868)+1,0))),Feriados[Data],0))))=FALSE,
IF(WEEKDAY(ROW(INDIRECT(DATE(YEAR(B2868),MONTH(B2868),1)&amp;":"&amp;DATE(YEAR(B2868),MONTH(B2868)+1,0))),2)&lt;=5,1,IF(WEEKDAY(ROW(INDIRECT(DATE(YEAR(B2868),MONTH(B2868),1)&amp;":"&amp;DATE(YEAR(B2868),MONTH(B2868)+1,0))),2)=6,0.5,0)),0))</f>
        <v>22</v>
      </c>
      <c r="K2868" s="22" cm="1">
        <f t="array" ref="K2868">_xlfn.XLOOKUP(1,((Metas_Diarias[[#This Row],[tipo_equipe_id]]=Metas[equipe])*(Metas_Diarias[[#This Row],[data]]&gt;Metas[data_inicio])*(Metas_Diarias[[#This Row],[data]]&lt;Metas[data_fim])),Metas[meta_mensal],0)</f>
        <v>0</v>
      </c>
      <c r="L286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69" spans="2:12" x14ac:dyDescent="0.3">
      <c r="B2869" s="34">
        <v>46330</v>
      </c>
      <c r="C2869" s="34" t="str">
        <f>TEXT(Metas_Diarias[[#This Row],[data]],"dddd")</f>
        <v>quarta-feira</v>
      </c>
      <c r="D2869" s="33">
        <v>3</v>
      </c>
      <c r="E2869" s="33">
        <v>4</v>
      </c>
      <c r="F2869" s="18"/>
      <c r="G2869" s="35">
        <f>WEEKDAY(Metas_Diarias[[#This Row],[data]])</f>
        <v>4</v>
      </c>
      <c r="H2869" s="35">
        <f>IF(Metas_Diarias[[#This Row],[dias_da_demana]]=1,"domingo",IF(Metas_Diarias[[#This Row],[dias_da_demana]]=7,0.5,1))</f>
        <v>1</v>
      </c>
      <c r="I2869" s="35">
        <f>_xlfn.XLOOKUP(Metas_Diarias[[#This Row],[data]],Feriados[Data],Feriados[Feriado],1)</f>
        <v>1</v>
      </c>
      <c r="J2869" s="33" cm="1">
        <f t="array" aca="1" ref="J2869" ca="1">SUMPRODUCT(IF((NOT(ISERROR(MATCH(ROW(INDIRECT(DATE(YEAR(B2869),MONTH(B2869),1)&amp;":"&amp;DATE(YEAR(B2869),MONTH(B2869)+1,0))),Feriados[Data],0))))=FALSE,
IF(WEEKDAY(ROW(INDIRECT(DATE(YEAR(B2869),MONTH(B2869),1)&amp;":"&amp;DATE(YEAR(B2869),MONTH(B2869)+1,0))),2)&lt;=5,1,IF(WEEKDAY(ROW(INDIRECT(DATE(YEAR(B2869),MONTH(B2869),1)&amp;":"&amp;DATE(YEAR(B2869),MONTH(B2869)+1,0))),2)=6,0.5,0)),0))</f>
        <v>22</v>
      </c>
      <c r="K2869" s="22" cm="1">
        <f t="array" ref="K2869">_xlfn.XLOOKUP(1,((Metas_Diarias[[#This Row],[tipo_equipe_id]]=Metas[equipe])*(Metas_Diarias[[#This Row],[data]]&gt;Metas[data_inicio])*(Metas_Diarias[[#This Row],[data]]&lt;Metas[data_fim])),Metas[meta_mensal],0)</f>
        <v>0</v>
      </c>
      <c r="L286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0" spans="2:12" x14ac:dyDescent="0.3">
      <c r="B2870" s="34">
        <v>46331</v>
      </c>
      <c r="C2870" s="34" t="str">
        <f>TEXT(Metas_Diarias[[#This Row],[data]],"dddd")</f>
        <v>quinta-feira</v>
      </c>
      <c r="D2870" s="33">
        <v>3</v>
      </c>
      <c r="E2870" s="33">
        <v>4</v>
      </c>
      <c r="F2870" s="18"/>
      <c r="G2870" s="35">
        <f>WEEKDAY(Metas_Diarias[[#This Row],[data]])</f>
        <v>5</v>
      </c>
      <c r="H2870" s="35">
        <f>IF(Metas_Diarias[[#This Row],[dias_da_demana]]=1,"domingo",IF(Metas_Diarias[[#This Row],[dias_da_demana]]=7,0.5,1))</f>
        <v>1</v>
      </c>
      <c r="I2870" s="35">
        <f>_xlfn.XLOOKUP(Metas_Diarias[[#This Row],[data]],Feriados[Data],Feriados[Feriado],1)</f>
        <v>1</v>
      </c>
      <c r="J2870" s="33" cm="1">
        <f t="array" aca="1" ref="J2870" ca="1">SUMPRODUCT(IF((NOT(ISERROR(MATCH(ROW(INDIRECT(DATE(YEAR(B2870),MONTH(B2870),1)&amp;":"&amp;DATE(YEAR(B2870),MONTH(B2870)+1,0))),Feriados[Data],0))))=FALSE,
IF(WEEKDAY(ROW(INDIRECT(DATE(YEAR(B2870),MONTH(B2870),1)&amp;":"&amp;DATE(YEAR(B2870),MONTH(B2870)+1,0))),2)&lt;=5,1,IF(WEEKDAY(ROW(INDIRECT(DATE(YEAR(B2870),MONTH(B2870),1)&amp;":"&amp;DATE(YEAR(B2870),MONTH(B2870)+1,0))),2)=6,0.5,0)),0))</f>
        <v>22</v>
      </c>
      <c r="K2870" s="22" cm="1">
        <f t="array" ref="K2870">_xlfn.XLOOKUP(1,((Metas_Diarias[[#This Row],[tipo_equipe_id]]=Metas[equipe])*(Metas_Diarias[[#This Row],[data]]&gt;Metas[data_inicio])*(Metas_Diarias[[#This Row],[data]]&lt;Metas[data_fim])),Metas[meta_mensal],0)</f>
        <v>0</v>
      </c>
      <c r="L287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1" spans="2:12" x14ac:dyDescent="0.3">
      <c r="B2871" s="34">
        <v>46332</v>
      </c>
      <c r="C2871" s="34" t="str">
        <f>TEXT(Metas_Diarias[[#This Row],[data]],"dddd")</f>
        <v>sexta-feira</v>
      </c>
      <c r="D2871" s="33">
        <v>3</v>
      </c>
      <c r="E2871" s="33">
        <v>4</v>
      </c>
      <c r="F2871" s="18"/>
      <c r="G2871" s="35">
        <f>WEEKDAY(Metas_Diarias[[#This Row],[data]])</f>
        <v>6</v>
      </c>
      <c r="H2871" s="35">
        <f>IF(Metas_Diarias[[#This Row],[dias_da_demana]]=1,"domingo",IF(Metas_Diarias[[#This Row],[dias_da_demana]]=7,0.5,1))</f>
        <v>1</v>
      </c>
      <c r="I2871" s="35">
        <f>_xlfn.XLOOKUP(Metas_Diarias[[#This Row],[data]],Feriados[Data],Feriados[Feriado],1)</f>
        <v>1</v>
      </c>
      <c r="J2871" s="33" cm="1">
        <f t="array" aca="1" ref="J2871" ca="1">SUMPRODUCT(IF((NOT(ISERROR(MATCH(ROW(INDIRECT(DATE(YEAR(B2871),MONTH(B2871),1)&amp;":"&amp;DATE(YEAR(B2871),MONTH(B2871)+1,0))),Feriados[Data],0))))=FALSE,
IF(WEEKDAY(ROW(INDIRECT(DATE(YEAR(B2871),MONTH(B2871),1)&amp;":"&amp;DATE(YEAR(B2871),MONTH(B2871)+1,0))),2)&lt;=5,1,IF(WEEKDAY(ROW(INDIRECT(DATE(YEAR(B2871),MONTH(B2871),1)&amp;":"&amp;DATE(YEAR(B2871),MONTH(B2871)+1,0))),2)=6,0.5,0)),0))</f>
        <v>22</v>
      </c>
      <c r="K2871" s="22" cm="1">
        <f t="array" ref="K2871">_xlfn.XLOOKUP(1,((Metas_Diarias[[#This Row],[tipo_equipe_id]]=Metas[equipe])*(Metas_Diarias[[#This Row],[data]]&gt;Metas[data_inicio])*(Metas_Diarias[[#This Row],[data]]&lt;Metas[data_fim])),Metas[meta_mensal],0)</f>
        <v>0</v>
      </c>
      <c r="L287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2" spans="2:12" x14ac:dyDescent="0.3">
      <c r="B2872" s="34">
        <v>46333</v>
      </c>
      <c r="C2872" s="34" t="str">
        <f>TEXT(Metas_Diarias[[#This Row],[data]],"dddd")</f>
        <v>sábado</v>
      </c>
      <c r="D2872" s="33">
        <v>3</v>
      </c>
      <c r="E2872" s="33">
        <v>4</v>
      </c>
      <c r="F2872" s="18"/>
      <c r="G2872" s="35">
        <f>WEEKDAY(Metas_Diarias[[#This Row],[data]])</f>
        <v>7</v>
      </c>
      <c r="H2872" s="35">
        <f>IF(Metas_Diarias[[#This Row],[dias_da_demana]]=1,"domingo",IF(Metas_Diarias[[#This Row],[dias_da_demana]]=7,0.5,1))</f>
        <v>0.5</v>
      </c>
      <c r="I2872" s="35">
        <f>_xlfn.XLOOKUP(Metas_Diarias[[#This Row],[data]],Feriados[Data],Feriados[Feriado],1)</f>
        <v>1</v>
      </c>
      <c r="J2872" s="33" cm="1">
        <f t="array" aca="1" ref="J2872" ca="1">SUMPRODUCT(IF((NOT(ISERROR(MATCH(ROW(INDIRECT(DATE(YEAR(B2872),MONTH(B2872),1)&amp;":"&amp;DATE(YEAR(B2872),MONTH(B2872)+1,0))),Feriados[Data],0))))=FALSE,
IF(WEEKDAY(ROW(INDIRECT(DATE(YEAR(B2872),MONTH(B2872),1)&amp;":"&amp;DATE(YEAR(B2872),MONTH(B2872)+1,0))),2)&lt;=5,1,IF(WEEKDAY(ROW(INDIRECT(DATE(YEAR(B2872),MONTH(B2872),1)&amp;":"&amp;DATE(YEAR(B2872),MONTH(B2872)+1,0))),2)=6,0.5,0)),0))</f>
        <v>22</v>
      </c>
      <c r="K2872" s="22" cm="1">
        <f t="array" ref="K2872">_xlfn.XLOOKUP(1,((Metas_Diarias[[#This Row],[tipo_equipe_id]]=Metas[equipe])*(Metas_Diarias[[#This Row],[data]]&gt;Metas[data_inicio])*(Metas_Diarias[[#This Row],[data]]&lt;Metas[data_fim])),Metas[meta_mensal],0)</f>
        <v>0</v>
      </c>
      <c r="L287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3" spans="2:12" x14ac:dyDescent="0.3">
      <c r="B2873" s="34">
        <v>46334</v>
      </c>
      <c r="C2873" s="34" t="str">
        <f>TEXT(Metas_Diarias[[#This Row],[data]],"dddd")</f>
        <v>domingo</v>
      </c>
      <c r="D2873" s="33">
        <v>3</v>
      </c>
      <c r="E2873" s="33">
        <v>4</v>
      </c>
      <c r="F2873" s="18"/>
      <c r="G2873" s="35">
        <f>WEEKDAY(Metas_Diarias[[#This Row],[data]])</f>
        <v>1</v>
      </c>
      <c r="H2873" s="35" t="str">
        <f>IF(Metas_Diarias[[#This Row],[dias_da_demana]]=1,"domingo",IF(Metas_Diarias[[#This Row],[dias_da_demana]]=7,0.5,1))</f>
        <v>domingo</v>
      </c>
      <c r="I2873" s="35">
        <f>_xlfn.XLOOKUP(Metas_Diarias[[#This Row],[data]],Feriados[Data],Feriados[Feriado],1)</f>
        <v>1</v>
      </c>
      <c r="J2873" s="33" cm="1">
        <f t="array" aca="1" ref="J2873" ca="1">SUMPRODUCT(IF((NOT(ISERROR(MATCH(ROW(INDIRECT(DATE(YEAR(B2873),MONTH(B2873),1)&amp;":"&amp;DATE(YEAR(B2873),MONTH(B2873)+1,0))),Feriados[Data],0))))=FALSE,
IF(WEEKDAY(ROW(INDIRECT(DATE(YEAR(B2873),MONTH(B2873),1)&amp;":"&amp;DATE(YEAR(B2873),MONTH(B2873)+1,0))),2)&lt;=5,1,IF(WEEKDAY(ROW(INDIRECT(DATE(YEAR(B2873),MONTH(B2873),1)&amp;":"&amp;DATE(YEAR(B2873),MONTH(B2873)+1,0))),2)=6,0.5,0)),0))</f>
        <v>22</v>
      </c>
      <c r="K2873" s="22" cm="1">
        <f t="array" ref="K2873">_xlfn.XLOOKUP(1,((Metas_Diarias[[#This Row],[tipo_equipe_id]]=Metas[equipe])*(Metas_Diarias[[#This Row],[data]]&gt;Metas[data_inicio])*(Metas_Diarias[[#This Row],[data]]&lt;Metas[data_fim])),Metas[meta_mensal],0)</f>
        <v>0</v>
      </c>
      <c r="L287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4" spans="2:12" x14ac:dyDescent="0.3">
      <c r="B2874" s="34">
        <v>46335</v>
      </c>
      <c r="C2874" s="34" t="str">
        <f>TEXT(Metas_Diarias[[#This Row],[data]],"dddd")</f>
        <v>segunda-feira</v>
      </c>
      <c r="D2874" s="33">
        <v>3</v>
      </c>
      <c r="E2874" s="33">
        <v>4</v>
      </c>
      <c r="F2874" s="18"/>
      <c r="G2874" s="35">
        <f>WEEKDAY(Metas_Diarias[[#This Row],[data]])</f>
        <v>2</v>
      </c>
      <c r="H2874" s="35">
        <f>IF(Metas_Diarias[[#This Row],[dias_da_demana]]=1,"domingo",IF(Metas_Diarias[[#This Row],[dias_da_demana]]=7,0.5,1))</f>
        <v>1</v>
      </c>
      <c r="I2874" s="35">
        <f>_xlfn.XLOOKUP(Metas_Diarias[[#This Row],[data]],Feriados[Data],Feriados[Feriado],1)</f>
        <v>1</v>
      </c>
      <c r="J2874" s="33" cm="1">
        <f t="array" aca="1" ref="J2874" ca="1">SUMPRODUCT(IF((NOT(ISERROR(MATCH(ROW(INDIRECT(DATE(YEAR(B2874),MONTH(B2874),1)&amp;":"&amp;DATE(YEAR(B2874),MONTH(B2874)+1,0))),Feriados[Data],0))))=FALSE,
IF(WEEKDAY(ROW(INDIRECT(DATE(YEAR(B2874),MONTH(B2874),1)&amp;":"&amp;DATE(YEAR(B2874),MONTH(B2874)+1,0))),2)&lt;=5,1,IF(WEEKDAY(ROW(INDIRECT(DATE(YEAR(B2874),MONTH(B2874),1)&amp;":"&amp;DATE(YEAR(B2874),MONTH(B2874)+1,0))),2)=6,0.5,0)),0))</f>
        <v>22</v>
      </c>
      <c r="K2874" s="22" cm="1">
        <f t="array" ref="K2874">_xlfn.XLOOKUP(1,((Metas_Diarias[[#This Row],[tipo_equipe_id]]=Metas[equipe])*(Metas_Diarias[[#This Row],[data]]&gt;Metas[data_inicio])*(Metas_Diarias[[#This Row],[data]]&lt;Metas[data_fim])),Metas[meta_mensal],0)</f>
        <v>0</v>
      </c>
      <c r="L287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5" spans="2:12" x14ac:dyDescent="0.3">
      <c r="B2875" s="34">
        <v>46336</v>
      </c>
      <c r="C2875" s="34" t="str">
        <f>TEXT(Metas_Diarias[[#This Row],[data]],"dddd")</f>
        <v>terça-feira</v>
      </c>
      <c r="D2875" s="33">
        <v>3</v>
      </c>
      <c r="E2875" s="33">
        <v>4</v>
      </c>
      <c r="F2875" s="18"/>
      <c r="G2875" s="35">
        <f>WEEKDAY(Metas_Diarias[[#This Row],[data]])</f>
        <v>3</v>
      </c>
      <c r="H2875" s="35">
        <f>IF(Metas_Diarias[[#This Row],[dias_da_demana]]=1,"domingo",IF(Metas_Diarias[[#This Row],[dias_da_demana]]=7,0.5,1))</f>
        <v>1</v>
      </c>
      <c r="I2875" s="35">
        <f>_xlfn.XLOOKUP(Metas_Diarias[[#This Row],[data]],Feriados[Data],Feriados[Feriado],1)</f>
        <v>1</v>
      </c>
      <c r="J2875" s="33" cm="1">
        <f t="array" aca="1" ref="J2875" ca="1">SUMPRODUCT(IF((NOT(ISERROR(MATCH(ROW(INDIRECT(DATE(YEAR(B2875),MONTH(B2875),1)&amp;":"&amp;DATE(YEAR(B2875),MONTH(B2875)+1,0))),Feriados[Data],0))))=FALSE,
IF(WEEKDAY(ROW(INDIRECT(DATE(YEAR(B2875),MONTH(B2875),1)&amp;":"&amp;DATE(YEAR(B2875),MONTH(B2875)+1,0))),2)&lt;=5,1,IF(WEEKDAY(ROW(INDIRECT(DATE(YEAR(B2875),MONTH(B2875),1)&amp;":"&amp;DATE(YEAR(B2875),MONTH(B2875)+1,0))),2)=6,0.5,0)),0))</f>
        <v>22</v>
      </c>
      <c r="K2875" s="22" cm="1">
        <f t="array" ref="K2875">_xlfn.XLOOKUP(1,((Metas_Diarias[[#This Row],[tipo_equipe_id]]=Metas[equipe])*(Metas_Diarias[[#This Row],[data]]&gt;Metas[data_inicio])*(Metas_Diarias[[#This Row],[data]]&lt;Metas[data_fim])),Metas[meta_mensal],0)</f>
        <v>0</v>
      </c>
      <c r="L287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6" spans="2:12" x14ac:dyDescent="0.3">
      <c r="B2876" s="34">
        <v>46337</v>
      </c>
      <c r="C2876" s="34" t="str">
        <f>TEXT(Metas_Diarias[[#This Row],[data]],"dddd")</f>
        <v>quarta-feira</v>
      </c>
      <c r="D2876" s="33">
        <v>3</v>
      </c>
      <c r="E2876" s="33">
        <v>4</v>
      </c>
      <c r="F2876" s="18"/>
      <c r="G2876" s="35">
        <f>WEEKDAY(Metas_Diarias[[#This Row],[data]])</f>
        <v>4</v>
      </c>
      <c r="H2876" s="35">
        <f>IF(Metas_Diarias[[#This Row],[dias_da_demana]]=1,"domingo",IF(Metas_Diarias[[#This Row],[dias_da_demana]]=7,0.5,1))</f>
        <v>1</v>
      </c>
      <c r="I2876" s="35">
        <f>_xlfn.XLOOKUP(Metas_Diarias[[#This Row],[data]],Feriados[Data],Feriados[Feriado],1)</f>
        <v>1</v>
      </c>
      <c r="J2876" s="33" cm="1">
        <f t="array" aca="1" ref="J2876" ca="1">SUMPRODUCT(IF((NOT(ISERROR(MATCH(ROW(INDIRECT(DATE(YEAR(B2876),MONTH(B2876),1)&amp;":"&amp;DATE(YEAR(B2876),MONTH(B2876)+1,0))),Feriados[Data],0))))=FALSE,
IF(WEEKDAY(ROW(INDIRECT(DATE(YEAR(B2876),MONTH(B2876),1)&amp;":"&amp;DATE(YEAR(B2876),MONTH(B2876)+1,0))),2)&lt;=5,1,IF(WEEKDAY(ROW(INDIRECT(DATE(YEAR(B2876),MONTH(B2876),1)&amp;":"&amp;DATE(YEAR(B2876),MONTH(B2876)+1,0))),2)=6,0.5,0)),0))</f>
        <v>22</v>
      </c>
      <c r="K2876" s="22" cm="1">
        <f t="array" ref="K2876">_xlfn.XLOOKUP(1,((Metas_Diarias[[#This Row],[tipo_equipe_id]]=Metas[equipe])*(Metas_Diarias[[#This Row],[data]]&gt;Metas[data_inicio])*(Metas_Diarias[[#This Row],[data]]&lt;Metas[data_fim])),Metas[meta_mensal],0)</f>
        <v>0</v>
      </c>
      <c r="L287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7" spans="2:12" x14ac:dyDescent="0.3">
      <c r="B2877" s="34">
        <v>46338</v>
      </c>
      <c r="C2877" s="34" t="str">
        <f>TEXT(Metas_Diarias[[#This Row],[data]],"dddd")</f>
        <v>quinta-feira</v>
      </c>
      <c r="D2877" s="33">
        <v>3</v>
      </c>
      <c r="E2877" s="33">
        <v>4</v>
      </c>
      <c r="F2877" s="18"/>
      <c r="G2877" s="35">
        <f>WEEKDAY(Metas_Diarias[[#This Row],[data]])</f>
        <v>5</v>
      </c>
      <c r="H2877" s="35">
        <f>IF(Metas_Diarias[[#This Row],[dias_da_demana]]=1,"domingo",IF(Metas_Diarias[[#This Row],[dias_da_demana]]=7,0.5,1))</f>
        <v>1</v>
      </c>
      <c r="I2877" s="35">
        <f>_xlfn.XLOOKUP(Metas_Diarias[[#This Row],[data]],Feriados[Data],Feriados[Feriado],1)</f>
        <v>1</v>
      </c>
      <c r="J2877" s="33" cm="1">
        <f t="array" aca="1" ref="J2877" ca="1">SUMPRODUCT(IF((NOT(ISERROR(MATCH(ROW(INDIRECT(DATE(YEAR(B2877),MONTH(B2877),1)&amp;":"&amp;DATE(YEAR(B2877),MONTH(B2877)+1,0))),Feriados[Data],0))))=FALSE,
IF(WEEKDAY(ROW(INDIRECT(DATE(YEAR(B2877),MONTH(B2877),1)&amp;":"&amp;DATE(YEAR(B2877),MONTH(B2877)+1,0))),2)&lt;=5,1,IF(WEEKDAY(ROW(INDIRECT(DATE(YEAR(B2877),MONTH(B2877),1)&amp;":"&amp;DATE(YEAR(B2877),MONTH(B2877)+1,0))),2)=6,0.5,0)),0))</f>
        <v>22</v>
      </c>
      <c r="K2877" s="22" cm="1">
        <f t="array" ref="K2877">_xlfn.XLOOKUP(1,((Metas_Diarias[[#This Row],[tipo_equipe_id]]=Metas[equipe])*(Metas_Diarias[[#This Row],[data]]&gt;Metas[data_inicio])*(Metas_Diarias[[#This Row],[data]]&lt;Metas[data_fim])),Metas[meta_mensal],0)</f>
        <v>0</v>
      </c>
      <c r="L287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8" spans="2:12" x14ac:dyDescent="0.3">
      <c r="B2878" s="34">
        <v>46339</v>
      </c>
      <c r="C2878" s="34" t="str">
        <f>TEXT(Metas_Diarias[[#This Row],[data]],"dddd")</f>
        <v>sexta-feira</v>
      </c>
      <c r="D2878" s="33">
        <v>3</v>
      </c>
      <c r="E2878" s="33">
        <v>4</v>
      </c>
      <c r="F2878" s="18"/>
      <c r="G2878" s="35">
        <f>WEEKDAY(Metas_Diarias[[#This Row],[data]])</f>
        <v>6</v>
      </c>
      <c r="H2878" s="35">
        <f>IF(Metas_Diarias[[#This Row],[dias_da_demana]]=1,"domingo",IF(Metas_Diarias[[#This Row],[dias_da_demana]]=7,0.5,1))</f>
        <v>1</v>
      </c>
      <c r="I2878" s="35">
        <f>_xlfn.XLOOKUP(Metas_Diarias[[#This Row],[data]],Feriados[Data],Feriados[Feriado],1)</f>
        <v>1</v>
      </c>
      <c r="J2878" s="33" cm="1">
        <f t="array" aca="1" ref="J2878" ca="1">SUMPRODUCT(IF((NOT(ISERROR(MATCH(ROW(INDIRECT(DATE(YEAR(B2878),MONTH(B2878),1)&amp;":"&amp;DATE(YEAR(B2878),MONTH(B2878)+1,0))),Feriados[Data],0))))=FALSE,
IF(WEEKDAY(ROW(INDIRECT(DATE(YEAR(B2878),MONTH(B2878),1)&amp;":"&amp;DATE(YEAR(B2878),MONTH(B2878)+1,0))),2)&lt;=5,1,IF(WEEKDAY(ROW(INDIRECT(DATE(YEAR(B2878),MONTH(B2878),1)&amp;":"&amp;DATE(YEAR(B2878),MONTH(B2878)+1,0))),2)=6,0.5,0)),0))</f>
        <v>22</v>
      </c>
      <c r="K2878" s="22" cm="1">
        <f t="array" ref="K2878">_xlfn.XLOOKUP(1,((Metas_Diarias[[#This Row],[tipo_equipe_id]]=Metas[equipe])*(Metas_Diarias[[#This Row],[data]]&gt;Metas[data_inicio])*(Metas_Diarias[[#This Row],[data]]&lt;Metas[data_fim])),Metas[meta_mensal],0)</f>
        <v>0</v>
      </c>
      <c r="L287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79" spans="2:12" x14ac:dyDescent="0.3">
      <c r="B2879" s="34">
        <v>46340</v>
      </c>
      <c r="C2879" s="34" t="str">
        <f>TEXT(Metas_Diarias[[#This Row],[data]],"dddd")</f>
        <v>sábado</v>
      </c>
      <c r="D2879" s="33">
        <v>3</v>
      </c>
      <c r="E2879" s="33">
        <v>4</v>
      </c>
      <c r="F2879" s="18"/>
      <c r="G2879" s="35">
        <f>WEEKDAY(Metas_Diarias[[#This Row],[data]])</f>
        <v>7</v>
      </c>
      <c r="H2879" s="35">
        <f>IF(Metas_Diarias[[#This Row],[dias_da_demana]]=1,"domingo",IF(Metas_Diarias[[#This Row],[dias_da_demana]]=7,0.5,1))</f>
        <v>0.5</v>
      </c>
      <c r="I2879" s="35">
        <f>_xlfn.XLOOKUP(Metas_Diarias[[#This Row],[data]],Feriados[Data],Feriados[Feriado],1)</f>
        <v>1</v>
      </c>
      <c r="J2879" s="33" cm="1">
        <f t="array" aca="1" ref="J2879" ca="1">SUMPRODUCT(IF((NOT(ISERROR(MATCH(ROW(INDIRECT(DATE(YEAR(B2879),MONTH(B2879),1)&amp;":"&amp;DATE(YEAR(B2879),MONTH(B2879)+1,0))),Feriados[Data],0))))=FALSE,
IF(WEEKDAY(ROW(INDIRECT(DATE(YEAR(B2879),MONTH(B2879),1)&amp;":"&amp;DATE(YEAR(B2879),MONTH(B2879)+1,0))),2)&lt;=5,1,IF(WEEKDAY(ROW(INDIRECT(DATE(YEAR(B2879),MONTH(B2879),1)&amp;":"&amp;DATE(YEAR(B2879),MONTH(B2879)+1,0))),2)=6,0.5,0)),0))</f>
        <v>22</v>
      </c>
      <c r="K2879" s="22" cm="1">
        <f t="array" ref="K2879">_xlfn.XLOOKUP(1,((Metas_Diarias[[#This Row],[tipo_equipe_id]]=Metas[equipe])*(Metas_Diarias[[#This Row],[data]]&gt;Metas[data_inicio])*(Metas_Diarias[[#This Row],[data]]&lt;Metas[data_fim])),Metas[meta_mensal],0)</f>
        <v>0</v>
      </c>
      <c r="L287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0" spans="2:12" x14ac:dyDescent="0.3">
      <c r="B2880" s="34">
        <v>46341</v>
      </c>
      <c r="C2880" s="34" t="str">
        <f>TEXT(Metas_Diarias[[#This Row],[data]],"dddd")</f>
        <v>domingo</v>
      </c>
      <c r="D2880" s="33">
        <v>3</v>
      </c>
      <c r="E2880" s="33">
        <v>4</v>
      </c>
      <c r="F2880" s="18"/>
      <c r="G2880" s="35">
        <f>WEEKDAY(Metas_Diarias[[#This Row],[data]])</f>
        <v>1</v>
      </c>
      <c r="H2880" s="35" t="str">
        <f>IF(Metas_Diarias[[#This Row],[dias_da_demana]]=1,"domingo",IF(Metas_Diarias[[#This Row],[dias_da_demana]]=7,0.5,1))</f>
        <v>domingo</v>
      </c>
      <c r="I2880" s="35" t="str">
        <f>_xlfn.XLOOKUP(Metas_Diarias[[#This Row],[data]],Feriados[Data],Feriados[Feriado],1)</f>
        <v>Proclamação da República</v>
      </c>
      <c r="J2880" s="33" cm="1">
        <f t="array" aca="1" ref="J2880" ca="1">SUMPRODUCT(IF((NOT(ISERROR(MATCH(ROW(INDIRECT(DATE(YEAR(B2880),MONTH(B2880),1)&amp;":"&amp;DATE(YEAR(B2880),MONTH(B2880)+1,0))),Feriados[Data],0))))=FALSE,
IF(WEEKDAY(ROW(INDIRECT(DATE(YEAR(B2880),MONTH(B2880),1)&amp;":"&amp;DATE(YEAR(B2880),MONTH(B2880)+1,0))),2)&lt;=5,1,IF(WEEKDAY(ROW(INDIRECT(DATE(YEAR(B2880),MONTH(B2880),1)&amp;":"&amp;DATE(YEAR(B2880),MONTH(B2880)+1,0))),2)=6,0.5,0)),0))</f>
        <v>22</v>
      </c>
      <c r="K2880" s="22" cm="1">
        <f t="array" ref="K2880">_xlfn.XLOOKUP(1,((Metas_Diarias[[#This Row],[tipo_equipe_id]]=Metas[equipe])*(Metas_Diarias[[#This Row],[data]]&gt;Metas[data_inicio])*(Metas_Diarias[[#This Row],[data]]&lt;Metas[data_fim])),Metas[meta_mensal],0)</f>
        <v>0</v>
      </c>
      <c r="L288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1" spans="2:12" x14ac:dyDescent="0.3">
      <c r="B2881" s="34">
        <v>46342</v>
      </c>
      <c r="C2881" s="34" t="str">
        <f>TEXT(Metas_Diarias[[#This Row],[data]],"dddd")</f>
        <v>segunda-feira</v>
      </c>
      <c r="D2881" s="33">
        <v>3</v>
      </c>
      <c r="E2881" s="33">
        <v>4</v>
      </c>
      <c r="F2881" s="18"/>
      <c r="G2881" s="35">
        <f>WEEKDAY(Metas_Diarias[[#This Row],[data]])</f>
        <v>2</v>
      </c>
      <c r="H2881" s="35">
        <f>IF(Metas_Diarias[[#This Row],[dias_da_demana]]=1,"domingo",IF(Metas_Diarias[[#This Row],[dias_da_demana]]=7,0.5,1))</f>
        <v>1</v>
      </c>
      <c r="I2881" s="35">
        <f>_xlfn.XLOOKUP(Metas_Diarias[[#This Row],[data]],Feriados[Data],Feriados[Feriado],1)</f>
        <v>1</v>
      </c>
      <c r="J2881" s="33" cm="1">
        <f t="array" aca="1" ref="J2881" ca="1">SUMPRODUCT(IF((NOT(ISERROR(MATCH(ROW(INDIRECT(DATE(YEAR(B2881),MONTH(B2881),1)&amp;":"&amp;DATE(YEAR(B2881),MONTH(B2881)+1,0))),Feriados[Data],0))))=FALSE,
IF(WEEKDAY(ROW(INDIRECT(DATE(YEAR(B2881),MONTH(B2881),1)&amp;":"&amp;DATE(YEAR(B2881),MONTH(B2881)+1,0))),2)&lt;=5,1,IF(WEEKDAY(ROW(INDIRECT(DATE(YEAR(B2881),MONTH(B2881),1)&amp;":"&amp;DATE(YEAR(B2881),MONTH(B2881)+1,0))),2)=6,0.5,0)),0))</f>
        <v>22</v>
      </c>
      <c r="K2881" s="22" cm="1">
        <f t="array" ref="K2881">_xlfn.XLOOKUP(1,((Metas_Diarias[[#This Row],[tipo_equipe_id]]=Metas[equipe])*(Metas_Diarias[[#This Row],[data]]&gt;Metas[data_inicio])*(Metas_Diarias[[#This Row],[data]]&lt;Metas[data_fim])),Metas[meta_mensal],0)</f>
        <v>0</v>
      </c>
      <c r="L288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2" spans="2:12" x14ac:dyDescent="0.3">
      <c r="B2882" s="34">
        <v>46343</v>
      </c>
      <c r="C2882" s="34" t="str">
        <f>TEXT(Metas_Diarias[[#This Row],[data]],"dddd")</f>
        <v>terça-feira</v>
      </c>
      <c r="D2882" s="33">
        <v>3</v>
      </c>
      <c r="E2882" s="33">
        <v>4</v>
      </c>
      <c r="F2882" s="18"/>
      <c r="G2882" s="35">
        <f>WEEKDAY(Metas_Diarias[[#This Row],[data]])</f>
        <v>3</v>
      </c>
      <c r="H2882" s="35">
        <f>IF(Metas_Diarias[[#This Row],[dias_da_demana]]=1,"domingo",IF(Metas_Diarias[[#This Row],[dias_da_demana]]=7,0.5,1))</f>
        <v>1</v>
      </c>
      <c r="I2882" s="35">
        <f>_xlfn.XLOOKUP(Metas_Diarias[[#This Row],[data]],Feriados[Data],Feriados[Feriado],1)</f>
        <v>1</v>
      </c>
      <c r="J2882" s="33" cm="1">
        <f t="array" aca="1" ref="J2882" ca="1">SUMPRODUCT(IF((NOT(ISERROR(MATCH(ROW(INDIRECT(DATE(YEAR(B2882),MONTH(B2882),1)&amp;":"&amp;DATE(YEAR(B2882),MONTH(B2882)+1,0))),Feriados[Data],0))))=FALSE,
IF(WEEKDAY(ROW(INDIRECT(DATE(YEAR(B2882),MONTH(B2882),1)&amp;":"&amp;DATE(YEAR(B2882),MONTH(B2882)+1,0))),2)&lt;=5,1,IF(WEEKDAY(ROW(INDIRECT(DATE(YEAR(B2882),MONTH(B2882),1)&amp;":"&amp;DATE(YEAR(B2882),MONTH(B2882)+1,0))),2)=6,0.5,0)),0))</f>
        <v>22</v>
      </c>
      <c r="K2882" s="22" cm="1">
        <f t="array" ref="K2882">_xlfn.XLOOKUP(1,((Metas_Diarias[[#This Row],[tipo_equipe_id]]=Metas[equipe])*(Metas_Diarias[[#This Row],[data]]&gt;Metas[data_inicio])*(Metas_Diarias[[#This Row],[data]]&lt;Metas[data_fim])),Metas[meta_mensal],0)</f>
        <v>0</v>
      </c>
      <c r="L288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3" spans="2:12" x14ac:dyDescent="0.3">
      <c r="B2883" s="34">
        <v>46344</v>
      </c>
      <c r="C2883" s="34" t="str">
        <f>TEXT(Metas_Diarias[[#This Row],[data]],"dddd")</f>
        <v>quarta-feira</v>
      </c>
      <c r="D2883" s="33">
        <v>3</v>
      </c>
      <c r="E2883" s="33">
        <v>4</v>
      </c>
      <c r="F2883" s="18"/>
      <c r="G2883" s="35">
        <f>WEEKDAY(Metas_Diarias[[#This Row],[data]])</f>
        <v>4</v>
      </c>
      <c r="H2883" s="35">
        <f>IF(Metas_Diarias[[#This Row],[dias_da_demana]]=1,"domingo",IF(Metas_Diarias[[#This Row],[dias_da_demana]]=7,0.5,1))</f>
        <v>1</v>
      </c>
      <c r="I2883" s="35">
        <f>_xlfn.XLOOKUP(Metas_Diarias[[#This Row],[data]],Feriados[Data],Feriados[Feriado],1)</f>
        <v>1</v>
      </c>
      <c r="J2883" s="33" cm="1">
        <f t="array" aca="1" ref="J2883" ca="1">SUMPRODUCT(IF((NOT(ISERROR(MATCH(ROW(INDIRECT(DATE(YEAR(B2883),MONTH(B2883),1)&amp;":"&amp;DATE(YEAR(B2883),MONTH(B2883)+1,0))),Feriados[Data],0))))=FALSE,
IF(WEEKDAY(ROW(INDIRECT(DATE(YEAR(B2883),MONTH(B2883),1)&amp;":"&amp;DATE(YEAR(B2883),MONTH(B2883)+1,0))),2)&lt;=5,1,IF(WEEKDAY(ROW(INDIRECT(DATE(YEAR(B2883),MONTH(B2883),1)&amp;":"&amp;DATE(YEAR(B2883),MONTH(B2883)+1,0))),2)=6,0.5,0)),0))</f>
        <v>22</v>
      </c>
      <c r="K2883" s="22" cm="1">
        <f t="array" ref="K2883">_xlfn.XLOOKUP(1,((Metas_Diarias[[#This Row],[tipo_equipe_id]]=Metas[equipe])*(Metas_Diarias[[#This Row],[data]]&gt;Metas[data_inicio])*(Metas_Diarias[[#This Row],[data]]&lt;Metas[data_fim])),Metas[meta_mensal],0)</f>
        <v>0</v>
      </c>
      <c r="L288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4" spans="2:12" x14ac:dyDescent="0.3">
      <c r="B2884" s="34">
        <v>46345</v>
      </c>
      <c r="C2884" s="34" t="str">
        <f>TEXT(Metas_Diarias[[#This Row],[data]],"dddd")</f>
        <v>quinta-feira</v>
      </c>
      <c r="D2884" s="33">
        <v>3</v>
      </c>
      <c r="E2884" s="33">
        <v>4</v>
      </c>
      <c r="F2884" s="18"/>
      <c r="G2884" s="35">
        <f>WEEKDAY(Metas_Diarias[[#This Row],[data]])</f>
        <v>5</v>
      </c>
      <c r="H2884" s="35">
        <f>IF(Metas_Diarias[[#This Row],[dias_da_demana]]=1,"domingo",IF(Metas_Diarias[[#This Row],[dias_da_demana]]=7,0.5,1))</f>
        <v>1</v>
      </c>
      <c r="I2884" s="35">
        <f>_xlfn.XLOOKUP(Metas_Diarias[[#This Row],[data]],Feriados[Data],Feriados[Feriado],1)</f>
        <v>1</v>
      </c>
      <c r="J2884" s="33" cm="1">
        <f t="array" aca="1" ref="J2884" ca="1">SUMPRODUCT(IF((NOT(ISERROR(MATCH(ROW(INDIRECT(DATE(YEAR(B2884),MONTH(B2884),1)&amp;":"&amp;DATE(YEAR(B2884),MONTH(B2884)+1,0))),Feriados[Data],0))))=FALSE,
IF(WEEKDAY(ROW(INDIRECT(DATE(YEAR(B2884),MONTH(B2884),1)&amp;":"&amp;DATE(YEAR(B2884),MONTH(B2884)+1,0))),2)&lt;=5,1,IF(WEEKDAY(ROW(INDIRECT(DATE(YEAR(B2884),MONTH(B2884),1)&amp;":"&amp;DATE(YEAR(B2884),MONTH(B2884)+1,0))),2)=6,0.5,0)),0))</f>
        <v>22</v>
      </c>
      <c r="K2884" s="22" cm="1">
        <f t="array" ref="K2884">_xlfn.XLOOKUP(1,((Metas_Diarias[[#This Row],[tipo_equipe_id]]=Metas[equipe])*(Metas_Diarias[[#This Row],[data]]&gt;Metas[data_inicio])*(Metas_Diarias[[#This Row],[data]]&lt;Metas[data_fim])),Metas[meta_mensal],0)</f>
        <v>0</v>
      </c>
      <c r="L288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5" spans="2:12" x14ac:dyDescent="0.3">
      <c r="B2885" s="34">
        <v>46346</v>
      </c>
      <c r="C2885" s="34" t="str">
        <f>TEXT(Metas_Diarias[[#This Row],[data]],"dddd")</f>
        <v>sexta-feira</v>
      </c>
      <c r="D2885" s="33">
        <v>3</v>
      </c>
      <c r="E2885" s="33">
        <v>4</v>
      </c>
      <c r="F2885" s="18"/>
      <c r="G2885" s="35">
        <f>WEEKDAY(Metas_Diarias[[#This Row],[data]])</f>
        <v>6</v>
      </c>
      <c r="H2885" s="35">
        <f>IF(Metas_Diarias[[#This Row],[dias_da_demana]]=1,"domingo",IF(Metas_Diarias[[#This Row],[dias_da_demana]]=7,0.5,1))</f>
        <v>1</v>
      </c>
      <c r="I2885" s="35">
        <f>_xlfn.XLOOKUP(Metas_Diarias[[#This Row],[data]],Feriados[Data],Feriados[Feriado],1)</f>
        <v>1</v>
      </c>
      <c r="J2885" s="33" cm="1">
        <f t="array" aca="1" ref="J2885" ca="1">SUMPRODUCT(IF((NOT(ISERROR(MATCH(ROW(INDIRECT(DATE(YEAR(B2885),MONTH(B2885),1)&amp;":"&amp;DATE(YEAR(B2885),MONTH(B2885)+1,0))),Feriados[Data],0))))=FALSE,
IF(WEEKDAY(ROW(INDIRECT(DATE(YEAR(B2885),MONTH(B2885),1)&amp;":"&amp;DATE(YEAR(B2885),MONTH(B2885)+1,0))),2)&lt;=5,1,IF(WEEKDAY(ROW(INDIRECT(DATE(YEAR(B2885),MONTH(B2885),1)&amp;":"&amp;DATE(YEAR(B2885),MONTH(B2885)+1,0))),2)=6,0.5,0)),0))</f>
        <v>22</v>
      </c>
      <c r="K2885" s="22" cm="1">
        <f t="array" ref="K2885">_xlfn.XLOOKUP(1,((Metas_Diarias[[#This Row],[tipo_equipe_id]]=Metas[equipe])*(Metas_Diarias[[#This Row],[data]]&gt;Metas[data_inicio])*(Metas_Diarias[[#This Row],[data]]&lt;Metas[data_fim])),Metas[meta_mensal],0)</f>
        <v>0</v>
      </c>
      <c r="L288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6" spans="2:12" x14ac:dyDescent="0.3">
      <c r="B2886" s="34">
        <v>46347</v>
      </c>
      <c r="C2886" s="34" t="str">
        <f>TEXT(Metas_Diarias[[#This Row],[data]],"dddd")</f>
        <v>sábado</v>
      </c>
      <c r="D2886" s="33">
        <v>3</v>
      </c>
      <c r="E2886" s="33">
        <v>4</v>
      </c>
      <c r="F2886" s="18"/>
      <c r="G2886" s="35">
        <f>WEEKDAY(Metas_Diarias[[#This Row],[data]])</f>
        <v>7</v>
      </c>
      <c r="H2886" s="35">
        <f>IF(Metas_Diarias[[#This Row],[dias_da_demana]]=1,"domingo",IF(Metas_Diarias[[#This Row],[dias_da_demana]]=7,0.5,1))</f>
        <v>0.5</v>
      </c>
      <c r="I2886" s="35">
        <f>_xlfn.XLOOKUP(Metas_Diarias[[#This Row],[data]],Feriados[Data],Feriados[Feriado],1)</f>
        <v>1</v>
      </c>
      <c r="J2886" s="33" cm="1">
        <f t="array" aca="1" ref="J2886" ca="1">SUMPRODUCT(IF((NOT(ISERROR(MATCH(ROW(INDIRECT(DATE(YEAR(B2886),MONTH(B2886),1)&amp;":"&amp;DATE(YEAR(B2886),MONTH(B2886)+1,0))),Feriados[Data],0))))=FALSE,
IF(WEEKDAY(ROW(INDIRECT(DATE(YEAR(B2886),MONTH(B2886),1)&amp;":"&amp;DATE(YEAR(B2886),MONTH(B2886)+1,0))),2)&lt;=5,1,IF(WEEKDAY(ROW(INDIRECT(DATE(YEAR(B2886),MONTH(B2886),1)&amp;":"&amp;DATE(YEAR(B2886),MONTH(B2886)+1,0))),2)=6,0.5,0)),0))</f>
        <v>22</v>
      </c>
      <c r="K2886" s="22" cm="1">
        <f t="array" ref="K2886">_xlfn.XLOOKUP(1,((Metas_Diarias[[#This Row],[tipo_equipe_id]]=Metas[equipe])*(Metas_Diarias[[#This Row],[data]]&gt;Metas[data_inicio])*(Metas_Diarias[[#This Row],[data]]&lt;Metas[data_fim])),Metas[meta_mensal],0)</f>
        <v>0</v>
      </c>
      <c r="L288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7" spans="2:12" x14ac:dyDescent="0.3">
      <c r="B2887" s="34">
        <v>46348</v>
      </c>
      <c r="C2887" s="34" t="str">
        <f>TEXT(Metas_Diarias[[#This Row],[data]],"dddd")</f>
        <v>domingo</v>
      </c>
      <c r="D2887" s="33">
        <v>3</v>
      </c>
      <c r="E2887" s="33">
        <v>4</v>
      </c>
      <c r="F2887" s="18"/>
      <c r="G2887" s="35">
        <f>WEEKDAY(Metas_Diarias[[#This Row],[data]])</f>
        <v>1</v>
      </c>
      <c r="H2887" s="35" t="str">
        <f>IF(Metas_Diarias[[#This Row],[dias_da_demana]]=1,"domingo",IF(Metas_Diarias[[#This Row],[dias_da_demana]]=7,0.5,1))</f>
        <v>domingo</v>
      </c>
      <c r="I2887" s="35">
        <f>_xlfn.XLOOKUP(Metas_Diarias[[#This Row],[data]],Feriados[Data],Feriados[Feriado],1)</f>
        <v>1</v>
      </c>
      <c r="J2887" s="33" cm="1">
        <f t="array" aca="1" ref="J2887" ca="1">SUMPRODUCT(IF((NOT(ISERROR(MATCH(ROW(INDIRECT(DATE(YEAR(B2887),MONTH(B2887),1)&amp;":"&amp;DATE(YEAR(B2887),MONTH(B2887)+1,0))),Feriados[Data],0))))=FALSE,
IF(WEEKDAY(ROW(INDIRECT(DATE(YEAR(B2887),MONTH(B2887),1)&amp;":"&amp;DATE(YEAR(B2887),MONTH(B2887)+1,0))),2)&lt;=5,1,IF(WEEKDAY(ROW(INDIRECT(DATE(YEAR(B2887),MONTH(B2887),1)&amp;":"&amp;DATE(YEAR(B2887),MONTH(B2887)+1,0))),2)=6,0.5,0)),0))</f>
        <v>22</v>
      </c>
      <c r="K2887" s="22" cm="1">
        <f t="array" ref="K2887">_xlfn.XLOOKUP(1,((Metas_Diarias[[#This Row],[tipo_equipe_id]]=Metas[equipe])*(Metas_Diarias[[#This Row],[data]]&gt;Metas[data_inicio])*(Metas_Diarias[[#This Row],[data]]&lt;Metas[data_fim])),Metas[meta_mensal],0)</f>
        <v>0</v>
      </c>
      <c r="L288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8" spans="2:12" x14ac:dyDescent="0.3">
      <c r="B2888" s="34">
        <v>46349</v>
      </c>
      <c r="C2888" s="34" t="str">
        <f>TEXT(Metas_Diarias[[#This Row],[data]],"dddd")</f>
        <v>segunda-feira</v>
      </c>
      <c r="D2888" s="33">
        <v>3</v>
      </c>
      <c r="E2888" s="33">
        <v>4</v>
      </c>
      <c r="F2888" s="18"/>
      <c r="G2888" s="35">
        <f>WEEKDAY(Metas_Diarias[[#This Row],[data]])</f>
        <v>2</v>
      </c>
      <c r="H2888" s="35">
        <f>IF(Metas_Diarias[[#This Row],[dias_da_demana]]=1,"domingo",IF(Metas_Diarias[[#This Row],[dias_da_demana]]=7,0.5,1))</f>
        <v>1</v>
      </c>
      <c r="I2888" s="35">
        <f>_xlfn.XLOOKUP(Metas_Diarias[[#This Row],[data]],Feriados[Data],Feriados[Feriado],1)</f>
        <v>1</v>
      </c>
      <c r="J2888" s="33" cm="1">
        <f t="array" aca="1" ref="J2888" ca="1">SUMPRODUCT(IF((NOT(ISERROR(MATCH(ROW(INDIRECT(DATE(YEAR(B2888),MONTH(B2888),1)&amp;":"&amp;DATE(YEAR(B2888),MONTH(B2888)+1,0))),Feriados[Data],0))))=FALSE,
IF(WEEKDAY(ROW(INDIRECT(DATE(YEAR(B2888),MONTH(B2888),1)&amp;":"&amp;DATE(YEAR(B2888),MONTH(B2888)+1,0))),2)&lt;=5,1,IF(WEEKDAY(ROW(INDIRECT(DATE(YEAR(B2888),MONTH(B2888),1)&amp;":"&amp;DATE(YEAR(B2888),MONTH(B2888)+1,0))),2)=6,0.5,0)),0))</f>
        <v>22</v>
      </c>
      <c r="K2888" s="22" cm="1">
        <f t="array" ref="K2888">_xlfn.XLOOKUP(1,((Metas_Diarias[[#This Row],[tipo_equipe_id]]=Metas[equipe])*(Metas_Diarias[[#This Row],[data]]&gt;Metas[data_inicio])*(Metas_Diarias[[#This Row],[data]]&lt;Metas[data_fim])),Metas[meta_mensal],0)</f>
        <v>0</v>
      </c>
      <c r="L288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89" spans="2:12" x14ac:dyDescent="0.3">
      <c r="B2889" s="34">
        <v>46350</v>
      </c>
      <c r="C2889" s="34" t="str">
        <f>TEXT(Metas_Diarias[[#This Row],[data]],"dddd")</f>
        <v>terça-feira</v>
      </c>
      <c r="D2889" s="33">
        <v>3</v>
      </c>
      <c r="E2889" s="33">
        <v>4</v>
      </c>
      <c r="F2889" s="18"/>
      <c r="G2889" s="35">
        <f>WEEKDAY(Metas_Diarias[[#This Row],[data]])</f>
        <v>3</v>
      </c>
      <c r="H2889" s="35">
        <f>IF(Metas_Diarias[[#This Row],[dias_da_demana]]=1,"domingo",IF(Metas_Diarias[[#This Row],[dias_da_demana]]=7,0.5,1))</f>
        <v>1</v>
      </c>
      <c r="I2889" s="35">
        <f>_xlfn.XLOOKUP(Metas_Diarias[[#This Row],[data]],Feriados[Data],Feriados[Feriado],1)</f>
        <v>1</v>
      </c>
      <c r="J2889" s="33" cm="1">
        <f t="array" aca="1" ref="J2889" ca="1">SUMPRODUCT(IF((NOT(ISERROR(MATCH(ROW(INDIRECT(DATE(YEAR(B2889),MONTH(B2889),1)&amp;":"&amp;DATE(YEAR(B2889),MONTH(B2889)+1,0))),Feriados[Data],0))))=FALSE,
IF(WEEKDAY(ROW(INDIRECT(DATE(YEAR(B2889),MONTH(B2889),1)&amp;":"&amp;DATE(YEAR(B2889),MONTH(B2889)+1,0))),2)&lt;=5,1,IF(WEEKDAY(ROW(INDIRECT(DATE(YEAR(B2889),MONTH(B2889),1)&amp;":"&amp;DATE(YEAR(B2889),MONTH(B2889)+1,0))),2)=6,0.5,0)),0))</f>
        <v>22</v>
      </c>
      <c r="K2889" s="22" cm="1">
        <f t="array" ref="K2889">_xlfn.XLOOKUP(1,((Metas_Diarias[[#This Row],[tipo_equipe_id]]=Metas[equipe])*(Metas_Diarias[[#This Row],[data]]&gt;Metas[data_inicio])*(Metas_Diarias[[#This Row],[data]]&lt;Metas[data_fim])),Metas[meta_mensal],0)</f>
        <v>0</v>
      </c>
      <c r="L288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0" spans="2:12" x14ac:dyDescent="0.3">
      <c r="B2890" s="34">
        <v>46351</v>
      </c>
      <c r="C2890" s="34" t="str">
        <f>TEXT(Metas_Diarias[[#This Row],[data]],"dddd")</f>
        <v>quarta-feira</v>
      </c>
      <c r="D2890" s="33">
        <v>3</v>
      </c>
      <c r="E2890" s="33">
        <v>4</v>
      </c>
      <c r="F2890" s="18"/>
      <c r="G2890" s="35">
        <f>WEEKDAY(Metas_Diarias[[#This Row],[data]])</f>
        <v>4</v>
      </c>
      <c r="H2890" s="35">
        <f>IF(Metas_Diarias[[#This Row],[dias_da_demana]]=1,"domingo",IF(Metas_Diarias[[#This Row],[dias_da_demana]]=7,0.5,1))</f>
        <v>1</v>
      </c>
      <c r="I2890" s="35">
        <f>_xlfn.XLOOKUP(Metas_Diarias[[#This Row],[data]],Feriados[Data],Feriados[Feriado],1)</f>
        <v>1</v>
      </c>
      <c r="J2890" s="33" cm="1">
        <f t="array" aca="1" ref="J2890" ca="1">SUMPRODUCT(IF((NOT(ISERROR(MATCH(ROW(INDIRECT(DATE(YEAR(B2890),MONTH(B2890),1)&amp;":"&amp;DATE(YEAR(B2890),MONTH(B2890)+1,0))),Feriados[Data],0))))=FALSE,
IF(WEEKDAY(ROW(INDIRECT(DATE(YEAR(B2890),MONTH(B2890),1)&amp;":"&amp;DATE(YEAR(B2890),MONTH(B2890)+1,0))),2)&lt;=5,1,IF(WEEKDAY(ROW(INDIRECT(DATE(YEAR(B2890),MONTH(B2890),1)&amp;":"&amp;DATE(YEAR(B2890),MONTH(B2890)+1,0))),2)=6,0.5,0)),0))</f>
        <v>22</v>
      </c>
      <c r="K2890" s="22" cm="1">
        <f t="array" ref="K2890">_xlfn.XLOOKUP(1,((Metas_Diarias[[#This Row],[tipo_equipe_id]]=Metas[equipe])*(Metas_Diarias[[#This Row],[data]]&gt;Metas[data_inicio])*(Metas_Diarias[[#This Row],[data]]&lt;Metas[data_fim])),Metas[meta_mensal],0)</f>
        <v>0</v>
      </c>
      <c r="L289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1" spans="2:12" x14ac:dyDescent="0.3">
      <c r="B2891" s="34">
        <v>46352</v>
      </c>
      <c r="C2891" s="34" t="str">
        <f>TEXT(Metas_Diarias[[#This Row],[data]],"dddd")</f>
        <v>quinta-feira</v>
      </c>
      <c r="D2891" s="33">
        <v>3</v>
      </c>
      <c r="E2891" s="33">
        <v>4</v>
      </c>
      <c r="F2891" s="18"/>
      <c r="G2891" s="35">
        <f>WEEKDAY(Metas_Diarias[[#This Row],[data]])</f>
        <v>5</v>
      </c>
      <c r="H2891" s="35">
        <f>IF(Metas_Diarias[[#This Row],[dias_da_demana]]=1,"domingo",IF(Metas_Diarias[[#This Row],[dias_da_demana]]=7,0.5,1))</f>
        <v>1</v>
      </c>
      <c r="I2891" s="35">
        <f>_xlfn.XLOOKUP(Metas_Diarias[[#This Row],[data]],Feriados[Data],Feriados[Feriado],1)</f>
        <v>1</v>
      </c>
      <c r="J2891" s="33" cm="1">
        <f t="array" aca="1" ref="J2891" ca="1">SUMPRODUCT(IF((NOT(ISERROR(MATCH(ROW(INDIRECT(DATE(YEAR(B2891),MONTH(B2891),1)&amp;":"&amp;DATE(YEAR(B2891),MONTH(B2891)+1,0))),Feriados[Data],0))))=FALSE,
IF(WEEKDAY(ROW(INDIRECT(DATE(YEAR(B2891),MONTH(B2891),1)&amp;":"&amp;DATE(YEAR(B2891),MONTH(B2891)+1,0))),2)&lt;=5,1,IF(WEEKDAY(ROW(INDIRECT(DATE(YEAR(B2891),MONTH(B2891),1)&amp;":"&amp;DATE(YEAR(B2891),MONTH(B2891)+1,0))),2)=6,0.5,0)),0))</f>
        <v>22</v>
      </c>
      <c r="K2891" s="22" cm="1">
        <f t="array" ref="K2891">_xlfn.XLOOKUP(1,((Metas_Diarias[[#This Row],[tipo_equipe_id]]=Metas[equipe])*(Metas_Diarias[[#This Row],[data]]&gt;Metas[data_inicio])*(Metas_Diarias[[#This Row],[data]]&lt;Metas[data_fim])),Metas[meta_mensal],0)</f>
        <v>0</v>
      </c>
      <c r="L289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2" spans="2:12" x14ac:dyDescent="0.3">
      <c r="B2892" s="34">
        <v>46353</v>
      </c>
      <c r="C2892" s="34" t="str">
        <f>TEXT(Metas_Diarias[[#This Row],[data]],"dddd")</f>
        <v>sexta-feira</v>
      </c>
      <c r="D2892" s="33">
        <v>3</v>
      </c>
      <c r="E2892" s="33">
        <v>4</v>
      </c>
      <c r="F2892" s="18"/>
      <c r="G2892" s="35">
        <f>WEEKDAY(Metas_Diarias[[#This Row],[data]])</f>
        <v>6</v>
      </c>
      <c r="H2892" s="35">
        <f>IF(Metas_Diarias[[#This Row],[dias_da_demana]]=1,"domingo",IF(Metas_Diarias[[#This Row],[dias_da_demana]]=7,0.5,1))</f>
        <v>1</v>
      </c>
      <c r="I2892" s="35">
        <f>_xlfn.XLOOKUP(Metas_Diarias[[#This Row],[data]],Feriados[Data],Feriados[Feriado],1)</f>
        <v>1</v>
      </c>
      <c r="J2892" s="33" cm="1">
        <f t="array" aca="1" ref="J2892" ca="1">SUMPRODUCT(IF((NOT(ISERROR(MATCH(ROW(INDIRECT(DATE(YEAR(B2892),MONTH(B2892),1)&amp;":"&amp;DATE(YEAR(B2892),MONTH(B2892)+1,0))),Feriados[Data],0))))=FALSE,
IF(WEEKDAY(ROW(INDIRECT(DATE(YEAR(B2892),MONTH(B2892),1)&amp;":"&amp;DATE(YEAR(B2892),MONTH(B2892)+1,0))),2)&lt;=5,1,IF(WEEKDAY(ROW(INDIRECT(DATE(YEAR(B2892),MONTH(B2892),1)&amp;":"&amp;DATE(YEAR(B2892),MONTH(B2892)+1,0))),2)=6,0.5,0)),0))</f>
        <v>22</v>
      </c>
      <c r="K2892" s="22" cm="1">
        <f t="array" ref="K2892">_xlfn.XLOOKUP(1,((Metas_Diarias[[#This Row],[tipo_equipe_id]]=Metas[equipe])*(Metas_Diarias[[#This Row],[data]]&gt;Metas[data_inicio])*(Metas_Diarias[[#This Row],[data]]&lt;Metas[data_fim])),Metas[meta_mensal],0)</f>
        <v>0</v>
      </c>
      <c r="L289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3" spans="2:12" x14ac:dyDescent="0.3">
      <c r="B2893" s="34">
        <v>46354</v>
      </c>
      <c r="C2893" s="34" t="str">
        <f>TEXT(Metas_Diarias[[#This Row],[data]],"dddd")</f>
        <v>sábado</v>
      </c>
      <c r="D2893" s="33">
        <v>3</v>
      </c>
      <c r="E2893" s="33">
        <v>4</v>
      </c>
      <c r="F2893" s="18"/>
      <c r="G2893" s="35">
        <f>WEEKDAY(Metas_Diarias[[#This Row],[data]])</f>
        <v>7</v>
      </c>
      <c r="H2893" s="35">
        <f>IF(Metas_Diarias[[#This Row],[dias_da_demana]]=1,"domingo",IF(Metas_Diarias[[#This Row],[dias_da_demana]]=7,0.5,1))</f>
        <v>0.5</v>
      </c>
      <c r="I2893" s="35">
        <f>_xlfn.XLOOKUP(Metas_Diarias[[#This Row],[data]],Feriados[Data],Feriados[Feriado],1)</f>
        <v>1</v>
      </c>
      <c r="J2893" s="33" cm="1">
        <f t="array" aca="1" ref="J2893" ca="1">SUMPRODUCT(IF((NOT(ISERROR(MATCH(ROW(INDIRECT(DATE(YEAR(B2893),MONTH(B2893),1)&amp;":"&amp;DATE(YEAR(B2893),MONTH(B2893)+1,0))),Feriados[Data],0))))=FALSE,
IF(WEEKDAY(ROW(INDIRECT(DATE(YEAR(B2893),MONTH(B2893),1)&amp;":"&amp;DATE(YEAR(B2893),MONTH(B2893)+1,0))),2)&lt;=5,1,IF(WEEKDAY(ROW(INDIRECT(DATE(YEAR(B2893),MONTH(B2893),1)&amp;":"&amp;DATE(YEAR(B2893),MONTH(B2893)+1,0))),2)=6,0.5,0)),0))</f>
        <v>22</v>
      </c>
      <c r="K2893" s="22" cm="1">
        <f t="array" ref="K2893">_xlfn.XLOOKUP(1,((Metas_Diarias[[#This Row],[tipo_equipe_id]]=Metas[equipe])*(Metas_Diarias[[#This Row],[data]]&gt;Metas[data_inicio])*(Metas_Diarias[[#This Row],[data]]&lt;Metas[data_fim])),Metas[meta_mensal],0)</f>
        <v>0</v>
      </c>
      <c r="L289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4" spans="2:12" x14ac:dyDescent="0.3">
      <c r="B2894" s="34">
        <v>46355</v>
      </c>
      <c r="C2894" s="34" t="str">
        <f>TEXT(Metas_Diarias[[#This Row],[data]],"dddd")</f>
        <v>domingo</v>
      </c>
      <c r="D2894" s="33">
        <v>3</v>
      </c>
      <c r="E2894" s="33">
        <v>4</v>
      </c>
      <c r="F2894" s="18"/>
      <c r="G2894" s="35">
        <f>WEEKDAY(Metas_Diarias[[#This Row],[data]])</f>
        <v>1</v>
      </c>
      <c r="H2894" s="35" t="str">
        <f>IF(Metas_Diarias[[#This Row],[dias_da_demana]]=1,"domingo",IF(Metas_Diarias[[#This Row],[dias_da_demana]]=7,0.5,1))</f>
        <v>domingo</v>
      </c>
      <c r="I2894" s="35">
        <f>_xlfn.XLOOKUP(Metas_Diarias[[#This Row],[data]],Feriados[Data],Feriados[Feriado],1)</f>
        <v>1</v>
      </c>
      <c r="J2894" s="33" cm="1">
        <f t="array" aca="1" ref="J2894" ca="1">SUMPRODUCT(IF((NOT(ISERROR(MATCH(ROW(INDIRECT(DATE(YEAR(B2894),MONTH(B2894),1)&amp;":"&amp;DATE(YEAR(B2894),MONTH(B2894)+1,0))),Feriados[Data],0))))=FALSE,
IF(WEEKDAY(ROW(INDIRECT(DATE(YEAR(B2894),MONTH(B2894),1)&amp;":"&amp;DATE(YEAR(B2894),MONTH(B2894)+1,0))),2)&lt;=5,1,IF(WEEKDAY(ROW(INDIRECT(DATE(YEAR(B2894),MONTH(B2894),1)&amp;":"&amp;DATE(YEAR(B2894),MONTH(B2894)+1,0))),2)=6,0.5,0)),0))</f>
        <v>22</v>
      </c>
      <c r="K2894" s="22" cm="1">
        <f t="array" ref="K2894">_xlfn.XLOOKUP(1,((Metas_Diarias[[#This Row],[tipo_equipe_id]]=Metas[equipe])*(Metas_Diarias[[#This Row],[data]]&gt;Metas[data_inicio])*(Metas_Diarias[[#This Row],[data]]&lt;Metas[data_fim])),Metas[meta_mensal],0)</f>
        <v>0</v>
      </c>
      <c r="L289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5" spans="2:12" x14ac:dyDescent="0.3">
      <c r="B2895" s="34">
        <v>46356</v>
      </c>
      <c r="C2895" s="34" t="str">
        <f>TEXT(Metas_Diarias[[#This Row],[data]],"dddd")</f>
        <v>segunda-feira</v>
      </c>
      <c r="D2895" s="33">
        <v>3</v>
      </c>
      <c r="E2895" s="33">
        <v>4</v>
      </c>
      <c r="F2895" s="18"/>
      <c r="G2895" s="35">
        <f>WEEKDAY(Metas_Diarias[[#This Row],[data]])</f>
        <v>2</v>
      </c>
      <c r="H2895" s="35">
        <f>IF(Metas_Diarias[[#This Row],[dias_da_demana]]=1,"domingo",IF(Metas_Diarias[[#This Row],[dias_da_demana]]=7,0.5,1))</f>
        <v>1</v>
      </c>
      <c r="I2895" s="35">
        <f>_xlfn.XLOOKUP(Metas_Diarias[[#This Row],[data]],Feriados[Data],Feriados[Feriado],1)</f>
        <v>1</v>
      </c>
      <c r="J2895" s="33" cm="1">
        <f t="array" aca="1" ref="J2895" ca="1">SUMPRODUCT(IF((NOT(ISERROR(MATCH(ROW(INDIRECT(DATE(YEAR(B2895),MONTH(B2895),1)&amp;":"&amp;DATE(YEAR(B2895),MONTH(B2895)+1,0))),Feriados[Data],0))))=FALSE,
IF(WEEKDAY(ROW(INDIRECT(DATE(YEAR(B2895),MONTH(B2895),1)&amp;":"&amp;DATE(YEAR(B2895),MONTH(B2895)+1,0))),2)&lt;=5,1,IF(WEEKDAY(ROW(INDIRECT(DATE(YEAR(B2895),MONTH(B2895),1)&amp;":"&amp;DATE(YEAR(B2895),MONTH(B2895)+1,0))),2)=6,0.5,0)),0))</f>
        <v>22</v>
      </c>
      <c r="K2895" s="22" cm="1">
        <f t="array" ref="K2895">_xlfn.XLOOKUP(1,((Metas_Diarias[[#This Row],[tipo_equipe_id]]=Metas[equipe])*(Metas_Diarias[[#This Row],[data]]&gt;Metas[data_inicio])*(Metas_Diarias[[#This Row],[data]]&lt;Metas[data_fim])),Metas[meta_mensal],0)</f>
        <v>0</v>
      </c>
      <c r="L289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6" spans="2:12" x14ac:dyDescent="0.3">
      <c r="B2896" s="34">
        <v>46357</v>
      </c>
      <c r="C2896" s="34" t="str">
        <f>TEXT(Metas_Diarias[[#This Row],[data]],"dddd")</f>
        <v>terça-feira</v>
      </c>
      <c r="D2896" s="33">
        <v>3</v>
      </c>
      <c r="E2896" s="33">
        <v>4</v>
      </c>
      <c r="F2896" s="18"/>
      <c r="G2896" s="35">
        <f>WEEKDAY(Metas_Diarias[[#This Row],[data]])</f>
        <v>3</v>
      </c>
      <c r="H2896" s="35">
        <f>IF(Metas_Diarias[[#This Row],[dias_da_demana]]=1,"domingo",IF(Metas_Diarias[[#This Row],[dias_da_demana]]=7,0.5,1))</f>
        <v>1</v>
      </c>
      <c r="I2896" s="35">
        <f>_xlfn.XLOOKUP(Metas_Diarias[[#This Row],[data]],Feriados[Data],Feriados[Feriado],1)</f>
        <v>1</v>
      </c>
      <c r="J2896" s="33" cm="1">
        <f t="array" aca="1" ref="J2896" ca="1">SUMPRODUCT(IF((NOT(ISERROR(MATCH(ROW(INDIRECT(DATE(YEAR(B2896),MONTH(B2896),1)&amp;":"&amp;DATE(YEAR(B2896),MONTH(B2896)+1,0))),Feriados[Data],0))))=FALSE,
IF(WEEKDAY(ROW(INDIRECT(DATE(YEAR(B2896),MONTH(B2896),1)&amp;":"&amp;DATE(YEAR(B2896),MONTH(B2896)+1,0))),2)&lt;=5,1,IF(WEEKDAY(ROW(INDIRECT(DATE(YEAR(B2896),MONTH(B2896),1)&amp;":"&amp;DATE(YEAR(B2896),MONTH(B2896)+1,0))),2)=6,0.5,0)),0))</f>
        <v>24</v>
      </c>
      <c r="K2896" s="22" cm="1">
        <f t="array" ref="K2896">_xlfn.XLOOKUP(1,((Metas_Diarias[[#This Row],[tipo_equipe_id]]=Metas[equipe])*(Metas_Diarias[[#This Row],[data]]&gt;Metas[data_inicio])*(Metas_Diarias[[#This Row],[data]]&lt;Metas[data_fim])),Metas[meta_mensal],0)</f>
        <v>0</v>
      </c>
      <c r="L289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7" spans="2:12" x14ac:dyDescent="0.3">
      <c r="B2897" s="34">
        <v>46358</v>
      </c>
      <c r="C2897" s="34" t="str">
        <f>TEXT(Metas_Diarias[[#This Row],[data]],"dddd")</f>
        <v>quarta-feira</v>
      </c>
      <c r="D2897" s="33">
        <v>3</v>
      </c>
      <c r="E2897" s="33">
        <v>4</v>
      </c>
      <c r="F2897" s="18"/>
      <c r="G2897" s="35">
        <f>WEEKDAY(Metas_Diarias[[#This Row],[data]])</f>
        <v>4</v>
      </c>
      <c r="H2897" s="35">
        <f>IF(Metas_Diarias[[#This Row],[dias_da_demana]]=1,"domingo",IF(Metas_Diarias[[#This Row],[dias_da_demana]]=7,0.5,1))</f>
        <v>1</v>
      </c>
      <c r="I2897" s="35">
        <f>_xlfn.XLOOKUP(Metas_Diarias[[#This Row],[data]],Feriados[Data],Feriados[Feriado],1)</f>
        <v>1</v>
      </c>
      <c r="J2897" s="33" cm="1">
        <f t="array" aca="1" ref="J2897" ca="1">SUMPRODUCT(IF((NOT(ISERROR(MATCH(ROW(INDIRECT(DATE(YEAR(B2897),MONTH(B2897),1)&amp;":"&amp;DATE(YEAR(B2897),MONTH(B2897)+1,0))),Feriados[Data],0))))=FALSE,
IF(WEEKDAY(ROW(INDIRECT(DATE(YEAR(B2897),MONTH(B2897),1)&amp;":"&amp;DATE(YEAR(B2897),MONTH(B2897)+1,0))),2)&lt;=5,1,IF(WEEKDAY(ROW(INDIRECT(DATE(YEAR(B2897),MONTH(B2897),1)&amp;":"&amp;DATE(YEAR(B2897),MONTH(B2897)+1,0))),2)=6,0.5,0)),0))</f>
        <v>24</v>
      </c>
      <c r="K2897" s="22" cm="1">
        <f t="array" ref="K2897">_xlfn.XLOOKUP(1,((Metas_Diarias[[#This Row],[tipo_equipe_id]]=Metas[equipe])*(Metas_Diarias[[#This Row],[data]]&gt;Metas[data_inicio])*(Metas_Diarias[[#This Row],[data]]&lt;Metas[data_fim])),Metas[meta_mensal],0)</f>
        <v>0</v>
      </c>
      <c r="L289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8" spans="2:12" x14ac:dyDescent="0.3">
      <c r="B2898" s="34">
        <v>46359</v>
      </c>
      <c r="C2898" s="34" t="str">
        <f>TEXT(Metas_Diarias[[#This Row],[data]],"dddd")</f>
        <v>quinta-feira</v>
      </c>
      <c r="D2898" s="33">
        <v>3</v>
      </c>
      <c r="E2898" s="33">
        <v>4</v>
      </c>
      <c r="F2898" s="18"/>
      <c r="G2898" s="35">
        <f>WEEKDAY(Metas_Diarias[[#This Row],[data]])</f>
        <v>5</v>
      </c>
      <c r="H2898" s="35">
        <f>IF(Metas_Diarias[[#This Row],[dias_da_demana]]=1,"domingo",IF(Metas_Diarias[[#This Row],[dias_da_demana]]=7,0.5,1))</f>
        <v>1</v>
      </c>
      <c r="I2898" s="35">
        <f>_xlfn.XLOOKUP(Metas_Diarias[[#This Row],[data]],Feriados[Data],Feriados[Feriado],1)</f>
        <v>1</v>
      </c>
      <c r="J2898" s="33" cm="1">
        <f t="array" aca="1" ref="J2898" ca="1">SUMPRODUCT(IF((NOT(ISERROR(MATCH(ROW(INDIRECT(DATE(YEAR(B2898),MONTH(B2898),1)&amp;":"&amp;DATE(YEAR(B2898),MONTH(B2898)+1,0))),Feriados[Data],0))))=FALSE,
IF(WEEKDAY(ROW(INDIRECT(DATE(YEAR(B2898),MONTH(B2898),1)&amp;":"&amp;DATE(YEAR(B2898),MONTH(B2898)+1,0))),2)&lt;=5,1,IF(WEEKDAY(ROW(INDIRECT(DATE(YEAR(B2898),MONTH(B2898),1)&amp;":"&amp;DATE(YEAR(B2898),MONTH(B2898)+1,0))),2)=6,0.5,0)),0))</f>
        <v>24</v>
      </c>
      <c r="K2898" s="22" cm="1">
        <f t="array" ref="K2898">_xlfn.XLOOKUP(1,((Metas_Diarias[[#This Row],[tipo_equipe_id]]=Metas[equipe])*(Metas_Diarias[[#This Row],[data]]&gt;Metas[data_inicio])*(Metas_Diarias[[#This Row],[data]]&lt;Metas[data_fim])),Metas[meta_mensal],0)</f>
        <v>0</v>
      </c>
      <c r="L289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899" spans="2:12" x14ac:dyDescent="0.3">
      <c r="B2899" s="34">
        <v>46360</v>
      </c>
      <c r="C2899" s="34" t="str">
        <f>TEXT(Metas_Diarias[[#This Row],[data]],"dddd")</f>
        <v>sexta-feira</v>
      </c>
      <c r="D2899" s="33">
        <v>3</v>
      </c>
      <c r="E2899" s="33">
        <v>4</v>
      </c>
      <c r="F2899" s="18"/>
      <c r="G2899" s="35">
        <f>WEEKDAY(Metas_Diarias[[#This Row],[data]])</f>
        <v>6</v>
      </c>
      <c r="H2899" s="35">
        <f>IF(Metas_Diarias[[#This Row],[dias_da_demana]]=1,"domingo",IF(Metas_Diarias[[#This Row],[dias_da_demana]]=7,0.5,1))</f>
        <v>1</v>
      </c>
      <c r="I2899" s="35">
        <f>_xlfn.XLOOKUP(Metas_Diarias[[#This Row],[data]],Feriados[Data],Feriados[Feriado],1)</f>
        <v>1</v>
      </c>
      <c r="J2899" s="33" cm="1">
        <f t="array" aca="1" ref="J2899" ca="1">SUMPRODUCT(IF((NOT(ISERROR(MATCH(ROW(INDIRECT(DATE(YEAR(B2899),MONTH(B2899),1)&amp;":"&amp;DATE(YEAR(B2899),MONTH(B2899)+1,0))),Feriados[Data],0))))=FALSE,
IF(WEEKDAY(ROW(INDIRECT(DATE(YEAR(B2899),MONTH(B2899),1)&amp;":"&amp;DATE(YEAR(B2899),MONTH(B2899)+1,0))),2)&lt;=5,1,IF(WEEKDAY(ROW(INDIRECT(DATE(YEAR(B2899),MONTH(B2899),1)&amp;":"&amp;DATE(YEAR(B2899),MONTH(B2899)+1,0))),2)=6,0.5,0)),0))</f>
        <v>24</v>
      </c>
      <c r="K2899" s="22" cm="1">
        <f t="array" ref="K2899">_xlfn.XLOOKUP(1,((Metas_Diarias[[#This Row],[tipo_equipe_id]]=Metas[equipe])*(Metas_Diarias[[#This Row],[data]]&gt;Metas[data_inicio])*(Metas_Diarias[[#This Row],[data]]&lt;Metas[data_fim])),Metas[meta_mensal],0)</f>
        <v>0</v>
      </c>
      <c r="L289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0" spans="2:12" x14ac:dyDescent="0.3">
      <c r="B2900" s="34">
        <v>46361</v>
      </c>
      <c r="C2900" s="34" t="str">
        <f>TEXT(Metas_Diarias[[#This Row],[data]],"dddd")</f>
        <v>sábado</v>
      </c>
      <c r="D2900" s="33">
        <v>3</v>
      </c>
      <c r="E2900" s="33">
        <v>4</v>
      </c>
      <c r="F2900" s="18"/>
      <c r="G2900" s="35">
        <f>WEEKDAY(Metas_Diarias[[#This Row],[data]])</f>
        <v>7</v>
      </c>
      <c r="H2900" s="35">
        <f>IF(Metas_Diarias[[#This Row],[dias_da_demana]]=1,"domingo",IF(Metas_Diarias[[#This Row],[dias_da_demana]]=7,0.5,1))</f>
        <v>0.5</v>
      </c>
      <c r="I2900" s="35">
        <f>_xlfn.XLOOKUP(Metas_Diarias[[#This Row],[data]],Feriados[Data],Feriados[Feriado],1)</f>
        <v>1</v>
      </c>
      <c r="J2900" s="33" cm="1">
        <f t="array" aca="1" ref="J2900" ca="1">SUMPRODUCT(IF((NOT(ISERROR(MATCH(ROW(INDIRECT(DATE(YEAR(B2900),MONTH(B2900),1)&amp;":"&amp;DATE(YEAR(B2900),MONTH(B2900)+1,0))),Feriados[Data],0))))=FALSE,
IF(WEEKDAY(ROW(INDIRECT(DATE(YEAR(B2900),MONTH(B2900),1)&amp;":"&amp;DATE(YEAR(B2900),MONTH(B2900)+1,0))),2)&lt;=5,1,IF(WEEKDAY(ROW(INDIRECT(DATE(YEAR(B2900),MONTH(B2900),1)&amp;":"&amp;DATE(YEAR(B2900),MONTH(B2900)+1,0))),2)=6,0.5,0)),0))</f>
        <v>24</v>
      </c>
      <c r="K2900" s="22" cm="1">
        <f t="array" ref="K2900">_xlfn.XLOOKUP(1,((Metas_Diarias[[#This Row],[tipo_equipe_id]]=Metas[equipe])*(Metas_Diarias[[#This Row],[data]]&gt;Metas[data_inicio])*(Metas_Diarias[[#This Row],[data]]&lt;Metas[data_fim])),Metas[meta_mensal],0)</f>
        <v>0</v>
      </c>
      <c r="L290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1" spans="2:12" x14ac:dyDescent="0.3">
      <c r="B2901" s="34">
        <v>46362</v>
      </c>
      <c r="C2901" s="34" t="str">
        <f>TEXT(Metas_Diarias[[#This Row],[data]],"dddd")</f>
        <v>domingo</v>
      </c>
      <c r="D2901" s="33">
        <v>3</v>
      </c>
      <c r="E2901" s="33">
        <v>4</v>
      </c>
      <c r="F2901" s="18"/>
      <c r="G2901" s="35">
        <f>WEEKDAY(Metas_Diarias[[#This Row],[data]])</f>
        <v>1</v>
      </c>
      <c r="H2901" s="35" t="str">
        <f>IF(Metas_Diarias[[#This Row],[dias_da_demana]]=1,"domingo",IF(Metas_Diarias[[#This Row],[dias_da_demana]]=7,0.5,1))</f>
        <v>domingo</v>
      </c>
      <c r="I2901" s="35">
        <f>_xlfn.XLOOKUP(Metas_Diarias[[#This Row],[data]],Feriados[Data],Feriados[Feriado],1)</f>
        <v>1</v>
      </c>
      <c r="J2901" s="33" cm="1">
        <f t="array" aca="1" ref="J2901" ca="1">SUMPRODUCT(IF((NOT(ISERROR(MATCH(ROW(INDIRECT(DATE(YEAR(B2901),MONTH(B2901),1)&amp;":"&amp;DATE(YEAR(B2901),MONTH(B2901)+1,0))),Feriados[Data],0))))=FALSE,
IF(WEEKDAY(ROW(INDIRECT(DATE(YEAR(B2901),MONTH(B2901),1)&amp;":"&amp;DATE(YEAR(B2901),MONTH(B2901)+1,0))),2)&lt;=5,1,IF(WEEKDAY(ROW(INDIRECT(DATE(YEAR(B2901),MONTH(B2901),1)&amp;":"&amp;DATE(YEAR(B2901),MONTH(B2901)+1,0))),2)=6,0.5,0)),0))</f>
        <v>24</v>
      </c>
      <c r="K2901" s="22" cm="1">
        <f t="array" ref="K2901">_xlfn.XLOOKUP(1,((Metas_Diarias[[#This Row],[tipo_equipe_id]]=Metas[equipe])*(Metas_Diarias[[#This Row],[data]]&gt;Metas[data_inicio])*(Metas_Diarias[[#This Row],[data]]&lt;Metas[data_fim])),Metas[meta_mensal],0)</f>
        <v>0</v>
      </c>
      <c r="L290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2" spans="2:12" x14ac:dyDescent="0.3">
      <c r="B2902" s="34">
        <v>46363</v>
      </c>
      <c r="C2902" s="34" t="str">
        <f>TEXT(Metas_Diarias[[#This Row],[data]],"dddd")</f>
        <v>segunda-feira</v>
      </c>
      <c r="D2902" s="33">
        <v>3</v>
      </c>
      <c r="E2902" s="33">
        <v>4</v>
      </c>
      <c r="F2902" s="18"/>
      <c r="G2902" s="35">
        <f>WEEKDAY(Metas_Diarias[[#This Row],[data]])</f>
        <v>2</v>
      </c>
      <c r="H2902" s="35">
        <f>IF(Metas_Diarias[[#This Row],[dias_da_demana]]=1,"domingo",IF(Metas_Diarias[[#This Row],[dias_da_demana]]=7,0.5,1))</f>
        <v>1</v>
      </c>
      <c r="I2902" s="35">
        <f>_xlfn.XLOOKUP(Metas_Diarias[[#This Row],[data]],Feriados[Data],Feriados[Feriado],1)</f>
        <v>1</v>
      </c>
      <c r="J2902" s="33" cm="1">
        <f t="array" aca="1" ref="J2902" ca="1">SUMPRODUCT(IF((NOT(ISERROR(MATCH(ROW(INDIRECT(DATE(YEAR(B2902),MONTH(B2902),1)&amp;":"&amp;DATE(YEAR(B2902),MONTH(B2902)+1,0))),Feriados[Data],0))))=FALSE,
IF(WEEKDAY(ROW(INDIRECT(DATE(YEAR(B2902),MONTH(B2902),1)&amp;":"&amp;DATE(YEAR(B2902),MONTH(B2902)+1,0))),2)&lt;=5,1,IF(WEEKDAY(ROW(INDIRECT(DATE(YEAR(B2902),MONTH(B2902),1)&amp;":"&amp;DATE(YEAR(B2902),MONTH(B2902)+1,0))),2)=6,0.5,0)),0))</f>
        <v>24</v>
      </c>
      <c r="K2902" s="22" cm="1">
        <f t="array" ref="K2902">_xlfn.XLOOKUP(1,((Metas_Diarias[[#This Row],[tipo_equipe_id]]=Metas[equipe])*(Metas_Diarias[[#This Row],[data]]&gt;Metas[data_inicio])*(Metas_Diarias[[#This Row],[data]]&lt;Metas[data_fim])),Metas[meta_mensal],0)</f>
        <v>0</v>
      </c>
      <c r="L290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3" spans="2:12" x14ac:dyDescent="0.3">
      <c r="B2903" s="34">
        <v>46364</v>
      </c>
      <c r="C2903" s="34" t="str">
        <f>TEXT(Metas_Diarias[[#This Row],[data]],"dddd")</f>
        <v>terça-feira</v>
      </c>
      <c r="D2903" s="33">
        <v>3</v>
      </c>
      <c r="E2903" s="33">
        <v>4</v>
      </c>
      <c r="F2903" s="18"/>
      <c r="G2903" s="35">
        <f>WEEKDAY(Metas_Diarias[[#This Row],[data]])</f>
        <v>3</v>
      </c>
      <c r="H2903" s="35">
        <f>IF(Metas_Diarias[[#This Row],[dias_da_demana]]=1,"domingo",IF(Metas_Diarias[[#This Row],[dias_da_demana]]=7,0.5,1))</f>
        <v>1</v>
      </c>
      <c r="I2903" s="35">
        <f>_xlfn.XLOOKUP(Metas_Diarias[[#This Row],[data]],Feriados[Data],Feriados[Feriado],1)</f>
        <v>1</v>
      </c>
      <c r="J2903" s="33" cm="1">
        <f t="array" aca="1" ref="J2903" ca="1">SUMPRODUCT(IF((NOT(ISERROR(MATCH(ROW(INDIRECT(DATE(YEAR(B2903),MONTH(B2903),1)&amp;":"&amp;DATE(YEAR(B2903),MONTH(B2903)+1,0))),Feriados[Data],0))))=FALSE,
IF(WEEKDAY(ROW(INDIRECT(DATE(YEAR(B2903),MONTH(B2903),1)&amp;":"&amp;DATE(YEAR(B2903),MONTH(B2903)+1,0))),2)&lt;=5,1,IF(WEEKDAY(ROW(INDIRECT(DATE(YEAR(B2903),MONTH(B2903),1)&amp;":"&amp;DATE(YEAR(B2903),MONTH(B2903)+1,0))),2)=6,0.5,0)),0))</f>
        <v>24</v>
      </c>
      <c r="K2903" s="22" cm="1">
        <f t="array" ref="K2903">_xlfn.XLOOKUP(1,((Metas_Diarias[[#This Row],[tipo_equipe_id]]=Metas[equipe])*(Metas_Diarias[[#This Row],[data]]&gt;Metas[data_inicio])*(Metas_Diarias[[#This Row],[data]]&lt;Metas[data_fim])),Metas[meta_mensal],0)</f>
        <v>0</v>
      </c>
      <c r="L290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4" spans="2:12" x14ac:dyDescent="0.3">
      <c r="B2904" s="34">
        <v>46365</v>
      </c>
      <c r="C2904" s="34" t="str">
        <f>TEXT(Metas_Diarias[[#This Row],[data]],"dddd")</f>
        <v>quarta-feira</v>
      </c>
      <c r="D2904" s="33">
        <v>3</v>
      </c>
      <c r="E2904" s="33">
        <v>4</v>
      </c>
      <c r="F2904" s="18"/>
      <c r="G2904" s="35">
        <f>WEEKDAY(Metas_Diarias[[#This Row],[data]])</f>
        <v>4</v>
      </c>
      <c r="H2904" s="35">
        <f>IF(Metas_Diarias[[#This Row],[dias_da_demana]]=1,"domingo",IF(Metas_Diarias[[#This Row],[dias_da_demana]]=7,0.5,1))</f>
        <v>1</v>
      </c>
      <c r="I2904" s="35">
        <f>_xlfn.XLOOKUP(Metas_Diarias[[#This Row],[data]],Feriados[Data],Feriados[Feriado],1)</f>
        <v>1</v>
      </c>
      <c r="J2904" s="33" cm="1">
        <f t="array" aca="1" ref="J2904" ca="1">SUMPRODUCT(IF((NOT(ISERROR(MATCH(ROW(INDIRECT(DATE(YEAR(B2904),MONTH(B2904),1)&amp;":"&amp;DATE(YEAR(B2904),MONTH(B2904)+1,0))),Feriados[Data],0))))=FALSE,
IF(WEEKDAY(ROW(INDIRECT(DATE(YEAR(B2904),MONTH(B2904),1)&amp;":"&amp;DATE(YEAR(B2904),MONTH(B2904)+1,0))),2)&lt;=5,1,IF(WEEKDAY(ROW(INDIRECT(DATE(YEAR(B2904),MONTH(B2904),1)&amp;":"&amp;DATE(YEAR(B2904),MONTH(B2904)+1,0))),2)=6,0.5,0)),0))</f>
        <v>24</v>
      </c>
      <c r="K2904" s="22" cm="1">
        <f t="array" ref="K2904">_xlfn.XLOOKUP(1,((Metas_Diarias[[#This Row],[tipo_equipe_id]]=Metas[equipe])*(Metas_Diarias[[#This Row],[data]]&gt;Metas[data_inicio])*(Metas_Diarias[[#This Row],[data]]&lt;Metas[data_fim])),Metas[meta_mensal],0)</f>
        <v>0</v>
      </c>
      <c r="L290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5" spans="2:12" x14ac:dyDescent="0.3">
      <c r="B2905" s="34">
        <v>46366</v>
      </c>
      <c r="C2905" s="34" t="str">
        <f>TEXT(Metas_Diarias[[#This Row],[data]],"dddd")</f>
        <v>quinta-feira</v>
      </c>
      <c r="D2905" s="33">
        <v>3</v>
      </c>
      <c r="E2905" s="33">
        <v>4</v>
      </c>
      <c r="F2905" s="18"/>
      <c r="G2905" s="35">
        <f>WEEKDAY(Metas_Diarias[[#This Row],[data]])</f>
        <v>5</v>
      </c>
      <c r="H2905" s="35">
        <f>IF(Metas_Diarias[[#This Row],[dias_da_demana]]=1,"domingo",IF(Metas_Diarias[[#This Row],[dias_da_demana]]=7,0.5,1))</f>
        <v>1</v>
      </c>
      <c r="I2905" s="35">
        <f>_xlfn.XLOOKUP(Metas_Diarias[[#This Row],[data]],Feriados[Data],Feriados[Feriado],1)</f>
        <v>1</v>
      </c>
      <c r="J2905" s="33" cm="1">
        <f t="array" aca="1" ref="J2905" ca="1">SUMPRODUCT(IF((NOT(ISERROR(MATCH(ROW(INDIRECT(DATE(YEAR(B2905),MONTH(B2905),1)&amp;":"&amp;DATE(YEAR(B2905),MONTH(B2905)+1,0))),Feriados[Data],0))))=FALSE,
IF(WEEKDAY(ROW(INDIRECT(DATE(YEAR(B2905),MONTH(B2905),1)&amp;":"&amp;DATE(YEAR(B2905),MONTH(B2905)+1,0))),2)&lt;=5,1,IF(WEEKDAY(ROW(INDIRECT(DATE(YEAR(B2905),MONTH(B2905),1)&amp;":"&amp;DATE(YEAR(B2905),MONTH(B2905)+1,0))),2)=6,0.5,0)),0))</f>
        <v>24</v>
      </c>
      <c r="K2905" s="22" cm="1">
        <f t="array" ref="K2905">_xlfn.XLOOKUP(1,((Metas_Diarias[[#This Row],[tipo_equipe_id]]=Metas[equipe])*(Metas_Diarias[[#This Row],[data]]&gt;Metas[data_inicio])*(Metas_Diarias[[#This Row],[data]]&lt;Metas[data_fim])),Metas[meta_mensal],0)</f>
        <v>0</v>
      </c>
      <c r="L290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6" spans="2:12" x14ac:dyDescent="0.3">
      <c r="B2906" s="34">
        <v>46367</v>
      </c>
      <c r="C2906" s="34" t="str">
        <f>TEXT(Metas_Diarias[[#This Row],[data]],"dddd")</f>
        <v>sexta-feira</v>
      </c>
      <c r="D2906" s="33">
        <v>3</v>
      </c>
      <c r="E2906" s="33">
        <v>4</v>
      </c>
      <c r="F2906" s="18"/>
      <c r="G2906" s="35">
        <f>WEEKDAY(Metas_Diarias[[#This Row],[data]])</f>
        <v>6</v>
      </c>
      <c r="H2906" s="35">
        <f>IF(Metas_Diarias[[#This Row],[dias_da_demana]]=1,"domingo",IF(Metas_Diarias[[#This Row],[dias_da_demana]]=7,0.5,1))</f>
        <v>1</v>
      </c>
      <c r="I2906" s="35">
        <f>_xlfn.XLOOKUP(Metas_Diarias[[#This Row],[data]],Feriados[Data],Feriados[Feriado],1)</f>
        <v>1</v>
      </c>
      <c r="J2906" s="33" cm="1">
        <f t="array" aca="1" ref="J2906" ca="1">SUMPRODUCT(IF((NOT(ISERROR(MATCH(ROW(INDIRECT(DATE(YEAR(B2906),MONTH(B2906),1)&amp;":"&amp;DATE(YEAR(B2906),MONTH(B2906)+1,0))),Feriados[Data],0))))=FALSE,
IF(WEEKDAY(ROW(INDIRECT(DATE(YEAR(B2906),MONTH(B2906),1)&amp;":"&amp;DATE(YEAR(B2906),MONTH(B2906)+1,0))),2)&lt;=5,1,IF(WEEKDAY(ROW(INDIRECT(DATE(YEAR(B2906),MONTH(B2906),1)&amp;":"&amp;DATE(YEAR(B2906),MONTH(B2906)+1,0))),2)=6,0.5,0)),0))</f>
        <v>24</v>
      </c>
      <c r="K2906" s="22" cm="1">
        <f t="array" ref="K2906">_xlfn.XLOOKUP(1,((Metas_Diarias[[#This Row],[tipo_equipe_id]]=Metas[equipe])*(Metas_Diarias[[#This Row],[data]]&gt;Metas[data_inicio])*(Metas_Diarias[[#This Row],[data]]&lt;Metas[data_fim])),Metas[meta_mensal],0)</f>
        <v>0</v>
      </c>
      <c r="L290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7" spans="2:12" x14ac:dyDescent="0.3">
      <c r="B2907" s="34">
        <v>46368</v>
      </c>
      <c r="C2907" s="34" t="str">
        <f>TEXT(Metas_Diarias[[#This Row],[data]],"dddd")</f>
        <v>sábado</v>
      </c>
      <c r="D2907" s="33">
        <v>3</v>
      </c>
      <c r="E2907" s="33">
        <v>4</v>
      </c>
      <c r="F2907" s="18"/>
      <c r="G2907" s="35">
        <f>WEEKDAY(Metas_Diarias[[#This Row],[data]])</f>
        <v>7</v>
      </c>
      <c r="H2907" s="35">
        <f>IF(Metas_Diarias[[#This Row],[dias_da_demana]]=1,"domingo",IF(Metas_Diarias[[#This Row],[dias_da_demana]]=7,0.5,1))</f>
        <v>0.5</v>
      </c>
      <c r="I2907" s="35">
        <f>_xlfn.XLOOKUP(Metas_Diarias[[#This Row],[data]],Feriados[Data],Feriados[Feriado],1)</f>
        <v>1</v>
      </c>
      <c r="J2907" s="33" cm="1">
        <f t="array" aca="1" ref="J2907" ca="1">SUMPRODUCT(IF((NOT(ISERROR(MATCH(ROW(INDIRECT(DATE(YEAR(B2907),MONTH(B2907),1)&amp;":"&amp;DATE(YEAR(B2907),MONTH(B2907)+1,0))),Feriados[Data],0))))=FALSE,
IF(WEEKDAY(ROW(INDIRECT(DATE(YEAR(B2907),MONTH(B2907),1)&amp;":"&amp;DATE(YEAR(B2907),MONTH(B2907)+1,0))),2)&lt;=5,1,IF(WEEKDAY(ROW(INDIRECT(DATE(YEAR(B2907),MONTH(B2907),1)&amp;":"&amp;DATE(YEAR(B2907),MONTH(B2907)+1,0))),2)=6,0.5,0)),0))</f>
        <v>24</v>
      </c>
      <c r="K2907" s="22" cm="1">
        <f t="array" ref="K2907">_xlfn.XLOOKUP(1,((Metas_Diarias[[#This Row],[tipo_equipe_id]]=Metas[equipe])*(Metas_Diarias[[#This Row],[data]]&gt;Metas[data_inicio])*(Metas_Diarias[[#This Row],[data]]&lt;Metas[data_fim])),Metas[meta_mensal],0)</f>
        <v>0</v>
      </c>
      <c r="L290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8" spans="2:12" x14ac:dyDescent="0.3">
      <c r="B2908" s="34">
        <v>46369</v>
      </c>
      <c r="C2908" s="34" t="str">
        <f>TEXT(Metas_Diarias[[#This Row],[data]],"dddd")</f>
        <v>domingo</v>
      </c>
      <c r="D2908" s="33">
        <v>3</v>
      </c>
      <c r="E2908" s="33">
        <v>4</v>
      </c>
      <c r="F2908" s="18"/>
      <c r="G2908" s="35">
        <f>WEEKDAY(Metas_Diarias[[#This Row],[data]])</f>
        <v>1</v>
      </c>
      <c r="H2908" s="35" t="str">
        <f>IF(Metas_Diarias[[#This Row],[dias_da_demana]]=1,"domingo",IF(Metas_Diarias[[#This Row],[dias_da_demana]]=7,0.5,1))</f>
        <v>domingo</v>
      </c>
      <c r="I2908" s="35">
        <f>_xlfn.XLOOKUP(Metas_Diarias[[#This Row],[data]],Feriados[Data],Feriados[Feriado],1)</f>
        <v>1</v>
      </c>
      <c r="J2908" s="33" cm="1">
        <f t="array" aca="1" ref="J2908" ca="1">SUMPRODUCT(IF((NOT(ISERROR(MATCH(ROW(INDIRECT(DATE(YEAR(B2908),MONTH(B2908),1)&amp;":"&amp;DATE(YEAR(B2908),MONTH(B2908)+1,0))),Feriados[Data],0))))=FALSE,
IF(WEEKDAY(ROW(INDIRECT(DATE(YEAR(B2908),MONTH(B2908),1)&amp;":"&amp;DATE(YEAR(B2908),MONTH(B2908)+1,0))),2)&lt;=5,1,IF(WEEKDAY(ROW(INDIRECT(DATE(YEAR(B2908),MONTH(B2908),1)&amp;":"&amp;DATE(YEAR(B2908),MONTH(B2908)+1,0))),2)=6,0.5,0)),0))</f>
        <v>24</v>
      </c>
      <c r="K2908" s="22" cm="1">
        <f t="array" ref="K2908">_xlfn.XLOOKUP(1,((Metas_Diarias[[#This Row],[tipo_equipe_id]]=Metas[equipe])*(Metas_Diarias[[#This Row],[data]]&gt;Metas[data_inicio])*(Metas_Diarias[[#This Row],[data]]&lt;Metas[data_fim])),Metas[meta_mensal],0)</f>
        <v>0</v>
      </c>
      <c r="L290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09" spans="2:12" x14ac:dyDescent="0.3">
      <c r="B2909" s="34">
        <v>46370</v>
      </c>
      <c r="C2909" s="34" t="str">
        <f>TEXT(Metas_Diarias[[#This Row],[data]],"dddd")</f>
        <v>segunda-feira</v>
      </c>
      <c r="D2909" s="33">
        <v>3</v>
      </c>
      <c r="E2909" s="33">
        <v>4</v>
      </c>
      <c r="F2909" s="18"/>
      <c r="G2909" s="35">
        <f>WEEKDAY(Metas_Diarias[[#This Row],[data]])</f>
        <v>2</v>
      </c>
      <c r="H2909" s="35">
        <f>IF(Metas_Diarias[[#This Row],[dias_da_demana]]=1,"domingo",IF(Metas_Diarias[[#This Row],[dias_da_demana]]=7,0.5,1))</f>
        <v>1</v>
      </c>
      <c r="I2909" s="35">
        <f>_xlfn.XLOOKUP(Metas_Diarias[[#This Row],[data]],Feriados[Data],Feriados[Feriado],1)</f>
        <v>1</v>
      </c>
      <c r="J2909" s="33" cm="1">
        <f t="array" aca="1" ref="J2909" ca="1">SUMPRODUCT(IF((NOT(ISERROR(MATCH(ROW(INDIRECT(DATE(YEAR(B2909),MONTH(B2909),1)&amp;":"&amp;DATE(YEAR(B2909),MONTH(B2909)+1,0))),Feriados[Data],0))))=FALSE,
IF(WEEKDAY(ROW(INDIRECT(DATE(YEAR(B2909),MONTH(B2909),1)&amp;":"&amp;DATE(YEAR(B2909),MONTH(B2909)+1,0))),2)&lt;=5,1,IF(WEEKDAY(ROW(INDIRECT(DATE(YEAR(B2909),MONTH(B2909),1)&amp;":"&amp;DATE(YEAR(B2909),MONTH(B2909)+1,0))),2)=6,0.5,0)),0))</f>
        <v>24</v>
      </c>
      <c r="K2909" s="22" cm="1">
        <f t="array" ref="K2909">_xlfn.XLOOKUP(1,((Metas_Diarias[[#This Row],[tipo_equipe_id]]=Metas[equipe])*(Metas_Diarias[[#This Row],[data]]&gt;Metas[data_inicio])*(Metas_Diarias[[#This Row],[data]]&lt;Metas[data_fim])),Metas[meta_mensal],0)</f>
        <v>0</v>
      </c>
      <c r="L290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0" spans="2:12" x14ac:dyDescent="0.3">
      <c r="B2910" s="34">
        <v>46371</v>
      </c>
      <c r="C2910" s="34" t="str">
        <f>TEXT(Metas_Diarias[[#This Row],[data]],"dddd")</f>
        <v>terça-feira</v>
      </c>
      <c r="D2910" s="33">
        <v>3</v>
      </c>
      <c r="E2910" s="33">
        <v>4</v>
      </c>
      <c r="F2910" s="18"/>
      <c r="G2910" s="35">
        <f>WEEKDAY(Metas_Diarias[[#This Row],[data]])</f>
        <v>3</v>
      </c>
      <c r="H2910" s="35">
        <f>IF(Metas_Diarias[[#This Row],[dias_da_demana]]=1,"domingo",IF(Metas_Diarias[[#This Row],[dias_da_demana]]=7,0.5,1))</f>
        <v>1</v>
      </c>
      <c r="I2910" s="35">
        <f>_xlfn.XLOOKUP(Metas_Diarias[[#This Row],[data]],Feriados[Data],Feriados[Feriado],1)</f>
        <v>1</v>
      </c>
      <c r="J2910" s="33" cm="1">
        <f t="array" aca="1" ref="J2910" ca="1">SUMPRODUCT(IF((NOT(ISERROR(MATCH(ROW(INDIRECT(DATE(YEAR(B2910),MONTH(B2910),1)&amp;":"&amp;DATE(YEAR(B2910),MONTH(B2910)+1,0))),Feriados[Data],0))))=FALSE,
IF(WEEKDAY(ROW(INDIRECT(DATE(YEAR(B2910),MONTH(B2910),1)&amp;":"&amp;DATE(YEAR(B2910),MONTH(B2910)+1,0))),2)&lt;=5,1,IF(WEEKDAY(ROW(INDIRECT(DATE(YEAR(B2910),MONTH(B2910),1)&amp;":"&amp;DATE(YEAR(B2910),MONTH(B2910)+1,0))),2)=6,0.5,0)),0))</f>
        <v>24</v>
      </c>
      <c r="K2910" s="22" cm="1">
        <f t="array" ref="K2910">_xlfn.XLOOKUP(1,((Metas_Diarias[[#This Row],[tipo_equipe_id]]=Metas[equipe])*(Metas_Diarias[[#This Row],[data]]&gt;Metas[data_inicio])*(Metas_Diarias[[#This Row],[data]]&lt;Metas[data_fim])),Metas[meta_mensal],0)</f>
        <v>0</v>
      </c>
      <c r="L291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1" spans="2:12" x14ac:dyDescent="0.3">
      <c r="B2911" s="34">
        <v>46372</v>
      </c>
      <c r="C2911" s="34" t="str">
        <f>TEXT(Metas_Diarias[[#This Row],[data]],"dddd")</f>
        <v>quarta-feira</v>
      </c>
      <c r="D2911" s="33">
        <v>3</v>
      </c>
      <c r="E2911" s="33">
        <v>4</v>
      </c>
      <c r="F2911" s="18"/>
      <c r="G2911" s="35">
        <f>WEEKDAY(Metas_Diarias[[#This Row],[data]])</f>
        <v>4</v>
      </c>
      <c r="H2911" s="35">
        <f>IF(Metas_Diarias[[#This Row],[dias_da_demana]]=1,"domingo",IF(Metas_Diarias[[#This Row],[dias_da_demana]]=7,0.5,1))</f>
        <v>1</v>
      </c>
      <c r="I2911" s="35">
        <f>_xlfn.XLOOKUP(Metas_Diarias[[#This Row],[data]],Feriados[Data],Feriados[Feriado],1)</f>
        <v>1</v>
      </c>
      <c r="J2911" s="33" cm="1">
        <f t="array" aca="1" ref="J2911" ca="1">SUMPRODUCT(IF((NOT(ISERROR(MATCH(ROW(INDIRECT(DATE(YEAR(B2911),MONTH(B2911),1)&amp;":"&amp;DATE(YEAR(B2911),MONTH(B2911)+1,0))),Feriados[Data],0))))=FALSE,
IF(WEEKDAY(ROW(INDIRECT(DATE(YEAR(B2911),MONTH(B2911),1)&amp;":"&amp;DATE(YEAR(B2911),MONTH(B2911)+1,0))),2)&lt;=5,1,IF(WEEKDAY(ROW(INDIRECT(DATE(YEAR(B2911),MONTH(B2911),1)&amp;":"&amp;DATE(YEAR(B2911),MONTH(B2911)+1,0))),2)=6,0.5,0)),0))</f>
        <v>24</v>
      </c>
      <c r="K2911" s="22" cm="1">
        <f t="array" ref="K2911">_xlfn.XLOOKUP(1,((Metas_Diarias[[#This Row],[tipo_equipe_id]]=Metas[equipe])*(Metas_Diarias[[#This Row],[data]]&gt;Metas[data_inicio])*(Metas_Diarias[[#This Row],[data]]&lt;Metas[data_fim])),Metas[meta_mensal],0)</f>
        <v>0</v>
      </c>
      <c r="L291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2" spans="2:12" x14ac:dyDescent="0.3">
      <c r="B2912" s="34">
        <v>46373</v>
      </c>
      <c r="C2912" s="34" t="str">
        <f>TEXT(Metas_Diarias[[#This Row],[data]],"dddd")</f>
        <v>quinta-feira</v>
      </c>
      <c r="D2912" s="33">
        <v>3</v>
      </c>
      <c r="E2912" s="33">
        <v>4</v>
      </c>
      <c r="F2912" s="18"/>
      <c r="G2912" s="35">
        <f>WEEKDAY(Metas_Diarias[[#This Row],[data]])</f>
        <v>5</v>
      </c>
      <c r="H2912" s="35">
        <f>IF(Metas_Diarias[[#This Row],[dias_da_demana]]=1,"domingo",IF(Metas_Diarias[[#This Row],[dias_da_demana]]=7,0.5,1))</f>
        <v>1</v>
      </c>
      <c r="I2912" s="35">
        <f>_xlfn.XLOOKUP(Metas_Diarias[[#This Row],[data]],Feriados[Data],Feriados[Feriado],1)</f>
        <v>1</v>
      </c>
      <c r="J2912" s="33" cm="1">
        <f t="array" aca="1" ref="J2912" ca="1">SUMPRODUCT(IF((NOT(ISERROR(MATCH(ROW(INDIRECT(DATE(YEAR(B2912),MONTH(B2912),1)&amp;":"&amp;DATE(YEAR(B2912),MONTH(B2912)+1,0))),Feriados[Data],0))))=FALSE,
IF(WEEKDAY(ROW(INDIRECT(DATE(YEAR(B2912),MONTH(B2912),1)&amp;":"&amp;DATE(YEAR(B2912),MONTH(B2912)+1,0))),2)&lt;=5,1,IF(WEEKDAY(ROW(INDIRECT(DATE(YEAR(B2912),MONTH(B2912),1)&amp;":"&amp;DATE(YEAR(B2912),MONTH(B2912)+1,0))),2)=6,0.5,0)),0))</f>
        <v>24</v>
      </c>
      <c r="K2912" s="22" cm="1">
        <f t="array" ref="K2912">_xlfn.XLOOKUP(1,((Metas_Diarias[[#This Row],[tipo_equipe_id]]=Metas[equipe])*(Metas_Diarias[[#This Row],[data]]&gt;Metas[data_inicio])*(Metas_Diarias[[#This Row],[data]]&lt;Metas[data_fim])),Metas[meta_mensal],0)</f>
        <v>0</v>
      </c>
      <c r="L291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3" spans="2:12" x14ac:dyDescent="0.3">
      <c r="B2913" s="34">
        <v>46374</v>
      </c>
      <c r="C2913" s="34" t="str">
        <f>TEXT(Metas_Diarias[[#This Row],[data]],"dddd")</f>
        <v>sexta-feira</v>
      </c>
      <c r="D2913" s="33">
        <v>3</v>
      </c>
      <c r="E2913" s="33">
        <v>4</v>
      </c>
      <c r="F2913" s="18"/>
      <c r="G2913" s="35">
        <f>WEEKDAY(Metas_Diarias[[#This Row],[data]])</f>
        <v>6</v>
      </c>
      <c r="H2913" s="35">
        <f>IF(Metas_Diarias[[#This Row],[dias_da_demana]]=1,"domingo",IF(Metas_Diarias[[#This Row],[dias_da_demana]]=7,0.5,1))</f>
        <v>1</v>
      </c>
      <c r="I2913" s="35">
        <f>_xlfn.XLOOKUP(Metas_Diarias[[#This Row],[data]],Feriados[Data],Feriados[Feriado],1)</f>
        <v>1</v>
      </c>
      <c r="J2913" s="33" cm="1">
        <f t="array" aca="1" ref="J2913" ca="1">SUMPRODUCT(IF((NOT(ISERROR(MATCH(ROW(INDIRECT(DATE(YEAR(B2913),MONTH(B2913),1)&amp;":"&amp;DATE(YEAR(B2913),MONTH(B2913)+1,0))),Feriados[Data],0))))=FALSE,
IF(WEEKDAY(ROW(INDIRECT(DATE(YEAR(B2913),MONTH(B2913),1)&amp;":"&amp;DATE(YEAR(B2913),MONTH(B2913)+1,0))),2)&lt;=5,1,IF(WEEKDAY(ROW(INDIRECT(DATE(YEAR(B2913),MONTH(B2913),1)&amp;":"&amp;DATE(YEAR(B2913),MONTH(B2913)+1,0))),2)=6,0.5,0)),0))</f>
        <v>24</v>
      </c>
      <c r="K2913" s="22" cm="1">
        <f t="array" ref="K2913">_xlfn.XLOOKUP(1,((Metas_Diarias[[#This Row],[tipo_equipe_id]]=Metas[equipe])*(Metas_Diarias[[#This Row],[data]]&gt;Metas[data_inicio])*(Metas_Diarias[[#This Row],[data]]&lt;Metas[data_fim])),Metas[meta_mensal],0)</f>
        <v>0</v>
      </c>
      <c r="L291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4" spans="2:12" x14ac:dyDescent="0.3">
      <c r="B2914" s="34">
        <v>46375</v>
      </c>
      <c r="C2914" s="34" t="str">
        <f>TEXT(Metas_Diarias[[#This Row],[data]],"dddd")</f>
        <v>sábado</v>
      </c>
      <c r="D2914" s="33">
        <v>3</v>
      </c>
      <c r="E2914" s="33">
        <v>4</v>
      </c>
      <c r="F2914" s="18"/>
      <c r="G2914" s="35">
        <f>WEEKDAY(Metas_Diarias[[#This Row],[data]])</f>
        <v>7</v>
      </c>
      <c r="H2914" s="35">
        <f>IF(Metas_Diarias[[#This Row],[dias_da_demana]]=1,"domingo",IF(Metas_Diarias[[#This Row],[dias_da_demana]]=7,0.5,1))</f>
        <v>0.5</v>
      </c>
      <c r="I2914" s="35">
        <f>_xlfn.XLOOKUP(Metas_Diarias[[#This Row],[data]],Feriados[Data],Feriados[Feriado],1)</f>
        <v>1</v>
      </c>
      <c r="J2914" s="33" cm="1">
        <f t="array" aca="1" ref="J2914" ca="1">SUMPRODUCT(IF((NOT(ISERROR(MATCH(ROW(INDIRECT(DATE(YEAR(B2914),MONTH(B2914),1)&amp;":"&amp;DATE(YEAR(B2914),MONTH(B2914)+1,0))),Feriados[Data],0))))=FALSE,
IF(WEEKDAY(ROW(INDIRECT(DATE(YEAR(B2914),MONTH(B2914),1)&amp;":"&amp;DATE(YEAR(B2914),MONTH(B2914)+1,0))),2)&lt;=5,1,IF(WEEKDAY(ROW(INDIRECT(DATE(YEAR(B2914),MONTH(B2914),1)&amp;":"&amp;DATE(YEAR(B2914),MONTH(B2914)+1,0))),2)=6,0.5,0)),0))</f>
        <v>24</v>
      </c>
      <c r="K2914" s="22" cm="1">
        <f t="array" ref="K2914">_xlfn.XLOOKUP(1,((Metas_Diarias[[#This Row],[tipo_equipe_id]]=Metas[equipe])*(Metas_Diarias[[#This Row],[data]]&gt;Metas[data_inicio])*(Metas_Diarias[[#This Row],[data]]&lt;Metas[data_fim])),Metas[meta_mensal],0)</f>
        <v>0</v>
      </c>
      <c r="L291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5" spans="2:12" x14ac:dyDescent="0.3">
      <c r="B2915" s="34">
        <v>46376</v>
      </c>
      <c r="C2915" s="34" t="str">
        <f>TEXT(Metas_Diarias[[#This Row],[data]],"dddd")</f>
        <v>domingo</v>
      </c>
      <c r="D2915" s="33">
        <v>3</v>
      </c>
      <c r="E2915" s="33">
        <v>4</v>
      </c>
      <c r="F2915" s="18"/>
      <c r="G2915" s="35">
        <f>WEEKDAY(Metas_Diarias[[#This Row],[data]])</f>
        <v>1</v>
      </c>
      <c r="H2915" s="35" t="str">
        <f>IF(Metas_Diarias[[#This Row],[dias_da_demana]]=1,"domingo",IF(Metas_Diarias[[#This Row],[dias_da_demana]]=7,0.5,1))</f>
        <v>domingo</v>
      </c>
      <c r="I2915" s="35">
        <f>_xlfn.XLOOKUP(Metas_Diarias[[#This Row],[data]],Feriados[Data],Feriados[Feriado],1)</f>
        <v>1</v>
      </c>
      <c r="J2915" s="33" cm="1">
        <f t="array" aca="1" ref="J2915" ca="1">SUMPRODUCT(IF((NOT(ISERROR(MATCH(ROW(INDIRECT(DATE(YEAR(B2915),MONTH(B2915),1)&amp;":"&amp;DATE(YEAR(B2915),MONTH(B2915)+1,0))),Feriados[Data],0))))=FALSE,
IF(WEEKDAY(ROW(INDIRECT(DATE(YEAR(B2915),MONTH(B2915),1)&amp;":"&amp;DATE(YEAR(B2915),MONTH(B2915)+1,0))),2)&lt;=5,1,IF(WEEKDAY(ROW(INDIRECT(DATE(YEAR(B2915),MONTH(B2915),1)&amp;":"&amp;DATE(YEAR(B2915),MONTH(B2915)+1,0))),2)=6,0.5,0)),0))</f>
        <v>24</v>
      </c>
      <c r="K2915" s="22" cm="1">
        <f t="array" ref="K2915">_xlfn.XLOOKUP(1,((Metas_Diarias[[#This Row],[tipo_equipe_id]]=Metas[equipe])*(Metas_Diarias[[#This Row],[data]]&gt;Metas[data_inicio])*(Metas_Diarias[[#This Row],[data]]&lt;Metas[data_fim])),Metas[meta_mensal],0)</f>
        <v>0</v>
      </c>
      <c r="L291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6" spans="2:12" x14ac:dyDescent="0.3">
      <c r="B2916" s="34">
        <v>46377</v>
      </c>
      <c r="C2916" s="34" t="str">
        <f>TEXT(Metas_Diarias[[#This Row],[data]],"dddd")</f>
        <v>segunda-feira</v>
      </c>
      <c r="D2916" s="33">
        <v>3</v>
      </c>
      <c r="E2916" s="33">
        <v>4</v>
      </c>
      <c r="F2916" s="18"/>
      <c r="G2916" s="35">
        <f>WEEKDAY(Metas_Diarias[[#This Row],[data]])</f>
        <v>2</v>
      </c>
      <c r="H2916" s="35">
        <f>IF(Metas_Diarias[[#This Row],[dias_da_demana]]=1,"domingo",IF(Metas_Diarias[[#This Row],[dias_da_demana]]=7,0.5,1))</f>
        <v>1</v>
      </c>
      <c r="I2916" s="35">
        <f>_xlfn.XLOOKUP(Metas_Diarias[[#This Row],[data]],Feriados[Data],Feriados[Feriado],1)</f>
        <v>1</v>
      </c>
      <c r="J2916" s="33" cm="1">
        <f t="array" aca="1" ref="J2916" ca="1">SUMPRODUCT(IF((NOT(ISERROR(MATCH(ROW(INDIRECT(DATE(YEAR(B2916),MONTH(B2916),1)&amp;":"&amp;DATE(YEAR(B2916),MONTH(B2916)+1,0))),Feriados[Data],0))))=FALSE,
IF(WEEKDAY(ROW(INDIRECT(DATE(YEAR(B2916),MONTH(B2916),1)&amp;":"&amp;DATE(YEAR(B2916),MONTH(B2916)+1,0))),2)&lt;=5,1,IF(WEEKDAY(ROW(INDIRECT(DATE(YEAR(B2916),MONTH(B2916),1)&amp;":"&amp;DATE(YEAR(B2916),MONTH(B2916)+1,0))),2)=6,0.5,0)),0))</f>
        <v>24</v>
      </c>
      <c r="K2916" s="22" cm="1">
        <f t="array" ref="K2916">_xlfn.XLOOKUP(1,((Metas_Diarias[[#This Row],[tipo_equipe_id]]=Metas[equipe])*(Metas_Diarias[[#This Row],[data]]&gt;Metas[data_inicio])*(Metas_Diarias[[#This Row],[data]]&lt;Metas[data_fim])),Metas[meta_mensal],0)</f>
        <v>0</v>
      </c>
      <c r="L291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7" spans="2:12" x14ac:dyDescent="0.3">
      <c r="B2917" s="34">
        <v>46378</v>
      </c>
      <c r="C2917" s="34" t="str">
        <f>TEXT(Metas_Diarias[[#This Row],[data]],"dddd")</f>
        <v>terça-feira</v>
      </c>
      <c r="D2917" s="33">
        <v>3</v>
      </c>
      <c r="E2917" s="33">
        <v>4</v>
      </c>
      <c r="F2917" s="18"/>
      <c r="G2917" s="35">
        <f>WEEKDAY(Metas_Diarias[[#This Row],[data]])</f>
        <v>3</v>
      </c>
      <c r="H2917" s="35">
        <f>IF(Metas_Diarias[[#This Row],[dias_da_demana]]=1,"domingo",IF(Metas_Diarias[[#This Row],[dias_da_demana]]=7,0.5,1))</f>
        <v>1</v>
      </c>
      <c r="I2917" s="35">
        <f>_xlfn.XLOOKUP(Metas_Diarias[[#This Row],[data]],Feriados[Data],Feriados[Feriado],1)</f>
        <v>1</v>
      </c>
      <c r="J2917" s="33" cm="1">
        <f t="array" aca="1" ref="J2917" ca="1">SUMPRODUCT(IF((NOT(ISERROR(MATCH(ROW(INDIRECT(DATE(YEAR(B2917),MONTH(B2917),1)&amp;":"&amp;DATE(YEAR(B2917),MONTH(B2917)+1,0))),Feriados[Data],0))))=FALSE,
IF(WEEKDAY(ROW(INDIRECT(DATE(YEAR(B2917),MONTH(B2917),1)&amp;":"&amp;DATE(YEAR(B2917),MONTH(B2917)+1,0))),2)&lt;=5,1,IF(WEEKDAY(ROW(INDIRECT(DATE(YEAR(B2917),MONTH(B2917),1)&amp;":"&amp;DATE(YEAR(B2917),MONTH(B2917)+1,0))),2)=6,0.5,0)),0))</f>
        <v>24</v>
      </c>
      <c r="K2917" s="22" cm="1">
        <f t="array" ref="K2917">_xlfn.XLOOKUP(1,((Metas_Diarias[[#This Row],[tipo_equipe_id]]=Metas[equipe])*(Metas_Diarias[[#This Row],[data]]&gt;Metas[data_inicio])*(Metas_Diarias[[#This Row],[data]]&lt;Metas[data_fim])),Metas[meta_mensal],0)</f>
        <v>0</v>
      </c>
      <c r="L2917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8" spans="2:12" x14ac:dyDescent="0.3">
      <c r="B2918" s="34">
        <v>46379</v>
      </c>
      <c r="C2918" s="34" t="str">
        <f>TEXT(Metas_Diarias[[#This Row],[data]],"dddd")</f>
        <v>quarta-feira</v>
      </c>
      <c r="D2918" s="33">
        <v>3</v>
      </c>
      <c r="E2918" s="33">
        <v>4</v>
      </c>
      <c r="F2918" s="18"/>
      <c r="G2918" s="35">
        <f>WEEKDAY(Metas_Diarias[[#This Row],[data]])</f>
        <v>4</v>
      </c>
      <c r="H2918" s="35">
        <f>IF(Metas_Diarias[[#This Row],[dias_da_demana]]=1,"domingo",IF(Metas_Diarias[[#This Row],[dias_da_demana]]=7,0.5,1))</f>
        <v>1</v>
      </c>
      <c r="I2918" s="35">
        <f>_xlfn.XLOOKUP(Metas_Diarias[[#This Row],[data]],Feriados[Data],Feriados[Feriado],1)</f>
        <v>1</v>
      </c>
      <c r="J2918" s="33" cm="1">
        <f t="array" aca="1" ref="J2918" ca="1">SUMPRODUCT(IF((NOT(ISERROR(MATCH(ROW(INDIRECT(DATE(YEAR(B2918),MONTH(B2918),1)&amp;":"&amp;DATE(YEAR(B2918),MONTH(B2918)+1,0))),Feriados[Data],0))))=FALSE,
IF(WEEKDAY(ROW(INDIRECT(DATE(YEAR(B2918),MONTH(B2918),1)&amp;":"&amp;DATE(YEAR(B2918),MONTH(B2918)+1,0))),2)&lt;=5,1,IF(WEEKDAY(ROW(INDIRECT(DATE(YEAR(B2918),MONTH(B2918),1)&amp;":"&amp;DATE(YEAR(B2918),MONTH(B2918)+1,0))),2)=6,0.5,0)),0))</f>
        <v>24</v>
      </c>
      <c r="K2918" s="22" cm="1">
        <f t="array" ref="K2918">_xlfn.XLOOKUP(1,((Metas_Diarias[[#This Row],[tipo_equipe_id]]=Metas[equipe])*(Metas_Diarias[[#This Row],[data]]&gt;Metas[data_inicio])*(Metas_Diarias[[#This Row],[data]]&lt;Metas[data_fim])),Metas[meta_mensal],0)</f>
        <v>0</v>
      </c>
      <c r="L2918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19" spans="2:12" x14ac:dyDescent="0.3">
      <c r="B2919" s="34">
        <v>46380</v>
      </c>
      <c r="C2919" s="34" t="str">
        <f>TEXT(Metas_Diarias[[#This Row],[data]],"dddd")</f>
        <v>quinta-feira</v>
      </c>
      <c r="D2919" s="33">
        <v>3</v>
      </c>
      <c r="E2919" s="33">
        <v>4</v>
      </c>
      <c r="F2919" s="18"/>
      <c r="G2919" s="35">
        <f>WEEKDAY(Metas_Diarias[[#This Row],[data]])</f>
        <v>5</v>
      </c>
      <c r="H2919" s="35">
        <f>IF(Metas_Diarias[[#This Row],[dias_da_demana]]=1,"domingo",IF(Metas_Diarias[[#This Row],[dias_da_demana]]=7,0.5,1))</f>
        <v>1</v>
      </c>
      <c r="I2919" s="35">
        <f>_xlfn.XLOOKUP(Metas_Diarias[[#This Row],[data]],Feriados[Data],Feriados[Feriado],1)</f>
        <v>1</v>
      </c>
      <c r="J2919" s="33" cm="1">
        <f t="array" aca="1" ref="J2919" ca="1">SUMPRODUCT(IF((NOT(ISERROR(MATCH(ROW(INDIRECT(DATE(YEAR(B2919),MONTH(B2919),1)&amp;":"&amp;DATE(YEAR(B2919),MONTH(B2919)+1,0))),Feriados[Data],0))))=FALSE,
IF(WEEKDAY(ROW(INDIRECT(DATE(YEAR(B2919),MONTH(B2919),1)&amp;":"&amp;DATE(YEAR(B2919),MONTH(B2919)+1,0))),2)&lt;=5,1,IF(WEEKDAY(ROW(INDIRECT(DATE(YEAR(B2919),MONTH(B2919),1)&amp;":"&amp;DATE(YEAR(B2919),MONTH(B2919)+1,0))),2)=6,0.5,0)),0))</f>
        <v>24</v>
      </c>
      <c r="K2919" s="22" cm="1">
        <f t="array" ref="K2919">_xlfn.XLOOKUP(1,((Metas_Diarias[[#This Row],[tipo_equipe_id]]=Metas[equipe])*(Metas_Diarias[[#This Row],[data]]&gt;Metas[data_inicio])*(Metas_Diarias[[#This Row],[data]]&lt;Metas[data_fim])),Metas[meta_mensal],0)</f>
        <v>0</v>
      </c>
      <c r="L2919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20" spans="2:12" x14ac:dyDescent="0.3">
      <c r="B2920" s="34">
        <v>46381</v>
      </c>
      <c r="C2920" s="34" t="str">
        <f>TEXT(Metas_Diarias[[#This Row],[data]],"dddd")</f>
        <v>sexta-feira</v>
      </c>
      <c r="D2920" s="33">
        <v>3</v>
      </c>
      <c r="E2920" s="33">
        <v>4</v>
      </c>
      <c r="F2920" s="18"/>
      <c r="G2920" s="35">
        <f>WEEKDAY(Metas_Diarias[[#This Row],[data]])</f>
        <v>6</v>
      </c>
      <c r="H2920" s="35">
        <f>IF(Metas_Diarias[[#This Row],[dias_da_demana]]=1,"domingo",IF(Metas_Diarias[[#This Row],[dias_da_demana]]=7,0.5,1))</f>
        <v>1</v>
      </c>
      <c r="I2920" s="35" t="str">
        <f>_xlfn.XLOOKUP(Metas_Diarias[[#This Row],[data]],Feriados[Data],Feriados[Feriado],1)</f>
        <v>Natal</v>
      </c>
      <c r="J2920" s="33" cm="1">
        <f t="array" aca="1" ref="J2920" ca="1">SUMPRODUCT(IF((NOT(ISERROR(MATCH(ROW(INDIRECT(DATE(YEAR(B2920),MONTH(B2920),1)&amp;":"&amp;DATE(YEAR(B2920),MONTH(B2920)+1,0))),Feriados[Data],0))))=FALSE,
IF(WEEKDAY(ROW(INDIRECT(DATE(YEAR(B2920),MONTH(B2920),1)&amp;":"&amp;DATE(YEAR(B2920),MONTH(B2920)+1,0))),2)&lt;=5,1,IF(WEEKDAY(ROW(INDIRECT(DATE(YEAR(B2920),MONTH(B2920),1)&amp;":"&amp;DATE(YEAR(B2920),MONTH(B2920)+1,0))),2)=6,0.5,0)),0))</f>
        <v>24</v>
      </c>
      <c r="K2920" s="22" cm="1">
        <f t="array" ref="K2920">_xlfn.XLOOKUP(1,((Metas_Diarias[[#This Row],[tipo_equipe_id]]=Metas[equipe])*(Metas_Diarias[[#This Row],[data]]&gt;Metas[data_inicio])*(Metas_Diarias[[#This Row],[data]]&lt;Metas[data_fim])),Metas[meta_mensal],0)</f>
        <v>0</v>
      </c>
      <c r="L2920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21" spans="2:12" x14ac:dyDescent="0.3">
      <c r="B2921" s="34">
        <v>46382</v>
      </c>
      <c r="C2921" s="34" t="str">
        <f>TEXT(Metas_Diarias[[#This Row],[data]],"dddd")</f>
        <v>sábado</v>
      </c>
      <c r="D2921" s="33">
        <v>3</v>
      </c>
      <c r="E2921" s="33">
        <v>4</v>
      </c>
      <c r="F2921" s="18"/>
      <c r="G2921" s="35">
        <f>WEEKDAY(Metas_Diarias[[#This Row],[data]])</f>
        <v>7</v>
      </c>
      <c r="H2921" s="35">
        <f>IF(Metas_Diarias[[#This Row],[dias_da_demana]]=1,"domingo",IF(Metas_Diarias[[#This Row],[dias_da_demana]]=7,0.5,1))</f>
        <v>0.5</v>
      </c>
      <c r="I2921" s="35">
        <f>_xlfn.XLOOKUP(Metas_Diarias[[#This Row],[data]],Feriados[Data],Feriados[Feriado],1)</f>
        <v>1</v>
      </c>
      <c r="J2921" s="33" cm="1">
        <f t="array" aca="1" ref="J2921" ca="1">SUMPRODUCT(IF((NOT(ISERROR(MATCH(ROW(INDIRECT(DATE(YEAR(B2921),MONTH(B2921),1)&amp;":"&amp;DATE(YEAR(B2921),MONTH(B2921)+1,0))),Feriados[Data],0))))=FALSE,
IF(WEEKDAY(ROW(INDIRECT(DATE(YEAR(B2921),MONTH(B2921),1)&amp;":"&amp;DATE(YEAR(B2921),MONTH(B2921)+1,0))),2)&lt;=5,1,IF(WEEKDAY(ROW(INDIRECT(DATE(YEAR(B2921),MONTH(B2921),1)&amp;":"&amp;DATE(YEAR(B2921),MONTH(B2921)+1,0))),2)=6,0.5,0)),0))</f>
        <v>24</v>
      </c>
      <c r="K2921" s="22" cm="1">
        <f t="array" ref="K2921">_xlfn.XLOOKUP(1,((Metas_Diarias[[#This Row],[tipo_equipe_id]]=Metas[equipe])*(Metas_Diarias[[#This Row],[data]]&gt;Metas[data_inicio])*(Metas_Diarias[[#This Row],[data]]&lt;Metas[data_fim])),Metas[meta_mensal],0)</f>
        <v>0</v>
      </c>
      <c r="L2921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22" spans="2:12" x14ac:dyDescent="0.3">
      <c r="B2922" s="34">
        <v>46383</v>
      </c>
      <c r="C2922" s="34" t="str">
        <f>TEXT(Metas_Diarias[[#This Row],[data]],"dddd")</f>
        <v>domingo</v>
      </c>
      <c r="D2922" s="33">
        <v>3</v>
      </c>
      <c r="E2922" s="33">
        <v>4</v>
      </c>
      <c r="F2922" s="18"/>
      <c r="G2922" s="35">
        <f>WEEKDAY(Metas_Diarias[[#This Row],[data]])</f>
        <v>1</v>
      </c>
      <c r="H2922" s="35" t="str">
        <f>IF(Metas_Diarias[[#This Row],[dias_da_demana]]=1,"domingo",IF(Metas_Diarias[[#This Row],[dias_da_demana]]=7,0.5,1))</f>
        <v>domingo</v>
      </c>
      <c r="I2922" s="35">
        <f>_xlfn.XLOOKUP(Metas_Diarias[[#This Row],[data]],Feriados[Data],Feriados[Feriado],1)</f>
        <v>1</v>
      </c>
      <c r="J2922" s="33" cm="1">
        <f t="array" aca="1" ref="J2922" ca="1">SUMPRODUCT(IF((NOT(ISERROR(MATCH(ROW(INDIRECT(DATE(YEAR(B2922),MONTH(B2922),1)&amp;":"&amp;DATE(YEAR(B2922),MONTH(B2922)+1,0))),Feriados[Data],0))))=FALSE,
IF(WEEKDAY(ROW(INDIRECT(DATE(YEAR(B2922),MONTH(B2922),1)&amp;":"&amp;DATE(YEAR(B2922),MONTH(B2922)+1,0))),2)&lt;=5,1,IF(WEEKDAY(ROW(INDIRECT(DATE(YEAR(B2922),MONTH(B2922),1)&amp;":"&amp;DATE(YEAR(B2922),MONTH(B2922)+1,0))),2)=6,0.5,0)),0))</f>
        <v>24</v>
      </c>
      <c r="K2922" s="22" cm="1">
        <f t="array" ref="K2922">_xlfn.XLOOKUP(1,((Metas_Diarias[[#This Row],[tipo_equipe_id]]=Metas[equipe])*(Metas_Diarias[[#This Row],[data]]&gt;Metas[data_inicio])*(Metas_Diarias[[#This Row],[data]]&lt;Metas[data_fim])),Metas[meta_mensal],0)</f>
        <v>0</v>
      </c>
      <c r="L2922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23" spans="2:12" x14ac:dyDescent="0.3">
      <c r="B2923" s="34">
        <v>46384</v>
      </c>
      <c r="C2923" s="34" t="str">
        <f>TEXT(Metas_Diarias[[#This Row],[data]],"dddd")</f>
        <v>segunda-feira</v>
      </c>
      <c r="D2923" s="33">
        <v>3</v>
      </c>
      <c r="E2923" s="33">
        <v>4</v>
      </c>
      <c r="F2923" s="18"/>
      <c r="G2923" s="35">
        <f>WEEKDAY(Metas_Diarias[[#This Row],[data]])</f>
        <v>2</v>
      </c>
      <c r="H2923" s="35">
        <f>IF(Metas_Diarias[[#This Row],[dias_da_demana]]=1,"domingo",IF(Metas_Diarias[[#This Row],[dias_da_demana]]=7,0.5,1))</f>
        <v>1</v>
      </c>
      <c r="I2923" s="35">
        <f>_xlfn.XLOOKUP(Metas_Diarias[[#This Row],[data]],Feriados[Data],Feriados[Feriado],1)</f>
        <v>1</v>
      </c>
      <c r="J2923" s="33" cm="1">
        <f t="array" aca="1" ref="J2923" ca="1">SUMPRODUCT(IF((NOT(ISERROR(MATCH(ROW(INDIRECT(DATE(YEAR(B2923),MONTH(B2923),1)&amp;":"&amp;DATE(YEAR(B2923),MONTH(B2923)+1,0))),Feriados[Data],0))))=FALSE,
IF(WEEKDAY(ROW(INDIRECT(DATE(YEAR(B2923),MONTH(B2923),1)&amp;":"&amp;DATE(YEAR(B2923),MONTH(B2923)+1,0))),2)&lt;=5,1,IF(WEEKDAY(ROW(INDIRECT(DATE(YEAR(B2923),MONTH(B2923),1)&amp;":"&amp;DATE(YEAR(B2923),MONTH(B2923)+1,0))),2)=6,0.5,0)),0))</f>
        <v>24</v>
      </c>
      <c r="K2923" s="22" cm="1">
        <f t="array" ref="K2923">_xlfn.XLOOKUP(1,((Metas_Diarias[[#This Row],[tipo_equipe_id]]=Metas[equipe])*(Metas_Diarias[[#This Row],[data]]&gt;Metas[data_inicio])*(Metas_Diarias[[#This Row],[data]]&lt;Metas[data_fim])),Metas[meta_mensal],0)</f>
        <v>0</v>
      </c>
      <c r="L2923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24" spans="2:12" x14ac:dyDescent="0.3">
      <c r="B2924" s="34">
        <v>46385</v>
      </c>
      <c r="C2924" s="34" t="str">
        <f>TEXT(Metas_Diarias[[#This Row],[data]],"dddd")</f>
        <v>terça-feira</v>
      </c>
      <c r="D2924" s="33">
        <v>3</v>
      </c>
      <c r="E2924" s="33">
        <v>4</v>
      </c>
      <c r="F2924" s="18"/>
      <c r="G2924" s="35">
        <f>WEEKDAY(Metas_Diarias[[#This Row],[data]])</f>
        <v>3</v>
      </c>
      <c r="H2924" s="35">
        <f>IF(Metas_Diarias[[#This Row],[dias_da_demana]]=1,"domingo",IF(Metas_Diarias[[#This Row],[dias_da_demana]]=7,0.5,1))</f>
        <v>1</v>
      </c>
      <c r="I2924" s="35">
        <f>_xlfn.XLOOKUP(Metas_Diarias[[#This Row],[data]],Feriados[Data],Feriados[Feriado],1)</f>
        <v>1</v>
      </c>
      <c r="J2924" s="33" cm="1">
        <f t="array" aca="1" ref="J2924" ca="1">SUMPRODUCT(IF((NOT(ISERROR(MATCH(ROW(INDIRECT(DATE(YEAR(B2924),MONTH(B2924),1)&amp;":"&amp;DATE(YEAR(B2924),MONTH(B2924)+1,0))),Feriados[Data],0))))=FALSE,
IF(WEEKDAY(ROW(INDIRECT(DATE(YEAR(B2924),MONTH(B2924),1)&amp;":"&amp;DATE(YEAR(B2924),MONTH(B2924)+1,0))),2)&lt;=5,1,IF(WEEKDAY(ROW(INDIRECT(DATE(YEAR(B2924),MONTH(B2924),1)&amp;":"&amp;DATE(YEAR(B2924),MONTH(B2924)+1,0))),2)=6,0.5,0)),0))</f>
        <v>24</v>
      </c>
      <c r="K2924" s="22" cm="1">
        <f t="array" ref="K2924">_xlfn.XLOOKUP(1,((Metas_Diarias[[#This Row],[tipo_equipe_id]]=Metas[equipe])*(Metas_Diarias[[#This Row],[data]]&gt;Metas[data_inicio])*(Metas_Diarias[[#This Row],[data]]&lt;Metas[data_fim])),Metas[meta_mensal],0)</f>
        <v>0</v>
      </c>
      <c r="L2924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25" spans="2:12" x14ac:dyDescent="0.3">
      <c r="B2925" s="34">
        <v>46386</v>
      </c>
      <c r="C2925" s="34" t="str">
        <f>TEXT(Metas_Diarias[[#This Row],[data]],"dddd")</f>
        <v>quarta-feira</v>
      </c>
      <c r="D2925" s="33">
        <v>3</v>
      </c>
      <c r="E2925" s="33">
        <v>4</v>
      </c>
      <c r="F2925" s="18"/>
      <c r="G2925" s="35">
        <f>WEEKDAY(Metas_Diarias[[#This Row],[data]])</f>
        <v>4</v>
      </c>
      <c r="H2925" s="35">
        <f>IF(Metas_Diarias[[#This Row],[dias_da_demana]]=1,"domingo",IF(Metas_Diarias[[#This Row],[dias_da_demana]]=7,0.5,1))</f>
        <v>1</v>
      </c>
      <c r="I2925" s="35">
        <f>_xlfn.XLOOKUP(Metas_Diarias[[#This Row],[data]],Feriados[Data],Feriados[Feriado],1)</f>
        <v>1</v>
      </c>
      <c r="J2925" s="33" cm="1">
        <f t="array" aca="1" ref="J2925" ca="1">SUMPRODUCT(IF((NOT(ISERROR(MATCH(ROW(INDIRECT(DATE(YEAR(B2925),MONTH(B2925),1)&amp;":"&amp;DATE(YEAR(B2925),MONTH(B2925)+1,0))),Feriados[Data],0))))=FALSE,
IF(WEEKDAY(ROW(INDIRECT(DATE(YEAR(B2925),MONTH(B2925),1)&amp;":"&amp;DATE(YEAR(B2925),MONTH(B2925)+1,0))),2)&lt;=5,1,IF(WEEKDAY(ROW(INDIRECT(DATE(YEAR(B2925),MONTH(B2925),1)&amp;":"&amp;DATE(YEAR(B2925),MONTH(B2925)+1,0))),2)=6,0.5,0)),0))</f>
        <v>24</v>
      </c>
      <c r="K2925" s="22" cm="1">
        <f t="array" ref="K2925">_xlfn.XLOOKUP(1,((Metas_Diarias[[#This Row],[tipo_equipe_id]]=Metas[equipe])*(Metas_Diarias[[#This Row],[data]]&gt;Metas[data_inicio])*(Metas_Diarias[[#This Row],[data]]&lt;Metas[data_fim])),Metas[meta_mensal],0)</f>
        <v>0</v>
      </c>
      <c r="L2925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  <row r="2926" spans="2:12" x14ac:dyDescent="0.3">
      <c r="B2926" s="34">
        <v>46387</v>
      </c>
      <c r="C2926" s="34" t="str">
        <f>TEXT(Metas_Diarias[[#This Row],[data]],"dddd")</f>
        <v>quinta-feira</v>
      </c>
      <c r="D2926" s="33">
        <v>3</v>
      </c>
      <c r="E2926" s="33">
        <v>4</v>
      </c>
      <c r="F2926" s="18"/>
      <c r="G2926" s="35">
        <f>WEEKDAY(Metas_Diarias[[#This Row],[data]])</f>
        <v>5</v>
      </c>
      <c r="H2926" s="35">
        <f>IF(Metas_Diarias[[#This Row],[dias_da_demana]]=1,"domingo",IF(Metas_Diarias[[#This Row],[dias_da_demana]]=7,0.5,1))</f>
        <v>1</v>
      </c>
      <c r="I2926" s="35">
        <f>_xlfn.XLOOKUP(Metas_Diarias[[#This Row],[data]],Feriados[Data],Feriados[Feriado],1)</f>
        <v>1</v>
      </c>
      <c r="J2926" s="33" cm="1">
        <f t="array" aca="1" ref="J2926" ca="1">SUMPRODUCT(IF((NOT(ISERROR(MATCH(ROW(INDIRECT(DATE(YEAR(B2926),MONTH(B2926),1)&amp;":"&amp;DATE(YEAR(B2926),MONTH(B2926)+1,0))),Feriados[Data],0))))=FALSE,
IF(WEEKDAY(ROW(INDIRECT(DATE(YEAR(B2926),MONTH(B2926),1)&amp;":"&amp;DATE(YEAR(B2926),MONTH(B2926)+1,0))),2)&lt;=5,1,IF(WEEKDAY(ROW(INDIRECT(DATE(YEAR(B2926),MONTH(B2926),1)&amp;":"&amp;DATE(YEAR(B2926),MONTH(B2926)+1,0))),2)=6,0.5,0)),0))</f>
        <v>24</v>
      </c>
      <c r="K2926" s="22" cm="1">
        <f t="array" ref="K2926">_xlfn.XLOOKUP(1,((Metas_Diarias[[#This Row],[tipo_equipe_id]]=Metas[equipe])*(Metas_Diarias[[#This Row],[data]]&gt;Metas[data_inicio])*(Metas_Diarias[[#This Row],[data]]&lt;Metas[data_fim])),Metas[meta_mensal],0)</f>
        <v>0</v>
      </c>
      <c r="L2926" s="24">
        <f ca="1">Metas_Diarias[[#This Row],[meta_mensal]]*IF(Metas_Diarias[[#This Row],[semana]]="domingo",0,Metas_Diarias[[#This Row],[semana]])*IF(Metas_Diarias[[#This Row],[feriado]]&lt;&gt;1,0,1)/Metas_Diarias[[#This Row],[dias_úteis_Mês]]</f>
        <v>0</v>
      </c>
    </row>
  </sheetData>
  <phoneticPr fontId="2" type="noConversion"/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A5294-A770-497A-A8C2-C73BEAA36DEF}">
  <sheetPr codeName="Planilha5"/>
  <dimension ref="A1:H94"/>
  <sheetViews>
    <sheetView showGridLines="0" workbookViewId="0">
      <selection activeCell="C10" sqref="C10"/>
    </sheetView>
  </sheetViews>
  <sheetFormatPr defaultRowHeight="14.4" x14ac:dyDescent="0.3"/>
  <cols>
    <col min="1" max="1" width="55" bestFit="1" customWidth="1"/>
    <col min="2" max="2" width="41.6640625" customWidth="1"/>
    <col min="3" max="3" width="16.5546875" bestFit="1" customWidth="1"/>
    <col min="4" max="4" width="16.5546875" style="1" customWidth="1"/>
    <col min="5" max="5" width="15" style="13" customWidth="1"/>
    <col min="7" max="7" width="14" bestFit="1" customWidth="1"/>
    <col min="8" max="8" width="12.88671875" bestFit="1" customWidth="1"/>
    <col min="9" max="9" width="36.6640625" bestFit="1" customWidth="1"/>
    <col min="10" max="10" width="10.6640625" bestFit="1" customWidth="1"/>
    <col min="13" max="13" width="61.109375" bestFit="1" customWidth="1"/>
    <col min="15" max="15" width="14.33203125" bestFit="1" customWidth="1"/>
  </cols>
  <sheetData>
    <row r="1" spans="1:8" ht="15.6" customHeight="1" x14ac:dyDescent="0.3">
      <c r="A1" s="2" t="s">
        <v>25</v>
      </c>
      <c r="B1" s="2" t="s">
        <v>26</v>
      </c>
      <c r="C1" s="4" t="s">
        <v>31</v>
      </c>
      <c r="D1" s="19" t="s">
        <v>33</v>
      </c>
      <c r="E1" s="20" t="s">
        <v>34</v>
      </c>
    </row>
    <row r="2" spans="1:8" x14ac:dyDescent="0.3">
      <c r="A2" s="3">
        <v>1</v>
      </c>
      <c r="B2" s="3">
        <v>1</v>
      </c>
      <c r="C2" s="5">
        <v>160000</v>
      </c>
      <c r="D2" s="1">
        <v>45292</v>
      </c>
      <c r="E2" s="13">
        <v>46022</v>
      </c>
    </row>
    <row r="3" spans="1:8" x14ac:dyDescent="0.3">
      <c r="A3" s="3">
        <v>2</v>
      </c>
      <c r="B3" s="3">
        <v>2</v>
      </c>
      <c r="C3" s="5">
        <v>110000</v>
      </c>
      <c r="D3" s="12">
        <v>45839</v>
      </c>
      <c r="E3" s="13">
        <v>46022</v>
      </c>
    </row>
    <row r="4" spans="1:8" x14ac:dyDescent="0.3">
      <c r="A4" s="3">
        <v>5</v>
      </c>
      <c r="B4" s="3">
        <v>5</v>
      </c>
      <c r="C4" s="5">
        <v>65000</v>
      </c>
      <c r="D4" s="12">
        <v>45839</v>
      </c>
      <c r="E4" s="13">
        <v>46022</v>
      </c>
    </row>
    <row r="5" spans="1:8" x14ac:dyDescent="0.3">
      <c r="A5" s="3">
        <v>1</v>
      </c>
      <c r="B5" s="3">
        <v>1</v>
      </c>
      <c r="C5" s="5">
        <v>168000</v>
      </c>
      <c r="D5" s="12">
        <v>46023</v>
      </c>
      <c r="E5" s="13">
        <v>46387</v>
      </c>
      <c r="G5" s="26"/>
      <c r="H5" s="26"/>
    </row>
    <row r="6" spans="1:8" x14ac:dyDescent="0.3">
      <c r="A6" s="3">
        <v>2</v>
      </c>
      <c r="B6" s="3">
        <v>2</v>
      </c>
      <c r="C6" s="5">
        <v>115500</v>
      </c>
      <c r="D6" s="12">
        <v>46023</v>
      </c>
      <c r="E6" s="13">
        <v>46387</v>
      </c>
      <c r="G6" s="26"/>
    </row>
    <row r="7" spans="1:8" x14ac:dyDescent="0.3">
      <c r="A7" s="3">
        <v>5</v>
      </c>
      <c r="B7" s="3">
        <v>5</v>
      </c>
      <c r="C7" s="5">
        <v>68250</v>
      </c>
      <c r="D7" s="12">
        <v>46023</v>
      </c>
      <c r="E7" s="13">
        <v>46387</v>
      </c>
      <c r="G7" s="26"/>
    </row>
    <row r="8" spans="1:8" x14ac:dyDescent="0.3">
      <c r="A8" s="3">
        <v>3</v>
      </c>
      <c r="B8" s="3">
        <v>3</v>
      </c>
      <c r="C8" s="5">
        <v>110000</v>
      </c>
      <c r="D8" s="12">
        <v>46023</v>
      </c>
      <c r="E8" s="13">
        <v>46387</v>
      </c>
    </row>
    <row r="9" spans="1:8" x14ac:dyDescent="0.3">
      <c r="A9" s="3">
        <v>3</v>
      </c>
      <c r="B9" s="3">
        <v>4</v>
      </c>
      <c r="C9" s="5">
        <v>110000</v>
      </c>
      <c r="D9" s="12">
        <v>46023</v>
      </c>
      <c r="E9" s="13">
        <v>46387</v>
      </c>
    </row>
    <row r="10" spans="1:8" x14ac:dyDescent="0.3">
      <c r="A10" s="3"/>
      <c r="B10" s="3"/>
      <c r="C10" s="5"/>
      <c r="D10" s="12"/>
    </row>
    <row r="11" spans="1:8" x14ac:dyDescent="0.3">
      <c r="A11" s="3"/>
      <c r="B11" s="3"/>
      <c r="C11" s="5"/>
      <c r="D11" s="12"/>
    </row>
    <row r="12" spans="1:8" x14ac:dyDescent="0.3">
      <c r="A12" s="3"/>
      <c r="B12" s="3"/>
      <c r="C12" s="5"/>
      <c r="D12" s="12"/>
    </row>
    <row r="13" spans="1:8" x14ac:dyDescent="0.3">
      <c r="A13" s="3"/>
      <c r="B13" s="3"/>
      <c r="C13" s="5"/>
      <c r="D13" s="12"/>
    </row>
    <row r="14" spans="1:8" x14ac:dyDescent="0.3">
      <c r="A14" s="3"/>
      <c r="B14" s="3"/>
      <c r="C14" s="5"/>
      <c r="D14" s="12"/>
    </row>
    <row r="15" spans="1:8" x14ac:dyDescent="0.3">
      <c r="A15" s="3"/>
      <c r="B15" s="3"/>
      <c r="C15" s="5"/>
      <c r="D15" s="12"/>
    </row>
    <row r="16" spans="1:8" x14ac:dyDescent="0.3">
      <c r="A16" s="3"/>
    </row>
    <row r="17" spans="1:1" x14ac:dyDescent="0.3">
      <c r="A17" s="3"/>
    </row>
    <row r="18" spans="1:1" x14ac:dyDescent="0.3">
      <c r="A18" s="3"/>
    </row>
    <row r="19" spans="1:1" x14ac:dyDescent="0.3">
      <c r="A19" s="3"/>
    </row>
    <row r="20" spans="1:1" x14ac:dyDescent="0.3">
      <c r="A20" s="3"/>
    </row>
    <row r="21" spans="1:1" x14ac:dyDescent="0.3">
      <c r="A21" s="3"/>
    </row>
    <row r="22" spans="1:1" x14ac:dyDescent="0.3">
      <c r="A22" s="3"/>
    </row>
    <row r="23" spans="1:1" x14ac:dyDescent="0.3">
      <c r="A23" s="3"/>
    </row>
    <row r="24" spans="1:1" x14ac:dyDescent="0.3">
      <c r="A24" s="3"/>
    </row>
    <row r="25" spans="1:1" x14ac:dyDescent="0.3">
      <c r="A25" s="3"/>
    </row>
    <row r="26" spans="1:1" x14ac:dyDescent="0.3">
      <c r="A26" s="3"/>
    </row>
    <row r="27" spans="1:1" x14ac:dyDescent="0.3">
      <c r="A27" s="3"/>
    </row>
    <row r="28" spans="1:1" x14ac:dyDescent="0.3">
      <c r="A28" s="3"/>
    </row>
    <row r="29" spans="1:1" x14ac:dyDescent="0.3">
      <c r="A29" s="3"/>
    </row>
    <row r="30" spans="1:1" x14ac:dyDescent="0.3">
      <c r="A30" s="3"/>
    </row>
    <row r="31" spans="1:1" x14ac:dyDescent="0.3">
      <c r="A31" s="3"/>
    </row>
    <row r="32" spans="1:1" x14ac:dyDescent="0.3">
      <c r="A32" s="3"/>
    </row>
    <row r="33" spans="1:1" x14ac:dyDescent="0.3">
      <c r="A33" s="3"/>
    </row>
    <row r="34" spans="1:1" x14ac:dyDescent="0.3">
      <c r="A34" s="3"/>
    </row>
    <row r="35" spans="1:1" x14ac:dyDescent="0.3">
      <c r="A35" s="3"/>
    </row>
    <row r="36" spans="1:1" x14ac:dyDescent="0.3">
      <c r="A36" s="3"/>
    </row>
    <row r="37" spans="1:1" x14ac:dyDescent="0.3">
      <c r="A37" s="3"/>
    </row>
    <row r="38" spans="1:1" x14ac:dyDescent="0.3">
      <c r="A38" s="3"/>
    </row>
    <row r="39" spans="1:1" x14ac:dyDescent="0.3">
      <c r="A39" s="3"/>
    </row>
    <row r="40" spans="1:1" x14ac:dyDescent="0.3">
      <c r="A40" s="3"/>
    </row>
    <row r="41" spans="1:1" x14ac:dyDescent="0.3">
      <c r="A41" s="3"/>
    </row>
    <row r="42" spans="1:1" x14ac:dyDescent="0.3">
      <c r="A42" s="3"/>
    </row>
    <row r="43" spans="1:1" x14ac:dyDescent="0.3">
      <c r="A43" s="3"/>
    </row>
    <row r="44" spans="1:1" x14ac:dyDescent="0.3">
      <c r="A44" s="3"/>
    </row>
    <row r="45" spans="1:1" x14ac:dyDescent="0.3">
      <c r="A45" s="3"/>
    </row>
    <row r="46" spans="1:1" x14ac:dyDescent="0.3">
      <c r="A46" s="3"/>
    </row>
    <row r="47" spans="1:1" x14ac:dyDescent="0.3">
      <c r="A47" s="3"/>
    </row>
    <row r="48" spans="1:1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  <row r="92" spans="1:1" x14ac:dyDescent="0.3">
      <c r="A92" s="3"/>
    </row>
    <row r="93" spans="1:1" x14ac:dyDescent="0.3">
      <c r="A93" s="3"/>
    </row>
    <row r="94" spans="1:1" x14ac:dyDescent="0.3">
      <c r="A94" s="3"/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rarMetasDiarias">
                <anchor moveWithCells="1" sizeWithCells="1">
                  <from>
                    <xdr:col>5</xdr:col>
                    <xdr:colOff>129540</xdr:colOff>
                    <xdr:row>0</xdr:row>
                    <xdr:rowOff>60960</xdr:rowOff>
                  </from>
                  <to>
                    <xdr:col>8</xdr:col>
                    <xdr:colOff>982980</xdr:colOff>
                    <xdr:row>1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DF15F-530D-4B63-9EF3-A7AB0C307594}">
  <sheetPr codeName="Planilha9">
    <tabColor theme="3" tint="0.59999389629810485"/>
  </sheetPr>
  <dimension ref="A1:J100"/>
  <sheetViews>
    <sheetView showGridLines="0" workbookViewId="0">
      <selection activeCell="C32" sqref="A32:C32"/>
    </sheetView>
  </sheetViews>
  <sheetFormatPr defaultRowHeight="14.4" x14ac:dyDescent="0.3"/>
  <cols>
    <col min="1" max="1" width="10.6640625" bestFit="1" customWidth="1"/>
    <col min="2" max="2" width="14.44140625" customWidth="1"/>
    <col min="3" max="3" width="38.44140625" bestFit="1" customWidth="1"/>
    <col min="9" max="9" width="12.44140625" bestFit="1" customWidth="1"/>
  </cols>
  <sheetData>
    <row r="1" spans="1:10" ht="15" thickBot="1" x14ac:dyDescent="0.35">
      <c r="A1" s="14" t="s">
        <v>0</v>
      </c>
      <c r="B1" s="15" t="s">
        <v>1</v>
      </c>
      <c r="C1" s="16" t="s">
        <v>2</v>
      </c>
    </row>
    <row r="2" spans="1:10" x14ac:dyDescent="0.3">
      <c r="A2" s="6">
        <v>44927</v>
      </c>
      <c r="B2" s="7" t="s">
        <v>3</v>
      </c>
      <c r="C2" s="7" t="s">
        <v>4</v>
      </c>
      <c r="J2" s="1"/>
    </row>
    <row r="3" spans="1:10" x14ac:dyDescent="0.3">
      <c r="A3" s="6">
        <v>44977</v>
      </c>
      <c r="B3" s="7" t="s">
        <v>5</v>
      </c>
      <c r="C3" s="7" t="s">
        <v>6</v>
      </c>
    </row>
    <row r="4" spans="1:10" x14ac:dyDescent="0.3">
      <c r="A4" s="6">
        <v>44978</v>
      </c>
      <c r="B4" s="7" t="s">
        <v>7</v>
      </c>
      <c r="C4" s="7" t="s">
        <v>6</v>
      </c>
    </row>
    <row r="5" spans="1:10" x14ac:dyDescent="0.3">
      <c r="A5" s="6">
        <v>45023</v>
      </c>
      <c r="B5" s="7" t="s">
        <v>8</v>
      </c>
      <c r="C5" s="7" t="s">
        <v>9</v>
      </c>
    </row>
    <row r="6" spans="1:10" x14ac:dyDescent="0.3">
      <c r="A6" s="6">
        <v>45037</v>
      </c>
      <c r="B6" s="7" t="s">
        <v>8</v>
      </c>
      <c r="C6" s="7" t="s">
        <v>10</v>
      </c>
    </row>
    <row r="7" spans="1:10" x14ac:dyDescent="0.3">
      <c r="A7" s="6">
        <v>45047</v>
      </c>
      <c r="B7" s="7" t="s">
        <v>5</v>
      </c>
      <c r="C7" s="7" t="s">
        <v>11</v>
      </c>
    </row>
    <row r="8" spans="1:10" x14ac:dyDescent="0.3">
      <c r="A8" s="6">
        <v>45085</v>
      </c>
      <c r="B8" s="7" t="s">
        <v>12</v>
      </c>
      <c r="C8" s="7" t="s">
        <v>13</v>
      </c>
    </row>
    <row r="9" spans="1:10" x14ac:dyDescent="0.3">
      <c r="A9" s="6">
        <v>45176</v>
      </c>
      <c r="B9" s="7" t="s">
        <v>12</v>
      </c>
      <c r="C9" s="7" t="s">
        <v>14</v>
      </c>
    </row>
    <row r="10" spans="1:10" x14ac:dyDescent="0.3">
      <c r="A10" s="6">
        <v>45211</v>
      </c>
      <c r="B10" s="7" t="s">
        <v>12</v>
      </c>
      <c r="C10" s="7" t="s">
        <v>15</v>
      </c>
    </row>
    <row r="11" spans="1:10" x14ac:dyDescent="0.3">
      <c r="A11" s="6">
        <v>45232</v>
      </c>
      <c r="B11" s="7" t="s">
        <v>12</v>
      </c>
      <c r="C11" s="7" t="s">
        <v>16</v>
      </c>
    </row>
    <row r="12" spans="1:10" x14ac:dyDescent="0.3">
      <c r="A12" s="6">
        <v>45245</v>
      </c>
      <c r="B12" s="7" t="s">
        <v>17</v>
      </c>
      <c r="C12" s="7" t="s">
        <v>18</v>
      </c>
    </row>
    <row r="13" spans="1:10" x14ac:dyDescent="0.3">
      <c r="A13" s="6">
        <v>45285</v>
      </c>
      <c r="B13" s="7" t="s">
        <v>5</v>
      </c>
      <c r="C13" s="7" t="s">
        <v>19</v>
      </c>
    </row>
    <row r="14" spans="1:10" x14ac:dyDescent="0.3">
      <c r="A14" s="8">
        <v>45292</v>
      </c>
      <c r="B14" s="9" t="s">
        <v>5</v>
      </c>
      <c r="C14" s="9" t="s">
        <v>4</v>
      </c>
    </row>
    <row r="15" spans="1:10" x14ac:dyDescent="0.3">
      <c r="A15" s="8">
        <v>45334</v>
      </c>
      <c r="B15" s="9" t="s">
        <v>5</v>
      </c>
      <c r="C15" s="9" t="s">
        <v>6</v>
      </c>
    </row>
    <row r="16" spans="1:10" x14ac:dyDescent="0.3">
      <c r="A16" s="8">
        <v>45335</v>
      </c>
      <c r="B16" s="9" t="s">
        <v>7</v>
      </c>
      <c r="C16" s="9" t="s">
        <v>6</v>
      </c>
    </row>
    <row r="17" spans="1:3" x14ac:dyDescent="0.3">
      <c r="A17" s="8">
        <v>45380</v>
      </c>
      <c r="B17" s="9" t="s">
        <v>8</v>
      </c>
      <c r="C17" s="9" t="s">
        <v>9</v>
      </c>
    </row>
    <row r="18" spans="1:3" x14ac:dyDescent="0.3">
      <c r="A18" s="8">
        <v>45403</v>
      </c>
      <c r="B18" s="9" t="s">
        <v>3</v>
      </c>
      <c r="C18" s="9" t="s">
        <v>10</v>
      </c>
    </row>
    <row r="19" spans="1:3" x14ac:dyDescent="0.3">
      <c r="A19" s="8">
        <v>45413</v>
      </c>
      <c r="B19" s="9" t="s">
        <v>17</v>
      </c>
      <c r="C19" s="9" t="s">
        <v>11</v>
      </c>
    </row>
    <row r="20" spans="1:3" x14ac:dyDescent="0.3">
      <c r="A20" s="8">
        <v>45442</v>
      </c>
      <c r="B20" s="9" t="s">
        <v>12</v>
      </c>
      <c r="C20" s="9" t="s">
        <v>13</v>
      </c>
    </row>
    <row r="21" spans="1:3" x14ac:dyDescent="0.3">
      <c r="A21" s="8">
        <v>45542</v>
      </c>
      <c r="B21" s="9" t="s">
        <v>20</v>
      </c>
      <c r="C21" s="9" t="s">
        <v>14</v>
      </c>
    </row>
    <row r="22" spans="1:3" x14ac:dyDescent="0.3">
      <c r="A22" s="8">
        <v>45577</v>
      </c>
      <c r="B22" s="9" t="s">
        <v>20</v>
      </c>
      <c r="C22" s="9" t="s">
        <v>15</v>
      </c>
    </row>
    <row r="23" spans="1:3" x14ac:dyDescent="0.3">
      <c r="A23" s="8">
        <v>45598</v>
      </c>
      <c r="B23" s="9" t="s">
        <v>20</v>
      </c>
      <c r="C23" s="9" t="s">
        <v>16</v>
      </c>
    </row>
    <row r="24" spans="1:3" x14ac:dyDescent="0.3">
      <c r="A24" s="8">
        <v>45611</v>
      </c>
      <c r="B24" s="9" t="s">
        <v>8</v>
      </c>
      <c r="C24" s="9" t="s">
        <v>18</v>
      </c>
    </row>
    <row r="25" spans="1:3" x14ac:dyDescent="0.3">
      <c r="A25" s="8">
        <v>45651</v>
      </c>
      <c r="B25" s="9" t="s">
        <v>17</v>
      </c>
      <c r="C25" s="9" t="s">
        <v>19</v>
      </c>
    </row>
    <row r="26" spans="1:3" x14ac:dyDescent="0.3">
      <c r="A26" s="6">
        <v>45658</v>
      </c>
      <c r="B26" s="7" t="s">
        <v>17</v>
      </c>
      <c r="C26" s="7" t="s">
        <v>4</v>
      </c>
    </row>
    <row r="27" spans="1:3" x14ac:dyDescent="0.3">
      <c r="A27" s="6">
        <v>45719</v>
      </c>
      <c r="B27" s="7" t="s">
        <v>5</v>
      </c>
      <c r="C27" s="7" t="s">
        <v>6</v>
      </c>
    </row>
    <row r="28" spans="1:3" x14ac:dyDescent="0.3">
      <c r="A28" s="6">
        <v>45720</v>
      </c>
      <c r="B28" s="7" t="s">
        <v>7</v>
      </c>
      <c r="C28" s="7" t="s">
        <v>6</v>
      </c>
    </row>
    <row r="29" spans="1:3" x14ac:dyDescent="0.3">
      <c r="A29" s="6">
        <v>45765</v>
      </c>
      <c r="B29" s="7" t="s">
        <v>8</v>
      </c>
      <c r="C29" s="7" t="s">
        <v>9</v>
      </c>
    </row>
    <row r="30" spans="1:3" x14ac:dyDescent="0.3">
      <c r="A30" s="6">
        <v>45768</v>
      </c>
      <c r="B30" s="7" t="s">
        <v>5</v>
      </c>
      <c r="C30" s="7" t="s">
        <v>10</v>
      </c>
    </row>
    <row r="31" spans="1:3" x14ac:dyDescent="0.3">
      <c r="A31" s="6">
        <v>45778</v>
      </c>
      <c r="B31" s="7" t="s">
        <v>12</v>
      </c>
      <c r="C31" s="7" t="s">
        <v>11</v>
      </c>
    </row>
    <row r="32" spans="1:3" x14ac:dyDescent="0.3">
      <c r="A32" s="6">
        <v>45827</v>
      </c>
      <c r="B32" s="7" t="s">
        <v>12</v>
      </c>
      <c r="C32" s="7" t="s">
        <v>13</v>
      </c>
    </row>
    <row r="33" spans="1:3" x14ac:dyDescent="0.3">
      <c r="A33" s="6">
        <v>45907</v>
      </c>
      <c r="B33" s="7" t="s">
        <v>3</v>
      </c>
      <c r="C33" s="7" t="s">
        <v>14</v>
      </c>
    </row>
    <row r="34" spans="1:3" x14ac:dyDescent="0.3">
      <c r="A34" s="6">
        <v>45942</v>
      </c>
      <c r="B34" s="7" t="s">
        <v>3</v>
      </c>
      <c r="C34" s="7" t="s">
        <v>15</v>
      </c>
    </row>
    <row r="35" spans="1:3" x14ac:dyDescent="0.3">
      <c r="A35" s="6">
        <v>45963</v>
      </c>
      <c r="B35" s="7" t="s">
        <v>3</v>
      </c>
      <c r="C35" s="7" t="s">
        <v>16</v>
      </c>
    </row>
    <row r="36" spans="1:3" x14ac:dyDescent="0.3">
      <c r="A36" s="6">
        <v>45976</v>
      </c>
      <c r="B36" s="7" t="s">
        <v>20</v>
      </c>
      <c r="C36" s="7" t="s">
        <v>18</v>
      </c>
    </row>
    <row r="37" spans="1:3" x14ac:dyDescent="0.3">
      <c r="A37" s="6">
        <v>46016</v>
      </c>
      <c r="B37" s="7" t="s">
        <v>12</v>
      </c>
      <c r="C37" s="7" t="s">
        <v>19</v>
      </c>
    </row>
    <row r="38" spans="1:3" x14ac:dyDescent="0.3">
      <c r="A38" s="8">
        <v>46023</v>
      </c>
      <c r="B38" s="9" t="s">
        <v>12</v>
      </c>
      <c r="C38" s="9" t="s">
        <v>4</v>
      </c>
    </row>
    <row r="39" spans="1:3" x14ac:dyDescent="0.3">
      <c r="A39" s="8">
        <v>46069</v>
      </c>
      <c r="B39" s="9" t="s">
        <v>5</v>
      </c>
      <c r="C39" s="9" t="s">
        <v>6</v>
      </c>
    </row>
    <row r="40" spans="1:3" x14ac:dyDescent="0.3">
      <c r="A40" s="8">
        <v>46070</v>
      </c>
      <c r="B40" s="9" t="s">
        <v>7</v>
      </c>
      <c r="C40" s="9" t="s">
        <v>6</v>
      </c>
    </row>
    <row r="41" spans="1:3" x14ac:dyDescent="0.3">
      <c r="A41" s="8">
        <v>46115</v>
      </c>
      <c r="B41" s="9" t="s">
        <v>8</v>
      </c>
      <c r="C41" s="9" t="s">
        <v>9</v>
      </c>
    </row>
    <row r="42" spans="1:3" x14ac:dyDescent="0.3">
      <c r="A42" s="8">
        <v>46133</v>
      </c>
      <c r="B42" s="9" t="s">
        <v>7</v>
      </c>
      <c r="C42" s="9" t="s">
        <v>10</v>
      </c>
    </row>
    <row r="43" spans="1:3" x14ac:dyDescent="0.3">
      <c r="A43" s="8">
        <v>46143</v>
      </c>
      <c r="B43" s="9" t="s">
        <v>8</v>
      </c>
      <c r="C43" s="9" t="s">
        <v>11</v>
      </c>
    </row>
    <row r="44" spans="1:3" x14ac:dyDescent="0.3">
      <c r="A44" s="8">
        <v>46177</v>
      </c>
      <c r="B44" s="9" t="s">
        <v>12</v>
      </c>
      <c r="C44" s="9" t="s">
        <v>13</v>
      </c>
    </row>
    <row r="45" spans="1:3" x14ac:dyDescent="0.3">
      <c r="A45" s="8">
        <v>46272</v>
      </c>
      <c r="B45" s="9" t="s">
        <v>5</v>
      </c>
      <c r="C45" s="9" t="s">
        <v>14</v>
      </c>
    </row>
    <row r="46" spans="1:3" x14ac:dyDescent="0.3">
      <c r="A46" s="8">
        <v>46307</v>
      </c>
      <c r="B46" s="9" t="s">
        <v>5</v>
      </c>
      <c r="C46" s="9" t="s">
        <v>15</v>
      </c>
    </row>
    <row r="47" spans="1:3" x14ac:dyDescent="0.3">
      <c r="A47" s="8">
        <v>46328</v>
      </c>
      <c r="B47" s="9" t="s">
        <v>5</v>
      </c>
      <c r="C47" s="9" t="s">
        <v>16</v>
      </c>
    </row>
    <row r="48" spans="1:3" x14ac:dyDescent="0.3">
      <c r="A48" s="8">
        <v>46341</v>
      </c>
      <c r="B48" s="9" t="s">
        <v>3</v>
      </c>
      <c r="C48" s="9" t="s">
        <v>18</v>
      </c>
    </row>
    <row r="49" spans="1:3" x14ac:dyDescent="0.3">
      <c r="A49" s="8">
        <v>46381</v>
      </c>
      <c r="B49" s="9" t="s">
        <v>8</v>
      </c>
      <c r="C49" s="9" t="s">
        <v>19</v>
      </c>
    </row>
    <row r="50" spans="1:3" x14ac:dyDescent="0.3">
      <c r="A50" s="6">
        <v>46388</v>
      </c>
      <c r="B50" s="7" t="s">
        <v>8</v>
      </c>
      <c r="C50" s="7" t="s">
        <v>4</v>
      </c>
    </row>
    <row r="51" spans="1:3" x14ac:dyDescent="0.3">
      <c r="A51" s="6">
        <v>46426</v>
      </c>
      <c r="B51" s="7" t="s">
        <v>5</v>
      </c>
      <c r="C51" s="7" t="s">
        <v>6</v>
      </c>
    </row>
    <row r="52" spans="1:3" x14ac:dyDescent="0.3">
      <c r="A52" s="6">
        <v>46427</v>
      </c>
      <c r="B52" s="7" t="s">
        <v>7</v>
      </c>
      <c r="C52" s="7" t="s">
        <v>6</v>
      </c>
    </row>
    <row r="53" spans="1:3" x14ac:dyDescent="0.3">
      <c r="A53" s="6">
        <v>46472</v>
      </c>
      <c r="B53" s="7" t="s">
        <v>8</v>
      </c>
      <c r="C53" s="7" t="s">
        <v>9</v>
      </c>
    </row>
    <row r="54" spans="1:3" x14ac:dyDescent="0.3">
      <c r="A54" s="6">
        <v>46498</v>
      </c>
      <c r="B54" s="7" t="s">
        <v>17</v>
      </c>
      <c r="C54" s="7" t="s">
        <v>10</v>
      </c>
    </row>
    <row r="55" spans="1:3" x14ac:dyDescent="0.3">
      <c r="A55" s="6">
        <v>46508</v>
      </c>
      <c r="B55" s="7" t="s">
        <v>20</v>
      </c>
      <c r="C55" s="7" t="s">
        <v>11</v>
      </c>
    </row>
    <row r="56" spans="1:3" x14ac:dyDescent="0.3">
      <c r="A56" s="6">
        <v>46534</v>
      </c>
      <c r="B56" s="7" t="s">
        <v>12</v>
      </c>
      <c r="C56" s="7" t="s">
        <v>13</v>
      </c>
    </row>
    <row r="57" spans="1:3" x14ac:dyDescent="0.3">
      <c r="A57" s="6">
        <v>46637</v>
      </c>
      <c r="B57" s="7" t="s">
        <v>7</v>
      </c>
      <c r="C57" s="7" t="s">
        <v>14</v>
      </c>
    </row>
    <row r="58" spans="1:3" x14ac:dyDescent="0.3">
      <c r="A58" s="6">
        <v>46672</v>
      </c>
      <c r="B58" s="7" t="s">
        <v>7</v>
      </c>
      <c r="C58" s="7" t="s">
        <v>15</v>
      </c>
    </row>
    <row r="59" spans="1:3" x14ac:dyDescent="0.3">
      <c r="A59" s="6">
        <v>46693</v>
      </c>
      <c r="B59" s="7" t="s">
        <v>7</v>
      </c>
      <c r="C59" s="7" t="s">
        <v>16</v>
      </c>
    </row>
    <row r="60" spans="1:3" x14ac:dyDescent="0.3">
      <c r="A60" s="6">
        <v>46706</v>
      </c>
      <c r="B60" s="7" t="s">
        <v>5</v>
      </c>
      <c r="C60" s="7" t="s">
        <v>18</v>
      </c>
    </row>
    <row r="61" spans="1:3" x14ac:dyDescent="0.3">
      <c r="A61" s="6">
        <v>46746</v>
      </c>
      <c r="B61" s="7" t="s">
        <v>20</v>
      </c>
      <c r="C61" s="7" t="s">
        <v>19</v>
      </c>
    </row>
    <row r="62" spans="1:3" x14ac:dyDescent="0.3">
      <c r="A62" s="8">
        <v>46753</v>
      </c>
      <c r="B62" s="9" t="s">
        <v>20</v>
      </c>
      <c r="C62" s="9" t="s">
        <v>4</v>
      </c>
    </row>
    <row r="63" spans="1:3" x14ac:dyDescent="0.3">
      <c r="A63" s="8">
        <v>46811</v>
      </c>
      <c r="B63" s="9" t="s">
        <v>5</v>
      </c>
      <c r="C63" s="9" t="s">
        <v>6</v>
      </c>
    </row>
    <row r="64" spans="1:3" x14ac:dyDescent="0.3">
      <c r="A64" s="8">
        <v>46812</v>
      </c>
      <c r="B64" s="9" t="s">
        <v>7</v>
      </c>
      <c r="C64" s="9" t="s">
        <v>6</v>
      </c>
    </row>
    <row r="65" spans="1:3" x14ac:dyDescent="0.3">
      <c r="A65" s="8">
        <v>46857</v>
      </c>
      <c r="B65" s="9" t="s">
        <v>8</v>
      </c>
      <c r="C65" s="9" t="s">
        <v>9</v>
      </c>
    </row>
    <row r="66" spans="1:3" x14ac:dyDescent="0.3">
      <c r="A66" s="8">
        <v>46864</v>
      </c>
      <c r="B66" s="9" t="s">
        <v>8</v>
      </c>
      <c r="C66" s="9" t="s">
        <v>10</v>
      </c>
    </row>
    <row r="67" spans="1:3" x14ac:dyDescent="0.3">
      <c r="A67" s="8">
        <v>46874</v>
      </c>
      <c r="B67" s="9" t="s">
        <v>5</v>
      </c>
      <c r="C67" s="9" t="s">
        <v>11</v>
      </c>
    </row>
    <row r="68" spans="1:3" x14ac:dyDescent="0.3">
      <c r="A68" s="8">
        <v>46919</v>
      </c>
      <c r="B68" s="9" t="s">
        <v>12</v>
      </c>
      <c r="C68" s="9" t="s">
        <v>13</v>
      </c>
    </row>
    <row r="69" spans="1:3" x14ac:dyDescent="0.3">
      <c r="A69" s="8">
        <v>47003</v>
      </c>
      <c r="B69" s="9" t="s">
        <v>12</v>
      </c>
      <c r="C69" s="9" t="s">
        <v>14</v>
      </c>
    </row>
    <row r="70" spans="1:3" x14ac:dyDescent="0.3">
      <c r="A70" s="8">
        <v>47038</v>
      </c>
      <c r="B70" s="9" t="s">
        <v>12</v>
      </c>
      <c r="C70" s="9" t="s">
        <v>15</v>
      </c>
    </row>
    <row r="71" spans="1:3" x14ac:dyDescent="0.3">
      <c r="A71" s="8">
        <v>47059</v>
      </c>
      <c r="B71" s="9" t="s">
        <v>12</v>
      </c>
      <c r="C71" s="9" t="s">
        <v>16</v>
      </c>
    </row>
    <row r="72" spans="1:3" x14ac:dyDescent="0.3">
      <c r="A72" s="8">
        <v>47072</v>
      </c>
      <c r="B72" s="9" t="s">
        <v>17</v>
      </c>
      <c r="C72" s="9" t="s">
        <v>18</v>
      </c>
    </row>
    <row r="73" spans="1:3" x14ac:dyDescent="0.3">
      <c r="A73" s="8">
        <v>47112</v>
      </c>
      <c r="B73" s="9" t="s">
        <v>5</v>
      </c>
      <c r="C73" s="9" t="s">
        <v>19</v>
      </c>
    </row>
    <row r="74" spans="1:3" x14ac:dyDescent="0.3">
      <c r="A74" s="6">
        <v>47119</v>
      </c>
      <c r="B74" s="7" t="s">
        <v>5</v>
      </c>
      <c r="C74" s="7" t="s">
        <v>4</v>
      </c>
    </row>
    <row r="75" spans="1:3" x14ac:dyDescent="0.3">
      <c r="A75" s="6">
        <v>47161</v>
      </c>
      <c r="B75" s="7" t="s">
        <v>5</v>
      </c>
      <c r="C75" s="7" t="s">
        <v>6</v>
      </c>
    </row>
    <row r="76" spans="1:3" x14ac:dyDescent="0.3">
      <c r="A76" s="6">
        <v>47162</v>
      </c>
      <c r="B76" s="7" t="s">
        <v>7</v>
      </c>
      <c r="C76" s="7" t="s">
        <v>6</v>
      </c>
    </row>
    <row r="77" spans="1:3" x14ac:dyDescent="0.3">
      <c r="A77" s="6">
        <v>47207</v>
      </c>
      <c r="B77" s="7" t="s">
        <v>8</v>
      </c>
      <c r="C77" s="7" t="s">
        <v>9</v>
      </c>
    </row>
    <row r="78" spans="1:3" x14ac:dyDescent="0.3">
      <c r="A78" s="6">
        <v>47229</v>
      </c>
      <c r="B78" s="7" t="s">
        <v>20</v>
      </c>
      <c r="C78" s="7" t="s">
        <v>10</v>
      </c>
    </row>
    <row r="79" spans="1:3" x14ac:dyDescent="0.3">
      <c r="A79" s="6">
        <v>47239</v>
      </c>
      <c r="B79" s="7" t="s">
        <v>7</v>
      </c>
      <c r="C79" s="7" t="s">
        <v>11</v>
      </c>
    </row>
    <row r="80" spans="1:3" x14ac:dyDescent="0.3">
      <c r="A80" s="6">
        <v>47269</v>
      </c>
      <c r="B80" s="7" t="s">
        <v>12</v>
      </c>
      <c r="C80" s="7" t="s">
        <v>13</v>
      </c>
    </row>
    <row r="81" spans="1:3" x14ac:dyDescent="0.3">
      <c r="A81" s="6">
        <v>47368</v>
      </c>
      <c r="B81" s="7" t="s">
        <v>8</v>
      </c>
      <c r="C81" s="7" t="s">
        <v>14</v>
      </c>
    </row>
    <row r="82" spans="1:3" x14ac:dyDescent="0.3">
      <c r="A82" s="6">
        <v>47403</v>
      </c>
      <c r="B82" s="7" t="s">
        <v>8</v>
      </c>
      <c r="C82" s="7" t="s">
        <v>15</v>
      </c>
    </row>
    <row r="83" spans="1:3" x14ac:dyDescent="0.3">
      <c r="A83" s="6">
        <v>47424</v>
      </c>
      <c r="B83" s="7" t="s">
        <v>8</v>
      </c>
      <c r="C83" s="7" t="s">
        <v>16</v>
      </c>
    </row>
    <row r="84" spans="1:3" x14ac:dyDescent="0.3">
      <c r="A84" s="6">
        <v>47437</v>
      </c>
      <c r="B84" s="7" t="s">
        <v>12</v>
      </c>
      <c r="C84" s="7" t="s">
        <v>18</v>
      </c>
    </row>
    <row r="85" spans="1:3" x14ac:dyDescent="0.3">
      <c r="A85" s="6">
        <v>47477</v>
      </c>
      <c r="B85" s="7" t="s">
        <v>7</v>
      </c>
      <c r="C85" s="7" t="s">
        <v>19</v>
      </c>
    </row>
    <row r="86" spans="1:3" x14ac:dyDescent="0.3">
      <c r="A86" s="8">
        <v>47484</v>
      </c>
      <c r="B86" s="9" t="s">
        <v>7</v>
      </c>
      <c r="C86" s="9" t="s">
        <v>4</v>
      </c>
    </row>
    <row r="87" spans="1:3" x14ac:dyDescent="0.3">
      <c r="A87" s="8">
        <v>47546</v>
      </c>
      <c r="B87" s="9" t="s">
        <v>5</v>
      </c>
      <c r="C87" s="9" t="s">
        <v>6</v>
      </c>
    </row>
    <row r="88" spans="1:3" x14ac:dyDescent="0.3">
      <c r="A88" s="8">
        <v>47547</v>
      </c>
      <c r="B88" s="9" t="s">
        <v>7</v>
      </c>
      <c r="C88" s="9" t="s">
        <v>6</v>
      </c>
    </row>
    <row r="89" spans="1:3" x14ac:dyDescent="0.3">
      <c r="A89" s="8">
        <v>47592</v>
      </c>
      <c r="B89" s="9" t="s">
        <v>8</v>
      </c>
      <c r="C89" s="9" t="s">
        <v>9</v>
      </c>
    </row>
    <row r="90" spans="1:3" x14ac:dyDescent="0.3">
      <c r="A90" s="8">
        <v>47594</v>
      </c>
      <c r="B90" s="9" t="s">
        <v>3</v>
      </c>
      <c r="C90" s="9" t="s">
        <v>10</v>
      </c>
    </row>
    <row r="91" spans="1:3" x14ac:dyDescent="0.3">
      <c r="A91" s="8">
        <v>47604</v>
      </c>
      <c r="B91" s="9" t="s">
        <v>17</v>
      </c>
      <c r="C91" s="9" t="s">
        <v>11</v>
      </c>
    </row>
    <row r="92" spans="1:3" x14ac:dyDescent="0.3">
      <c r="A92" s="8">
        <v>47654</v>
      </c>
      <c r="B92" s="9" t="s">
        <v>12</v>
      </c>
      <c r="C92" s="9" t="s">
        <v>13</v>
      </c>
    </row>
    <row r="93" spans="1:3" x14ac:dyDescent="0.3">
      <c r="A93" s="8">
        <v>47733</v>
      </c>
      <c r="B93" s="9" t="s">
        <v>20</v>
      </c>
      <c r="C93" s="9" t="s">
        <v>14</v>
      </c>
    </row>
    <row r="94" spans="1:3" x14ac:dyDescent="0.3">
      <c r="A94" s="8">
        <v>47768</v>
      </c>
      <c r="B94" s="9" t="s">
        <v>20</v>
      </c>
      <c r="C94" s="9" t="s">
        <v>15</v>
      </c>
    </row>
    <row r="95" spans="1:3" x14ac:dyDescent="0.3">
      <c r="A95" s="8">
        <v>47789</v>
      </c>
      <c r="B95" s="9" t="s">
        <v>20</v>
      </c>
      <c r="C95" s="9" t="s">
        <v>16</v>
      </c>
    </row>
    <row r="96" spans="1:3" x14ac:dyDescent="0.3">
      <c r="A96" s="8">
        <v>47802</v>
      </c>
      <c r="B96" s="9" t="s">
        <v>8</v>
      </c>
      <c r="C96" s="9" t="s">
        <v>18</v>
      </c>
    </row>
    <row r="97" spans="1:3" x14ac:dyDescent="0.3">
      <c r="A97" s="8">
        <v>47842</v>
      </c>
      <c r="B97" s="9" t="s">
        <v>17</v>
      </c>
      <c r="C97" s="9" t="s">
        <v>19</v>
      </c>
    </row>
    <row r="100" spans="1:3" x14ac:dyDescent="0.3">
      <c r="A100" s="36" t="s">
        <v>22</v>
      </c>
      <c r="B100" s="36"/>
      <c r="C100" s="36"/>
    </row>
  </sheetData>
  <mergeCells count="1">
    <mergeCell ref="A100:C100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Metas</vt:lpstr>
      <vt:lpstr>Auxiliar</vt:lpstr>
      <vt:lpstr>Dias úteis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Danilo Machado</dc:creator>
  <cp:keywords/>
  <dc:description/>
  <cp:lastModifiedBy>D B MACHADO LTDA</cp:lastModifiedBy>
  <cp:revision/>
  <dcterms:created xsi:type="dcterms:W3CDTF">2015-06-05T18:19:34Z</dcterms:created>
  <dcterms:modified xsi:type="dcterms:W3CDTF">2026-05-20T01:22:48Z</dcterms:modified>
  <cp:category/>
  <cp:contentStatus/>
</cp:coreProperties>
</file>